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gram" sheetId="1" r:id="rId5"/>
    <sheet state="visible" name="Sessions Counts" sheetId="2" r:id="rId6"/>
    <sheet state="visible" name="All Counts" sheetId="3" r:id="rId7"/>
    <sheet state="visible" name="Research assignment" sheetId="4" r:id="rId8"/>
    <sheet state="visible" name="Industry assignment" sheetId="5" r:id="rId9"/>
    <sheet state="visible" name="Web4Good assignment" sheetId="6" r:id="rId10"/>
    <sheet state="visible" name="HoW assignment" sheetId="7" r:id="rId11"/>
    <sheet state="visible" name="ShortPapers assignment" sheetId="8" r:id="rId12"/>
    <sheet state="visible" name="Tutorials" sheetId="9" r:id="rId13"/>
    <sheet state="visible" name="Workshops" sheetId="10" r:id="rId14"/>
    <sheet state="visible" name="PhD Symposium" sheetId="11" r:id="rId15"/>
    <sheet state="visible" name="Demos" sheetId="12" r:id="rId16"/>
    <sheet state="visible" name="Research Papers" sheetId="13" r:id="rId17"/>
    <sheet state="visible" name="Industry Papers" sheetId="14" r:id="rId18"/>
    <sheet state="visible" name="Web4Good Papers" sheetId="15" r:id="rId19"/>
    <sheet state="visible" name="TWEB" sheetId="16" r:id="rId20"/>
  </sheets>
  <definedNames>
    <definedName hidden="1" localSheetId="3" name="_xlnm._FilterDatabase">'Research assignment'!$F$1:$F$997</definedName>
    <definedName hidden="1" localSheetId="12" name="_xlnm._FilterDatabase">'Research Papers'!$A$1:$E$681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tc={5691b350-af53-499f-9ec9-91766f924a8a}</author>
    <author>tc={64386bff-a583-4b81-9c25-94af98427c3b}</author>
  </authors>
  <commentList>
    <comment authorId="0" xr:uid="{5691b350-af53-499f-9ec9-91766f924a8a}" ref="J40">
      <text>
        <t xml:space="preserve">[Threaded comment]
 Your version of Excel allows you to read this threaded comment; however, any edits to it will get removed if the file is opened in a newer version of Excel. Learn more: https://go.microsoft.com/fwlink/?linkid=870924
Comment:
	session of 4 after tweb2 withdrawal
</t>
      </text>
    </comment>
    <comment authorId="1" xr:uid="{64386bff-a583-4b81-9c25-94af98427c3b}" ref="E40">
      <text>
        <t xml:space="preserve">[Threaded comment]
 Your version of Excel allows you to read this threaded comment; however, any edits to it will get removed if the file is opened in a newer version of Excel. Learn more: https://go.microsoft.com/fwlink/?linkid=870924
Comment:
	4 papers only
</t>
      </text>
    </comment>
  </commentList>
</comments>
</file>

<file path=xl/sharedStrings.xml><?xml version="1.0" encoding="utf-8"?>
<sst xmlns="http://schemas.openxmlformats.org/spreadsheetml/2006/main" count="7919" uniqueCount="3600">
  <si>
    <t>All times UAE time</t>
  </si>
  <si>
    <t>Click  on the +/- icon on left trail to expand/collapse details of sessions</t>
  </si>
  <si>
    <t>Rooms 1</t>
  </si>
  <si>
    <t>Room 2</t>
  </si>
  <si>
    <t>Room 3</t>
  </si>
  <si>
    <t>Room 4</t>
  </si>
  <si>
    <t>Room 5</t>
  </si>
  <si>
    <t>Room 6</t>
  </si>
  <si>
    <t>Room 7</t>
  </si>
  <si>
    <t>Room 8</t>
  </si>
  <si>
    <t>Room 9</t>
  </si>
  <si>
    <t>Room 10</t>
  </si>
  <si>
    <t>Room 11</t>
  </si>
  <si>
    <t>Room 12</t>
  </si>
  <si>
    <t>Room 13</t>
  </si>
  <si>
    <t>Room 14</t>
  </si>
  <si>
    <t>10:00 - 13:30</t>
  </si>
  <si>
    <t>tut 1</t>
  </si>
  <si>
    <t>tut 2</t>
  </si>
  <si>
    <t>tut 3</t>
  </si>
  <si>
    <t>wk1101</t>
  </si>
  <si>
    <t>wk2001</t>
  </si>
  <si>
    <t>wk2301</t>
  </si>
  <si>
    <t>wk0900</t>
  </si>
  <si>
    <t>wk1900</t>
  </si>
  <si>
    <t>wk2100</t>
  </si>
  <si>
    <t>wk2200</t>
  </si>
  <si>
    <t>wk0100</t>
  </si>
  <si>
    <t>Web4All</t>
  </si>
  <si>
    <t>https://www.w4a.info/2026/</t>
  </si>
  <si>
    <t>13:00 - 14:00</t>
  </si>
  <si>
    <t>Break</t>
  </si>
  <si>
    <t>14:00- 17:30</t>
  </si>
  <si>
    <t>tut 6</t>
  </si>
  <si>
    <t>tut 9</t>
  </si>
  <si>
    <t>tut 10</t>
  </si>
  <si>
    <t>wk1102</t>
  </si>
  <si>
    <t>wk2002</t>
  </si>
  <si>
    <t>wk2302</t>
  </si>
  <si>
    <t>wk1500</t>
  </si>
  <si>
    <t>wk1300</t>
  </si>
  <si>
    <t>wk0400</t>
  </si>
  <si>
    <t>wk1400</t>
  </si>
  <si>
    <t>tut 4</t>
  </si>
  <si>
    <t>tut 7</t>
  </si>
  <si>
    <t>tut 11</t>
  </si>
  <si>
    <t>wk1000</t>
  </si>
  <si>
    <t>wk0501</t>
  </si>
  <si>
    <t>wk0601</t>
  </si>
  <si>
    <t>wk1601</t>
  </si>
  <si>
    <t>wk1801</t>
  </si>
  <si>
    <t>wk0300</t>
  </si>
  <si>
    <t>wk0200</t>
  </si>
  <si>
    <t>wk1700</t>
  </si>
  <si>
    <t>PhD Symposium Part 1</t>
  </si>
  <si>
    <t>14:00 - 17:30</t>
  </si>
  <si>
    <t>tut 5</t>
  </si>
  <si>
    <t>tut 12</t>
  </si>
  <si>
    <t>tut 13</t>
  </si>
  <si>
    <t>tut 14</t>
  </si>
  <si>
    <t>wk0502</t>
  </si>
  <si>
    <t>wk0602</t>
  </si>
  <si>
    <t>wk1602</t>
  </si>
  <si>
    <t>wk1802</t>
  </si>
  <si>
    <t>wk0800</t>
  </si>
  <si>
    <t>wk1200</t>
  </si>
  <si>
    <t>PhD Symposium Part 2</t>
  </si>
  <si>
    <t>10:00 - 10:30</t>
  </si>
  <si>
    <t>Conference Opening</t>
  </si>
  <si>
    <t>10:30 - 11:30</t>
  </si>
  <si>
    <t>Keynote #1: Katrina Liggett</t>
  </si>
  <si>
    <t>11:30 - 12:00</t>
  </si>
  <si>
    <t>12:00 - 13:30</t>
  </si>
  <si>
    <t>Econ1</t>
  </si>
  <si>
    <t>Graph1</t>
  </si>
  <si>
    <t>Graph7</t>
  </si>
  <si>
    <t>Search1</t>
  </si>
  <si>
    <t>Semantics3</t>
  </si>
  <si>
    <t>Social1</t>
  </si>
  <si>
    <t>Systems1</t>
  </si>
  <si>
    <t>Security3</t>
  </si>
  <si>
    <t>Mining1</t>
  </si>
  <si>
    <t>RecSys1</t>
  </si>
  <si>
    <t>Industry1</t>
  </si>
  <si>
    <t>Industry2</t>
  </si>
  <si>
    <t>History1</t>
  </si>
  <si>
    <t>13:30 - 14:30</t>
  </si>
  <si>
    <t>Posters and Demos Session 1</t>
  </si>
  <si>
    <t>Demos1</t>
  </si>
  <si>
    <t>ShortPapers1</t>
  </si>
  <si>
    <t>14:30 - 15:30</t>
  </si>
  <si>
    <t>Keynote #2: Mounia Lalmas</t>
  </si>
  <si>
    <t>15:30 - 16:00</t>
  </si>
  <si>
    <t>16:00 - 17:30</t>
  </si>
  <si>
    <t>Econ2</t>
  </si>
  <si>
    <t>Graph2</t>
  </si>
  <si>
    <t>Graph8</t>
  </si>
  <si>
    <t>Search2</t>
  </si>
  <si>
    <t>Semantics4</t>
  </si>
  <si>
    <t>Social2</t>
  </si>
  <si>
    <t>Systems2</t>
  </si>
  <si>
    <t>Security4</t>
  </si>
  <si>
    <t>Mining2</t>
  </si>
  <si>
    <t>RecSys2</t>
  </si>
  <si>
    <t>RecSys7</t>
  </si>
  <si>
    <t>Industry3</t>
  </si>
  <si>
    <t>History2</t>
  </si>
  <si>
    <t>17:30 - 18:30</t>
  </si>
  <si>
    <t>Posters and Demos Session 2</t>
  </si>
  <si>
    <t>Demos2</t>
  </si>
  <si>
    <t>ShortPapers2</t>
  </si>
  <si>
    <t>EconPoster2</t>
  </si>
  <si>
    <t>GraphPoster2</t>
  </si>
  <si>
    <t>SearchPoster2</t>
  </si>
  <si>
    <t>SemanticsPoster2</t>
  </si>
  <si>
    <t>SecurityPoster2</t>
  </si>
  <si>
    <t>SocialPoster2</t>
  </si>
  <si>
    <t>SystemsPoster2</t>
  </si>
  <si>
    <t>RecSysPoster2</t>
  </si>
  <si>
    <t>MiningPoster2</t>
  </si>
  <si>
    <t>IndustryPoster2</t>
  </si>
  <si>
    <t>Web4GoodPoster2</t>
  </si>
  <si>
    <t>10:00 - 11:00</t>
  </si>
  <si>
    <t>Keynote #3: Alistair Moffat</t>
  </si>
  <si>
    <t>11:00 - 11:30</t>
  </si>
  <si>
    <t>11:30 - 13:00</t>
  </si>
  <si>
    <t>Econ3</t>
  </si>
  <si>
    <t>Graph3</t>
  </si>
  <si>
    <t>Graph9</t>
  </si>
  <si>
    <t>Search3</t>
  </si>
  <si>
    <t>Semantics7</t>
  </si>
  <si>
    <t>Social3</t>
  </si>
  <si>
    <t>Systems3</t>
  </si>
  <si>
    <t>Security5</t>
  </si>
  <si>
    <t>Mining3</t>
  </si>
  <si>
    <t>RecSys3</t>
  </si>
  <si>
    <t>Industry4</t>
  </si>
  <si>
    <t>Industry5</t>
  </si>
  <si>
    <t>Web4Good1</t>
  </si>
  <si>
    <t>Posters and Demos Session 3</t>
  </si>
  <si>
    <t>Demos3</t>
  </si>
  <si>
    <t>ShortPapers3</t>
  </si>
  <si>
    <t>14:00 - 15:00</t>
  </si>
  <si>
    <t>Plenary panel chaired by ACM President</t>
  </si>
  <si>
    <t>15:00 - 15:30</t>
  </si>
  <si>
    <t>15:30 - 17:00</t>
  </si>
  <si>
    <t>RespWeb1</t>
  </si>
  <si>
    <t>Graph4</t>
  </si>
  <si>
    <t>Graph10</t>
  </si>
  <si>
    <t>Search4</t>
  </si>
  <si>
    <t>Semantics6</t>
  </si>
  <si>
    <t>Social4</t>
  </si>
  <si>
    <t>Systems4</t>
  </si>
  <si>
    <t>Security6</t>
  </si>
  <si>
    <t>Mining4</t>
  </si>
  <si>
    <t>RecSys4</t>
  </si>
  <si>
    <t>RecSys8</t>
  </si>
  <si>
    <t>Industry6</t>
  </si>
  <si>
    <t>Web4Good2</t>
  </si>
  <si>
    <t>17:00 - 18:00</t>
  </si>
  <si>
    <t>Posters and Demos Session 4</t>
  </si>
  <si>
    <t>Demos4</t>
  </si>
  <si>
    <t>ShortPapers4</t>
  </si>
  <si>
    <t>Keynote talk #4: Pascale Fung</t>
  </si>
  <si>
    <t>RespWeb2</t>
  </si>
  <si>
    <t>Graph5</t>
  </si>
  <si>
    <t>Semantics1</t>
  </si>
  <si>
    <t>Search5</t>
  </si>
  <si>
    <t>Semantics5</t>
  </si>
  <si>
    <t>Security1</t>
  </si>
  <si>
    <t>Systems5</t>
  </si>
  <si>
    <t>Security7</t>
  </si>
  <si>
    <t>Mining5</t>
  </si>
  <si>
    <t>RecSys5</t>
  </si>
  <si>
    <t>RecSys9</t>
  </si>
  <si>
    <t>Industry7</t>
  </si>
  <si>
    <t>Web4Good3</t>
  </si>
  <si>
    <t>Posters and Demos Session 5</t>
  </si>
  <si>
    <t>Demos5</t>
  </si>
  <si>
    <t>ShortPapers5</t>
  </si>
  <si>
    <t>GraphPoster5</t>
  </si>
  <si>
    <t>RespWebPoster5</t>
  </si>
  <si>
    <t>SearchPoster5</t>
  </si>
  <si>
    <t>SemanticsPoster5</t>
  </si>
  <si>
    <t>SecurityPoster5</t>
  </si>
  <si>
    <t>SystemsPoster5</t>
  </si>
  <si>
    <t>RecSysPoster5</t>
  </si>
  <si>
    <t>MiningPoster5</t>
  </si>
  <si>
    <t>IndustryPoster5</t>
  </si>
  <si>
    <t>Web4GoodPoster5</t>
  </si>
  <si>
    <t>14:00 - 15:30</t>
  </si>
  <si>
    <t>RespWeb3</t>
  </si>
  <si>
    <t>Graph6</t>
  </si>
  <si>
    <t>Semantics2</t>
  </si>
  <si>
    <t>Search6</t>
  </si>
  <si>
    <t>Semantics8</t>
  </si>
  <si>
    <t>Security2</t>
  </si>
  <si>
    <t>Systems6</t>
  </si>
  <si>
    <t>Security8</t>
  </si>
  <si>
    <t>Mining6</t>
  </si>
  <si>
    <t>RecSys6</t>
  </si>
  <si>
    <t>RecSys10</t>
  </si>
  <si>
    <t>Industry8</t>
  </si>
  <si>
    <t>Web4Good4</t>
  </si>
  <si>
    <t>Best paper candidates</t>
  </si>
  <si>
    <t>Generative &amp; Next-Gen Recommendation Architectures</t>
  </si>
  <si>
    <t>Town Hall &amp; Closing Ceremony</t>
  </si>
  <si>
    <t>Session</t>
  </si>
  <si>
    <t>Session title</t>
  </si>
  <si>
    <t>Count</t>
  </si>
  <si>
    <t>Session chair</t>
  </si>
  <si>
    <t>EconPoster</t>
  </si>
  <si>
    <t>Social Dynamics, Voting, and Consensus</t>
  </si>
  <si>
    <t>GraphPoster</t>
  </si>
  <si>
    <t>Auto-bidding and Budget Allocation in Online Advertising</t>
  </si>
  <si>
    <t>RespWebPoster</t>
  </si>
  <si>
    <t>Economics of Generative AI</t>
  </si>
  <si>
    <t>SearchPoster</t>
  </si>
  <si>
    <t>SemanticsPoster</t>
  </si>
  <si>
    <t>SecurityPoster</t>
  </si>
  <si>
    <t>Graph Foundation Models 1</t>
  </si>
  <si>
    <t>SocialPoster</t>
  </si>
  <si>
    <t>Attacks &amp; Explainability</t>
  </si>
  <si>
    <t>SystemsPoster</t>
  </si>
  <si>
    <t>Graph Neural Networks 1</t>
  </si>
  <si>
    <t>RecSysPoster</t>
  </si>
  <si>
    <t>Contrastive Learning 1</t>
  </si>
  <si>
    <t>MiningPoster</t>
  </si>
  <si>
    <t>Contrastive Learning 2</t>
  </si>
  <si>
    <t>Graph Neural Networks 2</t>
  </si>
  <si>
    <t>Anomaly Detection</t>
  </si>
  <si>
    <t>Dynamics and Temporal</t>
  </si>
  <si>
    <t>Graph Foundation Models 2</t>
  </si>
  <si>
    <t>Graphs - Miscellanea</t>
  </si>
  <si>
    <t>Bias Detection, Auditing, and Monitoring</t>
  </si>
  <si>
    <t>Privacy, Consent, and User Control</t>
  </si>
  <si>
    <t>Mitigating Online Harms and Misinformation</t>
  </si>
  <si>
    <t>Poster</t>
  </si>
  <si>
    <t>Zero-Shot &amp; Graph RAG</t>
  </si>
  <si>
    <t>Agents &amp; Reasoning</t>
  </si>
  <si>
    <t>Question Answering &amp; Knowledge Graphs</t>
  </si>
  <si>
    <t>Efficient &amp; Multimodal Retrieval</t>
  </si>
  <si>
    <t>Long-Context &amp; Document Understanding</t>
  </si>
  <si>
    <t>Adaptive &amp; Dynamic Retrieval</t>
  </si>
  <si>
    <t>Multimodal Semantic Understanding</t>
  </si>
  <si>
    <t>Semantic Representation Learning</t>
  </si>
  <si>
    <t>Logical Reasoning &amp; Graph Understanding</t>
  </si>
  <si>
    <t>Knowledge Editing &amp; Maintenance</t>
  </si>
  <si>
    <t>Continual &amp; Dynamic Knowledge</t>
  </si>
  <si>
    <t>Knowledge Integration &amp; Transfer</t>
  </si>
  <si>
    <t>Multimodal Knowledge Graphs</t>
  </si>
  <si>
    <t>Temporal Reasoning &amp; Planning</t>
  </si>
  <si>
    <t>Security and Network Intrusion</t>
  </si>
  <si>
    <t>Privacy Awareness</t>
  </si>
  <si>
    <t>Fingerprinting</t>
  </si>
  <si>
    <t>Security &amp; Privacy for Federated Systems</t>
  </si>
  <si>
    <t>Security &amp; Privacy for LLM I</t>
  </si>
  <si>
    <t>Security &amp; Privacy for LLM II</t>
  </si>
  <si>
    <t>Web Platform and Device Vulnerability</t>
  </si>
  <si>
    <t>Attacks and Intrusion</t>
  </si>
  <si>
    <t>Opinion Dynamics and Misinformation</t>
  </si>
  <si>
    <t>Information Diffusion and Influence</t>
  </si>
  <si>
    <t>Trust, Safety, and Content Moderation</t>
  </si>
  <si>
    <t>Social Events and User-Centric Analysis</t>
  </si>
  <si>
    <t>Client-Adaptive Federated Learning</t>
  </si>
  <si>
    <t>Efficient and Privacy-Aware Federated Learning</t>
  </si>
  <si>
    <t>Cloud–Edge AI Systems</t>
  </si>
  <si>
    <t>AI Systems for Time Series and Vision</t>
  </si>
  <si>
    <t>Real-Time Web and Mobile Systems</t>
  </si>
  <si>
    <t>Smart Urban and IoT Systems</t>
  </si>
  <si>
    <t>including Yicheng Di - pending exclusion</t>
  </si>
  <si>
    <t>Multi-Behavior User Modeling</t>
  </si>
  <si>
    <t>Cross-Domain Recommendation</t>
  </si>
  <si>
    <t>Graph-Based Collaborative Filtering</t>
  </si>
  <si>
    <t>Advanced Sequential Recommendation</t>
  </si>
  <si>
    <t>Long-Term Preferences &amp; Continual Personalization</t>
  </si>
  <si>
    <t>Generative &amp; Collaborative Alignment</t>
  </si>
  <si>
    <t>Causal &amp; Counterfactual Recommendation</t>
  </si>
  <si>
    <t>Intent Modeling &amp; CTR Prediction</t>
  </si>
  <si>
    <t>Multimodal Recommendation Methods</t>
  </si>
  <si>
    <t>LLM-Based Reasoning and Agents for Recommender Systems</t>
  </si>
  <si>
    <t>Sequence and Temporal Pattern Mining</t>
  </si>
  <si>
    <t>Multimodal Web Content Representation and Understanding</t>
  </si>
  <si>
    <t>Misinformation, Content Authenticity, and Social Mining</t>
  </si>
  <si>
    <t>Robustness, Anomaly Detection, and Web Data Quality</t>
  </si>
  <si>
    <t>Learning, Representation, and Model Augmentation for Web Data</t>
  </si>
  <si>
    <t>Web Traffic, Logs, and Agent-Based Analytics</t>
  </si>
  <si>
    <t>BPC</t>
  </si>
  <si>
    <t>Best Paper Candidates</t>
  </si>
  <si>
    <t>Financial Intelligence &amp; Market Simulation</t>
  </si>
  <si>
    <t>Core Recommendation &amp; CTR Optimization</t>
  </si>
  <si>
    <t>LLM Efficiency, Reasoning &amp; System Logs</t>
  </si>
  <si>
    <t>Logistics, Travel &amp; Geospatial Services</t>
  </si>
  <si>
    <t>E-Commerce Search &amp; Semantic Relevance</t>
  </si>
  <si>
    <t>Content Platforms, Video &amp; Moderation</t>
  </si>
  <si>
    <t>Automation, Security &amp; Knowledge Management</t>
  </si>
  <si>
    <t>IndustryPoster</t>
  </si>
  <si>
    <t>Trustworthy, Fair &amp; Safe Web AI</t>
  </si>
  <si>
    <t>AI for Social Good: Health &amp; Vulnerable Populations</t>
  </si>
  <si>
    <t>Sustainable &amp; Energy-Efficient Web/AI Systems</t>
  </si>
  <si>
    <t>Intelligent Web Systems &amp; Societal Dynamics</t>
  </si>
  <si>
    <t>Web4GoodPoster</t>
  </si>
  <si>
    <t>ShortPapers</t>
  </si>
  <si>
    <t>papers</t>
  </si>
  <si>
    <t>oral without tweb</t>
  </si>
  <si>
    <t>posters</t>
  </si>
  <si>
    <t>oral tweb</t>
  </si>
  <si>
    <t>Main Research</t>
  </si>
  <si>
    <t>Industry</t>
  </si>
  <si>
    <t>Web4Good</t>
  </si>
  <si>
    <t>Total</t>
  </si>
  <si>
    <t>Main research posters by track</t>
  </si>
  <si>
    <t>Economics, Online Markets, and Human Computation</t>
  </si>
  <si>
    <t>EconPoster1</t>
  </si>
  <si>
    <t>Poster Session 1</t>
  </si>
  <si>
    <t>Poster Session 2</t>
  </si>
  <si>
    <t>EconPoster3</t>
  </si>
  <si>
    <t>Poster Session 3</t>
  </si>
  <si>
    <t>Graph Algorithms and Learning for the Web</t>
  </si>
  <si>
    <t>GraphPoster1</t>
  </si>
  <si>
    <t>GraphPoster3</t>
  </si>
  <si>
    <t>GraphPoster4</t>
  </si>
  <si>
    <t>Poster Session 4</t>
  </si>
  <si>
    <t>Poster Session 5</t>
  </si>
  <si>
    <t>Responsible Web</t>
  </si>
  <si>
    <t>RespWebPoster4</t>
  </si>
  <si>
    <t>Search</t>
  </si>
  <si>
    <t>SearchPoster1</t>
  </si>
  <si>
    <t>SearchPoster3</t>
  </si>
  <si>
    <t>SearchPoster4</t>
  </si>
  <si>
    <t>Semantics and Knowledge</t>
  </si>
  <si>
    <t>SemanticsPoster1</t>
  </si>
  <si>
    <t>SemanticsPoster3</t>
  </si>
  <si>
    <t>SemanticsPoster4</t>
  </si>
  <si>
    <t>Security</t>
  </si>
  <si>
    <t>SecurityPoster1</t>
  </si>
  <si>
    <t>SecurityPoster3</t>
  </si>
  <si>
    <t>SecurityPoster4</t>
  </si>
  <si>
    <t>Social Networks, Social Media, and Society</t>
  </si>
  <si>
    <t>SocialPoster1</t>
  </si>
  <si>
    <t>SocialPoster3</t>
  </si>
  <si>
    <t>SocialPoster4</t>
  </si>
  <si>
    <t>Systems and Infrastructure for Web, Mobile, and WoT</t>
  </si>
  <si>
    <t>SystemsPoster1</t>
  </si>
  <si>
    <t>SystemsPoster3</t>
  </si>
  <si>
    <t>SystemsPoster4</t>
  </si>
  <si>
    <t>User Modeling and Recommendation</t>
  </si>
  <si>
    <t>RecSysPoster1</t>
  </si>
  <si>
    <t>RecSysPoster3</t>
  </si>
  <si>
    <t>RecSysPoster4</t>
  </si>
  <si>
    <t>Web Mining and Content Analysis</t>
  </si>
  <si>
    <t>MiningPoster1</t>
  </si>
  <si>
    <t>MiningPoster3</t>
  </si>
  <si>
    <t>MiningPoster4</t>
  </si>
  <si>
    <t>IndustryPoster1</t>
  </si>
  <si>
    <t>IndustryPoster3</t>
  </si>
  <si>
    <t>IndustryPoster4</t>
  </si>
  <si>
    <t>Web4GoodPoster1</t>
  </si>
  <si>
    <t>Web4GoodPoster3</t>
  </si>
  <si>
    <t>Web4GoodPoster4</t>
  </si>
  <si>
    <t>Poster count per session</t>
  </si>
  <si>
    <t>Main research</t>
  </si>
  <si>
    <t>Research Track</t>
  </si>
  <si>
    <t>Paper Title</t>
  </si>
  <si>
    <t>id</t>
  </si>
  <si>
    <t>Title and authors</t>
  </si>
  <si>
    <t>Authors</t>
  </si>
  <si>
    <t>Poster count</t>
  </si>
  <si>
    <t>rfp0110</t>
  </si>
  <si>
    <t>rfp1286</t>
  </si>
  <si>
    <t>rfp1311</t>
  </si>
  <si>
    <t>rfp2666</t>
  </si>
  <si>
    <t>rfp3609</t>
  </si>
  <si>
    <t>rfp0366</t>
  </si>
  <si>
    <t>rfp0507</t>
  </si>
  <si>
    <t>rfp0939</t>
  </si>
  <si>
    <t>rfp1107</t>
  </si>
  <si>
    <t>rfp1558</t>
  </si>
  <si>
    <t>rfp1225</t>
  </si>
  <si>
    <t>rfp1495</t>
  </si>
  <si>
    <t>rfp2292</t>
  </si>
  <si>
    <t>rfp2506</t>
  </si>
  <si>
    <t>rfp2518</t>
  </si>
  <si>
    <t>rfp0434</t>
  </si>
  <si>
    <t>rfp0730</t>
  </si>
  <si>
    <t>rfp0822</t>
  </si>
  <si>
    <t>rfp1229</t>
  </si>
  <si>
    <t>rfp1455</t>
  </si>
  <si>
    <t>rfp1474</t>
  </si>
  <si>
    <t>rfp1698</t>
  </si>
  <si>
    <t>rfp1825</t>
  </si>
  <si>
    <t>rfp1841</t>
  </si>
  <si>
    <t>rfp1865</t>
  </si>
  <si>
    <t>rfp2135</t>
  </si>
  <si>
    <t>rfp2508</t>
  </si>
  <si>
    <t>rfp2539</t>
  </si>
  <si>
    <t>rfp2547</t>
  </si>
  <si>
    <t>rfp2834</t>
  </si>
  <si>
    <t>rfp3242</t>
  </si>
  <si>
    <t>rfp3267</t>
  </si>
  <si>
    <t>rfp3426</t>
  </si>
  <si>
    <t>rfp3786</t>
  </si>
  <si>
    <t>rfp3842</t>
  </si>
  <si>
    <t>rfp4490</t>
  </si>
  <si>
    <t>rfp0207</t>
  </si>
  <si>
    <t>rfp0364</t>
  </si>
  <si>
    <t>rfp0571</t>
  </si>
  <si>
    <t>rfp1142</t>
  </si>
  <si>
    <t>rfp3241</t>
  </si>
  <si>
    <t>rfp0413</t>
  </si>
  <si>
    <t>rfp0608</t>
  </si>
  <si>
    <t>rfp0697</t>
  </si>
  <si>
    <t>rfp0905</t>
  </si>
  <si>
    <t>rfp2623</t>
  </si>
  <si>
    <t>rfp2055</t>
  </si>
  <si>
    <t>rfp2504</t>
  </si>
  <si>
    <t>rfp2705</t>
  </si>
  <si>
    <t>rfp2729</t>
  </si>
  <si>
    <t>rfp2810</t>
  </si>
  <si>
    <t>rfp2225</t>
  </si>
  <si>
    <t>rfp2351</t>
  </si>
  <si>
    <t>rfp2631</t>
  </si>
  <si>
    <t>rfp2820</t>
  </si>
  <si>
    <t>rfp3974</t>
  </si>
  <si>
    <t>COI (submissions co-authored by SAC)</t>
  </si>
  <si>
    <t>rfp1919</t>
  </si>
  <si>
    <t>rfp2752</t>
  </si>
  <si>
    <t>rfp2850</t>
  </si>
  <si>
    <t>rfp3231</t>
  </si>
  <si>
    <t>rfp4140</t>
  </si>
  <si>
    <t>rfp2111</t>
  </si>
  <si>
    <t>rfp2202</t>
  </si>
  <si>
    <t>rfp2555</t>
  </si>
  <si>
    <t>rfp2911</t>
  </si>
  <si>
    <t>rfp3049</t>
  </si>
  <si>
    <t>rfp0109</t>
  </si>
  <si>
    <t>rfp0734</t>
  </si>
  <si>
    <t>rfp1737</t>
  </si>
  <si>
    <t>rfp2152</t>
  </si>
  <si>
    <t>rfp2927</t>
  </si>
  <si>
    <t>rfp1006</t>
  </si>
  <si>
    <t>rfp1264</t>
  </si>
  <si>
    <t>rfp1342</t>
  </si>
  <si>
    <t>rfp1666</t>
  </si>
  <si>
    <t>rfp1831</t>
  </si>
  <si>
    <t>rfp0199</t>
  </si>
  <si>
    <t>rfp0318</t>
  </si>
  <si>
    <t>rfp0362</t>
  </si>
  <si>
    <t>rfp1538</t>
  </si>
  <si>
    <t>rfp4298</t>
  </si>
  <si>
    <t>rfp0068</t>
  </si>
  <si>
    <t>rfp0383</t>
  </si>
  <si>
    <t>rfp0432</t>
  </si>
  <si>
    <t>rfp0498</t>
  </si>
  <si>
    <t>rfp3687</t>
  </si>
  <si>
    <t>rfp0027</t>
  </si>
  <si>
    <t>rfp0161</t>
  </si>
  <si>
    <t>rfp0296</t>
  </si>
  <si>
    <t>rfp0382</t>
  </si>
  <si>
    <t>rfp0389</t>
  </si>
  <si>
    <t>rfp0409</t>
  </si>
  <si>
    <t>rfp0446</t>
  </si>
  <si>
    <t>rfp0647</t>
  </si>
  <si>
    <t>rfp0664</t>
  </si>
  <si>
    <t>rfp0698</t>
  </si>
  <si>
    <t>rfp0797</t>
  </si>
  <si>
    <t>rfp0832</t>
  </si>
  <si>
    <t>rfp0851</t>
  </si>
  <si>
    <t>rfp0950</t>
  </si>
  <si>
    <t>rfp0968</t>
  </si>
  <si>
    <t>rfp1058</t>
  </si>
  <si>
    <t>rfp1097</t>
  </si>
  <si>
    <t>rfp1182</t>
  </si>
  <si>
    <t>rfp1187</t>
  </si>
  <si>
    <t>rfp1255</t>
  </si>
  <si>
    <t>rfp1287</t>
  </si>
  <si>
    <t>rfp1354</t>
  </si>
  <si>
    <t>rfp1493</t>
  </si>
  <si>
    <t>rfp1571</t>
  </si>
  <si>
    <t>rfp1574</t>
  </si>
  <si>
    <t>rfp1628</t>
  </si>
  <si>
    <t>rfp1672</t>
  </si>
  <si>
    <t>rfp1689</t>
  </si>
  <si>
    <t>rfp1806</t>
  </si>
  <si>
    <t>rfp2180</t>
  </si>
  <si>
    <t>rfp2273</t>
  </si>
  <si>
    <t>rfp2341</t>
  </si>
  <si>
    <t>rfp2349</t>
  </si>
  <si>
    <t>rfp2417</t>
  </si>
  <si>
    <t>rfp2418</t>
  </si>
  <si>
    <t>rfp2805</t>
  </si>
  <si>
    <t>rfp2848</t>
  </si>
  <si>
    <t>rfp2931</t>
  </si>
  <si>
    <t>rfp2966</t>
  </si>
  <si>
    <t>rfp2975</t>
  </si>
  <si>
    <t>rfp3024</t>
  </si>
  <si>
    <t>rfp3251</t>
  </si>
  <si>
    <t>rfp3479</t>
  </si>
  <si>
    <t>rfp3499</t>
  </si>
  <si>
    <t>rfp3680</t>
  </si>
  <si>
    <t>rfp3807</t>
  </si>
  <si>
    <t>rfp4136</t>
  </si>
  <si>
    <t>rfp4167</t>
  </si>
  <si>
    <t>rfp4209</t>
  </si>
  <si>
    <t>rfp1518</t>
  </si>
  <si>
    <t>rfp3213</t>
  </si>
  <si>
    <t>rfp3763</t>
  </si>
  <si>
    <t>rfp4131</t>
  </si>
  <si>
    <t>tweb3</t>
  </si>
  <si>
    <t>rfp0808</t>
  </si>
  <si>
    <t>rfp2102</t>
  </si>
  <si>
    <t>rfp3220</t>
  </si>
  <si>
    <t>rfp3519</t>
  </si>
  <si>
    <t>rfp3736</t>
  </si>
  <si>
    <t>rfp1310</t>
  </si>
  <si>
    <t>rfp2085</t>
  </si>
  <si>
    <t>rfp2517</t>
  </si>
  <si>
    <t>rfp2732</t>
  </si>
  <si>
    <t>rfp3421</t>
  </si>
  <si>
    <t>rfp0672</t>
  </si>
  <si>
    <t>rfp1304</t>
  </si>
  <si>
    <t>rfp1423</t>
  </si>
  <si>
    <t>rfp2540</t>
  </si>
  <si>
    <t>rfp3145</t>
  </si>
  <si>
    <t>rfp3275</t>
  </si>
  <si>
    <t>rfp3335</t>
  </si>
  <si>
    <t>rfp3362</t>
  </si>
  <si>
    <t>rfp3417</t>
  </si>
  <si>
    <t>rfp3561</t>
  </si>
  <si>
    <t>rfp3734</t>
  </si>
  <si>
    <t>rfp3748</t>
  </si>
  <si>
    <t>rfp4081</t>
  </si>
  <si>
    <t>rfp0587</t>
  </si>
  <si>
    <t>rfp1663</t>
  </si>
  <si>
    <t>rfp1790</t>
  </si>
  <si>
    <t>rfp2187</t>
  </si>
  <si>
    <t>rfp4146</t>
  </si>
  <si>
    <t>rfp1148</t>
  </si>
  <si>
    <t>rfp1459</t>
  </si>
  <si>
    <t>rfp2217</t>
  </si>
  <si>
    <t>rfp2385</t>
  </si>
  <si>
    <t>rfp3899</t>
  </si>
  <si>
    <t>rfp2781</t>
  </si>
  <si>
    <t>rfp2973</t>
  </si>
  <si>
    <t>rfp3649</t>
  </si>
  <si>
    <t>rfp3988</t>
  </si>
  <si>
    <t>rfp4372</t>
  </si>
  <si>
    <t>rfp0312</t>
  </si>
  <si>
    <t>rfp0788</t>
  </si>
  <si>
    <t>rfp1120</t>
  </si>
  <si>
    <t>rfp3538</t>
  </si>
  <si>
    <t>rfp3690</t>
  </si>
  <si>
    <t>rfp0291</t>
  </si>
  <si>
    <t>rfp0791</t>
  </si>
  <si>
    <t>rfp0960</t>
  </si>
  <si>
    <t>rfp2863</t>
  </si>
  <si>
    <t>rfp3297</t>
  </si>
  <si>
    <t>rfp1370</t>
  </si>
  <si>
    <t>rfp2004</t>
  </si>
  <si>
    <t>rfp2692</t>
  </si>
  <si>
    <t>rfp2899</t>
  </si>
  <si>
    <t>rfp4011</t>
  </si>
  <si>
    <t>rfp0046</t>
  </si>
  <si>
    <t>rfp0061</t>
  </si>
  <si>
    <t>rfp0072</t>
  </si>
  <si>
    <t>rfp0147</t>
  </si>
  <si>
    <t>rfp0210</t>
  </si>
  <si>
    <t>rfp0535</t>
  </si>
  <si>
    <t>rfp0643</t>
  </si>
  <si>
    <t>rfp0667</t>
  </si>
  <si>
    <t>rfp0776</t>
  </si>
  <si>
    <t>rfp0973</t>
  </si>
  <si>
    <t>rfp1138</t>
  </si>
  <si>
    <t>rfp1316</t>
  </si>
  <si>
    <t>rfp1318</t>
  </si>
  <si>
    <t>rfp1353</t>
  </si>
  <si>
    <t>rfp1390</t>
  </si>
  <si>
    <t>rfp1547</t>
  </si>
  <si>
    <t>rfp1960</t>
  </si>
  <si>
    <t>rfp2878</t>
  </si>
  <si>
    <t>rfp2935</t>
  </si>
  <si>
    <t>rfp2959</t>
  </si>
  <si>
    <t>rfp3139</t>
  </si>
  <si>
    <t>rfp3285</t>
  </si>
  <si>
    <t>rfp3293</t>
  </si>
  <si>
    <t>rfp3465</t>
  </si>
  <si>
    <t>rfp4094</t>
  </si>
  <si>
    <t>rfp4129</t>
  </si>
  <si>
    <t>rfp4281</t>
  </si>
  <si>
    <t>rfp4321</t>
  </si>
  <si>
    <t>rfp4333</t>
  </si>
  <si>
    <t>rfp4486</t>
  </si>
  <si>
    <t>rfp0153</t>
  </si>
  <si>
    <t>rfp1818</t>
  </si>
  <si>
    <t>rfp1843</t>
  </si>
  <si>
    <t>rfp1957</t>
  </si>
  <si>
    <t>rfp4268</t>
  </si>
  <si>
    <t>rfp2246</t>
  </si>
  <si>
    <t>rfp2533</t>
  </si>
  <si>
    <t>rfp3671</t>
  </si>
  <si>
    <t>rfp3795</t>
  </si>
  <si>
    <t>rfp4128</t>
  </si>
  <si>
    <t>rfp0524</t>
  </si>
  <si>
    <t>rfp0685</t>
  </si>
  <si>
    <t>rfp0991</t>
  </si>
  <si>
    <t>rfp1524</t>
  </si>
  <si>
    <t>rfp1994</t>
  </si>
  <si>
    <t>rfp1751</t>
  </si>
  <si>
    <t>rfp2161</t>
  </si>
  <si>
    <t>rfp2324</t>
  </si>
  <si>
    <t>rfp2908</t>
  </si>
  <si>
    <t>rfp4039</t>
  </si>
  <si>
    <t>rfp1508</t>
  </si>
  <si>
    <t>rfp1977</t>
  </si>
  <si>
    <t>rfp2018</t>
  </si>
  <si>
    <t>rfp2311</t>
  </si>
  <si>
    <t>rfp4002</t>
  </si>
  <si>
    <t>rfp0376</t>
  </si>
  <si>
    <t>rfp1151</t>
  </si>
  <si>
    <t>rfp1188</t>
  </si>
  <si>
    <t>rfp3003</t>
  </si>
  <si>
    <t>rfp3788</t>
  </si>
  <si>
    <t>rfp0955</t>
  </si>
  <si>
    <t>rfp1145</t>
  </si>
  <si>
    <t>rfp2337</t>
  </si>
  <si>
    <t>rfp2548</t>
  </si>
  <si>
    <t>rfp3315</t>
  </si>
  <si>
    <t>rfp0711</t>
  </si>
  <si>
    <t>rfp0857</t>
  </si>
  <si>
    <t>rfp3199</t>
  </si>
  <si>
    <t>rfp3367</t>
  </si>
  <si>
    <t>rfp4567</t>
  </si>
  <si>
    <t>rfp0134</t>
  </si>
  <si>
    <t>rfp0188</t>
  </si>
  <si>
    <t>rfp0564</t>
  </si>
  <si>
    <t>rfp0632</t>
  </si>
  <si>
    <t>rfp0726</t>
  </si>
  <si>
    <t>rfp1144</t>
  </si>
  <si>
    <t>rfp1157</t>
  </si>
  <si>
    <t>rfp1246</t>
  </si>
  <si>
    <t>rfp1329</t>
  </si>
  <si>
    <t>rfp1398</t>
  </si>
  <si>
    <t>rfp1402</t>
  </si>
  <si>
    <t>rfp1651</t>
  </si>
  <si>
    <t>rfp1656</t>
  </si>
  <si>
    <t>rfp1779</t>
  </si>
  <si>
    <t>rfp1811</t>
  </si>
  <si>
    <t>rfp1899</t>
  </si>
  <si>
    <t>rfp1900</t>
  </si>
  <si>
    <t>rfp2100</t>
  </si>
  <si>
    <t>rfp2275</t>
  </si>
  <si>
    <t>rfp2287</t>
  </si>
  <si>
    <t>rfp2375</t>
  </si>
  <si>
    <t>rfp2632</t>
  </si>
  <si>
    <t>rfp2703</t>
  </si>
  <si>
    <t>rfp2724</t>
  </si>
  <si>
    <t>rfp2893</t>
  </si>
  <si>
    <t>rfp2914</t>
  </si>
  <si>
    <t>rfp2915</t>
  </si>
  <si>
    <t>rfp3005</t>
  </si>
  <si>
    <t>rfp3136</t>
  </si>
  <si>
    <t>rfp3141</t>
  </si>
  <si>
    <t>rfp3329</t>
  </si>
  <si>
    <t>rfp3389</t>
  </si>
  <si>
    <t>rfp3526</t>
  </si>
  <si>
    <t>rfp3728</t>
  </si>
  <si>
    <t>rfp3839</t>
  </si>
  <si>
    <t>rfp3851</t>
  </si>
  <si>
    <t>rfp3901</t>
  </si>
  <si>
    <t>rfp4030</t>
  </si>
  <si>
    <t>rfp4054</t>
  </si>
  <si>
    <t>rfp4371</t>
  </si>
  <si>
    <t>rfp4498</t>
  </si>
  <si>
    <t>rfp1124</t>
  </si>
  <si>
    <t>rfp1906</t>
  </si>
  <si>
    <t>rfp2061</t>
  </si>
  <si>
    <t>rfp3064</t>
  </si>
  <si>
    <t>rfp3320</t>
  </si>
  <si>
    <t>rfp1095</t>
  </si>
  <si>
    <t>rfp1965</t>
  </si>
  <si>
    <t>rfp2840</t>
  </si>
  <si>
    <t>rfp3717</t>
  </si>
  <si>
    <t>rfp4426</t>
  </si>
  <si>
    <t>rfp0907</t>
  </si>
  <si>
    <t>rfp2082</t>
  </si>
  <si>
    <t>rfp2092</t>
  </si>
  <si>
    <t>rfp3257</t>
  </si>
  <si>
    <t>rfp3911</t>
  </si>
  <si>
    <t>rfp0405</t>
  </si>
  <si>
    <t>rfp0806</t>
  </si>
  <si>
    <t>rfp1172</t>
  </si>
  <si>
    <t>rfp1736</t>
  </si>
  <si>
    <t>rfp3328</t>
  </si>
  <si>
    <t>rfp1271</t>
  </si>
  <si>
    <t>rfp1913</t>
  </si>
  <si>
    <t>rfp2624</t>
  </si>
  <si>
    <t>rfp3237</t>
  </si>
  <si>
    <t>rfp4197</t>
  </si>
  <si>
    <t>rfp0819</t>
  </si>
  <si>
    <t>rfp0923</t>
  </si>
  <si>
    <t>rfp1683</t>
  </si>
  <si>
    <t>rfp3504</t>
  </si>
  <si>
    <t>rfp3783</t>
  </si>
  <si>
    <t>rfp1429</t>
  </si>
  <si>
    <t>rfp1669</t>
  </si>
  <si>
    <t>rfp2197</t>
  </si>
  <si>
    <t>rfp2261</t>
  </si>
  <si>
    <t>rfp3050</t>
  </si>
  <si>
    <t>rfp0280</t>
  </si>
  <si>
    <t>rfp0946</t>
  </si>
  <si>
    <t>rfp2253</t>
  </si>
  <si>
    <t>rfp2788</t>
  </si>
  <si>
    <t>rfp3759</t>
  </si>
  <si>
    <t>rfp0334</t>
  </si>
  <si>
    <t>rfp0379</t>
  </si>
  <si>
    <t>rfp0625</t>
  </si>
  <si>
    <t>rfp0642</t>
  </si>
  <si>
    <t>rfp0848</t>
  </si>
  <si>
    <t>rfp0921</t>
  </si>
  <si>
    <t>rfp0936</t>
  </si>
  <si>
    <t>rfp0971</t>
  </si>
  <si>
    <t>rfp1065</t>
  </si>
  <si>
    <t>rfp1108</t>
  </si>
  <si>
    <t>rfp1213</t>
  </si>
  <si>
    <t>rfp1350</t>
  </si>
  <si>
    <t>rfp1373</t>
  </si>
  <si>
    <t>rfp1528</t>
  </si>
  <si>
    <t>rfp1541</t>
  </si>
  <si>
    <t>rfp1563</t>
  </si>
  <si>
    <t>rfp1661</t>
  </si>
  <si>
    <t>rfp1704</t>
  </si>
  <si>
    <t>rfp1898</t>
  </si>
  <si>
    <t>rfp2026</t>
  </si>
  <si>
    <t>rfp2037</t>
  </si>
  <si>
    <t>rfp2060</t>
  </si>
  <si>
    <t>rfp2081</t>
  </si>
  <si>
    <t>rfp2143</t>
  </si>
  <si>
    <t>rfp2147</t>
  </si>
  <si>
    <t>rfp2265</t>
  </si>
  <si>
    <t>rfp2358</t>
  </si>
  <si>
    <t>rfp2360</t>
  </si>
  <si>
    <t>rfp2405</t>
  </si>
  <si>
    <t>rfp2429</t>
  </si>
  <si>
    <t>rfp2489</t>
  </si>
  <si>
    <t>rfp2521</t>
  </si>
  <si>
    <t>rfp2726</t>
  </si>
  <si>
    <t>rfp2749</t>
  </si>
  <si>
    <t>rfp2818</t>
  </si>
  <si>
    <t>rfp2949</t>
  </si>
  <si>
    <t>rfp2956</t>
  </si>
  <si>
    <t>rfp2992</t>
  </si>
  <si>
    <t>rfp3045</t>
  </si>
  <si>
    <t>rfp3386</t>
  </si>
  <si>
    <t>rfp3425</t>
  </si>
  <si>
    <t>rfp3447</t>
  </si>
  <si>
    <t>rfp3464</t>
  </si>
  <si>
    <t>rfp3599</t>
  </si>
  <si>
    <t>rfp3755</t>
  </si>
  <si>
    <t>rfp4227</t>
  </si>
  <si>
    <t>rfp4474</t>
  </si>
  <si>
    <t>rfp4558</t>
  </si>
  <si>
    <t>rfp1466</t>
  </si>
  <si>
    <t>rfp3028</t>
  </si>
  <si>
    <t>rfp3715</t>
  </si>
  <si>
    <t>rfp3862</t>
  </si>
  <si>
    <t>rfp4070</t>
  </si>
  <si>
    <t>rfp0126</t>
  </si>
  <si>
    <t>rfp1085</t>
  </si>
  <si>
    <t>rfp3570</t>
  </si>
  <si>
    <t>rfp3643</t>
  </si>
  <si>
    <t>rfp4499</t>
  </si>
  <si>
    <t>rfp0347</t>
  </si>
  <si>
    <t>rfp2045</t>
  </si>
  <si>
    <t>rfp2581</t>
  </si>
  <si>
    <t>rfp2962</t>
  </si>
  <si>
    <t>rfp4260</t>
  </si>
  <si>
    <t>rfp0570</t>
  </si>
  <si>
    <t>rfp1133</t>
  </si>
  <si>
    <t>rfp1982</t>
  </si>
  <si>
    <t>rfp2437</t>
  </si>
  <si>
    <t>rfp3266</t>
  </si>
  <si>
    <t>rfp0282</t>
  </si>
  <si>
    <t>rfp0310</t>
  </si>
  <si>
    <t>rfp0381</t>
  </si>
  <si>
    <t>rfp0729</t>
  </si>
  <si>
    <t>rfp0747</t>
  </si>
  <si>
    <t>rfp0920</t>
  </si>
  <si>
    <t>rfp1127</t>
  </si>
  <si>
    <t>rfp1934</t>
  </si>
  <si>
    <t>rfp2049</t>
  </si>
  <si>
    <t>rfp2136</t>
  </si>
  <si>
    <t>rfp2272</t>
  </si>
  <si>
    <t>rfp2316</t>
  </si>
  <si>
    <t>rfp2584</t>
  </si>
  <si>
    <t>rfp2642</t>
  </si>
  <si>
    <t>rfp2669</t>
  </si>
  <si>
    <t>rfp2723</t>
  </si>
  <si>
    <t>rfp3159</t>
  </si>
  <si>
    <t>rfp3193</t>
  </si>
  <si>
    <t>rfp3590</t>
  </si>
  <si>
    <t>rfp3714</t>
  </si>
  <si>
    <t>rfp4425</t>
  </si>
  <si>
    <t>rfp4488</t>
  </si>
  <si>
    <t>rfp0137</t>
  </si>
  <si>
    <t>rfp1410</t>
  </si>
  <si>
    <t>rfp1556</t>
  </si>
  <si>
    <t>rfp3384</t>
  </si>
  <si>
    <t>rfp3405</t>
  </si>
  <si>
    <t>rfp0595</t>
  </si>
  <si>
    <t>rfp0613</t>
  </si>
  <si>
    <t>rfp1247</t>
  </si>
  <si>
    <t>rfp1610</t>
  </si>
  <si>
    <t>rfp1937</t>
  </si>
  <si>
    <t>rfp1502</t>
  </si>
  <si>
    <t>rfp1912</t>
  </si>
  <si>
    <t>rfp1985</t>
  </si>
  <si>
    <t>rfp2587</t>
  </si>
  <si>
    <t>rfp3866</t>
  </si>
  <si>
    <t>rfp0042</t>
  </si>
  <si>
    <t>rfp0368</t>
  </si>
  <si>
    <t>rfp0739</t>
  </si>
  <si>
    <t>rfp1131</t>
  </si>
  <si>
    <t>rfp3531</t>
  </si>
  <si>
    <t>rfp1111</t>
  </si>
  <si>
    <t>rfp1250</t>
  </si>
  <si>
    <t>rfp2924</t>
  </si>
  <si>
    <t>rfp3091</t>
  </si>
  <si>
    <t>rfp3981</t>
  </si>
  <si>
    <t>rfp0263</t>
  </si>
  <si>
    <t>rfp0521</t>
  </si>
  <si>
    <t>rfp1707</t>
  </si>
  <si>
    <t>rfp2064</t>
  </si>
  <si>
    <t>rfp2391</t>
  </si>
  <si>
    <t>rfp0028</t>
  </si>
  <si>
    <t>rfp0491</t>
  </si>
  <si>
    <t>rfp0500</t>
  </si>
  <si>
    <t>rfp0513</t>
  </si>
  <si>
    <t>rfp0542</t>
  </si>
  <si>
    <t>rfp0561</t>
  </si>
  <si>
    <t>rfp0589</t>
  </si>
  <si>
    <t>rfp0628</t>
  </si>
  <si>
    <t>rfp0705</t>
  </si>
  <si>
    <t>rfp0893</t>
  </si>
  <si>
    <t>rfp1024</t>
  </si>
  <si>
    <t>rfp1199</t>
  </si>
  <si>
    <t>rfp1220</t>
  </si>
  <si>
    <t>rfp1339</t>
  </si>
  <si>
    <t>rfp1539</t>
  </si>
  <si>
    <t>rfp1562</t>
  </si>
  <si>
    <t>rfp1622</t>
  </si>
  <si>
    <t>rfp1631</t>
  </si>
  <si>
    <t>rfp1659</t>
  </si>
  <si>
    <t>rfp1675</t>
  </si>
  <si>
    <t>rfp1700</t>
  </si>
  <si>
    <t>rfp1813</t>
  </si>
  <si>
    <t>rfp1861</t>
  </si>
  <si>
    <t>rfp2104</t>
  </si>
  <si>
    <t>rfp2120</t>
  </si>
  <si>
    <t>rfp2308</t>
  </si>
  <si>
    <t>rfp2443</t>
  </si>
  <si>
    <t>rfp2577</t>
  </si>
  <si>
    <t>rfp2601</t>
  </si>
  <si>
    <t>rfp2880</t>
  </si>
  <si>
    <t>rfp2901</t>
  </si>
  <si>
    <t>rfp3034</t>
  </si>
  <si>
    <t>rfp3467</t>
  </si>
  <si>
    <t>rfp3520</t>
  </si>
  <si>
    <t>rfp3556</t>
  </si>
  <si>
    <t>rfp3575</t>
  </si>
  <si>
    <t>rfp4535</t>
  </si>
  <si>
    <t>rfp0016</t>
  </si>
  <si>
    <t>rfp0450</t>
  </si>
  <si>
    <t>rfp0512</t>
  </si>
  <si>
    <t>rfp0833</t>
  </si>
  <si>
    <t>rfp3398</t>
  </si>
  <si>
    <t>rfp0606</t>
  </si>
  <si>
    <t>rfp1018</t>
  </si>
  <si>
    <t>rfp1234</t>
  </si>
  <si>
    <t>rfp1471</t>
  </si>
  <si>
    <t>rfp3346</t>
  </si>
  <si>
    <t>rfp0478</t>
  </si>
  <si>
    <t>rfp1325</t>
  </si>
  <si>
    <t>rfp1812</t>
  </si>
  <si>
    <t>rfp3616</t>
  </si>
  <si>
    <t>rfp4124</t>
  </si>
  <si>
    <t>rfp0111</t>
  </si>
  <si>
    <t>rfp0679</t>
  </si>
  <si>
    <t>rfp1119</t>
  </si>
  <si>
    <t>rfp1401</t>
  </si>
  <si>
    <t>rfp4139</t>
  </si>
  <si>
    <t>rfp0757</t>
  </si>
  <si>
    <t>rfp1636</t>
  </si>
  <si>
    <t>rfp2079</t>
  </si>
  <si>
    <t>rfp2571</t>
  </si>
  <si>
    <t>rfp4239</t>
  </si>
  <si>
    <t>rfp0594</t>
  </si>
  <si>
    <t>rfp3166</t>
  </si>
  <si>
    <t>rfp3456</t>
  </si>
  <si>
    <t>rfp3458</t>
  </si>
  <si>
    <t>rfp4414</t>
  </si>
  <si>
    <t>rfp0208</t>
  </si>
  <si>
    <t>rfp2073</t>
  </si>
  <si>
    <t>rfp3118</t>
  </si>
  <si>
    <t>rfp3235</t>
  </si>
  <si>
    <t>rfp4340</t>
  </si>
  <si>
    <t>rfp0649</t>
  </si>
  <si>
    <t>rfp2124</t>
  </si>
  <si>
    <t>rfp2646</t>
  </si>
  <si>
    <t>rfp3023</t>
  </si>
  <si>
    <t>rfp3326</t>
  </si>
  <si>
    <t>rfp0294</t>
  </si>
  <si>
    <t>rfp1190</t>
  </si>
  <si>
    <t>rfp1942</t>
  </si>
  <si>
    <t>rfp3074</t>
  </si>
  <si>
    <t>rfp3372</t>
  </si>
  <si>
    <t>rfp1174</t>
  </si>
  <si>
    <t>rfp1647</t>
  </si>
  <si>
    <t>rfp1853</t>
  </si>
  <si>
    <t>rfp2419</t>
  </si>
  <si>
    <t>rfp3157</t>
  </si>
  <si>
    <t>rfp0151</t>
  </si>
  <si>
    <t>rfp0505</t>
  </si>
  <si>
    <t>rfp0576</t>
  </si>
  <si>
    <t>rfp0619</t>
  </si>
  <si>
    <t>rfp0637</t>
  </si>
  <si>
    <t>rfp0716</t>
  </si>
  <si>
    <t>rfp0731</t>
  </si>
  <si>
    <t>rfp0804</t>
  </si>
  <si>
    <t>rfp0850</t>
  </si>
  <si>
    <t>rfp0882</t>
  </si>
  <si>
    <t>rfp0941</t>
  </si>
  <si>
    <t>rfp0957</t>
  </si>
  <si>
    <t>rfp0963</t>
  </si>
  <si>
    <t>rfp1012</t>
  </si>
  <si>
    <t>rfp1121</t>
  </si>
  <si>
    <t>rfp1147</t>
  </si>
  <si>
    <t>rfp1150</t>
  </si>
  <si>
    <t>rfp1155</t>
  </si>
  <si>
    <t>rfp1160</t>
  </si>
  <si>
    <t>rfp1179</t>
  </si>
  <si>
    <t>rfp1228</t>
  </si>
  <si>
    <t>rfp1262</t>
  </si>
  <si>
    <t>rfp1317</t>
  </si>
  <si>
    <t>rfp1345</t>
  </si>
  <si>
    <t>rfp1394</t>
  </si>
  <si>
    <t>rfp1404</t>
  </si>
  <si>
    <t>rfp1461</t>
  </si>
  <si>
    <t>rfp1519</t>
  </si>
  <si>
    <t>rfp1586</t>
  </si>
  <si>
    <t>rfp1687</t>
  </si>
  <si>
    <t>rfp1695</t>
  </si>
  <si>
    <t>rfp1746</t>
  </si>
  <si>
    <t>rfp1748</t>
  </si>
  <si>
    <t>rfp1782</t>
  </si>
  <si>
    <t>rfp2130</t>
  </si>
  <si>
    <t>rfp2148</t>
  </si>
  <si>
    <t>rfp2354</t>
  </si>
  <si>
    <t>rfp2407</t>
  </si>
  <si>
    <t>rfp2791</t>
  </si>
  <si>
    <t>rfp2858</t>
  </si>
  <si>
    <t>rfp2955</t>
  </si>
  <si>
    <t>rfp3020</t>
  </si>
  <si>
    <t>rfp3075</t>
  </si>
  <si>
    <t>rfp3149</t>
  </si>
  <si>
    <t>rfp3170</t>
  </si>
  <si>
    <t>rfp3189</t>
  </si>
  <si>
    <t>rfp3258</t>
  </si>
  <si>
    <t>rfp3321</t>
  </si>
  <si>
    <t>rfp3365</t>
  </si>
  <si>
    <t>rfp3396</t>
  </si>
  <si>
    <t>rfp3533</t>
  </si>
  <si>
    <t>rfp3549</t>
  </si>
  <si>
    <t>rfp3583</t>
  </si>
  <si>
    <t>rfp3723</t>
  </si>
  <si>
    <t>rfp3771</t>
  </si>
  <si>
    <t>rfp3846</t>
  </si>
  <si>
    <t>rfp3909</t>
  </si>
  <si>
    <t>rfp3926</t>
  </si>
  <si>
    <t>rfp4245</t>
  </si>
  <si>
    <t>rfp4450</t>
  </si>
  <si>
    <t>rfp1290</t>
  </si>
  <si>
    <t>rfp1980</t>
  </si>
  <si>
    <t>rfp2712</t>
  </si>
  <si>
    <t>rfp3401</t>
  </si>
  <si>
    <t>rfp3729</t>
  </si>
  <si>
    <t>rfp1237</t>
  </si>
  <si>
    <t>rfp2115</t>
  </si>
  <si>
    <t>rfp2630</t>
  </si>
  <si>
    <t>rfp3143</t>
  </si>
  <si>
    <t>rfp3179</t>
  </si>
  <si>
    <t>rfp0713</t>
  </si>
  <si>
    <t>rfp1800</t>
  </si>
  <si>
    <t>rfp3450</t>
  </si>
  <si>
    <t>rfp4295</t>
  </si>
  <si>
    <t>tweb2</t>
  </si>
  <si>
    <t>Canceled</t>
  </si>
  <si>
    <t>rfp0751</t>
  </si>
  <si>
    <t>rfp0901</t>
  </si>
  <si>
    <t>rfp1588</t>
  </si>
  <si>
    <t>rfp1846</t>
  </si>
  <si>
    <t>tweb1</t>
  </si>
  <si>
    <t>rfp2679</t>
  </si>
  <si>
    <t>rfp2700</t>
  </si>
  <si>
    <t>rfp2947</t>
  </si>
  <si>
    <t>rfp3488</t>
  </si>
  <si>
    <t>rfp3893</t>
  </si>
  <si>
    <t>rfp0241</t>
  </si>
  <si>
    <t>rfp0255</t>
  </si>
  <si>
    <t>rfp1009</t>
  </si>
  <si>
    <t>rfp2303</t>
  </si>
  <si>
    <t>rfp4097</t>
  </si>
  <si>
    <t>rfp0017</t>
  </si>
  <si>
    <t>rfp0915</t>
  </si>
  <si>
    <t>rfp1074</t>
  </si>
  <si>
    <t>rfp1166</t>
  </si>
  <si>
    <t>rfp1204</t>
  </si>
  <si>
    <t>rfp1432</t>
  </si>
  <si>
    <t>rfp1447</t>
  </si>
  <si>
    <t>rfp1481</t>
  </si>
  <si>
    <t>rfp1512</t>
  </si>
  <si>
    <t>rfp1553</t>
  </si>
  <si>
    <t>rfp1686</t>
  </si>
  <si>
    <t>rfp1781</t>
  </si>
  <si>
    <t>rfp1845</t>
  </si>
  <si>
    <t>rfp1849</t>
  </si>
  <si>
    <t>rfp2019</t>
  </si>
  <si>
    <t>rfp2163</t>
  </si>
  <si>
    <t>rfp2218</t>
  </si>
  <si>
    <t>rfp2245</t>
  </si>
  <si>
    <t>rfp2263</t>
  </si>
  <si>
    <t>rfp2763</t>
  </si>
  <si>
    <t>rfp2864</t>
  </si>
  <si>
    <t>rfp2946</t>
  </si>
  <si>
    <t>rfp3040</t>
  </si>
  <si>
    <t>rfp3152</t>
  </si>
  <si>
    <t>rfp3186</t>
  </si>
  <si>
    <t>rfp3214</t>
  </si>
  <si>
    <t>rfp3215</t>
  </si>
  <si>
    <t>rfp3358</t>
  </si>
  <si>
    <t>rfp3457</t>
  </si>
  <si>
    <t>rfp3841</t>
  </si>
  <si>
    <t>rfp4073</t>
  </si>
  <si>
    <t>rfp4098</t>
  </si>
  <si>
    <t>rfp4172</t>
  </si>
  <si>
    <t>rfp4319</t>
  </si>
  <si>
    <t>rfp4332</t>
  </si>
  <si>
    <t>rfp4367</t>
  </si>
  <si>
    <t>rfp4373</t>
  </si>
  <si>
    <t>rfp4424</t>
  </si>
  <si>
    <t>Session chair name</t>
  </si>
  <si>
    <t>Session chair email (for PCO)</t>
  </si>
  <si>
    <t>Track</t>
  </si>
  <si>
    <t>Paper title</t>
  </si>
  <si>
    <t>Sheridan id</t>
  </si>
  <si>
    <t>Paper title and authors</t>
  </si>
  <si>
    <t>session</t>
  </si>
  <si>
    <t>FRiskGPT: A Generative Foundation Model for Financial Risk Detection</t>
  </si>
  <si>
    <t>ind0055</t>
  </si>
  <si>
    <t>VeritasFi: An Adaptable, Multi-tiered RAG Framework for Multi-modal Financial Question Answering</t>
  </si>
  <si>
    <t>ind0062</t>
  </si>
  <si>
    <t>When Agents Trade: Live Multi-Market Trading Arena for LLM Agents</t>
  </si>
  <si>
    <t>ind0088</t>
  </si>
  <si>
    <t>Financial Wind Tunnel: A Retrieval-Augmented Market Simulator</t>
  </si>
  <si>
    <t>ind0233</t>
  </si>
  <si>
    <t>FishFlow: A LLM-Empowered Dynamic Pricing Framework for Online Fleamarket Platform</t>
  </si>
  <si>
    <t>ind0374</t>
  </si>
  <si>
    <t>Hierarchical Semantic RL: Tackling the Problem of Dynamic Action Space for RL-based Recommendations</t>
  </si>
  <si>
    <t>ind0097</t>
  </si>
  <si>
    <t>Beyond the Flat Sequence: Hierarchical and Preference-Aware Generative Recommendations</t>
  </si>
  <si>
    <t>ind0179</t>
  </si>
  <si>
    <t>NEZHA: A Zero-sacrifice and Hyperspeed Decoding Architecture for Generative Recommendations</t>
  </si>
  <si>
    <t>ind0216</t>
  </si>
  <si>
    <t>OneTrans: Unified Feature Interaction and Sequence Modeling with One Transformer in Industrial Recommender</t>
  </si>
  <si>
    <t>ind0290</t>
  </si>
  <si>
    <t>GRADE: Personalized Multi-Task Fusion via Group-Relative Reinforcement Learning with Adaptive Dirichlet Exploration</t>
  </si>
  <si>
    <t>ind0331</t>
  </si>
  <si>
    <t>PI2I: A Personalized Item-Based Collaborative Filtering Retrieval Framework</t>
  </si>
  <si>
    <t>ind0019</t>
  </si>
  <si>
    <t>AliBoostV2: CTR-Growth Balanced Boosting Framework in Billion-Scale Recommendation Platform</t>
  </si>
  <si>
    <t>ind0108</t>
  </si>
  <si>
    <t>BanditLP: Large-Scale Stochastic Optimization for Personalized Recommendations</t>
  </si>
  <si>
    <t>ind0137</t>
  </si>
  <si>
    <t>Unleashing the Potential of Sparse Attention on Long-term Behaviors for CTR Prediction</t>
  </si>
  <si>
    <t>ind0197</t>
  </si>
  <si>
    <t>Improving Multi Task Recommendations via Cross User Learning with a Hybrid Pointwise and Pairwise Ranking Loss</t>
  </si>
  <si>
    <t>ind0381</t>
  </si>
  <si>
    <t>Self-Evolving LLMs via Continual Instruction Tuning</t>
  </si>
  <si>
    <t>ind0051</t>
  </si>
  <si>
    <t>Large Reasoning Embedding Models: Towards Next-Generation Dense Retrieval Paradigm</t>
  </si>
  <si>
    <t>ind0261</t>
  </si>
  <si>
    <t>Probe-and-Fetch: Dynamic KV Cache Pruning for Accelerated Long-Context Inference in Web-Scale AI Search</t>
  </si>
  <si>
    <t>ind0269</t>
  </si>
  <si>
    <t>DG-MCTS: Dual-Guidance Monte Carlo Tree Search for Adaptive Emotional Support Dialogue Planning</t>
  </si>
  <si>
    <t>ind0363</t>
  </si>
  <si>
    <t>LaV-CoT: Language-Aware Visual CoT with Multi-Aspect Reward Optimization for Multilingual Text-Centric VQA</t>
  </si>
  <si>
    <t>ind0369</t>
  </si>
  <si>
    <t>A Generative Contextual Comprehension Paradigm for Takeout Ranking Model</t>
  </si>
  <si>
    <t>ind0030</t>
  </si>
  <si>
    <t>ARADD: An Automatic Real-World API Discovery and Deployment Framework for AI Guide Service in Baidu Map</t>
  </si>
  <si>
    <t>ind0090</t>
  </si>
  <si>
    <t>TRABL: A Unified Framework for Travel Domain Aspect-Based Sentiment Analysis Applications of Large Language Models</t>
  </si>
  <si>
    <t>ind0191</t>
  </si>
  <si>
    <t>From Sold-Out to Sales Uplift: Causal Inference for Intelligent Inventory Management on Online Travel Platforms</t>
  </si>
  <si>
    <t>ind0211</t>
  </si>
  <si>
    <t>Enhancing Ride-Hailing Forecasting at DiDi with Multi-View Geospatial Representation Learning from the Web</t>
  </si>
  <si>
    <t>ind0322</t>
  </si>
  <si>
    <t>ARCHER: Shooting Straight in Multimodal E-Commerce Search at Alibaba with Progressive Alignment</t>
  </si>
  <si>
    <t>ind0026</t>
  </si>
  <si>
    <t>Aligning Query Rewriting with Human Cognition and Preference in E-Commerce Search</t>
  </si>
  <si>
    <t>ind0144</t>
  </si>
  <si>
    <t>TaoSR-AGRL: Adaptive Guided Reinforcement Learning Framework for E-commerce Search Relevance</t>
  </si>
  <si>
    <t>ind0154</t>
  </si>
  <si>
    <t>Thinking Broad, Acting Fast: Latent Reasoning Distillation from Multi-Perspective Chain-of-Thought for E-Commerce Relevance</t>
  </si>
  <si>
    <t>ind0295</t>
  </si>
  <si>
    <t>From Reasoning LLMs to BERT: A Two-Stage Distillation Framework for Search Relevance</t>
  </si>
  <si>
    <t>ind0325</t>
  </si>
  <si>
    <t>A Long-term Value Prediction Framework In Video Ranking</t>
  </si>
  <si>
    <t>ind0066</t>
  </si>
  <si>
    <t>GAM: A Generative Auto-Marketing Framework in Online E-commerce Platforms</t>
  </si>
  <si>
    <t>ind0162</t>
  </si>
  <si>
    <t>Make It Long, Keep It Fast: End-to-End 10k-Sequence Modeling at Billion Scale on Douyin</t>
  </si>
  <si>
    <t>ind0163</t>
  </si>
  <si>
    <t>When Rules Fall Short: Agent-Driven Discovery of Emerging Content Issues in Short Video Platforms</t>
  </si>
  <si>
    <t>ind0188</t>
  </si>
  <si>
    <t>Visual Content Moderation in Messaging Systems</t>
  </si>
  <si>
    <t>ind0338</t>
  </si>
  <si>
    <t>Multi-Domain Marker Aggregation for Threat Detection in Cloud Environments</t>
  </si>
  <si>
    <t>ind0081</t>
  </si>
  <si>
    <t>Smart Eye: LLM-Guided Proposer-Verifier Framework for Industrial-Scale Log Anomaly Detection</t>
  </si>
  <si>
    <t>ind0103</t>
  </si>
  <si>
    <t>URLBank: Data-Driven URL Discovery via Temporal Link Graphs</t>
  </si>
  <si>
    <t>ind0132</t>
  </si>
  <si>
    <t>Orchestration-Free Customer Service Automation: A Privacy-Preserving and Flowchart-Guided Framework</t>
  </si>
  <si>
    <t>ind0270</t>
  </si>
  <si>
    <t>Multilingual Reference Need Assessment System for Wikipedia</t>
  </si>
  <si>
    <t>ind0320</t>
  </si>
  <si>
    <t>OpenDigger: A Practical Framework for Assessing Community Health and Sustainability in Open Source Collaboration Platforms</t>
  </si>
  <si>
    <t>ind0059</t>
  </si>
  <si>
    <t>GPU-accelerated Multi-relational Parallel Graph Retrieval for Web-scale Recommendations</t>
  </si>
  <si>
    <t>ind0063</t>
  </si>
  <si>
    <t>LSIG: Long Semantic IDs for Generative Recommendation</t>
  </si>
  <si>
    <t>ind0064</t>
  </si>
  <si>
    <t>GRank: Towards Target-Aware and Streamlined Industrial Retrieval with a Generate-Rank Framework</t>
  </si>
  <si>
    <t>ind0067</t>
  </si>
  <si>
    <t>Data-Driven Function Calling Improvements in Large Language Model for Online Financial QA</t>
  </si>
  <si>
    <t>ind0082</t>
  </si>
  <si>
    <t>Bridging Visual Dynamics and Narrative Reasoning: Multimodal Large Language Models for Short Drama Quality Assessment</t>
  </si>
  <si>
    <t>ind0112</t>
  </si>
  <si>
    <t>Accurate and Efficient Personalized Query Rewriting in Baidu Search</t>
  </si>
  <si>
    <t>ind0115</t>
  </si>
  <si>
    <t>iQ-Guard: An Effective and Noise-Resistant Framework for Graph Fraud Detection on iQIYI Platform</t>
  </si>
  <si>
    <t>ind0149</t>
  </si>
  <si>
    <t>Delay-Aware Graph Neural Stochastic Differential Equations for Financial Time Series Modeling and Forecasting</t>
  </si>
  <si>
    <t>ind0159</t>
  </si>
  <si>
    <t>CardRewriter: Leveraging Knowledge Cards for Long-Tail Query Rewriting on Short-Video Platforms</t>
  </si>
  <si>
    <t>ind0194</t>
  </si>
  <si>
    <t>Not All Candidates are Created Equal: A Heterogeneity-Aware Approach to Pre-ranking in Recommender Systems</t>
  </si>
  <si>
    <t>ind0208</t>
  </si>
  <si>
    <t>PLUM: Adapting Pre-trained Language Models for Industrial-scale Generative Recommendations</t>
  </si>
  <si>
    <t>ind0237</t>
  </si>
  <si>
    <t>Warmer for Less: A Cost-Efficient Strategy for Cold-Start Recommendations at Pinterest</t>
  </si>
  <si>
    <t>ind0247</t>
  </si>
  <si>
    <t>AFE-Master: Enhancing LLM-Driven Autonomous Feature Engineering with Domain-Specific Language Parsing and Guided Local Search</t>
  </si>
  <si>
    <t>ind0285</t>
  </si>
  <si>
    <t>From Modularity to Unity: Towards Industrial-Scale Generative Recommendation</t>
  </si>
  <si>
    <t>ind0316</t>
  </si>
  <si>
    <t>Unbiased Multimodal Reranking for Long-Tail Short-Video Search</t>
  </si>
  <si>
    <t>ind0324</t>
  </si>
  <si>
    <t>A Creator-Aware Recommendation System for Content Platforms</t>
  </si>
  <si>
    <t>ind0371</t>
  </si>
  <si>
    <t>When to Invoke: Refining LLM Fairness with Toxicity Assessment</t>
  </si>
  <si>
    <t/>
  </si>
  <si>
    <t>Trust in One Round: Confidence Estimation for Large Language Models via Structural Signals</t>
  </si>
  <si>
    <t>BalDRO: A Distributionally Robust Optimization based Framework for Large Language Model Unlearning</t>
  </si>
  <si>
    <t>SEP-Attack: A Simple and Effective Paradigm for Transfer-Based Textual Adversarial Attack</t>
  </si>
  <si>
    <t>Fine-Grained Traceability for Transparent ML Pipelines</t>
  </si>
  <si>
    <t>Concept Relationship Embedding-Based Interactive Web Application for Explainable Medical Diagnosis</t>
  </si>
  <si>
    <t>Towards Glaucoma Screening in Decentralized Clinics: A Dynamic Expert-Assisted Domain-Incremental Approach</t>
  </si>
  <si>
    <t>XInsight: Integrative Stage-Consistent Psychological Counseling Support Agents for Digital Well-Being</t>
  </si>
  <si>
    <t>(Mis-)Informed Consent: Predatory Apps and the Exploitation of Populations with Limited Literacy</t>
  </si>
  <si>
    <t>LLM Use for Mental Health: Crowdsourcing Users’ Sentiment-based Perspectives and Values from Social Discussions</t>
  </si>
  <si>
    <t>Fairer AI Carbon Accounting: Incorporating Market-based Attribution and Uncertainty in Embodied and Operational Carbon Footprint</t>
  </si>
  <si>
    <t>EcoThink: A Green Adaptive Inference Framework for Sustainable and Accessible Agents</t>
  </si>
  <si>
    <t>GreenTune: Energy-Efficient Low-Rank Tuning of LLMs with ThreeE Evaluation under 4-/8-bit Quantization</t>
  </si>
  <si>
    <t>Route-and-Reason: Energy-Efficient Scaling of LLM Reasoning via Reinforced Model Routing</t>
  </si>
  <si>
    <t>Online GPU Energy Optimization with Switching-Aware Bandits</t>
  </si>
  <si>
    <t>Belief-Driven Multi-Agent Collaboration via Approximate Perfect Bayesian Equilibrium for Social Simulation</t>
  </si>
  <si>
    <t>Think Then Recommend: An LLM-Powered Multi-Agent Framework for Personalized Conversational Recommender System in E-Commerce</t>
  </si>
  <si>
    <t>GORAG: Graph-based Online Retrieval Augmented Generation for Dynamic Few-shot Social Media Text Classification</t>
  </si>
  <si>
    <t>Mining Citywide Dengue Spread Patterns in Singapore Through Hotspot Dynamics from Open Web Data</t>
  </si>
  <si>
    <t>Consensus Stability of Community Notes on X</t>
  </si>
  <si>
    <t>The Chatbot Knows It’s You: Dialogue Attribution in Unauthenticated Human–LLM Sessions</t>
  </si>
  <si>
    <t>Spiking Graph Predictive Coding for Reliable OOD Generalization</t>
  </si>
  <si>
    <t>STPWR: A Spatiotemporal Prediction-based Worker Pre-Recruitment Framework for Mobile Crowd Sensing</t>
  </si>
  <si>
    <t>StreamSense: Streaming Social Task Detection with Selective Vision–Language Model Routing</t>
  </si>
  <si>
    <t>Bridging Cognitive Neuroscience and Graph Intelligence: Hippocampus-Inspired Multi-View Hypergraph Learning for Web Finance Fraud</t>
  </si>
  <si>
    <t>Toward Green Computing: General Carbon Intensity Forecasting via Dual Graph Empowered Time Series Foundation Model</t>
  </si>
  <si>
    <t>Boosting Large Language Models for Mental Manipulation Detection via Data Augmentation and Distillation</t>
  </si>
  <si>
    <t>SAGE: Sustainable Agent-Guided Expert-tuning for Culturally Attuned Translation in Low-Resource Southeast Asia</t>
  </si>
  <si>
    <t>FairFRL: Fairness-aware Federated Representation Learning for Cross-domain Sequential Recommendation</t>
  </si>
  <si>
    <t>Energy-Efficient Training-Free Zero-Inflation Correction for Rainfall Forecasting with Time-Series Foundation Models</t>
  </si>
  <si>
    <t>Egocentric Co-Pilot: Web-Native Smart-Glasses Agents for Assistive Egocentric AI</t>
  </si>
  <si>
    <t>ReRule: Temporal Rule-Augmented Language Modeling for Causal Event Chain Completion</t>
  </si>
  <si>
    <t>Genomic-Informed Heterogeneous Graph Learning for Spatiotemporal Avian Influenza Outbreak Forecasting</t>
  </si>
  <si>
    <t>CEAT: Context-Emotion Adversarial Training Framework for Robust Emotion-Driven Fraud Detection</t>
  </si>
  <si>
    <t>HAAF: Hierarchical Adaptation and Alignment of Foundation Models for Few-Shot Pathology Anomaly Detection</t>
  </si>
  <si>
    <t>Green Industrial Engineering on the Web: Agent-Driven Ant Colony Optimization Tuning for Energy-Efficient 3D Pipe Routing</t>
  </si>
  <si>
    <t>IndicAG: An Explainable Agentic Framework for Indic-Multilingual Multidimensional Aggression Detection</t>
  </si>
  <si>
    <t>LEAP: LLM-Enhanced E-commerce Demand Prediction under Emergent Events</t>
  </si>
  <si>
    <t>HCSL: Rumor Detection by Integrating Intra-Sample Curriculum Learning and Hierarchical Semantic Learning</t>
  </si>
  <si>
    <t>Language-Guided Game-Theoretic Fairness in Web-Enabled Energy Networks</t>
  </si>
  <si>
    <t>Dynamic Min-Max Multi-Dimensional Reinforcement Backdoor Attacks and Orchestrated Closed-Loop Defense in Fairness-Aware Web Federated Finance</t>
  </si>
  <si>
    <t>GRAND: A Robust Diffusion Framework for Multi-Granularity Graph Anomaly Detection in Web Platforms</t>
  </si>
  <si>
    <t>From Native Memes to Global Moderation: Cross-Cultural Evaluation of Vision–Language Models for Hateful Meme Detection</t>
  </si>
  <si>
    <t>Physics-Aware Multimodal Urban Heat Mapping with Open Web Imagery and Mobility Data</t>
  </si>
  <si>
    <t>Audit‑of‑Audits for the Web: Bayesian Meta‑Evaluation that Yields Interval‑Valued, Threshold‑Aligned Fairness Claims</t>
  </si>
  <si>
    <t>MultiHateLoc: Towards Temporal Localisation of Multimodal Hate Content in Online Videos</t>
  </si>
  <si>
    <t>Accurate Trajectory Recovery in Underserved Areas via Location Inference from Web Crowdsourced Data</t>
  </si>
  <si>
    <t>Kardia-R1: Unleashing LLMs to Reason toward Understanding and Empathy for Emotional Support via Rubric-as-Judge Reinforcement Learning</t>
  </si>
  <si>
    <t>Safeguarding Children at Scale: Cost-Effective Multimodal LLM Detection of Inappropriate YouTube Advertising</t>
  </si>
  <si>
    <t>VC-Soup: Value-Consistency Guided Multi-Value Alignment for Large Language Models</t>
  </si>
  <si>
    <t>'They've Stolen My GPL-Licensed Model!': Toward Standardized and Transparent Model Licensing</t>
  </si>
  <si>
    <t>Modeling Multimodal Information Cascade on Social Media with Interpretable Mixture of Experts</t>
  </si>
  <si>
    <t>AgriGPT-Omni: A Unified Speech–Vision–Text Framework for Multilingual Agricultural Intelligence</t>
  </si>
  <si>
    <t>Credit and Power Co-evolution Modeling with Dynamic Graph Learning</t>
  </si>
  <si>
    <t>Communication-Efficient Federated Learning for Post-Flood Risk Assessment using UAV Swarms</t>
  </si>
  <si>
    <t>Community Fact-Checks Do Not Break Follower Loyalty</t>
  </si>
  <si>
    <t>TheraMind: A Strategic and Adaptive Agent for Longitudinal Psychological Counseling</t>
  </si>
  <si>
    <t>S²KT:Modeling Uncertainty in Knowledge Tracing via Semantic-aware Structured Gaussian Distributions</t>
  </si>
  <si>
    <t>Mind the Ambiguity: Aleatoric Uncertainty Quantification in LLMs for Safe Medical Question Answering</t>
  </si>
  <si>
    <t>DAPWeb: Construct-Aligned Evaluation of MLLMs for Web-Based Child Mental Screening</t>
  </si>
  <si>
    <t>Fair and Carbon-Aware LLM Routing for Web Services</t>
  </si>
  <si>
    <t>When Ads Become Profiles: Uncovering the Invisible Risk of Web Advertising at Scale with LLMs</t>
  </si>
  <si>
    <t>WED-Net: A Weather-Effect Disentanglement Network with Causal Augmentation for Urban Flow Prediction</t>
  </si>
  <si>
    <t>SMART: A Social Movement Analysis &amp; Reasoning Tool with Case Studies on #MeToo and #BlackLivesMatter</t>
  </si>
  <si>
    <t>Multimodal Spatiotemporal Forecasting of Deepfake Propagation on Social Media</t>
  </si>
  <si>
    <t>Towards Fair Large Language Model-based Recommender Systems without Costly Retraining</t>
  </si>
  <si>
    <t>Unleashing the Recommendation Power of Large Language Model via Progressive Best Subset Selection</t>
  </si>
  <si>
    <t>Enhancing Content Moderation with LLMs: A Reddit Case Study on Evaluating and Refining Human Decisions</t>
  </si>
  <si>
    <t>FUSED: Toward Federated Multimodal Retrieval across Sovereign Data Domains</t>
  </si>
  <si>
    <t>TravelReasoner: Leveraging Large Reasoning Models to Address Mobility Data Gap</t>
  </si>
  <si>
    <t>Enhancing Rare Event Detection via Counterfactual Generation with Exogenous Variables</t>
  </si>
  <si>
    <t>Longitudinal Trends in Global Climate Change Discourse on Facebook</t>
  </si>
  <si>
    <t>Mitigating Fine-tuning Bias: A Parameter-Efficient Debiasing Framework for Large Language Models</t>
  </si>
  <si>
    <t>Cross-Domain Fake News Detection on Unseen Domains via LLM-Based Domain-Aware User Modeling</t>
  </si>
  <si>
    <t>K&amp;L: Penetrating Backdoor Defense with Key and Locks</t>
  </si>
  <si>
    <t>coTherapist: A Behavior-Aligned Small Language Model Framework to Support Mental Healthcare Experts</t>
  </si>
  <si>
    <t>Bowling with ChatGPT: On the Evolving User Interactions with Conversational AI Systems</t>
  </si>
  <si>
    <t>AlignCP: Noise-Aware Preference Alignment for LLMs via Confidence and Polarity Reweighting</t>
  </si>
  <si>
    <t>COMA: A Collaborative Multi-Role Agent Framework for Automated Lesson Plan Generation</t>
  </si>
  <si>
    <t>EmeraldMind: A Knowledge Graph–Augmented Framework for Greenwashing Detection</t>
  </si>
  <si>
    <t>Debating Truth: Debate-driven Claim Verification with Multiple Large Language Model Agents</t>
  </si>
  <si>
    <t>Invisible Walls in Cities: Designing LLM Agent to Predict Urban Segregation Experience with Social Media Content</t>
  </si>
  <si>
    <t>Bringing Reasoning to Generative Recommendation Through the Lens of Cascaded Ranking</t>
  </si>
  <si>
    <t>From Words to Worlds: Measuring Cultural Narrative Bias in LLMs via a Structural–Value Pipeline</t>
  </si>
  <si>
    <t>Understanding the Consequences of VTuber Reincarnation</t>
  </si>
  <si>
    <t>Sustainable and Responsible ECG-Based AI Diagnostics: Masked Frequency Reconstruction with Peak-Aware Transformers</t>
  </si>
  <si>
    <t>How Green Is Your Login? A Cross-Protocol Benchmark of Authentication Energy &amp; Latency</t>
  </si>
  <si>
    <t>AMID: Model-Agnostic Dataset Distillation by Adversarial Mutual Information Minimization</t>
  </si>
  <si>
    <t>CompTox Ontology: Leveraging Knowledge Graphs for PFAS Monitoring and Decision-Making</t>
  </si>
  <si>
    <t>Intelli-Planner: Towards Customized Urban Planning via Large Language Model Empowered Reinforcement Learning</t>
  </si>
  <si>
    <t>FairGU: Fairness-aware Graph Unlearning in Social Networks</t>
  </si>
  <si>
    <t>MultiCheck: Strengthening Web Trust with Unified Multimodal Fact Verification</t>
  </si>
  <si>
    <t>From Insight to Intervention: Interpretable Neuron Steering for Controlling Popularity Bias in Recommender Systems</t>
  </si>
  <si>
    <t>RegimeGuard: Continual Learning Queue Scheduling for Socially Critical Web Services</t>
  </si>
  <si>
    <t>Cross-Modal Rationale Transfer for Explainable Humanitarian Classification on Social Media</t>
  </si>
  <si>
    <t>Full title</t>
  </si>
  <si>
    <t>Presenter</t>
  </si>
  <si>
    <t>HoW</t>
  </si>
  <si>
    <t>Wendy Hall and Oshani Seneviratne</t>
  </si>
  <si>
    <t>Seoul Test of Time Winner Presentation - LINE: Large-scale Information Network Embedding</t>
  </si>
  <si>
    <t>htwkn1</t>
  </si>
  <si>
    <t>Jian Tang</t>
  </si>
  <si>
    <t>The Semantic Web’s Second Act: Why Everything Old is New Again in Agentic AI</t>
  </si>
  <si>
    <t>htwkn2</t>
  </si>
  <si>
    <t>Natasha Noy</t>
  </si>
  <si>
    <t>The Pendulum of Verbosity: The Evolution of Search from Blue Links to Agents</t>
  </si>
  <si>
    <t>Evgeniy Gabrilovich</t>
  </si>
  <si>
    <t>On the historic roots of Agentic AI in Semantic Web Services</t>
  </si>
  <si>
    <t>htw1526a</t>
  </si>
  <si>
    <t>Axel Polleres</t>
  </si>
  <si>
    <t>From Lexical and Semantic to Predictive Search: Evolution or Involution?</t>
  </si>
  <si>
    <t>htw1525a</t>
  </si>
  <si>
    <t>Ricardo Baeza-Yates</t>
  </si>
  <si>
    <t>Evolving Notions of Success on the Web: From Retrieval to Experience</t>
  </si>
  <si>
    <t>htw1524a</t>
  </si>
  <si>
    <t>Mounia Lalmas</t>
  </si>
  <si>
    <t>Panel</t>
  </si>
  <si>
    <t>Yoelle Maarek, Ricardo Baeza-Yates, Wendy Hall moderated by Oshani Seneviratne</t>
  </si>
  <si>
    <t>Sessions</t>
  </si>
  <si>
    <t>title</t>
  </si>
  <si>
    <t>srp003</t>
  </si>
  <si>
    <t>DOS: Dual-Flow Orthogonal Semantic IDs for Recommendation in Meituan</t>
  </si>
  <si>
    <t>Junwei Yin, Senjie Kou, Changhao Li, Shuli Wang, Yinqiu Huang, Xue Wei, Yinhua Zhu, Haitao Wang and Xingxing Wang</t>
  </si>
  <si>
    <t>srp012</t>
  </si>
  <si>
    <t>RASTP: Representation-Aware Semantic Token Pruning for Generative Recommendation with Semantic Identifiers</t>
  </si>
  <si>
    <t>Tianyu Zhan, Kairui Fu, Zheqi Lv and Shengyu Zhang</t>
  </si>
  <si>
    <t>srp035</t>
  </si>
  <si>
    <t>Few-shot and Zero-shot Audience Expansion with User and Task Model Pre-training on Tabular Data</t>
  </si>
  <si>
    <t>Siwei Qiang, Pengyu Li, Zhe Yu, Mengyao Sun, Jun Chen and Bo Zheng</t>
  </si>
  <si>
    <t>srp037</t>
  </si>
  <si>
    <t>Learning To Generate Effective Health Advertisements</t>
  </si>
  <si>
    <t>Yuval Saadaty and Elad Yom-Tov</t>
  </si>
  <si>
    <t>srp040</t>
  </si>
  <si>
    <t>Decentralized in Name Only: The Centralization of DAO Labor</t>
  </si>
  <si>
    <t>Lingling Zhang, Morteza Zihayat and Ebrahim Bagheri</t>
  </si>
  <si>
    <t>srp062</t>
  </si>
  <si>
    <t>A Reinforcement Learning Based Hyper-Parameter Generation System Guided by LLM-Powered Virtual Users</t>
  </si>
  <si>
    <t>Changlin Qiu, Bang Lin, Tao Zhang and Chengfu Huo</t>
  </si>
  <si>
    <t>srp064</t>
  </si>
  <si>
    <t>DualGR: Generative Retrieval with Long and Short-Term Interests Modeling</t>
  </si>
  <si>
    <t>Zhongchao Yi, Kai Feng, Xiaojian Ma, Yalong Wang, Yongqi Liu, Han Li, Zhengyang Zhou and Yang Wang</t>
  </si>
  <si>
    <t>srp106</t>
  </si>
  <si>
    <t>Cascaded Verification Framework: A Progressive Approach for Mitigating Hallucinations in Large Language Models</t>
  </si>
  <si>
    <t>Shu Zhou, Yufei Song, Jinman Leng, Xin Wang, Tao Fan and Hao Wang</t>
  </si>
  <si>
    <t>srp136</t>
  </si>
  <si>
    <t>Hidden-in-Plain-Text: A Benchmark for Social-Web Indirect Prompt Injection in RAG</t>
  </si>
  <si>
    <t>Haoze Guo and Ziqi Wei</t>
  </si>
  <si>
    <t>srp142</t>
  </si>
  <si>
    <t>Activation Caching for Retrieval-Augmented Generation</t>
  </si>
  <si>
    <t>srp145</t>
  </si>
  <si>
    <t>PH-EMO: Decoding Emotions from the Brain Inward – EEG-Grounded Multimodal Reasoning with LLMs</t>
  </si>
  <si>
    <t>Kehong Liu, Yang Liu and Jiming Liu</t>
  </si>
  <si>
    <t>srp152</t>
  </si>
  <si>
    <t>GPR: Empowering Generation with Graph-Pretrained Retriever</t>
  </si>
  <si>
    <t>Xiaochen Wang, Zongyu Wu, Yuan Zhong, Xiang Zhang, Suhang Wang and Fenglong Ma</t>
  </si>
  <si>
    <t>srp155</t>
  </si>
  <si>
    <t>Graph Discrete Prompt Optimization for Knowledge Graph Question Answering</t>
  </si>
  <si>
    <t>Wooyoung Kim, Haemin Jung, Byeongjin Kim, Suhyeon Kwon and Wooju Kim</t>
  </si>
  <si>
    <t>srp163</t>
  </si>
  <si>
    <t>WITHDRAWN 1/29/26, email from chairs -- Exploring Latent Preference with Interest-Guided Collaborative Expansion for Multimodal Recommendation</t>
  </si>
  <si>
    <t>Jiuqiang Li and Hongjun Wang</t>
  </si>
  <si>
    <t>srp168</t>
  </si>
  <si>
    <t>Improving the Accuracy of Community Detection on Signed Networks via Community Refinement and Contrastive Learning</t>
  </si>
  <si>
    <t>Hyunuk Shin, Hojin Kim, Chanyoung Lee, Yeon-Chang Lee and David Yoon Suk Kang</t>
  </si>
  <si>
    <t>srp182</t>
  </si>
  <si>
    <t>AIMER: Affective Intention-guided Multimodal Emotion Reasoner for Visual Emotion Analysis in Social Media</t>
  </si>
  <si>
    <t>Yubeen Lee, Shinyu Park, Jiwon Park and Eunil Park</t>
  </si>
  <si>
    <t>srp193</t>
  </si>
  <si>
    <t>SIR-Teach: Student-Implicit Reward Teaching</t>
  </si>
  <si>
    <t>Haochen You and Baojing Liu</t>
  </si>
  <si>
    <t>srp199</t>
  </si>
  <si>
    <t>Generative Retrieval for E‑commerce: Jointly Learning Embedding and Codebook with Same Product Cluster</t>
  </si>
  <si>
    <t>Songtao Fang, Zihao Xu, Shaowei Wei, Jin Zhang and Zhuojun Wang</t>
  </si>
  <si>
    <t>srp200</t>
  </si>
  <si>
    <t>Rethink Web Service Resilience in Space: A Radiation-Aware and Sustainable Transmission Solution</t>
  </si>
  <si>
    <t>Long Chen, Hao Fang, Yi Ching Chou, Haoyuan Zhao, Xiaoyi Fan, Zhe Chen, Hengzhi Wang and Jiangchuan Liu</t>
  </si>
  <si>
    <t>srp205</t>
  </si>
  <si>
    <t>Access Controlled Website Interaction for Agentic AI with Delegated Critical Tasks</t>
  </si>
  <si>
    <t>Sunyoung Kim and Hokeun Kim</t>
  </si>
  <si>
    <t>srp224</t>
  </si>
  <si>
    <t>Infer As You Train: A Symmetric Paradigm of Masked Generative for Click-Through Rate Prediction</t>
  </si>
  <si>
    <t>Moyu Zhang, Yujun Jin, Yun Chen, Jinxin Hu, Yu Zhang and Xiaoyi Zeng</t>
  </si>
  <si>
    <t>srp225</t>
  </si>
  <si>
    <t>Learning Probabilistic Distributions for CTR Uncertainty</t>
  </si>
  <si>
    <t>Biho Kim</t>
  </si>
  <si>
    <t>srp228</t>
  </si>
  <si>
    <t>Structure Over Scale: Diagnosing Liquidity Fragility in Concentrated-Liquidity AMMs</t>
  </si>
  <si>
    <t>Qiangqiang Liu, Runfa Jiang, Qian Huang, Frank Fan, Kunpeng Ren and Wei Cai</t>
  </si>
  <si>
    <t>srp231</t>
  </si>
  <si>
    <t>Fedivertex: a Graph Dataset based on Decentralized Social Media</t>
  </si>
  <si>
    <t>Marc Damie and Edwige Cyffers</t>
  </si>
  <si>
    <t>srp244</t>
  </si>
  <si>
    <t>Cost Ratio Aware Algorithm for Representative Subset Selection</t>
  </si>
  <si>
    <t>Tong Cheng and Xueyan Tang</t>
  </si>
  <si>
    <t>srp261</t>
  </si>
  <si>
    <t>Let It Try First: Uncertainty-Guided Retrieval Switching for Retrieval-Augmented Question Answering</t>
  </si>
  <si>
    <t>Xiaohai Wang, Yu Liang, Wei Zhou and Sixing Wu</t>
  </si>
  <si>
    <t>srp266</t>
  </si>
  <si>
    <t>DiffusionGS: Generative Search with Query Conditioned Diffusion in Kuaishou</t>
  </si>
  <si>
    <t>Qinyao Li, Xiaoyang Zheng, Qihang Zhao, Ke Xu, Zhongbo Sun, Chao Wang, Chenyi Lei, Han Li and Wenwu Ou</t>
  </si>
  <si>
    <t>srp281</t>
  </si>
  <si>
    <t>LLM Reasoning for Cold-Start Item Recommendation</t>
  </si>
  <si>
    <t>Shijun Li, Yu Wang, Jin Wang, Ying Li, Joydeep Ghosh and Anne Cocos</t>
  </si>
  <si>
    <t>srp282</t>
  </si>
  <si>
    <t>Hierarchical Layer Attention with Contrastive Learning for Robust Audio Deepfake Detection</t>
  </si>
  <si>
    <t>Zhili Nicholas Liang, Soyeon Caren Han, Qizhou Wang and Christopher Leckie</t>
  </si>
  <si>
    <t>srp284</t>
  </si>
  <si>
    <t>Online Bidding Algorithms with Strict Return on Spend (ROS) Constraint</t>
  </si>
  <si>
    <t>Rahul Vaze and Abhishek Sinha</t>
  </si>
  <si>
    <t>srp288</t>
  </si>
  <si>
    <t>OMGRec: One-time Matching-based Generative Rerank with Permutation-level Modeling in E-commerce</t>
  </si>
  <si>
    <t>Junwei Xu, Zhibo Xiao, Chuxin Chen, Chengyu Lai, Qijie Shen, Jiuning Lin, Dimin Wang, Jialin Zhu and Xiao-Ping Zhang</t>
  </si>
  <si>
    <t>srp290</t>
  </si>
  <si>
    <t>LPEdit: Locality-Preserving Knowledge Editing for MultiModal Large Language Models</t>
  </si>
  <si>
    <t>Tianyu Zhang, Junfeng Fang, Houcheng Jiang, Xingyu Zhu, Xiang Wang and Xiangnan He</t>
  </si>
  <si>
    <t>srp300</t>
  </si>
  <si>
    <t>Img2KG: Ontology-Driven Correction of Visual Triples</t>
  </si>
  <si>
    <t>Christina Kanetou and Yannis Tzitzikas</t>
  </si>
  <si>
    <t>srp301</t>
  </si>
  <si>
    <t>A Life‑Cycle Assessment of the Hidden Environmental Cost of Selfies</t>
  </si>
  <si>
    <t>Tilen Hliš, Urška Butolen, Iztok Fister and Iztok Fister</t>
  </si>
  <si>
    <t>srp303</t>
  </si>
  <si>
    <t>We May Not Need Much Visual Encoding of Web Data for Question Answering</t>
  </si>
  <si>
    <t>Tan Yue, Qiong Wu and Dongyan Zhao</t>
  </si>
  <si>
    <t>srp306</t>
  </si>
  <si>
    <t>CityVerse: A Unified Data Framework for Evaluating Large Language Models in Urban Computing</t>
  </si>
  <si>
    <t>Yaqiao Zhu, Hongkai Wen, Mark Birkin and Man Luo</t>
  </si>
  <si>
    <t>srp312</t>
  </si>
  <si>
    <t>An Improved Combinatorial Algorithm for Edge-Colored Clustering in Hypergraphs</t>
  </si>
  <si>
    <t>Seongjune Han and Nate Veldt</t>
  </si>
  <si>
    <t>srp319</t>
  </si>
  <si>
    <t>BitHeteroNet: A Heterogeneous Network Benchmark for Enhanced Anomaly Detection in Bitcoin Transactions</t>
  </si>
  <si>
    <t>Zheng Gong, Shuheng Shen, Changhua Meng and Ying Sun</t>
  </si>
  <si>
    <t>srp322</t>
  </si>
  <si>
    <t>Feature-PI: A Data Repository for Learning-based Feature Importance Estimation</t>
  </si>
  <si>
    <t>Yin Lou</t>
  </si>
  <si>
    <t>srp333</t>
  </si>
  <si>
    <t>BiCare: Bi-Objective Set Similarity with Box Embeddings for Safe and Effective Healthcare Decision Support</t>
  </si>
  <si>
    <t>Guofang Ma, Pengxiang Zhan, Haoze Huang and Yanchao Tan</t>
  </si>
  <si>
    <t>srp347</t>
  </si>
  <si>
    <t>ReMi-ReMath: A Reverse-Mutual Reasoning Framework for Enhancing Mathematical Thinking in Small Language Models</t>
  </si>
  <si>
    <t>Dae Kyoo Kim, Sang Kyu Moon and Eunil Park</t>
  </si>
  <si>
    <t>srp354</t>
  </si>
  <si>
    <t>Beyond Isolated Clients: Integrating Graph-Based Embeddings into Event Sequence Models</t>
  </si>
  <si>
    <t>Harry Proshian, Nikita Severin, Sergey Nikolenko, Ivan Kireev, Andrey Savchenko, Ivan Sergeev, Maria Postnova and Ilya Makarov</t>
  </si>
  <si>
    <t>srp356</t>
  </si>
  <si>
    <t>GlotWeb: Web Indexing for Minority Languages</t>
  </si>
  <si>
    <t>Abdullah Al Sefat, Amir Hossein Kargaran, François Yvon and Hinrich Schütze</t>
  </si>
  <si>
    <t>srp367</t>
  </si>
  <si>
    <t>Graph Poisoning for Node Rank Manipulation</t>
  </si>
  <si>
    <t>Seyed Mohammad Hosseini, Radin Hamidi Rad, Morteza Zihayat and Ebrahim Bagheri</t>
  </si>
  <si>
    <t>srp377</t>
  </si>
  <si>
    <t>P-Aligner: Pre-Aligning LLMs via Principled Instruction Synthesis</t>
  </si>
  <si>
    <t>Feifan Song, Bofei Gao, Yifan Song, Yi Liu, Weimin Xiong, Yuyang Song, Tianyu Liu, Guoyin Wang and Houfeng Wang</t>
  </si>
  <si>
    <t>srp393</t>
  </si>
  <si>
    <t>Interaction-level Membership Inference Attack for Recommender Systems via Cluster-based User Modeling</t>
  </si>
  <si>
    <t>Danyang Zong, Kaike Zhang, Qi Cao, Du Su and Fei Sun</t>
  </si>
  <si>
    <t>srp419</t>
  </si>
  <si>
    <t>CytoCrowd: A Multi-Annotator Benchmark Dataset for Cytology Image Analysis</t>
  </si>
  <si>
    <t>Yonghao Si, Xingyuan Zeng, Zhao Chen, Libin Zheng, Caleb Chen Cao, Chen Lei and Jian Yin</t>
  </si>
  <si>
    <t>srp420</t>
  </si>
  <si>
    <t>FilterRec: An Intent-Aware Framework for Dynamic Filter Recommendation</t>
  </si>
  <si>
    <t>Dingxian Wang, Jiacheng Dong, Jiaqi Deng, Jing Long, Ted Liu, George Barelas, Arya Taylor, Spyros Kapnissis, Frank Yang, Andrew Rabinovich and Guandong Xu</t>
  </si>
  <si>
    <t>srp424</t>
  </si>
  <si>
    <t>MCP vs RAG vs NLWeb vs HTML: A Comparison of the Effectiveness and Efficiency of Different Agent Interfaces to the Web</t>
  </si>
  <si>
    <t>Aaron Steiner, Ralph Peeters and Christian Bizer</t>
  </si>
  <si>
    <t>srp426</t>
  </si>
  <si>
    <t>SIT-KGED: Simply Inject Topology into LLM for Knowledge Graph Error Detection</t>
  </si>
  <si>
    <t>Ting Li, Xingyi Mao, Yipeng Yu and Liang Yao</t>
  </si>
  <si>
    <t>srp433</t>
  </si>
  <si>
    <t>ReFuGe: Feature Generation for Prediction Tasks on Relational Databases with LLM Agents</t>
  </si>
  <si>
    <t>Kyungho Kim, Geon Lee, Juyeon Kim, Dongwon Choi, Shinhwan Kang and Kijung Shin</t>
  </si>
  <si>
    <t>srp443</t>
  </si>
  <si>
    <t>Suppression or Deletion: A Restoration-Based Representation-Level Analysis of Machine Unlearning</t>
  </si>
  <si>
    <t>Yurim Jang, Jaeung Lee, Dohyun Kim, Jaemin Jo and Simon S Woo</t>
  </si>
  <si>
    <t>srp444</t>
  </si>
  <si>
    <t>C^2-SFL:Class-Balanced and Cost-Aware Split Federated Learning for Mobile Edge Computing</t>
  </si>
  <si>
    <t>Kai Cheng, Zhengyu Zhang, Tong Wu, Huan Zhou and Xinggang Fan</t>
  </si>
  <si>
    <t>srp445</t>
  </si>
  <si>
    <t>SAGE-Prompt: Structured Attribution Guarded Explanation for Explainable Deepfake Question Answering</t>
  </si>
  <si>
    <t>Jong-Chan Park, Myeongjun Kim, So-Hee Lim, Sang-Min Choi and Gun-Woo Kim</t>
  </si>
  <si>
    <t>srp448</t>
  </si>
  <si>
    <t>Multi-source Multi-level Multi-token Ethereum Dataset and Benchmark Platform</t>
  </si>
  <si>
    <t>Haoyuan Li, Mengxiao Zhang, Maoyuan Li, Jianzheng Li, Zijian Zhang, Junyi Yang, Shuangyan Deng and Jiamou Liu</t>
  </si>
  <si>
    <t>srp455</t>
  </si>
  <si>
    <t>Is More Context Always Better? Examining LLM Reasoning Capability for Time Interval Prediction</t>
  </si>
  <si>
    <t>Yanan Cao, Farnaz Fallahi, Murali Mohana Krishna Dandu, Lalitesh Morishetti, Kai Zhao, Luyi Ma, Sinduja Subramaniam, Jianpeng Xu, Evren Korpeoglu, Kaushiki Nag, Sushant Kumar and Kannan Achan</t>
  </si>
  <si>
    <t>srp457</t>
  </si>
  <si>
    <t>Beyond Playtesting: A Generative Multi-Agent Simulation System for Massively Multiplayer Online Games</t>
  </si>
  <si>
    <t>Zhang Ran, Kun Ouyang, Tiancheng Ma, Yida Yang and Dong Fang</t>
  </si>
  <si>
    <t>srp460</t>
  </si>
  <si>
    <t>COINS: Semantic Ids Enhanced Cold Item Representation for Click-through Rate Prediction in E-commerce Search</t>
  </si>
  <si>
    <t>Qihang Zhao, Zhongbo Sun, Xiaoyang Zheng, Xian Guo, Siyuan Wang, Zihan Liang, Mingcan Peng, Ben Chen and Chenyi Lei</t>
  </si>
  <si>
    <t>srp462</t>
  </si>
  <si>
    <t>AWMA-MoE: Attention-Guided Watermark Adapter with MoE for Latent Diffusion Models</t>
  </si>
  <si>
    <t>Yicheng Huang, Xinyu Xiao, Jian Zhang, Shuhan Qi, Yulin Wu and Xuan Wang</t>
  </si>
  <si>
    <t>srp463</t>
  </si>
  <si>
    <t>Towards Responsible Recommendations: A Daily Updated Ranking Model for Content Issue Detection</t>
  </si>
  <si>
    <t>Haoze Wu, Chenghui Yu, Bingfeng Deng and Daniel Chen</t>
  </si>
  <si>
    <t>srp464</t>
  </si>
  <si>
    <t>ThinkTank-ME: A Multi-Expert Framework for Middle East Event Forecasting</t>
  </si>
  <si>
    <t>Haoxuan Li, He Chang, Yunshan Ma, Yi Bin, Yang Yang, See-Kiong Ng and Tat-Seng Chua</t>
  </si>
  <si>
    <t>srp466</t>
  </si>
  <si>
    <t>An 8-Way Taxonomy for Multimodal Disinformation and Detection Benchmark</t>
  </si>
  <si>
    <t>Shuhan Cui, Ruimin Chu, Hanrui Wang, Patrick H. Chen, Ching-Chun Chang and Isao Echizen</t>
  </si>
  <si>
    <t>srp470</t>
  </si>
  <si>
    <t>DTRec: Learning Dynamic Reasoning Trajectories for Sequential Recommendation</t>
  </si>
  <si>
    <t>Yifan Shao, Peilin Zhou, Shoujin Wang, Weizhi Zhang, Sunghun Kim and Xu Cai</t>
  </si>
  <si>
    <t>srp481</t>
  </si>
  <si>
    <t>Machine Learning as a Service (MLaaS) Dataset Generator Framework for IoT Environments</t>
  </si>
  <si>
    <t>Deepak Kanneganti, Sajib Mistry, Sheik Mohammad Mostakim Fattah, Joshua Boland and Aneesh Krishna</t>
  </si>
  <si>
    <t>srp488</t>
  </si>
  <si>
    <t>Explainable Graph Sparsification with Shapley Values</t>
  </si>
  <si>
    <t>Selahattin Akkas and Ariful Azad</t>
  </si>
  <si>
    <t>srp497</t>
  </si>
  <si>
    <t>Coarse-Fine: A Novel VPA Strategy for Boosting Resource Utilization of Transient Offline Tasks</t>
  </si>
  <si>
    <t>Yingying Wen, Yingzhi Chu, Zhongyu Wang, Zhecheng Lin, Fan Jiang, Wu Xiang and Rui Shi</t>
  </si>
  <si>
    <t>srp503</t>
  </si>
  <si>
    <t>PAOSC: Plug-and-play Attention Optimization for Semantic Consistency in LLMs</t>
  </si>
  <si>
    <t>Chang Li, Yawei Liu, Chun Long, Jing Zhao and Guanyao Du</t>
  </si>
  <si>
    <t>srp504</t>
  </si>
  <si>
    <t>Breaking Semantic-Aware Watermarks via LLM-Guided Coherence-Preserving Semantic Injection</t>
  </si>
  <si>
    <t>Zheng Gao, Xiaoyu Li, Zhicheng Bao, Xiaoyan Feng and Jiaojiao Jiang</t>
  </si>
  <si>
    <t>srp508</t>
  </si>
  <si>
    <t>Anonymous Linear Bandits for Multi-User Systems</t>
  </si>
  <si>
    <t>Mohammad Reza Badri, Hossein Esfandiari, Samira Hossein Ghorban and Alireza Rezaeimoghadam</t>
  </si>
  <si>
    <t>srp512</t>
  </si>
  <si>
    <t>Efficient Learning of Sparse Representations from Interactions</t>
  </si>
  <si>
    <t>Vojtech Vancura, Martin Spišák, Rodrigo Alves and Ladislav Peska</t>
  </si>
  <si>
    <t>srp518</t>
  </si>
  <si>
    <t>Back to the Future: Look-ahead Augmentation and Parallel Self-Refinement for Time Series Forecasting</t>
  </si>
  <si>
    <t>Sunho Kim and Susik Yoon</t>
  </si>
  <si>
    <t>srp528</t>
  </si>
  <si>
    <t>CGPT: Cluster-Guided Partial Tables with LLM-Generated Supervision for Table Retrieval</t>
  </si>
  <si>
    <t>Tsung-Hsiang Chou, Chen-Jui Yu, Shui-Hsiang Hsu and Yao-Chung Fan</t>
  </si>
  <si>
    <t>srp539</t>
  </si>
  <si>
    <t>EDTF: A Plug-and-Play Learning Framework for Estimated Delivery Time Task</t>
  </si>
  <si>
    <t>Yichen Song, Jianfeng Zhou, Renhao Cao and Jian-Ya Ding</t>
  </si>
  <si>
    <t>srp560</t>
  </si>
  <si>
    <t>Understanding Post-Exploit Laundering Behavior on Ethereum</t>
  </si>
  <si>
    <t>Xihan Xiong and Junliang Luo</t>
  </si>
  <si>
    <t>srp571</t>
  </si>
  <si>
    <t>HAUTE: Harmonizing Action Units with Temporal-contextual Embeddings for Deepfake Detection</t>
  </si>
  <si>
    <t>Chaewon Kang, Youjin Lee and Jinyoung Han</t>
  </si>
  <si>
    <t>srp572</t>
  </si>
  <si>
    <t>Auditing Textual Context in Sequence-Aware Explainable Recommendation</t>
  </si>
  <si>
    <t>Alejandro Ariza-Casabona, Maria Salamó and Ludovico Boratto</t>
  </si>
  <si>
    <t>srp578</t>
  </si>
  <si>
    <t>MACA: A Multi-Agent Cognitive Adaptation Framework for Human–Agent Collaborative Decision Making</t>
  </si>
  <si>
    <t>Youn Jun Seong and Ha Young Oh</t>
  </si>
  <si>
    <t>srp580</t>
  </si>
  <si>
    <t>Rethinking MoE with Retrieval-Memory Synergy: Towards Efficient Expert Coordination</t>
  </si>
  <si>
    <t>Wanjie Tao, Qun Dai, Yantong Lv, Quan Lu, Ning Jiang and Zulong Chen</t>
  </si>
  <si>
    <t>srp592</t>
  </si>
  <si>
    <t>Exploring Fine-Tuning for Tabular Foundation Models</t>
  </si>
  <si>
    <t>Aditya Tanna, Pratinav Seth, Mohamed Bouadi and Vinay Kumar Sankarapu</t>
  </si>
  <si>
    <t>srp594</t>
  </si>
  <si>
    <t>MGK-RAG: Multi-Granularity Knowledge Guided Retrieval-Augmented Generation for Radiology Report</t>
  </si>
  <si>
    <t>Jiaqing Ma, Xiaodong Yue, Yufei Chen, Jie Shi, Zhipeng Wei and Zeyu Jia</t>
  </si>
  <si>
    <t>srp610</t>
  </si>
  <si>
    <t>Do You Trust Me? Cognitive–Affective Signatures of Trustworthiness in Large Language Models</t>
  </si>
  <si>
    <t>Gerard C. Yeo, Svetlana Churina and Kokil Jaidka</t>
  </si>
  <si>
    <t>srp612</t>
  </si>
  <si>
    <t>Active Retrieval-Augmented Generation with Conflict-Fused Uncertainty Quantification</t>
  </si>
  <si>
    <t>Tao Tang, Xiaodong Yue, Yufei Chen, Jie Shi and Shijie Ding</t>
  </si>
  <si>
    <t>srp613</t>
  </si>
  <si>
    <t>Fact-Checking Strategies in Web: Lateral Navigation in the Browser Boosts Health Misinformation Detection Even Under Confirmation Bias</t>
  </si>
  <si>
    <t>Elena Artemenko, Olessia Koltsova, Maksim Terpilovskii and Natalia Khazova</t>
  </si>
  <si>
    <t>srp616</t>
  </si>
  <si>
    <t>Revisiting IPS-based Algorithms for Off-Policy Evaluation of Contextual Bandits</t>
  </si>
  <si>
    <t>Daria Korovaitceva, Marina Sheshukova, Evgeny Frolov and Sergey Samsonov</t>
  </si>
  <si>
    <t>srp620</t>
  </si>
  <si>
    <t>SAGE-RAI: Design Patterns for Transparent RAG Systems</t>
  </si>
  <si>
    <t>Joseph Kwarteng, Aisling Third, Alexander Mikroyannidis, David Tarrant and John Domingue</t>
  </si>
  <si>
    <t>srp627</t>
  </si>
  <si>
    <t>Towards Efficient and Interpretable Medical Concept Representation via Ontology-driven Residual Vector Quantization</t>
  </si>
  <si>
    <t>Hang Lv, Kaisong Zhang, Yanchao Tan and Xing Chen</t>
  </si>
  <si>
    <t>srp628</t>
  </si>
  <si>
    <t>Multi-Agent Collaborative Filtering: Orchestrating Users and Items for Agentic Recommendations</t>
  </si>
  <si>
    <t>Yu Xia, Sungchul Kim, Tong Yu, Ryan A. Rossi and Julian McAuley</t>
  </si>
  <si>
    <t>srp637</t>
  </si>
  <si>
    <t>Tuning Qwen2.5-VL to Improve Its Web Interaction Skills</t>
  </si>
  <si>
    <t>Alexandra Yakovleva, Henrik Pärssinen, Harri Valpola, Juho Kannala and Alexander Ilin</t>
  </si>
  <si>
    <t>srp640</t>
  </si>
  <si>
    <t>VK-LSVD: A Large-Scale Industrial Dataset for Short-Video Recommendation</t>
  </si>
  <si>
    <t>Aleksandr Poslavsky, Alexander D'yakonov, Yuriy Dorn and Andrey Zimovnov</t>
  </si>
  <si>
    <t>srp641</t>
  </si>
  <si>
    <t>NERdME: A Named Entity Recognition Dataset for Indexing Research Artifacts in Code Repositories</t>
  </si>
  <si>
    <t>Genet Asefa Gesese, Zongxiong Chen, Shufan Jiang, Mary Ann Tan, Zhaotai Liu, Sonja Schimmler and Harald Sack</t>
  </si>
  <si>
    <t>srp642</t>
  </si>
  <si>
    <t>Beyond Item-Level Prediction: Fine-Grained CVR Modeling with Price SKU in E-Commerce Recommendation</t>
  </si>
  <si>
    <t>Huiling Wu, Ao Zhang, Junwei Xu, Boya Du, Jialin Zhu, Yuning Jiang and Dakai Zhai</t>
  </si>
  <si>
    <t>srp656</t>
  </si>
  <si>
    <t>Enhancing Trusted Multi-View Classification via Adaptive Regularization Guided by View-Specific Biases</t>
  </si>
  <si>
    <t>Zhiyuan Liu, Xiaodong Yue, Yufei Chen, Shijie Ding and Jie Shi</t>
  </si>
  <si>
    <t>srp671</t>
  </si>
  <si>
    <t>Orion-Bix: Bi-Axial Attention for Tabular In-Context Learning</t>
  </si>
  <si>
    <t>Mohamed Bouadi, Pratinav Seth, Aditya Tanna and Vinay Kumar Sankarapu</t>
  </si>
  <si>
    <t>srp676</t>
  </si>
  <si>
    <t>Truth with a Twist: The Rhetoric of Persuasion in Professional vs. Community-Authored Fact-Checks</t>
  </si>
  <si>
    <t>Olesya Razuvayevskaya and Kalina Bontcheva</t>
  </si>
  <si>
    <t>srp683</t>
  </si>
  <si>
    <t>Multi-Behavior Sequential Modeling with Transition-Aware Graph Attention Network for E-Commerce Recommendation</t>
  </si>
  <si>
    <t>Hanqi Jin, Gaoming Yang, Zhangming Chan, Yapeng Yuan, Longbin Li, Fei Sun, Yeqiu Yang, Jian Wu, Yuning Jiang and Bo Zheng</t>
  </si>
  <si>
    <t>srp689</t>
  </si>
  <si>
    <t>Vertical Semi-Federated Learning for Efficient Online Advertising</t>
  </si>
  <si>
    <t>Wenjie Li, Shu-Tao Xia, Jiangke Fan, Teng Zhang and Xingxing Wang</t>
  </si>
  <si>
    <t>srp694</t>
  </si>
  <si>
    <t>MiniAMIE: Quick and Dirty Rule Mining on Knowledge Graphs</t>
  </si>
  <si>
    <t>Luis Galárraga, Julianne Guerbette, Isseïnie Sinouvassane and Paul Viallard</t>
  </si>
  <si>
    <t>srp696</t>
  </si>
  <si>
    <t>How Graphs Can Help You Stay Informed in an Evolving World</t>
  </si>
  <si>
    <t>MohammadHossein Bateni, Lin Chen, Hossein Esfandiari and Sasan Tavakkol</t>
  </si>
  <si>
    <t>srp704</t>
  </si>
  <si>
    <t>What Is Your AI Agent Buying? Evaluation, Biases, Model Dependence, &amp; Emerging Implications of Agentic E-Commerce</t>
  </si>
  <si>
    <t>Amine Allouah, Omar Besbes, Josué D. Figueroa, Yash Kanoria and Akshit Kumar</t>
  </si>
  <si>
    <t>srp705</t>
  </si>
  <si>
    <t>PRISM: LLM-Guided Semantic Clustering for High-Precision Topics</t>
  </si>
  <si>
    <t>Connor Douglas, Utkucan Balci and Joseph Aylett-Bullock</t>
  </si>
  <si>
    <t>srp709</t>
  </si>
  <si>
    <t>CitiLink-Summ: A Dataset of Discussion Subjects Summaries in European Portuguese Municipal Meeting Minutes</t>
  </si>
  <si>
    <t>Miguel Marques, Ana Luísa Fernandes, Ana Filipa Pacheco, Rute Rebouças, Inês Cantante, José Isidro, Luís Filipe Cunha, Alípio Jorge, Nuno Guimarães, Sérgio Nunes, António Leal, Purificação Silvano and Ricardo Campos</t>
  </si>
  <si>
    <t>srp717</t>
  </si>
  <si>
    <t>Multi-Modal Enhanced Graph Transfer Learning for Digital Finance Fraud Detection</t>
  </si>
  <si>
    <t>Yuxin Liu, Stephen Chan, Jeffrey Chu, Yuanyuan Zhang, Chenguang Yang, Zihao Wang, Yulia R. Gel and Yuzhou Chen</t>
  </si>
  <si>
    <t>srp718</t>
  </si>
  <si>
    <t>Designing for the Next Click: Bandits for Real-Time Page Layout</t>
  </si>
  <si>
    <t>Bhavtosh Rath, Harshith Narasimhamurthy, Bob Eisinger, Cole Stiegler, Adnan Awow and Amit Pande</t>
  </si>
  <si>
    <t>srp726</t>
  </si>
  <si>
    <t>Deepfakes in the 2025 Canadian Election: Prevalence, Partisanship, and Platform Dynamics</t>
  </si>
  <si>
    <t>Victor Livernoche, Andreea Musulan, Zachary Yang, Jean-François Godbout and Reihaneh Rabbany</t>
  </si>
  <si>
    <t>srp727</t>
  </si>
  <si>
    <t>Edit-Level Tracking of Narrative Changes in 10-K Filings</t>
  </si>
  <si>
    <t>Xiao Li, Changhong Jin, Yingjie Niu, Jingyi Wang and Ruihai Dong</t>
  </si>
  <si>
    <t>srp740</t>
  </si>
  <si>
    <t>Real-Time Trend Prediction via Continually-Aligned LLM Query Generation</t>
  </si>
  <si>
    <t>Zijing Hui, Wenhan Lyu, Shusen Wang, Li Chen and Chu Wang</t>
  </si>
  <si>
    <t>srp742</t>
  </si>
  <si>
    <t>Uncertainty-Aware Web-Conditioned Scientific Fact-Checking</t>
  </si>
  <si>
    <t>Ashwin Vinod and Katrin Erk</t>
  </si>
  <si>
    <t>srp745</t>
  </si>
  <si>
    <t>Towards Token-Level Text Anomaly Detection</t>
  </si>
  <si>
    <t>Yang Cao, Bicheng Yu, Sikun Yang, Ming Liu and Yujiu Yang</t>
  </si>
  <si>
    <t>srp747</t>
  </si>
  <si>
    <t>llm-tuna - Hyperparameter Optimization for LLM Inference</t>
  </si>
  <si>
    <t>Thameem Abbas Ibrahim Bathusha, Aanya Sharma, Andy Huynh, Rehan Samaratunga and Ashish Kamra</t>
  </si>
  <si>
    <t>srp750</t>
  </si>
  <si>
    <t>From Random Forget-Sets to Realistic Natural-Language Deletion Requests</t>
  </si>
  <si>
    <t>Imran Ahsan, Jinsung Kim and Mucheol Kim</t>
  </si>
  <si>
    <t>srp757</t>
  </si>
  <si>
    <t>Retrieval Collapses When AI Pollutes the Web</t>
  </si>
  <si>
    <t>Hongyeon Yu, Dongchan Kim and Young-Bum Kim</t>
  </si>
  <si>
    <t>srp770</t>
  </si>
  <si>
    <t>Multimodal Topic Discovery in Web Media via von Mises-Fisher Mixture Neural Topic Models</t>
  </si>
  <si>
    <t>Dayu Guo, Zhiwen Luo, Nizar Bouguila and Wentao Fan</t>
  </si>
  <si>
    <t>srp771</t>
  </si>
  <si>
    <t>Predicting Expectancy Violations Using Eye-Tracking Features: A Machine Learning Approach</t>
  </si>
  <si>
    <t>Sakrapee Paisalnan and Yashar Moshfeghi</t>
  </si>
  <si>
    <t>srp775</t>
  </si>
  <si>
    <t>SEER: Set Encoding for Efficient Representation in Large-Scale E-commerce</t>
  </si>
  <si>
    <t>Yining Lin, Yuming Shen, Yipeng Zhang and Canran Xu</t>
  </si>
  <si>
    <t>srp776</t>
  </si>
  <si>
    <t>ReSuMe: Retriever-Summarizer Mutual Enhancement via Reinforcement Learning</t>
  </si>
  <si>
    <t>Owais Makroo, Nikhil Pattisapu, Karan Gupta, Ankit Gandhi, Vijay Huddar and Atul Saroop</t>
  </si>
  <si>
    <t>srp803</t>
  </si>
  <si>
    <t>Agent-Enhanced Heterogeneous Graph RAG for Academic Question Answering</t>
  </si>
  <si>
    <t>Runsong Jia, Mengjia Wu, Ying Ding, Jie Lu and Yi Zhang</t>
  </si>
  <si>
    <t>srp807</t>
  </si>
  <si>
    <t>Causal Pre-training Under the Fairness Lens: An Empirical Study of TabPFN</t>
  </si>
  <si>
    <t>Qinyi Liu, Mohammad Khalil and Naman Goel</t>
  </si>
  <si>
    <t>srp814</t>
  </si>
  <si>
    <t>STAR: Semantic Table Representation with Header-Aware Clustering and Adaptive Weighted Fusion</t>
  </si>
  <si>
    <t>Shui-Hsiang Hsu, Tsung-Hsiang Chou, Chen-Jui Yu and Yao-Chung Fan</t>
  </si>
  <si>
    <t>srp816</t>
  </si>
  <si>
    <t>ULoR: Uncertainty-Aware Leave-One-Out Refinement Framework for Diagnosis Prediction</t>
  </si>
  <si>
    <t>Jie Zhang, Wanzi Shao and Tan Yanchao</t>
  </si>
  <si>
    <t>srp836</t>
  </si>
  <si>
    <t>Lurkers, Interactors, Creators: Modeling Behavioral and Ideological Diversity on X</t>
  </si>
  <si>
    <t>Cai Yang, Kokil Jaidka, Yphtach Lelkes and Subhayan Mukerjee</t>
  </si>
  <si>
    <t>srp837</t>
  </si>
  <si>
    <t>Tabular Foundation Models are Strong Graph Anomaly Detectors</t>
  </si>
  <si>
    <t>Yunhui Liu, Tieke He, Yongchao Liu, Can Yi, Hong Jin and Chuntao Hong</t>
  </si>
  <si>
    <t>srp859</t>
  </si>
  <si>
    <t>Weighted Reservoir Sampling with Replacement from Data Streams</t>
  </si>
  <si>
    <t>Adriano Meligrana and Adriano Fazzone</t>
  </si>
  <si>
    <t>srp878</t>
  </si>
  <si>
    <t>Multi-field Balance-aware Calibration of Predictions in Online Advertising</t>
  </si>
  <si>
    <t>Zi-Kang Wang, Lei Gong, Shu-Ting Shi, Lan-Zhe Guo and Mu-Yu Zhang</t>
  </si>
  <si>
    <t>Date</t>
  </si>
  <si>
    <t>Available slots</t>
  </si>
  <si>
    <t>Assigned slots</t>
  </si>
  <si>
    <t>status</t>
  </si>
  <si>
    <t>June 29 morning</t>
  </si>
  <si>
    <t>invalid</t>
  </si>
  <si>
    <t>June 29 afternoon</t>
  </si>
  <si>
    <t>June 30 morning</t>
  </si>
  <si>
    <t>June 30 afternoon</t>
  </si>
  <si>
    <t>Tutorial id</t>
  </si>
  <si>
    <t>Ttitle</t>
  </si>
  <si>
    <t>Presenters</t>
  </si>
  <si>
    <t>Temporal Information Retrieval And Question Answering in the Age of LLMs</t>
  </si>
  <si>
    <t>Bhawna Piryani, Avishek Anand and Adam Jatowt</t>
  </si>
  <si>
    <t>Out-of-distribution Generalized Generative AI</t>
  </si>
  <si>
    <t>Xin Wang, Yuwei Zhou, Zirui Pan and Wenwu Zhu</t>
  </si>
  <si>
    <t>Towards a Responsible Web: Economic Perspectives on Fairness in Information Retrieval</t>
  </si>
  <si>
    <t>Chen Xu, Clara Rus, Yuanna Liu, Marleen de Jonge, Jun Xu and Maarten de Rijke</t>
  </si>
  <si>
    <t>Next-Gen Code Development with Collaborative AI Agents</t>
  </si>
  <si>
    <t>Shweta Garg, Behrooz Omidvar-Tehrani, Shengyu Fu, Gauthier Guinet and Baishakhi Ray</t>
  </si>
  <si>
    <t>LLM-Enhanced Web-Centric Spatio-Temporal Intelligence: Methods, Applications, and Frontier Research</t>
  </si>
  <si>
    <t>Zijian Zhang, Hao Miao, Yuxuan Liang, Yan Zhao and Irwin King</t>
  </si>
  <si>
    <t>Quantum-Safe, Efficient, and AI-Enhanced Blockchains for the Web: A Cooperative Tutorial on Quantum Computing, Blockchain Applications, and Data Standards</t>
  </si>
  <si>
    <t>Dongping Liu, Aoyu Zhang and Luyao Zhang</t>
  </si>
  <si>
    <t>Conversational Search: From Fundamentals to Frontiers in the Age of Agents</t>
  </si>
  <si>
    <t>Chuan Meng, Fengran Mo, Mohammad Aliannejadi, Jeff Dalton and Jian-Yun Nie</t>
  </si>
  <si>
    <t>Bandits, LLMs, and Agentic Web</t>
  </si>
  <si>
    <t>Djallel Bouneffouf and Raphael Feraud</t>
  </si>
  <si>
    <t>Unstructured to Structured: Building Knowledge Graphs from Documents for Web Applications</t>
  </si>
  <si>
    <t>Qiang Sun, Yihao Ding, Sirui Li and Wei Liu</t>
  </si>
  <si>
    <t>Foundations for the Agentic Web: Infrastructure, Economics, and Society</t>
  </si>
  <si>
    <t>Ramesh Raskar and Pradyumna Chari</t>
  </si>
  <si>
    <t>Generalist Model for Structured Data: Foundations, Frontiers and Applications</t>
  </si>
  <si>
    <t>Peng Cui, Xingxuan Zhang, Han-Jia Ye, Jintai Chen and Shuyang Li</t>
  </si>
  <si>
    <t>Robust Graph Learning on the Web: Challenges, Methods, and Applications</t>
  </si>
  <si>
    <t>Xiang Ao, Yang Liu, Guansong Pang, Yuanhao Ding, Hezhe Qiao, Dawei Cheng and Qing He</t>
  </si>
  <si>
    <t>Responsible Prompting on the Web: Governance, Mini-Evaluation, and Readiness with ChatGPT</t>
  </si>
  <si>
    <t>Manali Sharma and Ayush Garg</t>
  </si>
  <si>
    <t xml:space="preserve">Index </t>
  </si>
  <si>
    <t>Duration</t>
  </si>
  <si>
    <t>Organizers</t>
  </si>
  <si>
    <t>Website</t>
  </si>
  <si>
    <t>Acronym</t>
  </si>
  <si>
    <t>Title for program</t>
  </si>
  <si>
    <t>Title</t>
  </si>
  <si>
    <t>Half day</t>
  </si>
  <si>
    <t xml:space="preserve">Cesar Sanin, Edward Szczerbicki and Md Rafiqul Islam </t>
  </si>
  <si>
    <r>
      <rPr>
        <rFont val="Arial,sans-serif"/>
        <color rgb="FF1155CC"/>
        <sz val="12.0"/>
        <u/>
      </rPr>
      <t>https://rafiqulislamcse24.wixsite.com/aaimvt-26</t>
    </r>
  </si>
  <si>
    <t>(AAIMVT)</t>
  </si>
  <si>
    <t>1st Workshop on Applied AI and Multimodal Visualization Technologies</t>
  </si>
  <si>
    <t xml:space="preserve">Esma Aïmeur, Rim Ben Salem, Dorsaf Sallami, Julita Vassileva and Nora Boulahia-Cuppens </t>
  </si>
  <si>
    <r>
      <rPr>
        <rFont val="Arial,sans-serif"/>
        <color rgb="FF1155CC"/>
        <sz val="12.0"/>
        <u/>
      </rPr>
      <t>https://sites.google.com/view/aiofai-2026/home</t>
    </r>
  </si>
  <si>
    <t>(AiOfAi)</t>
  </si>
  <si>
    <t>The Workshop on Adverse Impacts and Collateral Effects of Artificial Intelligence Technologies</t>
  </si>
  <si>
    <t xml:space="preserve">Giorgio Maria Di Nunzio, Evangelos Kanoulas and Prasenjit Majumder </t>
  </si>
  <si>
    <r>
      <rPr>
        <rFont val="Arial,sans-serif"/>
        <color rgb="FF1155CC"/>
        <sz val="12.0"/>
        <u/>
      </rPr>
      <t>https://altars2026.dei.unipd.it/</t>
    </r>
  </si>
  <si>
    <t>(ALTARS 2026)</t>
  </si>
  <si>
    <t>4th Workshop on Augmented Intelligence in Technology-Assisted Review Systems</t>
  </si>
  <si>
    <t>Stefan Dietze, Dimitar Dimitrov, Pavlos Fafalios and Konstantin Todorov</t>
  </si>
  <si>
    <r>
      <rPr>
        <rFont val="Arial,sans-serif"/>
        <color rgb="FF1155CC"/>
        <sz val="12.0"/>
        <u/>
      </rPr>
      <t>https://beyondfacts2026.wordpress.com/</t>
    </r>
  </si>
  <si>
    <t>(BeyondFacts'26)</t>
  </si>
  <si>
    <t>6th International Workshop on Computational Methods for Online Discourse Analysis</t>
  </si>
  <si>
    <t>Full day</t>
  </si>
  <si>
    <t>Thomas Mandl, Haiming Liu, Gautam Kishore Shahi, Amit Kumar Jaiswal, Durgesh Nandini, Luis-Daniel Ibáñez, Junichi Suga, Dai Yamamoto, Rahul Mishra, Rajakrishnan P. Rajkumar, Sagar Uprety, Sujit Kuma and Bornali Phukon</t>
  </si>
  <si>
    <r>
      <rPr>
        <rFont val="Arial,sans-serif"/>
        <color rgb="FF1155CC"/>
        <sz val="12.0"/>
        <u/>
      </rPr>
      <t>https://dhow-workshop.github.io/2026/</t>
    </r>
  </si>
  <si>
    <t>(DHOW-MiLLA) part 1</t>
  </si>
  <si>
    <t>Joint Workshop on Diffusion of Harmful Content on Online Web and Countering Misinformation in the Age of LLMs and Agents</t>
  </si>
  <si>
    <r>
      <rPr>
        <rFont val="Arial,sans-serif"/>
        <color rgb="FF1155CC"/>
        <sz val="12.0"/>
        <u/>
      </rPr>
      <t>https://dhow-workshop.github.io/2026/</t>
    </r>
  </si>
  <si>
    <t>(DHOW-MiLLA) part 2</t>
  </si>
  <si>
    <t xml:space="preserve">Abderrahmane Maaradji, Abul Ehtesham, Aditi Singh, Boualem Benatallah, Fatma Outay, Luca Muscariello, Pradyumna Chari, Ramesh Raskar, Sabrina Senatore and Yacine Sam </t>
  </si>
  <si>
    <r>
      <rPr>
        <rFont val="Arial,sans-serif"/>
        <color rgb="FF1155CC"/>
        <sz val="12.0"/>
        <u/>
      </rPr>
      <t>https://faaw.univ-tours.fr/</t>
    </r>
  </si>
  <si>
    <t>(FAAW) part 1</t>
  </si>
  <si>
    <t>International Workshop on Foundations and Architectures for the Agentic Web</t>
  </si>
  <si>
    <r>
      <rPr>
        <rFont val="Arial,sans-serif"/>
        <color rgb="FF1155CC"/>
        <sz val="12.0"/>
        <u/>
      </rPr>
      <t>https://faaw.univ-tours.fr/</t>
    </r>
  </si>
  <si>
    <t>(FAAW) part 2</t>
  </si>
  <si>
    <t xml:space="preserve">Irwin King, Guodong Long, Zenglin Xu, Han Yu, Xiaoli Tang and Liping Yi </t>
  </si>
  <si>
    <r>
      <rPr>
        <rFont val="Arial,sans-serif"/>
        <color rgb="FF1155CC"/>
        <sz val="12.0"/>
        <u/>
      </rPr>
      <t>https://federated-learning.org/fl@fm-www-2026/</t>
    </r>
  </si>
  <si>
    <t>(FL@FM)</t>
  </si>
  <si>
    <t>International Workshop on Federated Foundation Models for the Web 2026</t>
  </si>
  <si>
    <t xml:space="preserve">Gianluca Bonifazi, Stefano Cirillo, Eliana Pastor and Luca Virgili </t>
  </si>
  <si>
    <r>
      <rPr>
        <rFont val="Arial,sans-serif"/>
        <color rgb="FF1155CC"/>
        <sz val="12.0"/>
        <u/>
      </rPr>
      <t>https://glow-workshop.github.io/www2026/</t>
    </r>
  </si>
  <si>
    <t>(GLOW)</t>
  </si>
  <si>
    <t>Graph-enhanced LLMs for Trustworthy Web Data Management</t>
  </si>
  <si>
    <t xml:space="preserve">Kaike Zhang, Jiakai Tang, Du Su, Shuchang Liu, Julian McAuley, Lina Yao, Qi Cao, Yue Feng and Fei Sun </t>
  </si>
  <si>
    <r>
      <rPr>
        <rFont val="Arial,sans-serif"/>
        <color rgb="FF1155CC"/>
        <sz val="12.0"/>
        <u/>
      </rPr>
      <t>https://hcrec.github.io/</t>
    </r>
  </si>
  <si>
    <t>(HCRS)</t>
  </si>
  <si>
    <t>The 2nd Workshop on Human-Centered Recommender Systems</t>
  </si>
  <si>
    <t xml:space="preserve">Keerthi Gopalakrishnan, Qi Xu, Aysenur Inan, Zhigang Hua, Shuang Yang and Luyi Ma </t>
  </si>
  <si>
    <r>
      <rPr>
        <rFont val="Arial,sans-serif"/>
        <color rgb="FF1155CC"/>
        <sz val="12.0"/>
        <u/>
      </rPr>
      <t>https://llmandagents4recsys.github.io/</t>
    </r>
  </si>
  <si>
    <t>(LARS) part 1</t>
  </si>
  <si>
    <t>LLM &amp; Agents for Recommendation Systems</t>
  </si>
  <si>
    <r>
      <rPr>
        <rFont val="Arial,sans-serif"/>
        <color rgb="FF1155CC"/>
        <sz val="12.0"/>
        <u/>
      </rPr>
      <t>https://llmandagents4recsys.github.io/</t>
    </r>
  </si>
  <si>
    <t>(LARS) part 2</t>
  </si>
  <si>
    <t xml:space="preserve">Usman Naseem, Surendrabikram Thapa, Roy Ka-Wei Lee and Mehwish Nasim </t>
  </si>
  <si>
    <r>
      <rPr>
        <rFont val="Arial,sans-serif"/>
        <color rgb="FF1155CC"/>
        <sz val="12.0"/>
        <u/>
      </rPr>
      <t>https://sites.google.com/view/mm4sg-webconf26</t>
    </r>
  </si>
  <si>
    <t>(MM4SG)</t>
  </si>
  <si>
    <t>Fourth International Workshop on Multimodal Content Analysis for Social Good</t>
  </si>
  <si>
    <t xml:space="preserve">Damien Graux, Sébastien Montella and Hajira Jabeen </t>
  </si>
  <si>
    <r>
      <rPr>
        <rFont val="Arial,sans-serif"/>
        <color rgb="FF1155CC"/>
        <sz val="12.0"/>
        <u/>
      </rPr>
      <t>https://prompteng-ws.github.io/2026/</t>
    </r>
  </si>
  <si>
    <t>(PromptEng)</t>
  </si>
  <si>
    <t>Third International Workshop on Prompt Engineering for Pre-Trained Language Models</t>
  </si>
  <si>
    <t xml:space="preserve">Fakhri Momeni, Arnim Bleier, Danilo Dessi and Muhammad Taimoor Khan </t>
  </si>
  <si>
    <r>
      <rPr>
        <rFont val="Arial,sans-serif"/>
        <color rgb="FF1155CC"/>
        <sz val="12.0"/>
        <u/>
      </rPr>
      <t>https://sites.google.com/view/r2cass/home</t>
    </r>
  </si>
  <si>
    <t>(R2CASS)</t>
  </si>
  <si>
    <t>The 2nd International Workshop on Social Science Meets Web Data: Reproducible and Reusable Computational Approaches</t>
  </si>
  <si>
    <t xml:space="preserve">Rima Dessi', Jeenu Joy, Danilo Dessi', Francesco Osborne and Hidir Aras </t>
  </si>
  <si>
    <r>
      <rPr>
        <rFont val="Arial,sans-serif"/>
        <color rgb="FF1155CC"/>
        <sz val="12.0"/>
        <u/>
      </rPr>
      <t>https://semtech4stld.github.io/</t>
    </r>
  </si>
  <si>
    <t>(SemTech)</t>
  </si>
  <si>
    <t>4th International Workshop on AI and Semantic Technologies for the Scientific, Technical, and Legal Web</t>
  </si>
  <si>
    <t xml:space="preserve">Marc Spaniol, France Omar Alonso and Ricardo Baeza-Yates </t>
  </si>
  <si>
    <r>
      <rPr>
        <rFont val="Arial,sans-serif"/>
        <color rgb="FF1155CC"/>
        <sz val="12.0"/>
        <u/>
      </rPr>
      <t>https://temporalweb.net/</t>
    </r>
  </si>
  <si>
    <t>(TempWeb) part 1</t>
  </si>
  <si>
    <t>The 16th Temporal Web Analytics Workshop</t>
  </si>
  <si>
    <r>
      <rPr>
        <rFont val="Arial,sans-serif"/>
        <color rgb="FF1155CC"/>
        <sz val="12.0"/>
        <u/>
      </rPr>
      <t>https://temporalweb.net/</t>
    </r>
  </si>
  <si>
    <t>(TempWeb) part 2</t>
  </si>
  <si>
    <t xml:space="preserve">Haoang Chi  Qi  Wang  Jiantong Jiang  Jiangchao Yao  Feng Liu  Bo Han </t>
  </si>
  <si>
    <r>
      <rPr>
        <rFont val="Arial,sans-serif"/>
        <color rgb="FF1155CC"/>
        <sz val="12.0"/>
        <u/>
      </rPr>
      <t>https://www-tfm-causal.github.io/www2026-workshop/</t>
    </r>
  </si>
  <si>
    <t>(TrustFM)</t>
  </si>
  <si>
    <t>Trustworthy Foundation Models for Web Intelligence: Causal Perspectives and Challenges</t>
  </si>
  <si>
    <t xml:space="preserve"> Lei Wang,  Md Zakir Hossain, Tom Gedeon, Syed Mohammed Shamsul Islam. Rafiqul Islam. Yasmeen George and Shreya Ghosh </t>
  </si>
  <si>
    <r>
      <rPr>
        <rFont val="Arial,sans-serif"/>
        <color rgb="FF1155CC"/>
        <sz val="12.0"/>
        <u/>
      </rPr>
      <t>https://time.griffith.edu.au/workshop/time2026/</t>
    </r>
  </si>
  <si>
    <t>(TIME) part 1</t>
  </si>
  <si>
    <t>2nd International Workshop on Transformative Insights in Multi-faceted Evaluation</t>
  </si>
  <si>
    <r>
      <rPr>
        <rFont val="Arial,sans-serif"/>
        <color rgb="FF1155CC"/>
        <sz val="12.0"/>
        <u/>
      </rPr>
      <t>https://time.griffith.edu.au/workshop/time2026/</t>
    </r>
  </si>
  <si>
    <t>(TIME) part 2</t>
  </si>
  <si>
    <t>Jingwei Sun,G uosheng Lin, Fengmao Lv, Tao Liang, Junlin Fang and Jianli Wang</t>
  </si>
  <si>
    <r>
      <rPr>
        <rFont val="Arial,sans-serif"/>
        <color rgb="FF1155CC"/>
        <sz val="12.0"/>
        <u/>
      </rPr>
      <t>https://ttthhl.github.io/www2026-workshop/</t>
    </r>
  </si>
  <si>
    <t>(TML)</t>
  </si>
  <si>
    <t>International Workshop on Trustworthy Multimodal Learning for Social Media Analysis</t>
  </si>
  <si>
    <t xml:space="preserve">Ehsan Toreini and Muadh Al Kalbani </t>
  </si>
  <si>
    <r>
      <rPr>
        <rFont val="Arial,sans-serif"/>
        <color rgb="FF1155CC"/>
        <sz val="12.0"/>
        <u/>
      </rPr>
      <t>https://samsunginternet.github.io/webads26/</t>
    </r>
  </si>
  <si>
    <t>(WebAds) part 1</t>
  </si>
  <si>
    <t>Emerging Trends in Web Advertising</t>
  </si>
  <si>
    <r>
      <rPr>
        <rFont val="Arial, sans-serif"/>
        <color rgb="FF1155CC"/>
        <sz val="12.0"/>
        <u/>
      </rPr>
      <t>https://samsunginternet.github.io/webads26/</t>
    </r>
  </si>
  <si>
    <t>(WebAds) part 2</t>
  </si>
  <si>
    <t xml:space="preserve">Leonidas Anthopoulos, Marijn Janssen and Vishanth Weerakkody </t>
  </si>
  <si>
    <r>
      <rPr>
        <rFont val="Arial,sans-serif"/>
        <color rgb="FF1155CC"/>
        <sz val="12.0"/>
        <u/>
      </rPr>
      <t>https://webandthecity.home.blog/</t>
    </r>
  </si>
  <si>
    <t>(WebAndTheCity)</t>
  </si>
  <si>
    <t>12th International Smart City Workshop – Data-Driven Smart Cities</t>
  </si>
  <si>
    <t xml:space="preserve">Yuxuan Liang, Hao Xue, Ming Jin, Fei Wang, Qingxiang Liu, Qingsong Wen, Shirui Pan and Flora Salim </t>
  </si>
  <si>
    <r>
      <rPr>
        <rFont val="Arial,sans-serif"/>
        <color rgb="FF1155CC"/>
        <sz val="12.0"/>
        <u/>
      </rPr>
      <t>https://webst2026.netlify.app/</t>
    </r>
  </si>
  <si>
    <t>(WebST)</t>
  </si>
  <si>
    <t>The 2nd International Workshop on Spatio-Temporal Data Mining from the Web</t>
  </si>
  <si>
    <t xml:space="preserve">Shiho Kim, Ho Suk, Roberto Di Pietro, Davor Svetinovic, KyungHi Chang, Madhusudan Singh and Rakesh Shrestha </t>
  </si>
  <si>
    <r>
      <rPr>
        <rFont val="Arial,sans-serif"/>
        <color rgb="FF1155CC"/>
        <sz val="12.0"/>
        <u/>
      </rPr>
      <t>https://zabapad.github.io</t>
    </r>
  </si>
  <si>
    <t>(ZABAPAD) part 1</t>
  </si>
  <si>
    <t>Zero-knowledge Proof and Blockchain for Web 4.0: Advancing the Post-quantum and Decentralized Era</t>
  </si>
  <si>
    <r>
      <rPr>
        <rFont val="Arial,sans-serif"/>
        <color rgb="FF1155CC"/>
        <sz val="12.0"/>
        <u/>
      </rPr>
      <t>https://zabapad.github.io</t>
    </r>
  </si>
  <si>
    <t>(ZABAPAD) part 2</t>
  </si>
  <si>
    <t>Session id</t>
  </si>
  <si>
    <t>Session name</t>
  </si>
  <si>
    <t>PhD1</t>
  </si>
  <si>
    <t>Reliability, Security, and Safety</t>
  </si>
  <si>
    <t>PhD2</t>
  </si>
  <si>
    <t>Knowledge Discovery and Education</t>
  </si>
  <si>
    <t>PhD3</t>
  </si>
  <si>
    <t>Human Dynamics and Social Media</t>
  </si>
  <si>
    <t>PhD4</t>
  </si>
  <si>
    <t>Governance and Proactive Systems</t>
  </si>
  <si>
    <t>Paper ID</t>
  </si>
  <si>
    <t>Author</t>
  </si>
  <si>
    <t xml:space="preserve">Full title </t>
  </si>
  <si>
    <t>Morning/Afternoon</t>
  </si>
  <si>
    <t>phd030</t>
  </si>
  <si>
    <t>Tutoring Large Language Models to be Domain-adaptive, Precise, and Safe</t>
  </si>
  <si>
    <t>Somnath Banerjee</t>
  </si>
  <si>
    <t>phd070</t>
  </si>
  <si>
    <t>LeTCC-ZK: Smooth, Verifiable Distributed Inference via Spline-Coded Computing</t>
  </si>
  <si>
    <t>Ekaterina Pavlova</t>
  </si>
  <si>
    <t>phd100</t>
  </si>
  <si>
    <t>Edge-Mamba: Efficient and Robust Security Evaluation for the Web of Things via Selective State Spaces</t>
  </si>
  <si>
    <t>Chenchong Du</t>
  </si>
  <si>
    <t>phd010</t>
  </si>
  <si>
    <t>Towards Conversational Dataset Discovery on the Web</t>
  </si>
  <si>
    <t>Lisa-Yao Gan</t>
  </si>
  <si>
    <t>phd040</t>
  </si>
  <si>
    <t>Constructing the Cycle of Mastery: LLM-Empowered Intelligent Tutoring for Programming Education</t>
  </si>
  <si>
    <t>Junfeng Zhang</t>
  </si>
  <si>
    <t>phd020</t>
  </si>
  <si>
    <t>Foundational Representations for Efficient Retrieval of Structured Tabular Data</t>
  </si>
  <si>
    <t>Inwon Kang</t>
  </si>
  <si>
    <t>phd090</t>
  </si>
  <si>
    <t>Exploring Political Attitudes under Selective Media Consumption with Large Language Models</t>
  </si>
  <si>
    <t>Upasana Dutta</t>
  </si>
  <si>
    <t>phd080</t>
  </si>
  <si>
    <t>How the Web Remembers Multilingual Collective Memory on Wikipedia and in Large Language Models</t>
  </si>
  <si>
    <t>H. Laurie Lawson</t>
  </si>
  <si>
    <t>phd060</t>
  </si>
  <si>
    <t>Can You Trust the Data Trust?</t>
  </si>
  <si>
    <t>An Ning Shen</t>
  </si>
  <si>
    <t>phd050</t>
  </si>
  <si>
    <t>Introducing Temporal Dynamics to Proactive Recommender Systems for Email Outreach</t>
  </si>
  <si>
    <t>Čeněk Žid</t>
  </si>
  <si>
    <t>Full Title</t>
  </si>
  <si>
    <t>des0065</t>
  </si>
  <si>
    <t>STIndex: A Context-Aware Multi-Dimensional Spatiotemporal Information Extraction System</t>
  </si>
  <si>
    <t>Wenxiao Zhang, Yu Liu, Qiang Sun, Yihao Ding, Sirui Li, Yanbing Liu, Jin B. Hong and Wei Liu</t>
  </si>
  <si>
    <t>des0084</t>
  </si>
  <si>
    <t>SJBP: A Platform to Launch a Novel Jailbreak Attack on Large Language Models Based on Content's Spatial Distribution</t>
  </si>
  <si>
    <t>Zhiyi Mou, Zeheng Qian, Tianfang Xiao, Wangze Ni, Weijie Sun, Lei Chen, Zhan Qin, Peng Cheng and Kui Ren</t>
  </si>
  <si>
    <t>des0206</t>
  </si>
  <si>
    <t>Pattern Discovery with Wide-Lens Analysis and Sharp-Focus Validation</t>
  </si>
  <si>
    <t>Li Liu, Omar Alonso and Giorgio Ballardin</t>
  </si>
  <si>
    <t>des0336</t>
  </si>
  <si>
    <t>DualMind: Towards Understanding Cognitive-Affective Cascades in Public Opinion Dissemination via Multi-Agent Simulation</t>
  </si>
  <si>
    <t>Enhao Huang, Tongtong Pan, Shuhuai Zhang, Qishu Jin, Liheng Zheng, Kaichun Hu, Yiming Li, Zhan Qin and Kui Ren</t>
  </si>
  <si>
    <t>des0461</t>
  </si>
  <si>
    <t>RISE: A Retrieval-Augmented Generation Enhanced Immersive System for Education</t>
  </si>
  <si>
    <t>Guo Chen, Haowei Tang, Yan Wei, Yuming Wang, Haoyang Zhang, Yikang Hou, Maolin Zheng and Junjie Huang</t>
  </si>
  <si>
    <t>des0502</t>
  </si>
  <si>
    <t>PromptX: A Cognitive Agent Platform with Long-term Memory</t>
  </si>
  <si>
    <t>Binhao Wang, Jianglin Huang, Xiao Hu, Shan Jiang, Maolin Wang, Ching-Ho Yang, Jian Jiang, Junhao Ye, Yaozu Cen, Rui Zeng, Yingtong Zhou, Yingjie Luo, Guanjie Wu, Wangzhong Xu, Feiyu Zhou and Xiangyu Zhao</t>
  </si>
  <si>
    <t>des0759</t>
  </si>
  <si>
    <t>TrustResearcher: Automating Knowledge-Grounded and Transparent Research Ideation with Multi-Agent Collaboration</t>
  </si>
  <si>
    <t>Jiawei Zhou, Ruicheng Zhu, Mengshi Chen, Jianwei Wang and Kai Wang</t>
  </si>
  <si>
    <t>des0910</t>
  </si>
  <si>
    <t>Multimodal Peer Review Simulation with Actionable To-Do Recommendations for Community-Aware Manuscript Revisions</t>
  </si>
  <si>
    <t>Mengze Hong, Di Jiang, Weiwei Zhao, Yawen Li, Yihang Wang, Xinyuan Luo, Yanjie Sun and Chen Jason Zhang</t>
  </si>
  <si>
    <t>des0916</t>
  </si>
  <si>
    <t>Lang2Plan: An LLM-Powered Multi-Agent System for Building Layout Planning</t>
  </si>
  <si>
    <t>Fangyong Pan, Xi Chen, Weiqi Xu, Yifeng Xu and Haofen Wang</t>
  </si>
  <si>
    <t>des0918</t>
  </si>
  <si>
    <t>NGCAPTCHA: A CAPTCHA Bridging the Past and the Future</t>
  </si>
  <si>
    <t>Ziqi Ding, Shangzhi Xu, Wei Song and Yuekang Li</t>
  </si>
  <si>
    <t>des0920</t>
  </si>
  <si>
    <t>G-SEIR: A Graph-Enhanced Epidemic Forecasting System for Dengue Intervention</t>
  </si>
  <si>
    <t>Cheng-Ru Chou, Shou-Po Tsai, Jing-Zhe Huang, Hsu-Han Tu, Pei-Xuan Li and Hsun-Ping Hsieh</t>
  </si>
  <si>
    <t>des0921</t>
  </si>
  <si>
    <t>SAMPLE: A Spatial/Channel-wise Attention GCN with MLP and Periodic Linear Encoding for Land Boundary Demarcation System</t>
  </si>
  <si>
    <t>Min-Huan Tsai, Cheng-Ru Chou, Chia Chen Tsai, Yu-Yin Wang, Pei-Xuan Li, Hsun-Ping Hsieh and Tzu-Chang Lee</t>
  </si>
  <si>
    <t>des0925</t>
  </si>
  <si>
    <t>A Large Language Model-based Agent for Automated Machine Learning Workflow Construction</t>
  </si>
  <si>
    <t>Yutian Xu, Yanhao Wang, Hui Li, Shengjie Xia and Shengtian Min</t>
  </si>
  <si>
    <t>des0940</t>
  </si>
  <si>
    <t>Deep Research Comparator: A Platform For Fine-grained Human Annotations of Deep Research Agents</t>
  </si>
  <si>
    <t>Prahaladh Chandrahasan, Jiahe Jin, Zhihan Zhang, Tevin Wang, Andy Tang, Lucy Mo, Morteza Ziyadi, Leonardo F.R. Ribeiro, Zimeng Qiu, Markus Dreyer, Akari Asai and Chenyan Xiong</t>
  </si>
  <si>
    <t>des0949</t>
  </si>
  <si>
    <t>Docs2Synth: A Synthetic Data Tuned Retriever Framework for Documents Understanding</t>
  </si>
  <si>
    <t>Yihao Ding, Qiang Sun, Puzhen Wu, Sirui Li, Siwen Luo and Wei Liu</t>
  </si>
  <si>
    <t>des0950</t>
  </si>
  <si>
    <t>GCAgent: Enhancing Group Chat Communication through Dialogue Agents System</t>
  </si>
  <si>
    <t>Zijie Meng, Zheyong Xie, Zheyu Ye, Chonggang Lu, Zuozhu Liu, Zihan Niu, Yao Hu and Shaosheng Cao</t>
  </si>
  <si>
    <t>des0951</t>
  </si>
  <si>
    <t>CiteLLM: An Agentic Platform for Trustworthy Scientific Reference Discovery</t>
  </si>
  <si>
    <t>Mengze Hong, Di Jiang, Chen Jason Zhang, Zichang Guo, Yawen Li, Jun Chen, Shaobo Cui and Zhiyang Su</t>
  </si>
  <si>
    <t>des0953</t>
  </si>
  <si>
    <t>A Framework for Continual Knowledge Graph Embedding</t>
  </si>
  <si>
    <t>Gerard Pons, Besim Bilalli and Anna Queralt</t>
  </si>
  <si>
    <t>des0958</t>
  </si>
  <si>
    <t>Roamify: An Interactive Browser Extension for Real-Time LLM-Based Travel Itinerary Generation</t>
  </si>
  <si>
    <t>Vikranth Udandarao, Muthuraj Vairamuthu, Noel Abraham Tiju, Harsh Mistry, Armaan Singh and Dhruv Kumar</t>
  </si>
  <si>
    <t>des959</t>
  </si>
  <si>
    <t>PaperDebugger: A Plugin-Based Multi-Agent System for In-Editor Academic Writing, Review, and Editing</t>
  </si>
  <si>
    <t>Junyi Hou, Andre Lin, Nuo Chen, Yiwei Gong and Bingsheng He</t>
  </si>
  <si>
    <t>des960</t>
  </si>
  <si>
    <t>DriftNavi: Talk through Your Data Drift with LLMs</t>
  </si>
  <si>
    <t>Zixin Wang, Junliang Yu, Tong Chen, Yadan Luo and Shazia Sadiq</t>
  </si>
  <si>
    <t>des965</t>
  </si>
  <si>
    <t>Implementation of a Metacognition Framework for Self-Awareness and Self-Regulation in Ensembles of LLMs</t>
  </si>
  <si>
    <t>Charles Courchaine, Ricky J. Sethi and Hefei Qiu</t>
  </si>
  <si>
    <t>des968</t>
  </si>
  <si>
    <t>BaiJia: An Open Role-Playing Platform of Chinese Historical Characters</t>
  </si>
  <si>
    <t>Ting Bai, Jiazheng Kang, Jiayang Fan, Hengzhi Lan and Yutian Zhong</t>
  </si>
  <si>
    <t>des974</t>
  </si>
  <si>
    <t>LegalKit: A Modular Toolkit for Efficient Legal AI Evaluation</t>
  </si>
  <si>
    <t>Shuo Miao, Haitao Li, Yueyue Wu, Qingyao Ai and Yiqun Liu</t>
  </si>
  <si>
    <t>des978</t>
  </si>
  <si>
    <t>ECLAD: An Edge-Cloud Collaborative Agentic Framework for Interpretable Anomaly Detection in Predictive Maintenance</t>
  </si>
  <si>
    <t>Songyuan Sui, Zhanqi Deng, Yamin Zhuang, Serena Liu, Leisheng Yu, Alfredo Costilla Reyes and Xia Hu</t>
  </si>
  <si>
    <t>des982</t>
  </si>
  <si>
    <t>PeeriScope: A Multi-Faceted Framework for Evaluating Peer Review Quality</t>
  </si>
  <si>
    <t>Sajad Ebrahimi, Soroush Sadeghian, Ali Ghorbanpour, Negar Arabzadeh, Sara Salamat, Seyed Mohammad Hosseini, Hai Son Le, Mahdi Bashari and Ebrahim Bagheri</t>
  </si>
  <si>
    <t>des987</t>
  </si>
  <si>
    <t>ARC: A Tool to Rate AI Models for Robustness Through a Causal Lens for Enabling Trustworthy Model Selection</t>
  </si>
  <si>
    <t>Kausik Lakkaraju, Siva Likitha Valluru, Biplav Srivastava and Marco Valtorta</t>
  </si>
  <si>
    <t>des994</t>
  </si>
  <si>
    <t>IntraAI: Bridging Human-AI Understanding Through Intelligent Interface Design</t>
  </si>
  <si>
    <t>Han Bao, Yue Huang, Xiangliang Zhang and Yanfang Ye</t>
  </si>
  <si>
    <t>des997</t>
  </si>
  <si>
    <t>Sumo x PyPSA: Interactive Web Demo of Real-Time Urban Power-Traffic Co-Simulation with Vehicle-to-Grid</t>
  </si>
  <si>
    <t>Marouane Benbrahim, Xin Fang and Zhiqian Chen</t>
  </si>
  <si>
    <t>des998</t>
  </si>
  <si>
    <t>GreenWebInspector: A Tool for Real-Time Web Energy Efficiency Assessment</t>
  </si>
  <si>
    <t>Muhammad Sohaib Ayub, Umair ul Hassan, Imdad Ullah Khan and Edward Curry</t>
  </si>
  <si>
    <t>des1003</t>
  </si>
  <si>
    <t>Swen: A Cross‑Platform Desktop Assistant for Instant and Personalized Large‑Language‑Model Interaction</t>
  </si>
  <si>
    <t>Wenjun Feng, Rui Li, Zheng Zhang, Zhenya Huang and Qi Liu</t>
  </si>
  <si>
    <t>des1006</t>
  </si>
  <si>
    <t>Click-to-Ask: An AI Live Streaming Assistant with Offline Copywriting and Online Interactive Q&amp;A</t>
  </si>
  <si>
    <t>Ruizhi Yu, Keyang Zhong, Peng Liu, Qi Wu, Haoran Zhang, Yanhao Zhang, Chen Chen and Haonan Lu</t>
  </si>
  <si>
    <t>des1012</t>
  </si>
  <si>
    <t>QueryGym: A Toolkit for Reproducible LLM-Based Query Reformulation</t>
  </si>
  <si>
    <t>Amin Bigdeli, Radin Hamidi Rad, Mert Incesu, Negar Arabzadeh, Charles Clarke and Ebrahim Bagheri</t>
  </si>
  <si>
    <t>des1017</t>
  </si>
  <si>
    <t>MetriKG: Profiling Static and Evolving Knowledge Graphs</t>
  </si>
  <si>
    <t>Hasan Hüseyin Günes, Milos Jovanovik and Katja Hose</t>
  </si>
  <si>
    <t>des1019</t>
  </si>
  <si>
    <t>TabTune: A Unified Library for Inference and Fine-Tuning Tabular Foundation Models</t>
  </si>
  <si>
    <t>Aditya Tanna, Pratinav Seth, Mohamed Bouadi and Vinay Kumar Kumar Sankarapu</t>
  </si>
  <si>
    <t>des1025</t>
  </si>
  <si>
    <t>RobustReviewAI: A Robustness Evaluation System for AI-Powered Peer Review</t>
  </si>
  <si>
    <t>Siming Yuan, Yuchen Liu, Qinan Zheng, Wangze Ni, Shimin Di, Lei Chen and Kui Ren</t>
  </si>
  <si>
    <t>des1028</t>
  </si>
  <si>
    <t>LLM-Powered Structurer: Normalizing Natural Language to Information Delivery Specification for Industrial Data Exchange</t>
  </si>
  <si>
    <t>Jiqian Yang, Sujie Yan, Zhi Li, Mingyu Liu, Yousheng Wang and Wei He</t>
  </si>
  <si>
    <t>des1030</t>
  </si>
  <si>
    <t>OwlerLite: Scope- and Freshness-Aware Web Retrieval for LLM Assistants</t>
  </si>
  <si>
    <t>Saber Zerhoudi, Michael Dinzinger, Michael Granitzer and Jelena Mitrovic</t>
  </si>
  <si>
    <t>des1031</t>
  </si>
  <si>
    <t>Weakly Supervised Multimodal Claim Verification with Entity-Graph Inference</t>
  </si>
  <si>
    <t>Kiana Bagheri-Lotfabad, Amin Beheshti, Milad Mosharraf, Min Li, Pooyan Asgari and Guanfeng Liu</t>
  </si>
  <si>
    <t>des1034</t>
  </si>
  <si>
    <t>BLURR: A Boosted Low-Resource Inference for Vision-Language-Action Model</t>
  </si>
  <si>
    <t>Xiaoyu Ma, Zhengqing Yuan, Zheyuan Zhang, Kaiwen Shi, Lichao Sun and Yanfang Ye</t>
  </si>
  <si>
    <t>Easychair id</t>
  </si>
  <si>
    <t>Sheridan's title</t>
  </si>
  <si>
    <t>Tracks</t>
  </si>
  <si>
    <t>Akhil Jalan and Marios Papachristou</t>
  </si>
  <si>
    <t>Opinion Dynamics with Multiple Adversaries</t>
  </si>
  <si>
    <t>Economics, Online Markets and Human Computation</t>
  </si>
  <si>
    <t>Jiale Han, Chun Gan, Chengcheng Zhang, Jie He, Zhangang
Lin, Ching Law and Xiaowu Dai</t>
  </si>
  <si>
    <t>Auto-bidding under Return-on-Spend Constraints with Uncertainty Quantification</t>
  </si>
  <si>
    <t>Yotam Gafni</t>
  </si>
  <si>
    <t>Deterring A Small Collusion is All You Need</t>
  </si>
  <si>
    <t>Mingxuan Song, Yusen Huo, Bohan Zhou, Shenglin Yin, Zhen
Xiao, Jieyi Long, Zhilin Zhang and Chuan Yu</t>
  </si>
  <si>
    <t>DARA: Few-shot Budget Allocation in Online Advertising via In-Context Decision Making with RL-Finetuned LLMs</t>
  </si>
  <si>
    <t>Kai Wang, Runze Wu, Yu Xiong, Haifeng Sun, Anran Li,
Shaojie Tang, Changjie Fan and Xiang-Yang Li</t>
  </si>
  <si>
    <t>The Power of Penalties: Negativity-Aware Incentives for High-Quality Crowdsourced Data Labeling</t>
  </si>
  <si>
    <t>Best Paper Candidate</t>
  </si>
  <si>
    <t>Bence Ladóczki</t>
  </si>
  <si>
    <t>Analysis of CEX-DEX Arbitrage Opportunities with Hidden Markov Models</t>
  </si>
  <si>
    <t>Yewen Li, Zhiyi Lyu, Peng Jiang, Qingpeng Cai, Fei Pan, Bo
An and Peng Jiang</t>
  </si>
  <si>
    <t>LBM: Hierarchical Large Auto-Bidding Model via Reasoning and Acting</t>
  </si>
  <si>
    <t>Gagan Aggarwal, Andres Perlroth, Ariel Schvartzman Cohenca
and Mingfei Zhao</t>
  </si>
  <si>
    <t>Platform Competition in the Autobidding World</t>
  </si>
  <si>
    <t>Yongkang Guo, Yuqing Kong and Zhihuan Huang</t>
  </si>
  <si>
    <t>PMIScore: An Unsupervised Approach to Quantify Dialogue Engagement</t>
  </si>
  <si>
    <t>Qinde Chen, Huawei Huang and Jian Zheng</t>
  </si>
  <si>
    <t>LiquidityPool: Game-Theoretic Analysis of Stakeholder Revenue in Ranking-Dependent DeFi</t>
  </si>
  <si>
    <t>Qishen Han, Grant Schoenebeck, Biaoshuai Tao and Lirong Xia</t>
  </si>
  <si>
    <t>Aggregating Information and Preferences under Different Coordination Ability</t>
  </si>
  <si>
    <t>The Art of Two-Round Voting</t>
  </si>
  <si>
    <t>Zehan Lin, Xiaowei Wu and Shengwei Zhou</t>
  </si>
  <si>
    <t>Allocating Chores with Restricted Additive Costs: Achieving EFX, MMS, and Efficiency Simultaneously</t>
  </si>
  <si>
    <t>Jiawei Qiu, Xiaowei Wu, Cong Zhang and Shengwei Zhou</t>
  </si>
  <si>
    <t>All-but-one MMS Allocation for Chores</t>
  </si>
  <si>
    <t>Gur Keinan and Omer Ben-Porat</t>
  </si>
  <si>
    <t>Strategic Content Creation with GenAI: To Share or Not to Share?</t>
  </si>
  <si>
    <t>Xinxin Yang, Yangyang Tang, Yikun Zhou, Yaolei Liu, Yun Li
and Bo Yang</t>
  </si>
  <si>
    <t>AHBid: An Adaptable Hierarchical Bidding Framework for Cross-Channel Advertising</t>
  </si>
  <si>
    <t>Juan Luque, Sharmila Duppala, Michael Curry, John Dickerson
and Aravind Srinivasan</t>
  </si>
  <si>
    <t>Barter Exchange with Asymmetric Item Valuations</t>
  </si>
  <si>
    <t>Hossein Nekouyan, Bo Sun, Raouf Boutaba and Xiaoqi Tan</t>
  </si>
  <si>
    <t>Online Rounding and Pricing Schemes for k-Rental Problems</t>
  </si>
  <si>
    <t>Gagan Aggarwal, Yifan Wang and Mingfei Zhao</t>
  </si>
  <si>
    <t>Online Advertising with Spatial Interactions</t>
  </si>
  <si>
    <t>Zhijian Duan, Haoran Sun, Yichong Xia, Siqiang Wang, Zhilin
Zhang, Chuan Yu, Jian Xu and Xiaotie Deng</t>
  </si>
  <si>
    <t>Automated Deterministic Auction Design with Objective Decomposition</t>
  </si>
  <si>
    <t>Houshuang Chen, Yaonan Jin, Pinyan Lu and Chihao Zhang</t>
  </si>
  <si>
    <t>The Query Complexity of Uniform Pricing</t>
  </si>
  <si>
    <t>Yuhan Cao, Yu Wang, Sitong Liu, Miao Li, Yixin Tao and
Tianxing He</t>
  </si>
  <si>
    <t>Pay for The Second-Best Service: A Game-Theoretic Approach against Dishonest LLM Providers</t>
  </si>
  <si>
    <t>Santiago Balseiro, Kshipra Bhawalkar, Yuan Deng, Zhe Feng,
Jieming Mao, Aranyak Mehta, Vahab Mirrokni, Renato Paes
Leme, Di Wang and Song Zuo</t>
  </si>
  <si>
    <t>Position Auctions in AI-Generated Content</t>
  </si>
  <si>
    <t>Jeffrey Gleason, Shuo Zhang and Christo Wilson</t>
  </si>
  <si>
    <t>Determinants and Effects of Buy Box Suppression on Amazon</t>
  </si>
  <si>
    <t>Seyed Esmaeili, Kevin Lim, Kshipra Bhawalkar, Zhe Feng, Di
Wang and Haifeng Xu</t>
  </si>
  <si>
    <t>How to Strategize Human Content Creation in the Era of GenAI?</t>
  </si>
  <si>
    <t>Mohammad Mahdian, Jieming Mao, Enze Sun, Kangning Wang and
Yifan Wang</t>
  </si>
  <si>
    <t>Additively Competitive Secretaries</t>
  </si>
  <si>
    <t>George Christodoulou, Vasilis Christoforidis, Alkmini
Sgouritsa and Ioannis Vlachos</t>
  </si>
  <si>
    <t>Improving the Price of Anarchy via Predictions in Parallel-Link Networks</t>
  </si>
  <si>
    <t>Yunzhe Bai and Alec Sun</t>
  </si>
  <si>
    <t>The Price of Uncertainty for Social Consensus</t>
  </si>
  <si>
    <t>Bingzhe Wang, Tianyu Wang, Qi Qi, Xiaoxuan Deng, Zhilin
Zhang and Chuan Yu</t>
  </si>
  <si>
    <t>Marketing Hosting: From Fixed to Endogenous Budgets</t>
  </si>
  <si>
    <t>Bo Li, Ankang Sun and Shiji Xing</t>
  </si>
  <si>
    <t>Efficient and Fair Allocation on Graphs: From Orientation to Position-Aware Valuations</t>
  </si>
  <si>
    <t>Bhaskar Chaudhury, Jugal Garg, Aniket Murhekar and Jiaxin
Song</t>
  </si>
  <si>
    <t>Data Pricing via Competitive Equilibrium</t>
  </si>
  <si>
    <t>Mohammadtaghi Hajiaghayi, Gary Peng and Suho Shin</t>
  </si>
  <si>
    <t>Single-Sample Bilateral Trade with a Broker</t>
  </si>
  <si>
    <t>Dana Afazeli, Mohamad Latifian and Masoud Seddighin</t>
  </si>
  <si>
    <t>Social Deliberation: Democratic Deliberation Through Unbiased Social Interactions</t>
  </si>
  <si>
    <t>Mohammad Reza Badri, Hossein Esfandiari, Samira
Hosseinghorban and Alireza Rezaeimoghadam</t>
  </si>
  <si>
    <t>Differentially Private Anonymous Bandits for Multi-User Systems</t>
  </si>
  <si>
    <t>Garrett Seo, Xintong Wang and David Parkes</t>
  </si>
  <si>
    <t>Understanding Strategic Platform Entry and Seller Exploration: A Stackelberg Model</t>
  </si>
  <si>
    <t>Ana-Andreea Stoica, Celestine Mendler-Duenner and Moritz
Hardt</t>
  </si>
  <si>
    <t>Stochastic Wage Suppression on Gig Platforms and How to Organize Against It</t>
  </si>
  <si>
    <t>Linan Yue and Weibo Gao</t>
  </si>
  <si>
    <t>Difference-based Sample Selection for Federated Graph Rationalization</t>
  </si>
  <si>
    <t>Graph Algorithms and Modeling for the Web</t>
  </si>
  <si>
    <t>Zhongjian Zhang, Xiao Wang, Mengmei Zhang, Jiarui Tan and
Chuan Shi</t>
  </si>
  <si>
    <t>Toward Graph-Tokenizing Large Language Models with Reconstructive Graph Instruction Tuning</t>
  </si>
  <si>
    <t>Jiayi Wang, Yi Li, Xin Zheng, Junyang Chen, Yanqing Guo,
Alan Wee-Chung Liew and Shirui Pan</t>
  </si>
  <si>
    <t>Multi-Source Unsupervised Graph Domain Adaptation via Concise Propagation–Transformation Pipeline</t>
  </si>
  <si>
    <t>Qin Tian, Chen Zhao, Xintao Wu, Dong Li, Minglai Shao,
Xujiang Zhao and Wenjun Wang</t>
  </si>
  <si>
    <t>Class-Domain Incremental Learning on Graphs via Disentangled Knowledge Distillation</t>
  </si>
  <si>
    <t>Liangsi Lu, Jingchao Wang, Zhaorong Dai, Hanqian Liu and
Yang Shi</t>
  </si>
  <si>
    <t>Riemannian Liquid Spatio-Temporal Graph Network</t>
  </si>
  <si>
    <t>Yi Wang, Jitao Zhao, Dongxiao He, Jia Li, Yuxiao Huang and
Zhiyong Feng</t>
  </si>
  <si>
    <t>Topology-Aware Feature Sorting Enables Universal Modeling on Homophilic and Heterophilic Graphs</t>
  </si>
  <si>
    <t>Yuanyuan Xu, Danni Wu, Xuemin Lin, Dong Wen, Wenjie Zhang,
Lei Chen and Ying Zhang</t>
  </si>
  <si>
    <t>Exploring Sequential Dynamics on Temporal Graphs via Composite Filtering</t>
  </si>
  <si>
    <t>Mingtao Zhang, Guoli Yang, Zhanxing Zhu, Guangyin Jin,
Mengzhu Wang and Xiaoying Bai</t>
  </si>
  <si>
    <t>Diffusion-based Kriging Model with Graph-enhanced Attention</t>
  </si>
  <si>
    <t>Qian Chang, Xia Li, Xiufeng Cheng, Runsong Jia, Jinqing
Yang, Guoping Hu and Ciprian Doru Giurcaneanu</t>
  </si>
  <si>
    <t>Graph Retention Networks for Dynamic Graphs</t>
  </si>
  <si>
    <t>Renda Han, Xiaobao Wang, Luzhi Wang, Wenxin Zhang,
Guangzhen Yao and Hongxiang Liang</t>
  </si>
  <si>
    <t>A Graph Foundation Model for Unified Anomaly Detection</t>
  </si>
  <si>
    <t>Hongbo Xia, Shengxin Liu and Zhaoquan Gu</t>
  </si>
  <si>
    <t>Maximum Edge-based Quasi-Clique: Novel Iterative Frameworks</t>
  </si>
  <si>
    <t>Ziyu Zheng, Yaming Yang, Ziyu Guan, Wei Zhao, Xinyan Huang
and Weigang Lu</t>
  </si>
  <si>
    <t>Beyond Single-Granularity Prompts: A Multi-Scale Chain-of-Thought Prompt Learning for Graph</t>
  </si>
  <si>
    <t>Longlong Lin, Zeli Wang, Rong-Hua Li, Xiaohai Dai, Li Ni
and Jin Zhao</t>
  </si>
  <si>
    <t>Scalable and Provable Biclique-Preserving Clustering: The Power of Counting-based Approaches</t>
  </si>
  <si>
    <t>Xingcheng Fu, Lingyun Liu, Yisen Gao, Tianyu Chen, Qingyun
Sun, Jianxin Li and Xianxian Li</t>
  </si>
  <si>
    <t>Graph Diffusion Evolution Model for Multi-Conditional Molecular Generation</t>
  </si>
  <si>
    <t>Ping Zhang, Jiayu Leng, Liang Yang, Anchen Li, Xiaochun Cao
and Riting Xia</t>
  </si>
  <si>
    <t>Multi-Source Information Driven Spatio-Temporal Hypergraph Learning for Traffic Forecasting</t>
  </si>
  <si>
    <t>Qimin Zhou, Haibo Liu, Yujie Wang, Li Sun and Chuan Shi</t>
  </si>
  <si>
    <t>Riemannian Graph Tokenizer for Structural Knowledge Transfer</t>
  </si>
  <si>
    <t>Zhizhi Yu, Di Jin, Dongxiao He, Wenhuan Lu and Jianguo Wei</t>
  </si>
  <si>
    <t>Integrated Mixture of Neighborhood and Community Experts for Graph-Based Fraud Detection</t>
  </si>
  <si>
    <t>Lianze Shan, Jitao Zhao, Dongxiao He, Siqi Liu, Jiaxu Cui
and Weixiong Zhang</t>
  </si>
  <si>
    <t>LEDA: Latent Semantic Distribution Alignment for Multi-domain Graph Pre-training</t>
  </si>
  <si>
    <t>Haonan Yuan, Qingyun Sun, Jiacheng Tao, Xingcheng Fu and
Jianxin Li</t>
  </si>
  <si>
    <t>RAG-GFM: Overcoming In-Memory Bottlenecks in Graph Foundation Models via Retrieval-Augmented Generation</t>
  </si>
  <si>
    <t>Jie Gao, Jia Hu, Geyong Min and Fei Hao</t>
  </si>
  <si>
    <t>SGExplainer: Balanced Path-based Signed Graph Neural Network Explanation for Link Sign Prediction</t>
  </si>
  <si>
    <t>Mengying Zhu, Feiyue Chen, Lifan Jiang, Mengyuan Yang,
Yangyang Wu, Guanjie Cheng and Xiaolin Zheng</t>
  </si>
  <si>
    <t>FeedGuard: Online Critic-Guided Reinforcement Learning with Privacy-Preserving Feedback for Recommendation</t>
  </si>
  <si>
    <t>Michelle Contreras-Catalan and Matteo Riondato</t>
  </si>
  <si>
    <t>HomeRun: Performing Curveball Trades quasi in Streaming for Fast Null Modeling of Graphs, Hypergraphs, and Binary Matrices</t>
  </si>
  <si>
    <t>Ce Yang, Fei Hao, Jie Gao, Jianrui Chen, Jia Hu and Geyong
Min</t>
  </si>
  <si>
    <t>Dir-GD: Directed Graph Distillation</t>
  </si>
  <si>
    <t>Soheila Farokhi, Xiaojun Qi and Hamid Karimi</t>
  </si>
  <si>
    <t>TAWRMAC: A Novel Dynamic Graph Representation Learning Method</t>
  </si>
  <si>
    <t>Huanchang Ma, Xin Zheng, Jianyu Li, Alan Wee-Chung Liew,
Wei Lan and Jian Gao</t>
  </si>
  <si>
    <t>Graph Neural Network Model Transferability Estimation via Decomposition-Augmented Discriminant Analysis</t>
  </si>
  <si>
    <t>Junwei Gong, Xiao Shen, Zhihao Chen, Shirui Pan, Xiao Wang
and Xi Zhou</t>
  </si>
  <si>
    <t>negMIX: Negative Mixup for OOD Generalization in Open-Set Node Classification</t>
  </si>
  <si>
    <t>Mingqian Ding, Jianjun Li, Zhiyuan Ma, Liwei Zhang and
Wenqi Yang</t>
  </si>
  <si>
    <t>UTAG: Leveraging LLM as a Unified Embedding Generator for Text-Attributed Graphs</t>
  </si>
  <si>
    <t>Qianyu Song, Chao Li, Yeyu Yan, Hui Zhou, Zhongying Zhao
and Qingtian Zeng</t>
  </si>
  <si>
    <t>Mitigating Dynamic Graph Distribution Shifts via Mixture of Variational Experts</t>
  </si>
  <si>
    <t>Rui Ou, Kun Zhu, Nana Zhang, Jiangtong Li, Chaochao Chen
and Changjun Jiang</t>
  </si>
  <si>
    <t>STG-DGR: Fraud Detection on Streaming Transaction Graphs with Diffusion-based Generative Replay</t>
  </si>
  <si>
    <t>Haowei Han, Yuxiang Wang, Guojia Wan, Hao Wang, Shanshan
Feng, Hao Huang, Jiawei Jiang and Xiao Yan</t>
  </si>
  <si>
    <t>Text-attributed Graph Condensation via Text Selection and Attribute Matching</t>
  </si>
  <si>
    <t>Qicheng Shan, Yuxuan Yang and Gong Cheng</t>
  </si>
  <si>
    <t>Practical Group Steiner Tree Algorithms for Web Applications with Many Groups</t>
  </si>
  <si>
    <t>Sun Jiayang, Liu Shenghao, Deng Xianjun, Xiang Wei, Luo
Meng, Zhang Qiankun and Zheng Dandan</t>
  </si>
  <si>
    <t>Unsupervised Subgraph Anomaly Detection based on Pattern Collaboration</t>
  </si>
  <si>
    <t>Zhaolin Hu, Kun Li, Hehe Fan and Yi Yang</t>
  </si>
  <si>
    <t>GraphTARIF: Linear Graph Transformer with Augmented Rank and Improved Focus</t>
  </si>
  <si>
    <t>Jiahao Xie and Guangmo Tong</t>
  </si>
  <si>
    <t>VSAL: A Vision Solver with Adaptive Layouts for Graph Property Detection</t>
  </si>
  <si>
    <t>Jitao Zhao, Yi Wang, Yawen Li, Dongxiao He, Di Jin, Zhiyong
Feng and Weixiong Zhang</t>
  </si>
  <si>
    <t>Towards Graph Foundation Model: Node Feature Transfer Invariant Modeling on General Graphs</t>
  </si>
  <si>
    <t>Junqiang Peng, Tian Bai, Jingyang Zhao and Mingyu Xiao</t>
  </si>
  <si>
    <t>Sustained Vertex Cover on Temporal Graphs</t>
  </si>
  <si>
    <t>Junghun Kim, Shihyung Park and U Kang</t>
  </si>
  <si>
    <t>Dual-level Reweighting for Positive-Unlabeled Graph Classification</t>
  </si>
  <si>
    <t>Renda Han, Xiaobao Wang, Longbiao Wang, Wenxin Zhang,
Ronghao Fu, Kaiming Wang, Zeyu Zhang and Kuntharrgyal Khysru</t>
  </si>
  <si>
    <t>A Unified Graph Clustering Network</t>
  </si>
  <si>
    <t>Jialun Zheng, Jie Liu, Jiannong Cao, Xiao Wang, Hanchen
Yang and Yankai Chen</t>
  </si>
  <si>
    <t>DP-DGAD: A Generalist Dynamic Graph Anomaly Detector with Dynamic Prototypes</t>
  </si>
  <si>
    <t>Han Zhao, Xu Yang, Cheng Deng and Fan Liu</t>
  </si>
  <si>
    <t>E$^2$SGNN: Reconciling Expression and Efficiency in Spiking Graph Neural Network</t>
  </si>
  <si>
    <t>Shuai Ren, Fan Zhang, Bolin Wang, Xiang Zhao and Zhihong
Tian</t>
  </si>
  <si>
    <t>Anomaly Detection of Interaction Behaviors in Streaming Graphs</t>
  </si>
  <si>
    <t>Yejiang Wang, Yuhai Zhao, Fangting Li, Jiapu Wang, Meixia
Wang, Ling Li, Miaomiao Huang, Zhengkui Wang and Shirui Pan</t>
  </si>
  <si>
    <t>Graph-to-Tree: Topological Decomposition for Self-Supervised Learning</t>
  </si>
  <si>
    <t>Zhenyu Yang, Ge Zhang, Shan Xue, Xiaoxiao Ma, Jian Yang,
Hao Peng, Amin Beheshti and Jia Wu</t>
  </si>
  <si>
    <t>Revisiting Graph-Level Anomaly Detection: From Partially to Fully Unsupervised Learning</t>
  </si>
  <si>
    <t>Jinyu Duan, Sijin Wang, Fan Zhang, Xiang Zhao, Wenjie Zhang
and Zhihong Tian</t>
  </si>
  <si>
    <t>Network Dismantling via Reverse Dismantling: Static and Dynamic Algorithms</t>
  </si>
  <si>
    <t>Junlong Wu, Renda Han, Wenxuan Tu, Jingxin Liu, Haotian
Wang and Jieren Cheng</t>
  </si>
  <si>
    <t>FedCND: Federated Graph-Level Clustering under Inter-Client Cluster Number Discrepancy</t>
  </si>
  <si>
    <t>Dong-Hyuk Seo, Sein Kim, Taeri Kim, Won-Yong Shin and
Sang-Wook Kim</t>
  </si>
  <si>
    <t>SCOUT: Structure-Aware Aspect and Anchor-Count Selection for Node Attribute Augmentation via Positional Information</t>
  </si>
  <si>
    <t>Zhaoxing Yang, Yuchen Guo, Wenlong Li, Guiyun Fan, Haiming
Jin and Linghe Kong</t>
  </si>
  <si>
    <t>Breaking the Scalability Barrier in Constrained Graph-Based Networked Control via Decision-Focused Learning</t>
  </si>
  <si>
    <t>Ting Guo, Dongyu Pei, Gangzhu Qiao, Kaixuan Yao and Da Wang</t>
  </si>
  <si>
    <t>PAGE: Progressive Anomaly Generation Network for Semi-supervised Graph Anomaly Detection</t>
  </si>
  <si>
    <t>Yanghui Fu, Yunfei Wang, Hao Zou, Yue He, Haotian Wang,
Qing Cheng, Guangquan Cheng and Shixuan Liu</t>
  </si>
  <si>
    <t>Invariant Learning on Heterogeneous Graphs via Subgraph Environment Inference</t>
  </si>
  <si>
    <t>Xiang Li, Jianpeng Qi, Haobing Liu, Yuan Cao, Guoqing Chao,
Zhongying Zhao, Junyu Dong, Xinwang Liu and Yanwei Yu</t>
  </si>
  <si>
    <t>ScaleGNN: Towards Scalable Graph Neural Networks via Adaptive High-order Neighboring Feature Fusion</t>
  </si>
  <si>
    <t>Yongsheng Yu, Congbo Ma, Zitai Qiu, Shan Xue, Jian Yang and
Jia Wu</t>
  </si>
  <si>
    <t>PIGCN: Physics-Inspired Graph Convolution Networks for Heterogeneous Social Event Detection</t>
  </si>
  <si>
    <t>Haobing Liu, Yinuo Zhang, Tingting Wang, Ruobing Jiang and
Yanwei Yu</t>
  </si>
  <si>
    <t>Weighted Graph Clustering via Scale Contraction and Graph Structure Learning</t>
  </si>
  <si>
    <t>Di Jin, Xiao Huang, Xiaobao Wang, Fengyu Yan, Luzhi Wang
and Hongxiang Liang</t>
  </si>
  <si>
    <t>Cross-Type Semantic Alignment for Multi-Type Anomaly Detection in Heterogeneous Graphs</t>
  </si>
  <si>
    <t>Qianyi Cai, Ziyue Qiao, Minghao Yang, Xiao Luo and Hui Xiong</t>
  </si>
  <si>
    <t>Graph Cross-Domain Continual Fine-Tuning via Orthogonal LoRA Routing with Contrastive Expert Specialization</t>
  </si>
  <si>
    <t>Di Jin, Bingdao Feng, Xiaobao Wang, Yuxiang Zhang, Zechuan
Zhang, Liang Yang, Dongxiao He and Zhen Wang</t>
  </si>
  <si>
    <t>Unveiling Backdoor Propagation in Graphs: Neuron-Centric Defense Mechanisms</t>
  </si>
  <si>
    <t>Meixia Wang, Yuhai Zhao, Zhengkui Wang, Fenglong Ma,
Yejiang Wang, Miaomiao Huang, Fazal Wahab, Wen Shan and
Xingwei Wang</t>
  </si>
  <si>
    <t>Hierarchical Graph-Bag-Network for Self-Supervised Multi-Graph Learning</t>
  </si>
  <si>
    <t>Weigang Lu, Zheng Liang, Yaming Yang, Ziyu Zheng, Meng Yan,
Beilei Ling, Ziyu Guan and Wei Zhao</t>
  </si>
  <si>
    <t>MessageShift: Fine-Grained Data Augmentation for Graph Neural Networks</t>
  </si>
  <si>
    <t>Ge Zhang, Jiapei Chen, Guohao Sun, Xiu Fang, Zhenyu Yang,
Xixun Lin and Liang Yang</t>
  </si>
  <si>
    <t>Generalizable Graph-level Anomaly Detection via Prompted Anomaly Expansion and Normality Extraction</t>
  </si>
  <si>
    <t>Li Ni, Shuaikang Zeng, Lin Mu and Longlong Lin</t>
  </si>
  <si>
    <t>From Representation to Clusters: A Contrastive Learning Approach for Attributed Hypergraph Clustering</t>
  </si>
  <si>
    <t>Li Sun, Ming Zhang, Wenxin Jin, Zhongtian Sun, Zhenhao
Huang, Hao Peng, Sen Su and Philip Yu</t>
  </si>
  <si>
    <t>Heterophily-Agnostic Hypergraph Neural Networks with Riemannian Local Exchanger</t>
  </si>
  <si>
    <t>Yilei Qiu, Fei Xiong, Jun Hu, Shirui Pan and Liang Wang</t>
  </si>
  <si>
    <t>Meta-Learning Driven Few-Shot Knowledge Transfer with Dual-Stage Adaptive Data Replay for Cross-Domain Recommendation</t>
  </si>
  <si>
    <t>Jingbo Zhou, Jun Xia, Siyuan Li, Yunfan Liu, Wenjun Wang,
Yufei Huang, Changxi Chi, Mutian Hong, Zhuoli Ouyang, Shu
Wang, Zhongqi Wang, Xingyu Wu, Chang Yu and Stan Z. Li</t>
  </si>
  <si>
    <t>VecFormer: Towards Efficient and Generalizable Graph Transformer with Graph Token Attention</t>
  </si>
  <si>
    <t>Yunhui Liu, Qizhuo Xie, Yinfeng Chen, Xudong Jin, Tao
Zheng, Bin Chong and Tieke He</t>
  </si>
  <si>
    <t>Mitigating Homophily Disparity in Graph Anomaly Detection: A Scalable and Adaptive Approach</t>
  </si>
  <si>
    <t>Di Jin, Yixuan Du, Cuiying Huo, Xiaotong Huang, Ruqiong
Zhang, Xiaobao Wang and Yawen Li</t>
  </si>
  <si>
    <t>IVQ-GNN: Mitigating Performance Gaps from Graph Connection Pattern Inconsistency via Vector Quantization</t>
  </si>
  <si>
    <t>Yang Yao, Xin Wang, Yuan Meng, Zeyang Zhang, Hong Mei and
Wenwu Zhu</t>
  </si>
  <si>
    <t>Disentangled Graph LLM for Molecule Graph Editing under Distribution Shifts</t>
  </si>
  <si>
    <t>Yifan Wang, Haodong Zhang, Zhiping Xiao, Yusheng Zhao, Siyu
Yi, Nan Yin, Xinwang Liu, Ming Zhang and Wei Ju</t>
  </si>
  <si>
    <t>KEGOD: Kernel-enhanced Latent Substructure Learning for Graph Out-Of-Distribution Detection</t>
  </si>
  <si>
    <t>Xiao Tan, Tongtong Su, Jiayi Wu, Yan Zhang, Binghui Xu,
Dian Shen, Meng Wang and Beilun Wang</t>
  </si>
  <si>
    <t>Identification of Influential Node Group in Attributed Graph through Explaining Graph Neural Network</t>
  </si>
  <si>
    <t>Kamal Berahmand, Saman Forouzandeh, Mehrnoush Mohammadi,
Parham Moradi and Mahdi Jalili</t>
  </si>
  <si>
    <t>AC$^2$L-GAD: Active Counterfactual Contrastive Learning for Graph Anomaly Detection</t>
  </si>
  <si>
    <t>Jiachi Zhao, Zehong Wang, Yamei Liao, Chuxu Zhang and
Yanfang Ye</t>
  </si>
  <si>
    <t>Controllable Graph Generation with Diffusion Models via Inference-Time Tree Search Guidance</t>
  </si>
  <si>
    <t>Haojie Li, Mengjiao Zhang, Guanfeng Liu, Qiang Hu, Yan Wang
and Junwei Du</t>
  </si>
  <si>
    <t>Frequency-Corrupt Based Graph Self-Supervised Learning</t>
  </si>
  <si>
    <t>Zihui Chen, Yuling Wang, Pengfei Jiao, Kai Wu, Xiao Wang,
Xiang Ao and Dalin Zhang</t>
  </si>
  <si>
    <t>Can LLMs Fool Graph Learning? Exploring Universal Adversarial Attacks on Text-Attributed Graphs</t>
  </si>
  <si>
    <t>Chenxu Du, Yang Liu, Xingtong Yu, Zhuoer Xu, Yang Liu and
Tianrui Li</t>
  </si>
  <si>
    <t>A^2GBD: Attack-Agnostic Graph Backdoor Defense</t>
  </si>
  <si>
    <t>Chuangui Cao, Shifei Ding, Jian Zhang, Lili Guo and Xuan Li</t>
  </si>
  <si>
    <t>Multi-view Hierarchical Graph Contrastive Learning based on Asynchronous Asymmetric Structure</t>
  </si>
  <si>
    <t>Chuang Liu, Zelin Yao, Xueqi Ma, Mukun Chen, Luzhi Wang,
Jia Wu and Wenbin Hu</t>
  </si>
  <si>
    <t>Hi-GMAE: Hierarchical Graph Masked Autoencoders</t>
  </si>
  <si>
    <t>Yifan Lu, Pengfei Jiao, Xuan Guo, Ziyun Zou, Yiwei Wang,
Mengzhou Gao, Huaming Wu and Imran Razzak</t>
  </si>
  <si>
    <t>Towards Robust Heterogeneous Graph Explanations under Structural Perturbations</t>
  </si>
  <si>
    <t>Pallabee Das and Stefan Heindorf</t>
  </si>
  <si>
    <t>Discrete Diffusion-Based Model-Level Explanation of Heterogeneous GNNs with Node Features</t>
  </si>
  <si>
    <t>Wei Ju, Siyu Yi, Zhengyang Mao, Yifang Qin, Yifan Wang,
Zhiping Xiao, Yiwei Fu, Ziyue Qiao and Ming Zhang</t>
  </si>
  <si>
    <t>Long-Tailed Recognition of Evidential Experts for Graph-level Classification</t>
  </si>
  <si>
    <t>Zhe Zhan, Xiangshi Li, Tingting Wang, Shuo Yu and Henan Lei</t>
  </si>
  <si>
    <t>SPGCL: Subgraph Pattern-Aware Graph Contrastive Learning for High-Order Structural Representation</t>
  </si>
  <si>
    <t>Runshuo Liu, Chao Li, Zhongying Zhao, Hui Zhou and Qingtian
Zeng</t>
  </si>
  <si>
    <t>A Dual-Channel Contrastive Learning Framework for Anomaly Detection in Dynamic Graph Structures</t>
  </si>
  <si>
    <t>Zhaowei Liu, Chang Liu, Dong Yang, Weiqing Yan, Yongchao
Song and Anzuo Jiang</t>
  </si>
  <si>
    <t>Collaborative Subgraph Learning based Spectrum Sensing under Partial Observations</t>
  </si>
  <si>
    <t>Shiyuan Li, Yixin Liu, Yu Zheng, Mei Li, Quoc Viet Hung
Nguyen and Shirui Pan</t>
  </si>
  <si>
    <t>OFA-MAS: One-for-All Multi-Agent System Topology Design based on Mixture-of-Experts Graph Generative Models</t>
  </si>
  <si>
    <t>Pengyang Zhou, Zhihao Huang, Jiahe Xu, Wu Wen, Xiaolin
Zheng, Chaochao Chen and Jianwei Yin</t>
  </si>
  <si>
    <t>LLM-enhanced Federated Graph Learning with Geometry-aware Graph Projection and Shared Subspace Aggregation</t>
  </si>
  <si>
    <t>Haixu Xiong, Li Sun, Yun Xiong, Suyang Zhou, Hongrun Ren
and Yangyong Zhu</t>
  </si>
  <si>
    <t>SLFM: Semi-Supervised Local Community Detection Based on Hyperbolic Flow Matching</t>
  </si>
  <si>
    <t>Shifei Ding, Fangchen Li, Lili Guo and Jian Zhang</t>
  </si>
  <si>
    <t>Contextual Structure-Enhanced Selective Graph Convolutional Network</t>
  </si>
  <si>
    <t>Shifei Ding, Zhe Li, Xiao Xu and Chao Li</t>
  </si>
  <si>
    <t>Structure-Semantic Synergized Deep Contrastive Graph Clustering</t>
  </si>
  <si>
    <t>Tianyin Liao, Ge Lan, Rui Chen, Ran Zhang, Zhiming Chen,
Xiao Wang and Ziwei Zhang</t>
  </si>
  <si>
    <t>Unifying Graph Out-of-Distribution Generalization and Detection through Spectral Contrastive Invariant learning</t>
  </si>
  <si>
    <t>Chuanyue Yu, Kuo Zhao, Yuhan Li, Heng Chang, Mingjian Feng,
Xiangzhe Jiang, Yufei Sun, Jia Li, Yuzhi Zhang, Qingyun
Sun, Jianxin Li and Ziwei Zhang</t>
  </si>
  <si>
    <t>GraphRAG-R1: Graph Retrieval-Augmented Generation with Process-Constrained Reinforcement Learning</t>
  </si>
  <si>
    <t>Ke Ma, Cong Fu, Jianing Wang, Yifei Wang, Wenyuan Li,
Xinggang Wang, Meng Wang and Tian Xia</t>
  </si>
  <si>
    <t>WPIS: From In-the-Wild Web Images to Physics-Aware 3D Scene Graphs for Physical Reasoning</t>
  </si>
  <si>
    <t>Minjie Cheng, Bokai Yan, Dixin Luo and Hongteng Xu</t>
  </si>
  <si>
    <t>Revisiting and Enhancing Graph Neural Networks through the Lens of Amortized Flows</t>
  </si>
  <si>
    <t>Tiantian Huang, Yue Li, Wei Shao, Ziqi Xu, Qipeng Song and
Hui Li</t>
  </si>
  <si>
    <t>STELA: Spatiotemporal Forecasting via Graph Learning and Entropy-Guided LLM Adaptation</t>
  </si>
  <si>
    <t>Yuecen Wei, Zhiyu Zhuang, Yisen Gao, Xingcheng Fu, Qingyun
Sun, Ziwei Zhang, Tianyu Wo and Chunming Hu</t>
  </si>
  <si>
    <t>Towards Geometry-Consistent Federated Graph Learning</t>
  </si>
  <si>
    <t>Jialin Chen, Haolan Zuo, Haoyu Wang, Siqi Miao, Pan Li and
Rex Ying</t>
  </si>
  <si>
    <t>Towards A Universal Graph Structural Encoder</t>
  </si>
  <si>
    <t>Kaicheng Zhang, David N Reynolds, Piero Deidda and
Francesco Tudisco</t>
  </si>
  <si>
    <t>Stuart-Landau Oscillatory Graph Neural Network</t>
  </si>
  <si>
    <t>Cibo Yu, Tingting Zhu, Tingyang Chen, Yinghui Wu, Arijit
Khan and Xiangyu Ke</t>
  </si>
  <si>
    <t>SliceGX: Layer-wise GNN Explanation with Model-slicing</t>
  </si>
  <si>
    <t>Yang Qiu, Yixiong Zou and Jun Wang</t>
  </si>
  <si>
    <t>Rethinking Graph Generalization through the Lens of Sharpness-Aware Minimization</t>
  </si>
  <si>
    <t>Tianming Zhang, Renbo Zhang, Zhengyi Yang, Yunjun Gao, Bin
Cao and Jing Fan</t>
  </si>
  <si>
    <t>CLGNN: A Contrastive Learning-based GNN for Temporal Betweenness Prediction under Extreme Value Imbalance</t>
  </si>
  <si>
    <t>Xu Fan, Zhang Yijun, Zhang Sibo, Ding Jiaxin, Fu Luoyi and
Wang Xinbing</t>
  </si>
  <si>
    <t>RARD: Rationale-First Blockwise Autoregressive Diffusion in Rationale‑Dominated Graph Generation</t>
  </si>
  <si>
    <t>Junyu Luo, Zixuan Ouyang, Xiao Luo, Hourun Li, Zhiping
Xiao, Yifan Wang and Ming Zhang</t>
  </si>
  <si>
    <t>Space-based Parameter Evolving with Lightweight Optimization for Graph Adaptation to Evolving Shifts</t>
  </si>
  <si>
    <t>Shihe Zhou, Ruikun Li, Huandong Wang and Yong Li</t>
  </si>
  <si>
    <t>Zero-Shot Forecasting of Network Dynamics through Weight Flow Matching</t>
  </si>
  <si>
    <t>Shiqi Sun, Du Su, Wei Chen and Xueqi Cheng</t>
  </si>
  <si>
    <t>Rethinking Implicit Hate Speech Detection: Focusing on Latent Hate Components via Dual-Process Argumentation</t>
  </si>
  <si>
    <t>Jesse McCrosky, Ranadheer Malla, Aapo Tanskanen and Chico
Camargo</t>
  </si>
  <si>
    <t>Does This Button Work? Investigating YouTube's Ineffective User Controls</t>
  </si>
  <si>
    <t>Manjiang Yu, Hongji Li, Priyanka Singh, Xue Li, Di Wang and
Lijie Hu</t>
  </si>
  <si>
    <t>PIXEL: Adaptive Steering Via Position-wise Injection with eXact Estimated Levels under a Subspace Calibration</t>
  </si>
  <si>
    <t>Hengtong Zhang, Chen Ye and Hongzhi Wang</t>
  </si>
  <si>
    <t>Trireme: A Tripartite Regulation Scheme for Diffusion Models</t>
  </si>
  <si>
    <t>Yiran Gao, Pengcheng Xia, Liu Wang, Tianming Liu and Haoyu
Wang</t>
  </si>
  <si>
    <t>Doxing-as-a-Service: Demystifying the Chinese Online Doxing Ecosystem</t>
  </si>
  <si>
    <t>Zhenyu Yang, Chaoyu Yang, Wenfeng Xu, Xiuxiu Hao, Huan
Wang, Ge Zhang, Xiaoxiao Ma and Jun Shen</t>
  </si>
  <si>
    <t>Semi-Supervised Fake News Detection with Mixture of Experts</t>
  </si>
  <si>
    <t>Jungwook Seo, Yoonsik Park, Changmin Lee and Sungyong Baik</t>
  </si>
  <si>
    <t>BiasEdit: A Training-Free Bias-Detect-and-Edit Framework for Learning Fair Visual Classifiers</t>
  </si>
  <si>
    <t>Samuel Pélissier, Naif Mehanna, Sterenn Roux, Quentin
Perez, Walter Rudametkin, Johann Bourcier and Pierre
Laperdrix</t>
  </si>
  <si>
    <t>Users Pay Twice: The Hidden Energy Cost of Web Advertising</t>
  </si>
  <si>
    <t>Soham De, Lodewijk Gelauff, Ashish Goel, Smitha Milli,
Ariel Procaccia and Alice Siu</t>
  </si>
  <si>
    <t>Question the Questions: Auditing Representation in Online Deliberative Processes</t>
  </si>
  <si>
    <t>Luca Cordioli and Maristella Matera</t>
  </si>
  <si>
    <t>From Navigation to Intention: Reframing the Web Experience through Goal-Driven Interfaces</t>
  </si>
  <si>
    <t>Mingchen Li, Wajdi Aljedaani, Yingjie Liu, Navyasri Meka,
Xuan Lu, Xinyue Ye, Junhua Ding and Yunhe Feng</t>
  </si>
  <si>
    <t>Digital Skin, Digital Bias: Uncovering Tone-Based Biases in LLMs and Emoji Embeddings</t>
  </si>
  <si>
    <t>Fengjun Pan, Xiaobao Wu, Tho Quan and Anh Tuan Luu</t>
  </si>
  <si>
    <t>Read as You See: Guiding Unimodal LLMs for Low-Resource Explainable Harmful Meme Detection</t>
  </si>
  <si>
    <t>Atul Kumar Singh and Rahul Mishra</t>
  </si>
  <si>
    <t>IConMoE: Modeling Intents of Misinformation using Concept Activation Vector-based Mixture of Experts</t>
  </si>
  <si>
    <t>Jiamin Luo, Xuqian Gu, Jingjing Wang and Jiahong Lu</t>
  </si>
  <si>
    <t>Towards LLM-centric Affective Visual Customization via Efficient and Precise Emotion Manipulating</t>
  </si>
  <si>
    <t>Jinwoo Jung and Misuk Kim</t>
  </si>
  <si>
    <t>BIND: A Bidirectionally Aligned Next-token Denoising Framework for Fast and Lightweight Deobfuscation of Harmful Web Text</t>
  </si>
  <si>
    <t>Sahar Tahmasebi, Eric Müller-Budack and Ralph Ewerth</t>
  </si>
  <si>
    <t>Robust Fake News Detection using Large Language Models under Adversarial Sentiment Attacks</t>
  </si>
  <si>
    <t>Meng Cao, Mingcai Chen, Shuangjie Li, Hualei Yu, Shuai Feng
and Demin Gao</t>
  </si>
  <si>
    <t>MultiFPT: Towards Multi-Attribute Fairness in Pre-Trained Graph Neural Networks via Prompt Tuning</t>
  </si>
  <si>
    <t>Asmaa El Fraihi, Ines Abdelaziz and Oana Goga</t>
  </si>
  <si>
    <t>Is Contextual Advertising Safe? Analyzing Systemic Risks with Ads on YouTube</t>
  </si>
  <si>
    <t>Boquan Li, Chenzhe Lou, Zhe Ren, Peixin Zhang, Zirui Fu,
Jun Sun and Yaowen Zheng</t>
  </si>
  <si>
    <t>Be Responsible in Your Answers! Monitoring Out-of-Domain Behaviors in Domain-Specific LLMs</t>
  </si>
  <si>
    <t>Jia Gu, Liang Pang, Huawei Shen and Xueqi Cheng</t>
  </si>
  <si>
    <t>D-Models and E-Models: Diversity-Stability Trade-offs in the Sampling Behavior of Large Language Models</t>
  </si>
  <si>
    <t>Zhaofeng Li, Chen Xu, Xinyu Lin, Wenjie Wang and Xiaokui
Xiao</t>
  </si>
  <si>
    <t>Unifying Diversity and Fairness in Re-ranking via Economic Growth Theory</t>
  </si>
  <si>
    <t>Buddhika Nettasinghe, Nazanin Alipourfard, Vikram
Krishnamurthy and Kristina Lerman</t>
  </si>
  <si>
    <t>Emergence of Structural Disparities in the Web of Scientific Citations</t>
  </si>
  <si>
    <t>Buddhika Nettasinghe and Kang Zhao</t>
  </si>
  <si>
    <t>Dynamics of Human-AI Collective Knowledge on the Web: A Scalable Model and Insights for Sustainable Growth</t>
  </si>
  <si>
    <t>Ashfaq Ali Shafin, Md Nahid Siddique and Bogdan Carbunar</t>
  </si>
  <si>
    <t>IO-X: Detecting and Attributing Content-Duplicating Influence Operations on X (Twitter)</t>
  </si>
  <si>
    <t>Chengshuai Zhao, Shu Wan, Paras Sheth, Karan Patwa, K.
Selçuk Candan and Huan Liu</t>
  </si>
  <si>
    <t>Causality Guided Representation Learning for Cross-Style Hate Speech Detection</t>
  </si>
  <si>
    <t>Shibo Cui, Mingxuan Liu, Baojun Liu, Haixin Duan, Ruixuan
Li, Chaoyi Lu, Jin Zhang, Zhicheng Wang and Jinghua Bai</t>
  </si>
  <si>
    <t>Characterizing Iran's Phased National Internet Shutdown in 2025: A Progressive and Distributed Action</t>
  </si>
  <si>
    <t>Fanrui Zhang, Qiang Zhang, Jianwen Sun, Chuanhao Li, Jiaxin
Ai, Yukang Feng, Zizhen Li, Kaipeng Zhang, Jiawei Liu and
Zheng-Jun Zha</t>
  </si>
  <si>
    <t>Navigating Truth in Multimodal Fact-checking via Retrieval- and Reasoning-Enhanced Large Language Models</t>
  </si>
  <si>
    <t>Leqi Zheng, Jiajun Zhang, Canzhi Chen, Chaokun Wang,
Hongwei Li, Yuying Li, Yaoxin Mao, Shannan Yan, Zixin Song,
Zhiyuan Feng, Zhaolu Kang, Zirong Chen, Hang Zhang, Qiang
Liu, Liang Wang and Ziyang Liu</t>
  </si>
  <si>
    <t>What Should I Cite? A RAG Benchmark for Academic Citation Prediction</t>
  </si>
  <si>
    <t>Search and Retrieval-Augmented AI</t>
  </si>
  <si>
    <t>Lu Keer, Zheng Liang, Da Pan, Shusen Zhang, Guosheng Dong,
Huang Leng, Bin Cui, Zhonghai Wu and Wentao Zhang</t>
  </si>
  <si>
    <t>Med-R$^2$: Crafting Trustworthy LLM Physicians via Retrieval and Reasoning of Evidence-Based Medicine</t>
  </si>
  <si>
    <t>Yiteng Tu, Weihang Su, Yujia Zhou, Yiqun Liu, Fen Lin, Qin
Liu and Qingyao Ai</t>
  </si>
  <si>
    <t>Generalized Pseudo-Relevance Feedback</t>
  </si>
  <si>
    <t>Zhizhao Liu, Zhihua Wen, Zhiliang Tian, Zhen Huang,
Miaorong Zhu, Zimian Wei, Yifu Gao, Liang Ding and
Dongsheng Li</t>
  </si>
  <si>
    <t>Rethinking the Hidden Risk of Reranking: Achieving Risk-aware Reranking with Information Gain for RAG with LLMs</t>
  </si>
  <si>
    <t>Shiyao Peng, Qianhe Zheng, Zhuodi Hao, Zichen Tang, Rongjin
Li, Qing Huang, Jiayu Huang, Jiacheng Liu, Yifan Zhu and
Haihong E</t>
  </si>
  <si>
    <t>NeocorRAG: Less Irrelevant Information, More Explicit Evidence, and More Effective Recall via Evidence Chains</t>
  </si>
  <si>
    <t>Hao Liang, Qifeng Cai, Zhaoyang Han, Hejun Dong, Meiyi
Qiang, Ruichuan An, Quanqing Xu, Bin Cui and Wentao Zhang</t>
  </si>
  <si>
    <t>LoVR: A Benchmark for Long Video Retrieval in Multimodal Contexts</t>
  </si>
  <si>
    <t>Shuguang Jiao, Xinyu Xiao, Yunfan Wei, Shuhan Qi, Chengkai
Huang, Quan Z. Michael Sheng and Lina Yao</t>
  </si>
  <si>
    <t>PruneRAG: Confidence-Guided Query Decomposition Trees for Efficient Retrieval-Augmented Generation</t>
  </si>
  <si>
    <t>Yuheng Liang, Haipeng Chen, Yu Liu, Yingda Lyu and Xue Wang</t>
  </si>
  <si>
    <t>Pedestrian-Centric Discriminative and Fine-grained Semantic Mining for Text-based Person Retrieval</t>
  </si>
  <si>
    <t>Shichao Ma, Zhengyang Zhou, Qihe Huang, Binwu Wang and Yang
Wang</t>
  </si>
  <si>
    <t>QuiZSF: A Retrieval-Augmented Framework for Zero-Shot Time Series Forecasting</t>
  </si>
  <si>
    <t>Zihao Chen, Chenyang Bu, Shengwei Ji and Xindong Wu</t>
  </si>
  <si>
    <t>Dual-Branch Multi-Granularity Network with Structured Contrastive Ranking for Cross-Modal Retrieval</t>
  </si>
  <si>
    <t>Qianchi Zhang, Hainan Zhang, Liang Pang, Yongxin Tong,
Hongwei Zheng and Zhiming Zheng</t>
  </si>
  <si>
    <t>Less is More: Compact Clue Selection for Efficient Retrieval-Augmented Generation Reasoning</t>
  </si>
  <si>
    <t>Yu-An Liu, Ruqing Zhang, Jiafeng Guo, Changjiang Zhou, Fan
Zhang and Yinhu Zhao</t>
  </si>
  <si>
    <t>Déjà Vu of Strange Stickers! Enhancing Out-of-Distribution Robustness in Sticker Retrieval via Cross-Modal Intent Alignment</t>
  </si>
  <si>
    <t>Zhen Zhang, Zihan Wang, Xinyu Ma, Shuaiqiang Wang, Dawei
Yin, Xin Xin, Pengjie Ren, Maarten de Rijke and Zhaochun Ren</t>
  </si>
  <si>
    <t>Model Editing for New Document Integration in Generative Information Retrieval</t>
  </si>
  <si>
    <t>Changjiang Zhou, Ruqing Zhang, Jiafeng Guo, Maarten de
Rijke, Fan Yixing and Xueqi Cheng</t>
  </si>
  <si>
    <t>LongRanker: Efficient One-Pass Document Reranking with Long-Context Large Language Models</t>
  </si>
  <si>
    <t>Jiadong Xie, Jeffrey Liang, Siyi Teng, Jeffrey Xu Yu and
Yingfan Liu</t>
  </si>
  <si>
    <t>Breaking the Single-Reference-Vector Barrier in Approximate Nearest Neighbor Search</t>
  </si>
  <si>
    <t>Xingyu Ma, Xin Tian, Lingxiang Wu, Xuepeng Wang, Xueming
Tang and Jinqiao Wang</t>
  </si>
  <si>
    <t>SQL-Checker: Error Detection and Labeling for Text-to-SQL with Interpretability Analysis</t>
  </si>
  <si>
    <t>Shunliang Fu, Yanxin Zhang, Yixin Xiang, Xiaoyu Du and
Jinhui Tang</t>
  </si>
  <si>
    <t>DMAP: Human-Aligned Structural Document Map for Multimodal Document Understanding</t>
  </si>
  <si>
    <t>Wenlin Zhang, Kuicai Dong, Junyi Li, Yingyi Zhang, Xiaopeng
Li, Pengyue Jia, Yi Wen, Derong Xu, Maolin Wang, Yichao
Wang, Yong Liu and Xiangyu Zhao</t>
  </si>
  <si>
    <t>To Search or Not to Search: Aligning the Decision Boundary of Deep Search Agents via Causal Intervention</t>
  </si>
  <si>
    <t>Jinwei Su, Qizhen Lan, Yinghui Xia, Lifan Sun, Weiyou Tian,
Tianyu Shi and Lewei He</t>
  </si>
  <si>
    <t>Difficulty-Aware Agentic Orchestration for Query-Specific Multi-Agent Workflows</t>
  </si>
  <si>
    <t>Zhongyu Yang, Wei Pang and Yingfang Yuan</t>
  </si>
  <si>
    <t>XR: Cross-Modal Agents for Composed Image Retrieval</t>
  </si>
  <si>
    <t>Abdur-Rahman Ibrahim Sayyid-Ali, Daanish Uddin Khan and
Naveed Bhatti</t>
  </si>
  <si>
    <t>Are LLM Web Search Engines Sustainable? A Web-Measurement Study of Real-Time Fetching</t>
  </si>
  <si>
    <t>Jun Yang, Bai Yuhan, Dandan Song, Zhijing Wu and Yuhang Tian</t>
  </si>
  <si>
    <t>A Fact-Checking Framework with Denoising Evidence Retrieval and LLM-Based Debate Verification</t>
  </si>
  <si>
    <t>Xuri Ge, Chunhao Wang, Xindi Wang, Zheyun Qin, Zhumin Chen
and Xin Xin</t>
  </si>
  <si>
    <t>MCoT-MVS: Multi-level Vision Selection by Multi-modal Chain-of-Thought Reasoning for Composed Image Retrieval</t>
  </si>
  <si>
    <t>Haiyan Wu, Chenchen Wang, Chaoqun Sun, Chengxiong Lu,
Zhiqiang Zhang and Yanhong Chen</t>
  </si>
  <si>
    <t>Conflict-Aware RAG: Multi-Stage Learning with Conflict Signals for Robust Retrieval-Augmented Generation</t>
  </si>
  <si>
    <t>Guanting Dong, Licheng Bao, Zhongyuan Wang, Kangzhi Zhao,
Xiaoxi Li, Jiajie Jin, Jinghan Yang, Hangyu Mao, Fuzheng
Zhang, Kun Gai, Guorui Zhou, Yutao Zhu, Ji-Rong Wen and
Zhicheng Dou</t>
  </si>
  <si>
    <t>Toward Generalized Web Agent Training: A Deep Dive into Entropy-Balanced Reinforcement Learning</t>
  </si>
  <si>
    <t>Ruikun Luo, Zixiao Feng, Lin Gu and Xiaoyu Xia</t>
  </si>
  <si>
    <t>IRAG: Robust Multimodal Retrieval-Augmented Generation via Hazard Separation</t>
  </si>
  <si>
    <t>Yi Sun, Jinyu Xu, Qing Xie, Jiachen Li, Yanchun Ma and
Yongjian Liu</t>
  </si>
  <si>
    <t>SDR-CIR: Semantic Debias Retrieval Framework for Training-Free Zero-Shot Composed Image Retrieval</t>
  </si>
  <si>
    <t>Senlei Zhang, Tongjun Shi, Dandan Song, Luan Zhang, Shuhao
Zhang, Xiaofei Liao and Hai Jin</t>
  </si>
  <si>
    <t>FlowRAG: Continual Learning for Dynamic Retriever in Retrieval-Augmented Generation</t>
  </si>
  <si>
    <t>Jiasheng Xu, Mingda Li, Yongqiang Tang, Peijie Wang and
Wensheng Zhang</t>
  </si>
  <si>
    <t>Towards Open-World Retrieval-Augmented Generation on Knowledge Graph: A Multi-Agent Collaboration Framework</t>
  </si>
  <si>
    <t>Jin Cheng, Xiangxiang Dai, Ningning Ding, John C.S. Lui and
Jianwei Huang</t>
  </si>
  <si>
    <t>BANCO: Drift-Aware Batched Bandits for Adaptive Proximity Graph Pruning</t>
  </si>
  <si>
    <t>Xingyuan Zeng, Zuohan Wu, Yue Wang, Chen Zhang, Quanming
Yao, Libin Zheng and Jian Yin</t>
  </si>
  <si>
    <t>DA-RAG: Dynamic Attributed Community Search for Retrieval-Augmented Generation</t>
  </si>
  <si>
    <t>Jihao Zhao, Daixuan Li, Pengfei Li, Shuaishuai Zu, Biao Qin
and Hongyan Liu</t>
  </si>
  <si>
    <t>QChunker: Learning Question-Aware Text Chunking for Domain RAG via Multi-Agent Debate</t>
  </si>
  <si>
    <t>Xiaoxi Li, Wenxiang Jiao, Jiarui Jin, Guanting Dong, Jiajie
Jin, Yinuo Wang, Hao Wang, Yutao Zhu, Ji-Rong Wen, Yuan Lu
and Zhicheng Dou</t>
  </si>
  <si>
    <t>DeepAgent: A General Reasoning Agent with Scalable Toolsets</t>
  </si>
  <si>
    <t>Junsheng Wang, Tiantian Gong, Yeyun Wu and Liyan Zhang</t>
  </si>
  <si>
    <t>Enhancing Domain-Adaptive Hashing via Evidential Learning and Progressive Alignment</t>
  </si>
  <si>
    <t>Hao Yang, Zhiyu Yang, Xvpeng Zhang, Wei Wei, Yunjie Zhang
and Lin Yang</t>
  </si>
  <si>
    <t>CompactRAG: Reducing LLM Calls and Token Overhead in Multi-Hop Question Answering</t>
  </si>
  <si>
    <t>Fengran Mo, Zhan Su, Yuchen Hui, Jinghan Zhang, Jia Ao Sun,
Zheyuan Liu, Chao Zhang, Tetsuya Sakai and Jian-Yun Nie</t>
  </si>
  <si>
    <t>OpenDecoder: Open Large Language Model Decoding to Incorporate Document Quality in RAG</t>
  </si>
  <si>
    <t>Guohui Ding, Jing Li, Yimin Xu and Rui Zhou</t>
  </si>
  <si>
    <t>HL-CMR: Hypergraph Learning for Cross-Modal Retrieval</t>
  </si>
  <si>
    <t>Dongcheon Lee, Ji-Yeon Park, Hye-Yoon Baek, Jimyeung Seo,
Seyeong Kim and Byungkook Oh</t>
  </si>
  <si>
    <t>Diversifying Differentiable Graph Retrieval with Topic-Adaptive Multi-Intent Learning</t>
  </si>
  <si>
    <t>Xinyan Shi, Renzhi Wang, Haodong Liu and Piji Li</t>
  </si>
  <si>
    <t>ToolBox-RL: Learning to Generalize Tool Use Across Massive Repositories</t>
  </si>
  <si>
    <t>Qichuan Liu, Chentao Zhang, Yuxuan Hu, Chenfeng Zheng,
Qinggang Zhang and Zhihong Zhang</t>
  </si>
  <si>
    <t>Facilitating Generative Retrieval with Logical Denoising for Interpretable Conversational Search</t>
  </si>
  <si>
    <t>Qizhi Chen, Chao Qi, Yihong Huang, Muquan Li, Rongzheng
Wang, Dongyang Zhang, Ke Qin and Shuang Liang</t>
  </si>
  <si>
    <t>KEPo: Knowledge Evolution Poison on Graph-based Retrieval-Augmented Generation</t>
  </si>
  <si>
    <t>Zhiming Lin, Canran Xiao and Kai Zhao</t>
  </si>
  <si>
    <t>Beyond More Context: Retrieval Diversity Boosts Multi-Turn Intent Understanding</t>
  </si>
  <si>
    <t>Yutao Wu, Xiao Liu, Yunhao Feng, Jiale Ding and Xingjun Ma</t>
  </si>
  <si>
    <t>PaperAsk: A Benchmark for Reliability Evaluation of LLMs in Paper Search and Reading</t>
  </si>
  <si>
    <t>Xiaosong Yuan, Xiaofeng Zhang, Di Zhao, Yijia Zhang and
Ying Wang</t>
  </si>
  <si>
    <t>SeaRAG: Reducing Hallucination in Retrieval-Augmented Generation via Statement-Entity Adaptive Ranking</t>
  </si>
  <si>
    <t>Kuicai Dong, Shurui Huang, Fangda Ye, Wei Han, Zhi Zhang,
Dexun Li, Wenjun Li, Qu Yang, Gang Wang, Yichao Wang, Chen
Zhang and Yong Liu</t>
  </si>
  <si>
    <t>DocResearcher: A Unified System for Multimodal Document Parsing and Deep Research</t>
  </si>
  <si>
    <t>Mingjun Zhou, Weixin Zeng and Xiang Zhao</t>
  </si>
  <si>
    <t>Experience is the Best Teacher: Augmenting LLM Reasoning with Knowledge Learned from the Past</t>
  </si>
  <si>
    <t>Zhangtao Cheng, Bozhu Zheng, Ting Zhong and Fan Zhou</t>
  </si>
  <si>
    <t>Evidential Matching, Uncertainty Calibration: Towards Robust Composed Video Retrieval with Noisy Triplets</t>
  </si>
  <si>
    <t>Jamshid Mozafari, Hamed Zamani, Guido Zuccon and Adam Jatowt</t>
  </si>
  <si>
    <t>Inferential Question Answering</t>
  </si>
  <si>
    <t>Wonbin Kweon, Runchu Tian, Seongku Kang, Pengcheng Jiang,
Zhiyong Lu, Jiawei Han and Hwanjo Yu</t>
  </si>
  <si>
    <t>PairSem: LLM-Guided Pairwise Semantic Matching for Scientific Document Retrieval</t>
  </si>
  <si>
    <t>Haoyu Han, Kai Guo, Harry Shomer, Yu Wang, Yucheng Chu,
Hang Li, Li Ma and Jiliang Tang</t>
  </si>
  <si>
    <t>Reasoning by Exploration: A Unified Approach to Retrieval and Generation over Graphs</t>
  </si>
  <si>
    <t>Lei Li, Xiao Zhou, Yingying Zhang and Xian Wu</t>
  </si>
  <si>
    <t>From Retrieval to Generation: Unifying External and Parametric Knowledge for Medical Question Answering</t>
  </si>
  <si>
    <t>Helia Hashemi, Victor Rühle and Saravan Rajmohan</t>
  </si>
  <si>
    <t>Cost-Aware Retrieval-Augmentation Reasoning Models with Adaptive Retrieval Depth</t>
  </si>
  <si>
    <t>Yunhao Liu, Zian Jia, Xinyu Gao, Kanjun Xu and Yun Xiong</t>
  </si>
  <si>
    <t>Rethinking Soft Compression in Retrieval-Augmented Generation: A Query-Conditioned Selector Perspective</t>
  </si>
  <si>
    <t>Li Changxing, Donglin Zhang, Zhikai Hu, Xiao-Jun Wu and
Josef Kittler</t>
  </si>
  <si>
    <t>SketchMind: Understanding Abstract Sketches with MLLMs for Fine-Grained Sketch-Based Image Retrieval</t>
  </si>
  <si>
    <t>Wen-Sheng Lien, Yu-Kai Chan, Hao-Lung Hsiao, Bo-Kai Ruan,
Meng-Fen Chiang, Chien-An Chen, Yi-Ren Yeh and Hong-Han
Shuai</t>
  </si>
  <si>
    <t>HyperRAG: Reasoning N-ary Facts over Hypergraphs for Retrieval Augmented Generation</t>
  </si>
  <si>
    <t>Haoyang Zhong, Yifei Sun, Antong Zhang, Chunping Wang, Lei
Chen and Yang Yang</t>
  </si>
  <si>
    <t>A Unified Framework for Context-Aware and Relation-Aware Graph Retrieval-Augmented Generation</t>
  </si>
  <si>
    <t>Sunghwan Kim, Ryang Heo, Yongsik Seo, Jinyoung Yeo and
Dongha Lee</t>
  </si>
  <si>
    <t>AgenticShop: Benchmarking Agentic Product Curation for Personalized Web Shopping</t>
  </si>
  <si>
    <t>Kaiwen Wei, Xiao Liu, Jie Zhang, Zijian Wang, Ruida Liu,
Yuming Yang, Xin Xiao, Xiao Sun, Haoyang Zeng, Changzai
Pan, Yidan Zhang, Jiang Zhong, Peijin Wang and Yingchao Feng</t>
  </si>
  <si>
    <t>CFVBench: A Comprehensive Video Benchmark for Fine-grained Multimodal Retrieval-Augmented Generation</t>
  </si>
  <si>
    <t>Kaehyun Um, Kyuhwan Yeom, Haerim Yang, Minyoung Choi,
Hyeongjun Yang and Kyong-Ho Lee</t>
  </si>
  <si>
    <t>RPO-RAG: Aligning Small LLMs with Relation-aware Preference Optimization for Knowledge Graph Question Answering</t>
  </si>
  <si>
    <t>Yanyu Chen, Jiyue Jiang, Jiahong Liu, Yifei Zhang, Xiao Guo
and Irwin King</t>
  </si>
  <si>
    <t>TRACE: Trajectory-Aware Comprehensive Evaluation for Deep Research Agents</t>
  </si>
  <si>
    <t>Zhihuang Liu, Ling Hu, Yonghao Tang, Tongqing Zhou, Fang
Liu and Zhiping Cai</t>
  </si>
  <si>
    <t>Exploring and Exploiting Security Vulnerabilities in Self-Hosted LLM Services</t>
  </si>
  <si>
    <t>Security and Privacy</t>
  </si>
  <si>
    <t>Peizhao Zhou, Xiaojie Guo, Pinzhi Chen, Ranyang Liu, Lihai
Nie, Tong Li and Zheli Liu</t>
  </si>
  <si>
    <t>SIsomap: Secure Collaborative Manifold Learning with Reducing Communication Costs</t>
  </si>
  <si>
    <t>Wujia Niu, Lan Zhang, Haoran Cheng and Shen Li</t>
  </si>
  <si>
    <t>PrivSplit: A Lossless Method for Prompt Privacy in Distributed Parameter-Efficient Fine-Tuning</t>
  </si>
  <si>
    <t>Wenzheng Jiang, Ke Liang, Wenke Huang, Xiongtao Zhang,
Zhenxing Xu, Guancheng Wan, Cheston Tan, Flint Xiaofeng Fan
and Ji Wang</t>
  </si>
  <si>
    <t>Unveiling and Mitigating Untargeted Poisoning Attacks on Federated Knowledge Graph Embedding</t>
  </si>
  <si>
    <t>Shenping Xiong, Xutong Wang, Ze Jin, Xinyu Liu, Haoqiang
Wang, Zhen Chen, Ru Tan and Qixu Liu</t>
  </si>
  <si>
    <t>TGNN: Enhancing Pixel Tracking Detection via LLM-driven Annotation and GAT-powered Structural Representation</t>
  </si>
  <si>
    <t>Lijing Ren and Denghui Zhang</t>
  </si>
  <si>
    <t>DiSCoQR: Diffusion-Driven Semantic Compression for Robust Image Steganography in Standard QR Codes</t>
  </si>
  <si>
    <t>Silong Chen, Yuchuan Luo, Guilin Deng, Yi Liu, Ming Xu,
Shaojing Fu and Xiaohua Jia</t>
  </si>
  <si>
    <t>Reconstructing Training Data from Adapter-based Federated Large Language Models</t>
  </si>
  <si>
    <t>Yu Yan, Siqi Lu, Yang Gao, Zhaoxuan Li, Ziming Zhao,
Qingjun Yuan and Yongjuan Wang</t>
  </si>
  <si>
    <t>Has the Two-Decade-Old Prophecy Come True? Artificial Bad Intelligence Triggered by Merely a Single-Bit Flip in Large Language Models</t>
  </si>
  <si>
    <t>Anas Kastantin, Leonhard Balduf, Onur Ascigil, Saidu
Sokoto, Björn Scheuermann, Andrzej Duda, Michał Król and
Maciej Korczyński</t>
  </si>
  <si>
    <t>Netting Phish in the IPFS Ocean: Real-Time Monitoring and Characterization of Decentralized Phishing Campaigns</t>
  </si>
  <si>
    <t>Shuo Shao, Yiming Li, Hongwei Yao, Yifei Chen, Yuchen Yang
and Zhan Qin</t>
  </si>
  <si>
    <t>Reading Between the Lines: Towards Reliable Black-box LLM Fingerprinting via Zeroth-order Gradient Estimation</t>
  </si>
  <si>
    <t>Naen Xu, Jinghuai Zhang, Ping He, Chunyi Zhou, Jun Wang,
Zhihui Fu, Tianyu Du, Zhaoxiang Wang and Shouling Ji</t>
  </si>
  <si>
    <t>FraudShield: Knowledge Graph Empowered Defense for LLMs against Fraud Attacks</t>
  </si>
  <si>
    <t>Zhaoqi Wang, Daqing He, Zijian Zhang, Ye Liu, Jiamou Liu,
Zhirui Zeng, Zhan Qin, Zhen Li, Xin Li, Hongwei Yao,
Jincheng An, Yong Liu, Yi Li, Qi Sun, Xiulei Liu and
Liehuang Zhu</t>
  </si>
  <si>
    <t>Combating Knowledge Corruption in Agent Systems: A Byzantine-Tolerant Secure Collaborative RAG Framework</t>
  </si>
  <si>
    <t>Ziyue Wu, Nan Wang, Jiqiang Liu, Hairong Dong and Xibin Zhao</t>
  </si>
  <si>
    <t>HyperDetector: Advanced Persistent Threat Detection via Hypergraph Neural Networks with Enhanced Global Perception</t>
  </si>
  <si>
    <t>Ziqun Bao, Jiaqiang Niu, Yuchen Shao and Chengcheng Wan</t>
  </si>
  <si>
    <t>PADD: Prefix-based Attention Divergence Detector for LLM Jailbreaks</t>
  </si>
  <si>
    <t>Zhi Pang, Bo Feng, Meng Luo, Chenhao Liu, Shuwang Xu, Kai
Zhao, Yadi Wu and Bo Zeng</t>
  </si>
  <si>
    <t>Privacy-Friendly Adaptation of Vision Transformers for Communication and Latency-Efficient Private Inference</t>
  </si>
  <si>
    <t>Tao Chen, Jingyi Zhang, Decheng Liu and Chunlei Peng</t>
  </si>
  <si>
    <t>MGFFD-VLM: Multi-Granularity Prompt Learning for Face Forgery Detection with VLM</t>
  </si>
  <si>
    <t>Jianxin Wei, Ergute Bao, Xiaokui Xiao and Ting Yu</t>
  </si>
  <si>
    <t>SaGD: A Node-Level Differentially Private Graph Learning Framework with Sensitivity-Aware Gradient Descent</t>
  </si>
  <si>
    <t>Zelin Li, Yifan Liu, Huimin Zeng, Yaokun Liu, Ruichen Yao,
Yang Zhang and Dong Wang</t>
  </si>
  <si>
    <t>Red-Teaming Privacy-Protective Perturbations: Blind Face Restoration as an Attack Strategy</t>
  </si>
  <si>
    <t>Ruisheng Shi, Yuxuan Liang, Zijun Guo, Qin Wang, Lina Lan,
Chenfeng Wang and Zhuoyi Zheng</t>
  </si>
  <si>
    <t>Eclipse Attacks on Ethereum’s Peer-to-Peer Network</t>
  </si>
  <si>
    <t>Xinxin Xing, Yizhong Liu, Ruonan Chen, Banghong Qin,
Wangjie Qiu, Jianwei Liu, Qianhong Wu, Willy Susilo and
Robert H. Deng</t>
  </si>
  <si>
    <t>Xemis: Fair and Robust Privacy-Preserving Data Trading based on Distributed Noise Sharing</t>
  </si>
  <si>
    <t>Xiangxiang Chen, Peixin Zhang, Jun Sun, Jin Song Dong,
Wenhai Wang and Jingyi Wang</t>
  </si>
  <si>
    <t>LLMQuA: Practical Backdoor Injection on Large Language Model Quantization</t>
  </si>
  <si>
    <t>Anyuan Sang, Li Yang, Lu Zhou, Cheng Zhou, Junbo Jia and
Huipeng Yang</t>
  </si>
  <si>
    <t>ProvGuard: Logic-Aware Multi-View Contrastive Learning for Robust and Efficient Host Threat Detection</t>
  </si>
  <si>
    <t>Bowen Fan, Zhilin Guo, Xunkai Li, Yihan Zhou, Bing Zhou,
Zhenjun Li, Rong-Hua Li and Guoren Wang</t>
  </si>
  <si>
    <t>Unveiling the Vulnerability of Graph-LLMs: An Interpretable Multi-Dimensional Adversarial Attack on TAGs</t>
  </si>
  <si>
    <t>Xiyuan Zhao, Xinhao Deng, Tianyu Cui, Yixiang Zhang, Ke Xu
and Qi Li</t>
  </si>
  <si>
    <t>Robust LLM-Based Website Fingerprinting under Dynamic Real-World Conditions</t>
  </si>
  <si>
    <t>Yitong Wang, Pengfei Yu, Hao Han, Jingjing Gu, Fengyuan Xu
and Xinyi Huang</t>
  </si>
  <si>
    <t>WAMO: Toward Secure Browser Inference via Web Model Obfuscation in WebAssembly</t>
  </si>
  <si>
    <t>Zhihui Zhao, Xiaorong Dong, Yaowen Zheng, Xiaohui Chen,
Yimo Ren, Hangbei Cheng, Yongle Chen and Limin Sun</t>
  </si>
  <si>
    <t>Breaking Cross-modal Alignment in Embodied Intelligence: A Multimodal Adversarial Attack Framework for Vision-Language-Action Models</t>
  </si>
  <si>
    <t>Fajie Wu, Jiajing Wu, Zhiying Wu, Jun Chen, Tao Wang,
Longjian He, Bowen Song and Weiqiang Wang</t>
  </si>
  <si>
    <t>TGweaver: Synthesizing Transaction Graphs for De-anonymization Analysis</t>
  </si>
  <si>
    <t>Peng Liu, Peng-Fei Zhang, Jianfeng Qu, Ximing Li, Zhixu Li
and Pengpeng Zhao</t>
  </si>
  <si>
    <t>Towards Practical LLM Unlearning: Efficient, Modular, and Retain-Free</t>
  </si>
  <si>
    <t>Yufang Wu, Siwen Chen, Chao Li, Yuan Weng and Wei Wang</t>
  </si>
  <si>
    <t>The Promise vs. Reality of NFT Decentralization: An Empirical Study of Storage Strategies and Defects</t>
  </si>
  <si>
    <t>Huipeng Yang, Li Yang, Lu Zhou, Lichuan Ma, Xinyue Wang,
Junbo Jia and Anyuan Sang</t>
  </si>
  <si>
    <t>WebGeoInfer: Structure-Free Multi-Stage Framework for Geolocation Inference from Exposed Device Web Interfaces</t>
  </si>
  <si>
    <t>Ningyuan He, Ronghong Huang, Qianqian Tang, Hongyu Wang,
Xianghang Mi and Shanqing Guo</t>
  </si>
  <si>
    <t>ICL-EVADER: Zero-Query Black-Box Evasion Attacks on In-Context Learning and Their Defenses</t>
  </si>
  <si>
    <t>Li Haoran, Renyang Liu, Hongjia Liu, Chen Wang, Long Yin
and Jian Xu</t>
  </si>
  <si>
    <t>PWAVEP: Purifying Imperceptible Adversarial Perturbations in 3D Point Clouds via Spectral Graph Wavelets</t>
  </si>
  <si>
    <t>Chengjun Yu, Di Wu, Yi He, Jia Chen and Xin Luo</t>
  </si>
  <si>
    <t>Federated Latent Factor Learning for Privacy-Preserving Spatio-Temporal Signal Recovery</t>
  </si>
  <si>
    <t>Soyoung Lee, Sunnyeo Park, Yonghwi Kwon and Sooel Son</t>
  </si>
  <si>
    <t>Zelda: Feedback-driven Closed-box Fuzzing for Identifying Web Application Vulnerabilities</t>
  </si>
  <si>
    <t>Longlong Zhu, Linying Zheng, Qing Shu, Zedi Chen, Jiashuo
Yu, Yuhan Wu, Shaopeng Zhou, Hongyan Liu, Dong Zhang,
Chunming Wu and Xiang Chen</t>
  </si>
  <si>
    <t>Proteus: Towards Accurate and Low-overhead In-Network Malicious Traffic Detection</t>
  </si>
  <si>
    <t>Pengfei Ding, Yan Wang and Guanfeng Liu</t>
  </si>
  <si>
    <t>Re-understanding Graph Unlearning through Memorization</t>
  </si>
  <si>
    <t>Yuzi Yi, Weixuan Wang, Yehong Luo, Jinqiao Shi and Jiwei
Huang</t>
  </si>
  <si>
    <t>Mitigating Cumulative Privacy Risk in Continual Information Sharing: A Dynamic Stackelberg Game Approach</t>
  </si>
  <si>
    <t>Pei Chen, Geng Hong, Xinyi Wu, Mengying Wu, Zixuan Zhu,
Mingxuan Liu, Baojun Liu, Mi Zhang and Min Yang</t>
  </si>
  <si>
    <t>Unveiling the Resilience of LLM-Enhanced Search Engines against Black-Hat SEO Manipulation</t>
  </si>
  <si>
    <t>Zhiqiang Wang, Guanquan Shi, Yanting Wang, Yichao Gao,
Hongsen Lang, Yunhao Yao, Haohua Du and Xiang-Yang Li</t>
  </si>
  <si>
    <t>Beyond Detection: Autonomous Anomaly Remediation for MCP Against Tool Poisoning Attacks</t>
  </si>
  <si>
    <t>Jannik Albrecht and Ghassan Karame</t>
  </si>
  <si>
    <t>On the Effectiveness of Mempool-based Transaction Auditing</t>
  </si>
  <si>
    <t>Wenhao Wu, Zhaohua Wang, Zihan Li, Qinxin Li, Yiming Xia,
Chuan Gao, Guangxing Zhang and Zhenyu Li</t>
  </si>
  <si>
    <t>Tracking the Stray Sheep: Understanding DNS Response Manipulation in the Wild</t>
  </si>
  <si>
    <t>Tobias Gattermayer and Haya Schulmann</t>
  </si>
  <si>
    <t>Too Much Sharing, Too Little Security: Authentication Cookie Theft At Scale</t>
  </si>
  <si>
    <t>Yitan Huang, Wei Qiao, Ding Wang, Meng Shen, Di Zhao, Linxu
Li, Susu Cui, Bo Jiang, Zhigang Lu and Baoxu Liu</t>
  </si>
  <si>
    <t>Forge: A Robust Multi-tab Website Fingerprinting Attack via Blind Source Separation</t>
  </si>
  <si>
    <t>Songyang Wu, Chuan Ma, Ming Ding, Long Yuan, Biwen Chen,
Yuwen Qian and Tao Xiang</t>
  </si>
  <si>
    <t>HiFi-WF: Toward Realistic Website Fingerprinting with Multi-tab and Subpage Recognition</t>
  </si>
  <si>
    <t>Hengzhi Wang, Lu Dai, Xianliang Zhang, Haoran Chen,
Juncheng Hu and Kun Yang</t>
  </si>
  <si>
    <t>DIARY: Differentially Private Recovery with Adaptive Privacy Budgets in Federated Unlearning</t>
  </si>
  <si>
    <t>Yizhong Liu, Zedan Zhao, Boyu Zhao, Na Wang, Haojun Tan and
Jianwei Liu</t>
  </si>
  <si>
    <t>ShadowClone: Scalable Decentralized Identity with Cross-Domain Anonymity and Accountable Traceability</t>
  </si>
  <si>
    <t>Jiaming Guo, Haoran Yang, Kuihao Yan, Jiekang Hu, Xiaoqi
Jia, Haichao Du and Qihang Zhou</t>
  </si>
  <si>
    <t>FalconScope: Effective and Efficient Detection of Hidden Web Interfaces in IoT Devices</t>
  </si>
  <si>
    <t>Junyi Wang, Zhibin Zhu and Chuanyi Liu</t>
  </si>
  <si>
    <t>The Asymmetric Vulnerability: Bypassing LLM Defenses via Guardrail-Model Mismatch</t>
  </si>
  <si>
    <t>Oussama Draissi and Lucas Davi</t>
  </si>
  <si>
    <t>Bento: Fine-Grained Memory Isolation for COTS WebAssembly Binaries</t>
  </si>
  <si>
    <t>Zhigao Zheng, Kai Yin, Yaowen Kuang, Tao Wang, Yahong Chen,
Shihong Yao and Hao Huang</t>
  </si>
  <si>
    <t>DeepUL: Deep Unlearning via Model Sparsity</t>
  </si>
  <si>
    <t>Ting Qiao, Xing Liu, Wenke Huang, Jianbin Li, Zhaoxin Fan
and Yiming Li</t>
  </si>
  <si>
    <t>DSSmoothing: Toward Certified Dataset Ownership Verification for Pre-trained Language Models via Dual-Space Smoothing</t>
  </si>
  <si>
    <t>Ming Xu, Hongtai Wang, Yanpei Guo, Zhengmin Yu, Weili Han,
Hoon Wei Lim, Jin Song Dong and Jiaheng Zhang</t>
  </si>
  <si>
    <t>ARuleCon: Agentic Security Rule Conversion</t>
  </si>
  <si>
    <t>Yang Feng and Xudong Pan</t>
  </si>
  <si>
    <t>SentinelNet: Safeguarding Multi-Agent Collaboration Through Credit-Based Dynamic Threat Detection</t>
  </si>
  <si>
    <t>Andrew Rozema and James Davis</t>
  </si>
  <si>
    <t>Anti-Phishing Training (Still) Does Not Work: A Reproduction of Phishing Training Inefficacy Grounded in the NIST Phish Scale</t>
  </si>
  <si>
    <t>Yuqing Yang and Zhiqiang Lin</t>
  </si>
  <si>
    <t>Real or Rogue? Detecting Malicious Miniapps with Deceptive Reporting Interface</t>
  </si>
  <si>
    <t>Baigang Chen and Dongfang Zhao</t>
  </si>
  <si>
    <t>Reliable Non-Leveled Homomorphic Encryption for Web Services</t>
  </si>
  <si>
    <t>Shaochen Yang, Kefei Zhou and Wei Xu</t>
  </si>
  <si>
    <t>Towards Robust Detection of Chinese Toxic Variants via Dynamic Knowledge Graph–LLM Reasoning</t>
  </si>
  <si>
    <t>Chaowei Zhang, Xiansheng Luo, Zewei Zhang, Yi Zhu, Jipeng
Qiang and Longwei Wang</t>
  </si>
  <si>
    <t>Acting Flatterers via LLMs Sycophancy: Combating Clickbait with LLMs Opposing-Stance Reasoning</t>
  </si>
  <si>
    <t>Yujie Jin, Wenxin Zhang, Jingjing Wang and Guodong Zhou</t>
  </si>
  <si>
    <t>DeepSVU: Towards In-depth Security-oriented Video Understanding via Unified Physical-world Regularized MoE</t>
  </si>
  <si>
    <t>Rujia Li, Qin Wang, Haochen Wang, Xueqian Lu and Sisi Duan</t>
  </si>
  <si>
    <t>Greedy Attack: Breaking Finality against VeChain Proof-of-Authority Consensus Protocol</t>
  </si>
  <si>
    <t>Kyungrok Choi, Woonghee Lee and Junbeom Hur</t>
  </si>
  <si>
    <t>SPCA: Stream Parser Confusion Attack for Web Application Firewall Evasion in HTTP/2</t>
  </si>
  <si>
    <t>Yuan Fan, Xiaoyuan Liu, Bo Liu, Wubing Wang, Jia Sun,
Wenzhi Chen, Huaikang Fang, Lifeng Tao and Fan Mo</t>
  </si>
  <si>
    <t>Distribution-Aligned Synthetic Text Generation via Tail-Aware Enhancement</t>
  </si>
  <si>
    <t>Yanbang Sun, Quan Luo, Yuelin Wang, Qian Chen, Benjin Liu,
Ruiqi Chen, Qing Huang, Xiaohong Li and Junjie Wang</t>
  </si>
  <si>
    <t>SemFuzz: A Semantics-Aware Fuzzing Framework for Network Protocol Implementations</t>
  </si>
  <si>
    <t>Jiasen Li, Yanwei Liu, Zhuoyi Shang, Xiaoyan Gu and Weiping
Wang</t>
  </si>
  <si>
    <t>DRGW: Learning Disentangled Representations for Robust Graph Watermarking</t>
  </si>
  <si>
    <t>Hangyu Ye, Liyao Xiang, Naixuan Huang, Dongyue Yu, Lijun
Zhang and Gang Wang</t>
  </si>
  <si>
    <t>PrivSniffer: Graph-based Contextual Privacy Leakage Detection for User-Generated Texts</t>
  </si>
  <si>
    <t>Sepehr Mousavi, Abhisek Dash, Savvas Zannettou and Krishna
P. Gummadi</t>
  </si>
  <si>
    <t>Does Ad-Free Mean Less Data Collection? An Empirical Study of Platform Data Practices and User Expectations</t>
  </si>
  <si>
    <t>Mingfei Zhang, Rujia Li, Xinyu Lei and Sisi Duan</t>
  </si>
  <si>
    <t>Risk-free Selfish Mining in Hybrid Predictability Model. A Case Study on Polkadot’s NPoS</t>
  </si>
  <si>
    <t>Marcin Waniek</t>
  </si>
  <si>
    <t>Sybil Attacks on Centrality Measures</t>
  </si>
  <si>
    <t>Ruihan Hu, Yu-Ming Shang, Wei Luo, Ye Tao and Xi Zhang</t>
  </si>
  <si>
    <t>When Reasoning Leaks Membership: Membership Inference Attack on Black-box Large Reasoning Models</t>
  </si>
  <si>
    <t>Haeseung Jeon, Sujin Kim, Nate Mathews, Hosung Kang and Se
Eun Oh</t>
  </si>
  <si>
    <t>RoFiRe: Robust Website Fingerprinting on Real-World Tor Traffic via Improved Augmentation and Normalization</t>
  </si>
  <si>
    <t>Jianjin Zhao, Dongqi Han, Chao Ma, Qi Li, Zhiwei Cui,
Hongliang Zhu, Hua Zhang, Mingshu He, Yijun Lu, Jiong Dong,
Yuyin Ma and Meng Shen</t>
  </si>
  <si>
    <t>GIANT: Structure-Agnostic Practical Adversarial Attacks for Graph-based Network Intrusion Detection Systems</t>
  </si>
  <si>
    <t>Zhihao Chen, Zirui Gong, Jianting Ning, Yanjun Zhang and
Leo Yu Zhang</t>
  </si>
  <si>
    <t>Beyond Denial-of-Service: The Puppeteer's Attack for Fine-Grained Control in Ranking-Based Federated Learning</t>
  </si>
  <si>
    <t>Qinxin Li, Zhaohua Wang, Wenhao Wu, Zihan Li, Yiming Xia,
Chuan Gao and Zhenyu Li</t>
  </si>
  <si>
    <t>Balancing Privacy and Security of QNAME Minimisation</t>
  </si>
  <si>
    <t>Shaodi Xie, Wei Yuan, Haoyu Jiang, Zhu Gong, Haoran Wang,
Heng Li and Tiejun Wu</t>
  </si>
  <si>
    <t>Do You Really Know What I Am Doing? Backdoor Attacks on Provenance-Based Intrusion Detection Systems</t>
  </si>
  <si>
    <t>Simon Schwarz, Florian Bauckholt and Leon Trampert</t>
  </si>
  <si>
    <t>Trust on Reload: Securing Browser-Based End-to-End Encryption</t>
  </si>
  <si>
    <t>Jiaxin Jiang, Xutong Zhang, Jiahao Li, Leqi Zhao, Zhengxin
Guo, Kaiyan Cui, Ming Gao, Jinsong Han and Fu Xiao</t>
  </si>
  <si>
    <t>Fast or Secure? Push the Limit of Privacy Leakage Threat via Charging Side-Channel Attacks</t>
  </si>
  <si>
    <t>Yichen Luo, Yebo Feng, Jiahua Xu and Yang Liu</t>
  </si>
  <si>
    <t>Resisting Manipulative Bots in Meme Coin Copy Trading: A Multi-Agent Approach with Chain-of-Thought Reasoning</t>
  </si>
  <si>
    <t>Yan Zhang, Yihong Song, Manzhou Li, Qiushi Li, Qi Li and Ju
Ren</t>
  </si>
  <si>
    <t>PeriNet: Periodic Deep Learning Framework for Modality-Agnostic Privacy Preserving</t>
  </si>
  <si>
    <t>Athicha Srivirote, Muhammad Abu Bakar Aziz, Jeffrey
Gleason, Desheng Hu and Christo Wilson</t>
  </si>
  <si>
    <t>Inferring Users’ Demographics and Sensitive Interests Using the Topics API</t>
  </si>
  <si>
    <t>Qianyu Wang, Weiyou Tian, Rong Wang, Wei-Tek Tsai, Tianyu
Shi, Zhuang Liu and Tianze Xia</t>
  </si>
  <si>
    <t>CogAgent: Self-Evolving Cognitive Agents for Multi-Source Fraud Detection in Heterogeneous Financial Networks</t>
  </si>
  <si>
    <t>Jiahao Zhang, Xiaobing Pei, Zhaokun Zhong, Wenqiang Hao and
Zhenghao Tang</t>
  </si>
  <si>
    <t>JANUS: A Dual-Constraint Generative Framework for Stealthy Node Injection Attacks</t>
  </si>
  <si>
    <t>Abhisek Dash, Soumi Das, Elisabeth Kirsten, Qinyuan Wu, Sai
Keerthana Karnam, Krishna P. Gummadi, Thorsten Holz,
Muhammad Bilal Zafar and Savvas Zannettou</t>
  </si>
  <si>
    <t>The Algorithmic Self-Portrait:Deconstructing Memory in ChatGPT</t>
  </si>
  <si>
    <t>Elisa Luo, Tom Ritter, Stefan Savage and Geoffrey M Voelker</t>
  </si>
  <si>
    <t>Understanding Server-side Commercial Fingerprinting</t>
  </si>
  <si>
    <t>Pinlong Zhao, Mengyang Li, Pengfei Jiao, Huijun Tang and Ou
Wu</t>
  </si>
  <si>
    <t>Unequal Vulnerability: The Differential Impact of Label Flipping Attacks Across Classes</t>
  </si>
  <si>
    <t>Endong Liu, Mark Ryan, Liyi Zhou and Pascal Berrang</t>
  </si>
  <si>
    <t>Evasion Under Blockchain Sanctions</t>
  </si>
  <si>
    <t>Chaejin Lim, Kiho Lee, Beomjin Jin, Heewon Baek and
Hyoungshick Kim</t>
  </si>
  <si>
    <t>AdVersa: Adversarially-Robust and Practical Ad and Tracker Blocking in the Wild</t>
  </si>
  <si>
    <t>Dohee Kim, Zhao Hui, Doowon Kim and Sungjae Hwang</t>
  </si>
  <si>
    <t>Unveiling the Underground Phishing Ecosystem: A 12-Year Longitudinal Study of Deep and Dark Web Forums</t>
  </si>
  <si>
    <t>Aarav Varshney, Prashant Agrawal and Mahabir Prasad Jhanwar</t>
  </si>
  <si>
    <t>YouChoose: A Lightweight Anonymous Proof of Account Ownership</t>
  </si>
  <si>
    <t>Wenbo Guo, Shiwen Song, Jiaxun Guo, Zhengzi Xu, Chengwei
Liu, Haoran Ou, Mengmeng Ge and Yang Liu</t>
  </si>
  <si>
    <t>Bridging Expert Reasoning and LLM Detection: A Knowledge-Driven Framework for Malicious Packages</t>
  </si>
  <si>
    <t>Benhui Zhang, Junyu Gao and Yuan Yuan</t>
  </si>
  <si>
    <t>Multimodal Graph Conditioned Diffusion Model for Video Captioning</t>
  </si>
  <si>
    <t>Yijie Zhong, Yunfan Gao and Haofen Wang</t>
  </si>
  <si>
    <t>HingeMem: Boundary Guided Long-Term Memory with Query Adaptive Retrieval for Scalable Dialogues</t>
  </si>
  <si>
    <t>Yaming Yang, Zhe Wang, Ziyu Guan, Wei Zhao, Weigang Lu,
Xinyan Huang, Jiangtao Cui and Xiaofei He</t>
  </si>
  <si>
    <t>Aligning Multiple Knowledge Graphs in A Single Pass</t>
  </si>
  <si>
    <t>Yisen Gao, Jiaxin Bai, Yi Huang, Xingcheng Fu, Qingyun Sun
and Yangqiu Song</t>
  </si>
  <si>
    <t>Unifying Deductive and Abductive Reasoning in Knowledge Graphs with Masked Diffusion Model</t>
  </si>
  <si>
    <t>Zitai Qiu, Rongwei Xu, Congbo Ma, Shan Xue, Jian Yang,
Guanfeng Liu, Quan Z. Sheng, Amin Beheshti and Jia Wu</t>
  </si>
  <si>
    <t>LHG: LLM-enhanced and Heterogeneous Graph-induced for Unsupervised Social Event Detection</t>
  </si>
  <si>
    <t>Zhiyao Wu, Zi Liang and Haibo Hu</t>
  </si>
  <si>
    <t>Decoding Web Memorization: A Semantic Membership Inference Attack on LLMs</t>
  </si>
  <si>
    <t>Qingchuan Li, Jiatong Li, Zirui Liu, Mingyue Cheng, Yitong
Zhou, Yuting Zeng, Qi Liu and Tongxuan Liu</t>
  </si>
  <si>
    <t>Are LLMs Stable Formal Logic Translators in Logical Reasoning Across Linguistically Diversified Texts?</t>
  </si>
  <si>
    <t>Yuchao Zhang, Xiangjie Kong, Kailun Ye, Shangfei Zheng and
Guojiang Shen</t>
  </si>
  <si>
    <t>DSTAG: A Semantic Tag-Enhanced Dual-Graph Convolutional Network for Temporal Knowledge Graph Completion</t>
  </si>
  <si>
    <t>Renqiang Luo, Dong Zhang, Yupeng Gao, Wen Shi, Mingliang
Hou, Jiaying Liu, Zhe Wang and Shuo Yu</t>
  </si>
  <si>
    <t>Bridging Semantic Understanding and Popularity Bias with LLMs</t>
  </si>
  <si>
    <t>Yanlin Song, Ben Liu, Víctor Gutiérrez-Basulto, Zhiwei Hu,
Qianqian Xie, Min Peng, Sophia Ananiadou and Jeff Z. Pan</t>
  </si>
  <si>
    <t>Plan Then Retrieve: Reinforcement Learning-Guided Complex Reasoning over Knowledge Graphs</t>
  </si>
  <si>
    <t>Peining Li, Meiyu Liang, Wei Huang, Junping Du, Zhe Xue,
Guanhua Ye, Wu Liu and Lei Shi</t>
  </si>
  <si>
    <t>Multi-Granularity Multi-Modal Knowledge Graph Representation Learning via Subgraph-Aware Adaptive Fusion and Hierarchical Relation Modeling</t>
  </si>
  <si>
    <t>Ke Chen, Jiandian Zeng, Zihao Peng, Guo Li, Guangxue Zhang
and Tian Wang</t>
  </si>
  <si>
    <t>Matrix as Plan: Structured Logical Reasoning with Feedback-Driven Replanning</t>
  </si>
  <si>
    <t>Mengyu Li, Yonghao Liu, Fausto Giunchiglia, Ximing Li,
Xiaoyue Feng and Renchu Guan</t>
  </si>
  <si>
    <t>Simple-Sampling and Hard-Mixup with Prototypes to Rebalance Contrastive Learning for Text Classification</t>
  </si>
  <si>
    <t>Liang Chen, Xiaoding Wang, Limei Lin, Dajin Wang, Zhiquan
Liu and Jie Wu</t>
  </si>
  <si>
    <t>Grasp: Refining Semantic Graphs into Purified Knowledge for Cross-Modal Communication</t>
  </si>
  <si>
    <t>Jixuan Wu, Limei Lin, Xiaoding Wang, Kunpeng Xu and Jie Wu</t>
  </si>
  <si>
    <t>CausalSKyHop: Knowledge-Aware Causal Explanation of Dynamic GNNs via Higher-Order Semantic Reasoning</t>
  </si>
  <si>
    <t>Huaming Du, Tao Hu, Yijie Huang, Yu Zhao, Guisong Liu, Tao
Gu, Gang Kou and Carl Yang</t>
  </si>
  <si>
    <t>Traceable Latent Variable Discovery Based on Multi-Agent Collaboration</t>
  </si>
  <si>
    <t>Jiawei Sheng, Taoyu Su, Xixun Lin, Xiaodong Li and Tingwen
Liu</t>
  </si>
  <si>
    <t>Conditional Diffusion Guided Knowledge Transfer for Multi-Domain Knowledge Graph Completion</t>
  </si>
  <si>
    <t>Xudong Zhao, Xiaolong Xu, Haolong Xiang, Tong Gao, Lianyong
Qi, Amin Beheshti, Xuyun Zhang and Wanchun Dou</t>
  </si>
  <si>
    <t>DyLogNet: A Dynamic Multi-Relational Graph Framework for Log Anomaly Detection</t>
  </si>
  <si>
    <t>Liangwei Nathan Zheng, Wenhao Liang, Wei Emma Zhang, Miao
Xu, Olaf Maennel and Weitong Chen</t>
  </si>
  <si>
    <t>Lifting Manifolds to Mitigate Pseudo-Alignment in LLM4TS</t>
  </si>
  <si>
    <t>Tongguan Wang, Junkai Li, Feiyue Xue, Hui Liu, Dongyu Su,
Wangjun Huang and Ying Sha</t>
  </si>
  <si>
    <t>MePe: Rethinking Multimodal Chinese Idiom Reading Comprehension from a Metaphorical Perspective</t>
  </si>
  <si>
    <t>Jianye Xie, Chunhua Hu, Lianyong Qi, Fan Wang, Xiaolong Xu,
Haolong Xiang, Xuyun Zhang, Shichao Pei, Amin Beheshti,
Wanchun Dou and Xiaokang Zhou</t>
  </si>
  <si>
    <t>PLIKD: Prompt Learning with Instance-aware Knowledge Distillation for Web-scale Semantic Image Classification</t>
  </si>
  <si>
    <t>Kailun Ye, Xiangjie Kong, Yuchao Zhang, Xuan Wang, Linan
Zhu, Jiaxin Du, Guojiang Shen and Jianxin Li</t>
  </si>
  <si>
    <t>Dual History Enhancement with Hybrid Hypergraph-Graph Networks for Temporal Knowledge Graph Reasoning</t>
  </si>
  <si>
    <t>Rongzheng Wang, Shuang Liang, Qizhi Chen, Yihong Huang,
Muquan Li, Yizhuo Ma, Dongyang Zhang, Ke Qin and Man-Fai
Leung</t>
  </si>
  <si>
    <t>GraphCogent: Mitigating LLMs' Working Memory Constraints via Multi-Agent Collaboration in Complex Graph Understanding</t>
  </si>
  <si>
    <t>Minghui Ma, Bin Guo, Mengqi Chen, Jingqi Liu, Yasan Ding,
Yan Liu and Han Wang</t>
  </si>
  <si>
    <t>Neuro-Sym Supporter: A Thoughtful Emotion Support Agent Integrating Neural and Symbolic Policy Learning</t>
  </si>
  <si>
    <t>Luyao Zhuang, Qinggang Zhang, Huachi Zhou, Yujing Zhang and
Xiao Huang</t>
  </si>
  <si>
    <t>LoSemB: Logic-Guided Semantic Bridging for Inductive Tool Retrieval</t>
  </si>
  <si>
    <t>Xiaopeng Li, Shasha Li, Xi Wang, Shezheng Song, Bin Ji,
Shangwen Wang, Jun Ma, Xiaodong Liu, Mina Liu and Jie Yu</t>
  </si>
  <si>
    <t>EMSEdit: Efficient Multi-Step Meta-Learning-based Model Editing</t>
  </si>
  <si>
    <t>Jing Ren, Bowen Li, Ziqi Xu, Xikun Zhang, Haytham Fayek and
Xiaodong Li</t>
  </si>
  <si>
    <t>When to Trust: A Causality-Aware Calibration Framework for Accurate Knowledge Graph Retrieval-Augmented Generation</t>
  </si>
  <si>
    <t>Debo Cheng, Jianfeng Deng, Qingfeng Chen, Jinyi Jie and
Jiangzhang Gan</t>
  </si>
  <si>
    <t>Beyond Factual Queries: A Novel Predictive Retrieval-Augmented Generation</t>
  </si>
  <si>
    <t>Xianjie Wu, Xiaohang Xu, Tingyu Jiang, Jian Yang, Di Liang,
Xianfu Cheng, Zhenhe Wu, Linzheng Chai, Wei Zhang, Jiaheng
Liu, Ge Zhang, Bob Simons, Tongliang Li and Zhoujun Li</t>
  </si>
  <si>
    <t>MMTableBench: A Multi-level Multimodal Benchmark for Reasoning and Layout Complexity in Table QA</t>
  </si>
  <si>
    <t>Yanqi Dai, Yong Wang, Zebin You, Dong Jing, Xiangxiang Chu
and Zhiwu Lu</t>
  </si>
  <si>
    <t>Adaptive Task Balancing for Visual Instruction Tuning via Inter-Task Contribution and Intra-Task Difficulty</t>
  </si>
  <si>
    <t>En Yu, Jie Lu and Guangquan Zhang</t>
  </si>
  <si>
    <t>Generalized Incremental Learning under Concept Drift across Evolving Data Streams</t>
  </si>
  <si>
    <t>Rongwei Xu, Zitai Qiu, Pengfei Ding, Jia Wu, Yan Wang, Amin
Beheshti and Guanfeng Liu</t>
  </si>
  <si>
    <t>MARCH: Multi-Teacher Contrastive Hypergraph Distillation</t>
  </si>
  <si>
    <t>Zhi Liu, Xuyuan Hu, Xiao Han, Zhehao Dai, Zhaolin Deng,
Guojiang Shen and Xiangjie Kong</t>
  </si>
  <si>
    <t>Multimodal Trajectory Representation Learning for Travel Time Estimation</t>
  </si>
  <si>
    <t>Kyunghwan Lee and Dong-Wan Choi</t>
  </si>
  <si>
    <t>STARK: Structure-Aware and Adaptive Representation Learning for Continual Knowledge Graph Embedding</t>
  </si>
  <si>
    <t>Hui Yang, Jiaoyan Chen and Uli Sattler</t>
  </si>
  <si>
    <t>Large Language Model for OWL Proofs</t>
  </si>
  <si>
    <t>Jiajun Liu, Wenjun Ke, Peng Wang, Yao He, Ziyu Shang,
Guozheng Li, Zijie Xu and Ke Ji</t>
  </si>
  <si>
    <t>Unlearning of Knowledge Graph Embedding via Preference Optimization</t>
  </si>
  <si>
    <t>Shuo Yu, Zhuoyang Han, Guoqing Han, Tao Tang, Feng Ding and
Qiang Zhang</t>
  </si>
  <si>
    <t>Missingness-aware Federated Contrastive Learning on Semantic Graphs</t>
  </si>
  <si>
    <t>Zhange Zhang, Yuqing Ma, Yulong Wang, Tianbo Wang, Jiakai
Wang, Simin Li and Xianglong Liu</t>
  </si>
  <si>
    <t>CASE: Conflict-assessed Knowledge-sensitive Neuron Tuning for Lifelong Model Editing</t>
  </si>
  <si>
    <t>Wenbin Guo, Xin Wang, Jiaoyan Chen, Lingbing Guo, Zhao Li
and Zirui Chen</t>
  </si>
  <si>
    <t>ReaLM: Residual Quantization Bridges Knowledge Graph Embeddings and Large Language Models</t>
  </si>
  <si>
    <t>Feng Ding, Tingting Wang, Ruolin Li, Ying Jin, Junxiang
Zhang, Shan Jin, Yicong Li and Xin Ye</t>
  </si>
  <si>
    <t>Adaptive Multi-Interaction Web Semantic Graph Representation</t>
  </si>
  <si>
    <t>Yiming Wu, Liang Hu, Mingzhu Zhou, Tangwei Ye, Xuejie Yang,
Xun Yang, Zhongyuan Lai, Qi Zhang and Usman Naseem</t>
  </si>
  <si>
    <t>Counterfactual Augmented Causal Reasoning for Aspect-Based Sentiment Analysis</t>
  </si>
  <si>
    <t>Yunxiao Yang, Jianting Chen, Xiaoying Gao, Zaiyuan Di and
Yang Xiang</t>
  </si>
  <si>
    <t>Conditional Information Extraction with Diffusion Model on Fact-Condition Star Graph</t>
  </si>
  <si>
    <t>Jin Zeng, Yupeng Qi, Hui Li, Chengming Li, Ziyu Lyu, Lixin
Cui and Lu Bai</t>
  </si>
  <si>
    <t>RAIE:Region-Aware Incremental Preference Editing with LoRA for LLM-based Recommendation</t>
  </si>
  <si>
    <t>Yu Xing, Qizhuo Xie, You Lv, Ziyang Zhou, Qianzi Hou, Qing
Gu, Bin Chong and Tieke He</t>
  </si>
  <si>
    <t>Enhancing Multi-Modal Entity Alignment via Multi-Grained Decision Fusion</t>
  </si>
  <si>
    <t>Rong Fu, Yemin Wang, Tianxiang Xu, Yongtai Liu, Weizhi
Tang, Wangyu Wu, Xiaowen Ma and Simon Fong</t>
  </si>
  <si>
    <t>S-Path-RAG: Semantic-Aware Shortest-Path Retrieval Augmented Generation for Multi-Hop Knowledge Graph Question Answering</t>
  </si>
  <si>
    <t>Inwon Kang, Parikshit Ram, Yi Zhou, Horst Samulowitz and
Oshani Seneviratne</t>
  </si>
  <si>
    <t>Language Model Representations for Efficient Few-Shot Tabular Classification</t>
  </si>
  <si>
    <t>Ruofan Wang, Zijian Huang, Qiqi Wang, Yuchen Su, Robert
Amor, Kaiqi Zhao and Meng-Fen Chiang</t>
  </si>
  <si>
    <t>Relation-Aware Multimodal Analogical Reasoning with Modality Fingerprints and Adaptive Gating</t>
  </si>
  <si>
    <t>Guixian Zhang, Guan Yuan, Ziqi Xu, Yanmei Zhang, Jing Ren,
Zhenyun Deng and Debo Cheng</t>
  </si>
  <si>
    <t>Harnessing LLM for Noise-Robust Cognitive Diagnosis in Web-Based Intelligent Education Systems</t>
  </si>
  <si>
    <t>Kun Liang, Jiake Ge, Xin Wang and Yiying Zhang</t>
  </si>
  <si>
    <t>DTransKT: A Dual Transferable Knowledge Tracing Framework for Cross-Disciplinary Self-Adaptation</t>
  </si>
  <si>
    <t>Dongyu Zhang, Wanqiu Liao, Weichen Hu and Hongfei Lin</t>
  </si>
  <si>
    <t>DRMD: Explainable Depression Detection Based on Metaphorical Conceptual Mapping</t>
  </si>
  <si>
    <t>Jinjin Guo, Yexin Li, Zhichao Huang, Jun Fang, Zhiyuan Liu,
Chao Liu, Pengzhang Liu and Qixia Jiang</t>
  </si>
  <si>
    <t>Spectral Disentanglement and Enhancement: A Dual-domain Contrastive Framework for Representation Learning</t>
  </si>
  <si>
    <t>Zhaoyu Fan, Kaihang Pan, Mingze Zhou, Bosheng Qin, Juncheng
Li, Shengyu Zhang, Wenqiao Zhang, Siliang Tang, Fei Wu and
Yueting Zhuang</t>
  </si>
  <si>
    <t>Towards Meta-Cognitive Knowledge Editing for Multimodal LLMs</t>
  </si>
  <si>
    <t>Tao Tang, Botao Liu, Ciyuan Peng, Ivan Lee and Xiangjie Kong</t>
  </si>
  <si>
    <t>Verifiable Federated Representation Learning for Cross-domain Sequential Recommendation</t>
  </si>
  <si>
    <t>Tenglong Ren, Lulu Yang, Xiaowang Zhang and Zhiyong Feng</t>
  </si>
  <si>
    <t>Kleene Closure Property Path Query Optimization  Based on Node Clustered Index</t>
  </si>
  <si>
    <t>Chaofan Li, Lixing Chen, Junhua Tang, Yang Bai, Yutong
Zhang, Zhi Zheng, Pan Zhou and Zhe Qu</t>
  </si>
  <si>
    <t>How Human Experts Educate Specialized LLMs: Filling Knowledge Gaps in KG-Augmented Generation through Hallucination Detection</t>
  </si>
  <si>
    <t>Zhiheng Xi, Chenyang Liao, Guanyu Li, Zhihao Zhang,
Wenxiang Chen, Binghai Wang, Senjie Jin, Yuhao Zhou, Jian
Guan, Wei Wu, Tao Ji, Tao Gui, Qi Zhang and Xuanjing Huang</t>
  </si>
  <si>
    <t>AgentPRM: Process Reward Models for LLM Agents via Step-Wise Promise and Progress</t>
  </si>
  <si>
    <t>Ana Alexandra Morim da Silva, Atul Bhopalsing Pundir,
Michael Röder and Axel-Cyrille Ngonga Ngomo</t>
  </si>
  <si>
    <t>A Simplex Approach to Synthetic Knowledge Graph Generation</t>
  </si>
  <si>
    <t>Huidong Wu, Haojia Xiang, Jingtong Gao, Xiangyu Zhao,
Dengsheng Wu and Jianping Li</t>
  </si>
  <si>
    <t>Detecting Miscitation on the Scholarly Web through LLM-Augmented Text-Rich Graph Learning</t>
  </si>
  <si>
    <t>Xingyu Tan, Xiaoyang Wang, Qing Liu, Xiwei Xu, Xin Yuan,
Liming Zhu and Wenjie Zhang</t>
  </si>
  <si>
    <t>MemoTime: Memory-Augmented Temporal Knowledge Graph Enhanced Large Language Model Reasoning</t>
  </si>
  <si>
    <t>Feng Zhao, Kangzheng Liu, Teng Peng, Yu Yang and Guandong Xu</t>
  </si>
  <si>
    <t>DyMRL: Dynamic Multispace Representation Learning for Multimodal Event Forecasting in Knowledge Graph</t>
  </si>
  <si>
    <t>Xuanning Hu, Anchen Li, Qianli Xing, Jinglong Ji, Hao Tuo
and Bo Yang</t>
  </si>
  <si>
    <t>Empowering LLMs for Structure-Based Drug Design via Exploration-Augmented Latent Inference</t>
  </si>
  <si>
    <t>Xiangjun Zai, Xingyu Tan, Xiaoyang Wang, Qing Liu, Xiwei Xu
and Wenjie Zhang</t>
  </si>
  <si>
    <t>PRoH: Dynamic Planning and Reasoning over Knowledge Hypergraphs for Retrieval-Augmented Generation</t>
  </si>
  <si>
    <t>Yunhao Xiao, Ying Wang, Michael Bewong, Selasi Kwashie,
Xiaoxia Li and Zaiwen Feng</t>
  </si>
  <si>
    <t>A Unified and Time-Efficient Multi-Agent Framework for Data Discovery</t>
  </si>
  <si>
    <t>Han Zhang, Chen Zhao, Shasha Wang, Gang Chen and Chenghong
Zhang</t>
  </si>
  <si>
    <t>Expectation-Guided Self-Verification for Aligning Large Reasoning Models with Domain Knowledge</t>
  </si>
  <si>
    <t>Zirui Chen, Xin Wang, Zhao Li, Wenbin Guo, Dongxiao He,
Yanbing Li and Wushour Silamu</t>
  </si>
  <si>
    <t>KG-BiLM: Knowledge Graph Embedding via Bidirectional Language Models</t>
  </si>
  <si>
    <t>Zhuo Chen, Fei Wang, Zixuan Li, Zhao Zhang, Weiwei Ding,
Chuanguang Yang, Yongjun Xu and Xiaolong Jin</t>
  </si>
  <si>
    <t>Incentivizing Agentic Reasoning Capability with Outcome Supervision for Knowledge Base Question Answering</t>
  </si>
  <si>
    <t>Qirui Hao, Kewei Cheng, Tongze Zhang, Hongyuan Liu, Junming
Shao and Carl Yang</t>
  </si>
  <si>
    <t>A Unified Framework for Rule Learning: Integrating Commonsense Knowledge from LLMs with Structured Knowledge from Knowledge Graphs</t>
  </si>
  <si>
    <t>Sahil Mishra, Srinitish Srinivasan, Srikanta Bedathur and
Tanmoy Chakraborty</t>
  </si>
  <si>
    <t>TaxoBell: Gaussian Box Embeddings for Self-Supervised Taxonomy Expansion</t>
  </si>
  <si>
    <t>Haoyue Bai, Haoyu Wang, Shengyu Chen, Zhengzhang Chen,
Lu-An Tang, Wei Cheng, Yanjie Fu and Haifeng Chen</t>
  </si>
  <si>
    <t>Learning to Route: A Rule-Driven Agent Framework for Hybrid-Source Retrieval-Augmented Generation</t>
  </si>
  <si>
    <t>Lihui Liu, Jiayuan Ding, Subhabrata Mukherjee and Carl Yang</t>
  </si>
  <si>
    <t>MixRAG : Mixture-of-Experts Retrieval-Augmented Generation for Textual Graph Understanding and Question Answering</t>
  </si>
  <si>
    <t>Haoxuan Zhang, Ruochi Li, Zhenni Liang, Sattari Mehri, Phat
Vo, Collin Qu, Ting Xiao, Junhua Ding, Yang Zhang and
Haihua Chen</t>
  </si>
  <si>
    <t>AdaQE-CG: Adaptive Query Expansion for Web-Scale Generative AI Model and Data Card Generation</t>
  </si>
  <si>
    <t>Linyu Li, Zhi Jin, Yuanpeng He, Dongming Jin, Yichi Zhang,
Haoran Duan, Xuan Zhang, Zhengwei Tao and Tashi Nyima</t>
  </si>
  <si>
    <t>Learning to Evolve: Bayesian-Guided Continual Knowledge Graph Embedding</t>
  </si>
  <si>
    <t>Hu Chen, Yu Zhu and Wei Shen</t>
  </si>
  <si>
    <t>Dual-View Hypercube Alignment Framework for Open-World Entity Typing</t>
  </si>
  <si>
    <t>Revanth Gangi Reddy, Tanay Dixit, Jiaxin Qin, Cheng Qian,
Daniel Lee, Jiawei Han, Kevin Small, Xing Fan, Ruhi
Sarikaya and Heng Ji</t>
  </si>
  <si>
    <t>WiNELL: Wikipedia Never-Ending Updating with LLM Agents</t>
  </si>
  <si>
    <t>Zhiqiang Wang, Jiaxin Zhang, Chenchao Zhang, Shiying Cheng,
Jianqing Liang and Peng Song</t>
  </si>
  <si>
    <t>Counterfactual Meta-task Augmentation for Few-shot Graph Node Classification</t>
  </si>
  <si>
    <t>Dongyuan Li, Ying Zhang, Yaozu Wu and Renhe Jiang</t>
  </si>
  <si>
    <t>Node Role-Guided LLMs for Dynamic Graph Clustering</t>
  </si>
  <si>
    <t>Shundong Yang, Jing Yang, Xiaowen Jiang, Xiaofen Wang,
Laurence T. Yang, Yuan Gao, Xinfa Jiang, Jie Chen and
Chaojun Zhang</t>
  </si>
  <si>
    <t>Towards Foundation Models for MMKG: Multi-Task Inductive Generalization via Task-Aware Routing</t>
  </si>
  <si>
    <t>Qin Zhang, Jiaying Liu, Qian Tao, Zhiwei Guo, Qiyue Zhong,
Yifan Zhang and Ziyan Huang</t>
  </si>
  <si>
    <t>Knowledge-Enhanced Multimodal Fake News Detection: Semantic Visual and Priority Fusion</t>
  </si>
  <si>
    <t>Pankaj Iiitd, Dhruv Kumar, Vinayak Abrol and Vikram Goyal</t>
  </si>
  <si>
    <t>BLEND: Balanced and Leaf-Enhanced Dual Fine-Tuning for Taxonomy Completion</t>
  </si>
  <si>
    <t>Ruiyi Yang, Hao Xue, Imran Razzak and Flora D. Salim</t>
  </si>
  <si>
    <t>Beyond Single Pass, Looping Through Time: KG-IRAG with Iterative Knowledge Retrieval</t>
  </si>
  <si>
    <t>Zihan Feng, Yajun Yang, Xin Huang, Xin Wang, Hong Gao and
Qinghua Hu</t>
  </si>
  <si>
    <t>Many Hands Make Light Work: Group-based Information Diffusion Prediction over Long-Context Cascades</t>
  </si>
  <si>
    <t>Social Networks and Social Media</t>
  </si>
  <si>
    <t>Yuli Liu</t>
  </si>
  <si>
    <t>Collusion-Aware Set-level Learning Framework for Detecting Spamming Activities</t>
  </si>
  <si>
    <t>Longzhu He, Peng Tang, Li Sun and Sen Su</t>
  </si>
  <si>
    <t>The Devil Within, The Cure Without: Securing Locally Private Graph Learning under Poisoning</t>
  </si>
  <si>
    <t>Saidu Sokoto, Leonhard Balduf, Onur Ascigil, Gareth Tyson,
Ignacio Castro, Björn Scheuermann, Andrea Baronchelli and
Michał Król</t>
  </si>
  <si>
    <t>Open or Blocked Skies? Community Moderation Practices in Bluesky</t>
  </si>
  <si>
    <t>Shijun Guo, Haoran Xu, Yaming Yang, Ziyu Guan, Wei Zhao,
Zhang Xinyi and Song Yishan</t>
  </si>
  <si>
    <t>H-NeiFi: Non-Invasive and Consensus-Efficient Multi-Agent Opinion Guidance</t>
  </si>
  <si>
    <t>Qitong Liu, Hao Peng, Zuchen Li, Xihang Meng, Ziyu Yang,
Jiting Li, Li Sun and Philip Yu</t>
  </si>
  <si>
    <t>Effective and Unsupervised Social Event Detection and Evolution via RAG and Structural Entropy</t>
  </si>
  <si>
    <t>Renqiang Luo, Huafei Huang, Tao Tang, Jing Ren, Ziqi Xu,
Mingliang Hou, Enyan Dai and Feng Xia</t>
  </si>
  <si>
    <t>FairGE: Fairness-Aware Graph Encoding in Incomplete Social Networks</t>
  </si>
  <si>
    <t>Yicong Li, Shan Jin, Qi Liu, Shuo Wang, Jiaying Liu, Shuo
Yu, Qiang Zhang, Kuanjiu Zhou and Feng Xia</t>
  </si>
  <si>
    <t>Explaining Synergistic Effects in Social Recommendations</t>
  </si>
  <si>
    <t>Yuxing Guo, Jianqing Liang, Kaixuan Yao, Zhihao Guo and
Jiye Liang</t>
  </si>
  <si>
    <t>Graph Adversarial Defense via Hilbert-Schmidt Independence Criterion against Influence Maximization Attacks</t>
  </si>
  <si>
    <t>Ting Gan, Kudereti Kuerban, Qian Yan, Ling Han, Zhigao
Zheng and Hao Huang</t>
  </si>
  <si>
    <t>Multi-task Inference of Diffusion Networks</t>
  </si>
  <si>
    <t>Mingjie Qiu, Zhiyi Tan and Bing-Kun Bao</t>
  </si>
  <si>
    <t>Social Event Prediction via Fourier Graph Learning</t>
  </si>
  <si>
    <t>Towards Rare Social Event Prediction via Mediator Learning</t>
  </si>
  <si>
    <t>Yulong Li, Zhixiang Lu, Peixin Guo, Simin Lai, Yuxuan
Zhang, Haochen Xue, Xiwei Liu, Yichen Li, Zhaodong Wu,
Feilong Tang, Mian Zhou, Chong Li, Imran Razzak, Qingxia Li
and Jionglong Su</t>
  </si>
  <si>
    <t>Rhythm of Opinion: Interpretable Hawkes-Graph Networks for Hierarchical Opinion Propagation</t>
  </si>
  <si>
    <t>Chang Guo, Juyuan Zhang, Chang Su, Tianlong Fan and Linyuan
Lü</t>
  </si>
  <si>
    <t>FS_GPlib: Breaking the Web-Scale Barrier — A Unified Acceleration Framework for Graph Propagation Models</t>
  </si>
  <si>
    <t>Wei Chen, Tongguan Wang, Feiyue Xue, Junkai Li, Hui Liu and
Ying Sha</t>
  </si>
  <si>
    <t>Beyond Words: Enhancing Desire, Emotion, and Sentiment Recognition with Non-Verbal Cues</t>
  </si>
  <si>
    <t>Zehao Wang, Lanjun Wang, Fuxia Guo and Yanjie Dong</t>
  </si>
  <si>
    <t>Pattern-aware Illicit Account Detection based on User Behavior Sequences</t>
  </si>
  <si>
    <t>Dongpeng Hou, Yuchen Wang, Giulio Cimini, Roberto Benzi,
Huixiang Zhang, Zhen Wang and Chao Gao</t>
  </si>
  <si>
    <t>Source Localization in Continuous-Time Propagation via Spectral ODE Modeling</t>
  </si>
  <si>
    <t>Hantong Feng, Yonggang Wu, Duxin Chen and Wenwu Yu</t>
  </si>
  <si>
    <t>TFWaveFormer: Temporal-Frequency Collaborative Multi-level Wavelet Transformer for Dynamic Link Prediction</t>
  </si>
  <si>
    <t>Xiao Yu, Haolong Xiang, Xiaolong Xu, Qi Lianyong, Zhang
Xuyun, Fan Wei and Dou Wanchun</t>
  </si>
  <si>
    <t>CIFAD: Causal-Invariant Subspace Learning for Few-Shot Anomaly Detection on Dynamic Relational Graphs</t>
  </si>
  <si>
    <t>Longkun Guo, Chaoqi Jia and Chao Chen</t>
  </si>
  <si>
    <t>Fair k-Center Clustering on Massive Social Network Data Streams</t>
  </si>
  <si>
    <t>Tangila Islam Tanni, Renita Washburn, Yan Solihin and Mary
Jean Amon</t>
  </si>
  <si>
    <t>How Social Media Peer Comments Influence Privacy Decisions in Photo Sharing: Context and Individual Differences Cause Comments to Backfire</t>
  </si>
  <si>
    <t>Fangfang Li, Huihui Zhang, Xin Zhang and Wei Wu</t>
  </si>
  <si>
    <t>Unmasking Bots in Higher Dimensions: Message Passing over Simplexes for Bot Detection</t>
  </si>
  <si>
    <t>Chunyu Wei, Tu Yongsiqi and Yunhai Wang</t>
  </si>
  <si>
    <t>Unicoon: Hypergraph-based Multi-Agent Simulation of Information Cocoons</t>
  </si>
  <si>
    <t>Zenghua Liao, Jinzhi Liao and Xiang Zhao</t>
  </si>
  <si>
    <t>Prism: Towards Lowering User Cognitive Load in LLMs via Complex Intent Understanding</t>
  </si>
  <si>
    <t>Zhejian Yang, Songwei Zhao, Zilin Zhao and Hechang Chen</t>
  </si>
  <si>
    <t>TGSBM: Transformer-Guided Stochastic Block Model for Link Prediction</t>
  </si>
  <si>
    <t>Hengrui Cui, Yang Fang, Yuehang Cao and Xiang Zhao</t>
  </si>
  <si>
    <t>LAPS: A Lightweight Privilege-Allocation Prompting Framework for Source Localization</t>
  </si>
  <si>
    <t>Hankun Kang, Xin Miao, Jianhao Chen, Jintao Wen, Mayi Xu,
Weiyu Zhang, Wenpeng Lu and Tieyun Qian</t>
  </si>
  <si>
    <t>ContiGuard: A Framework for Continual Toxicity Detection Against Evolving Evasive Perturbations</t>
  </si>
  <si>
    <t>Renhong Huang, Ning Tang, Jiarong Xu, Yuxuan Cao, Qingqian
Tu, Sheng Guo, Bo Zheng, Huiyuan Liu and Yang Yang</t>
  </si>
  <si>
    <t>PolicySim: An LLM-Based Agent Social Simulation Sandbox for Proactive Policy Optimization</t>
  </si>
  <si>
    <t>Yilong Zang, Hengyun Li, Xinbo Yu and Liangfei Qiu</t>
  </si>
  <si>
    <t>Securing Your Place in the Review Network: A Dynamic Embeddedness-aware Graph Neural Network for Restaurant Survival Prediction</t>
  </si>
  <si>
    <t>Gian Marco Orlando, Jinyi Ye, Valerio La Gatta, Mahdi
Saeedi, Vincenzo Moscato, Emilio Ferrara and Luca Luceri</t>
  </si>
  <si>
    <t>Emergent Coordinated Behaviors in Networked LLM Agents: Modeling the Strategic Dynamics of Information Operations</t>
  </si>
  <si>
    <t>Yangyang Xu, Jinpeng Hu, Peipei Song, Zhangling Duan and
Xun Yang</t>
  </si>
  <si>
    <t>From Social Media to Psychological Scale: An Adaptive Framework with Two-Hop Retrieval for Depression Screening</t>
  </si>
  <si>
    <t>Dun Tan, Lixing Chen, Bo Zhang, Hongfu Liu, Hao Peng,
Shenghong Li, Yang Bai and Pan Zhou</t>
  </si>
  <si>
    <t>Playing Close to the Vest: Competitive Information Propagation in Partially Observed Dual-Population Mean-Field Games</t>
  </si>
  <si>
    <t>Nikos Theologis, Evaggelia Pitoura, Evimaria Terzi and
Panayiotis Tsaparas</t>
  </si>
  <si>
    <t>Fairness in Opinion-Formation Dynamics</t>
  </si>
  <si>
    <t>Haoshuang Liu, Zihan Feng, Yajun Yang, Xin Wang, Hong Gao
and Qinghua Hu</t>
  </si>
  <si>
    <t>LLM-Driven Semantic ID for Information Diffusion Prediction</t>
  </si>
  <si>
    <t>Xuanyu Su, Diana Inkpen and Nathalie Japkowicz</t>
  </si>
  <si>
    <t>SoftHateBench: Evaluating Moderation Models Against Reasoning-Driven, Policy-Compliant Hostility</t>
  </si>
  <si>
    <t>Jintao Wen, Yunfeng Ning, Hankun Kang, Xin Miao and Tieyun
Qian</t>
  </si>
  <si>
    <t>Tracing Belief-Driven Thoughts with Theory-of-Mind Agents: An Opinion Analysis Framework</t>
  </si>
  <si>
    <t>Lin Tian and Marian-Andrei Rizoiu</t>
  </si>
  <si>
    <t>DREAMS: A Social Exchange Theory-Informed Modeling of Misinformation Engagement on Social Media</t>
  </si>
  <si>
    <t>Patrick Gerard, Luca Luceri, Leonardo Blas and Emilio
Ferrara</t>
  </si>
  <si>
    <t>Cross-Platform Narrative Prediction: Leveraging Platform-Invariant Discourse Networks</t>
  </si>
  <si>
    <t>Sahil Tripathi, Gautam Siddharth Kashyap, Mehwish Nasim,
Jian Yang, Jiechao Gao and Usman Naseem</t>
  </si>
  <si>
    <t>They Said Memes Were Harmless --- We Found the Ones That Hurt: Decoding Jokes, Symbols, and Cultural References</t>
  </si>
  <si>
    <t>Xinyi Gao, Jingxi Zhang, Lijian Chen, Tong Chen, Lizhen Cui
and Hongzhi Yin</t>
  </si>
  <si>
    <t>Relational Database Distillation: From Structured Tables to Condensed Graph Data</t>
  </si>
  <si>
    <t>Dongwon Shin and Sooel Son</t>
  </si>
  <si>
    <t>LLMs Killed Q&amp;A Stars? Analyzing the Impact of LLM-Generated Answers on an Online Q&amp;A Platform</t>
  </si>
  <si>
    <t>Daiyunke Zhang, Ting Deng, Tianchen Zhu, Shuai Ma, Daqing
Li, Mingtian Peng and Feng Tian</t>
  </si>
  <si>
    <t>DynaFLUX: Implicit Dynamics-Preserving Reinforcement Learning for Topology-Free Influence Maximization</t>
  </si>
  <si>
    <t>Chenxin Mao, Haibo Liu, Zhenzhe Zheng, Fan Wu and Guihai
Chen</t>
  </si>
  <si>
    <t>Smaller but Better: ​​Plasticity-Preserving Continual Learning for Embedded AI​</t>
  </si>
  <si>
    <t>Systems and Infrastructure for Web, Mobile, and Web of Things</t>
  </si>
  <si>
    <t>Yue Jiang, Chenxi Liu, Yile Chen, Qin Chao, Shuai Liu,
Cheng Long and Gao Cong</t>
  </si>
  <si>
    <t>Cross-city Time Series Forecasting with Retrieval-Augmented Large Language Models</t>
  </si>
  <si>
    <t>Kaibin Wang, Qiang He, Zeqian Dong, Ziteng Wei, Caslon
Chua, Feifei Chen, Hai Jin and Yun Yang</t>
  </si>
  <si>
    <t>FedBridge: Accelerating Edge-Assisted Federated Learning for Model-Heterogeneous Clients</t>
  </si>
  <si>
    <t>Wenyu Wu, Jiafan Liu and Jiali Mao</t>
  </si>
  <si>
    <t>Beyond Single view Decoding: Dual-view Map Inference from Trajectories via Primal-Dual Graphs Co-generation</t>
  </si>
  <si>
    <t>Qiang He, Sheng Zhong, Jiazhen Yang, Feifei Chen, Hai Jin
and Yun Yang</t>
  </si>
  <si>
    <t>Glasses: Enabling Fast Environment-aware Few-Shot Learning via Device-Cloud Collaboration</t>
  </si>
  <si>
    <t>Mohan Gao, Zhemeng Yu, Yang Luo, Lintao Ma, Yinbo Sun,
Yuchen Fang and Xiaofeng Gao</t>
  </si>
  <si>
    <t>Macro-Micro Collaborative Learning for Logical Data Center Microservice Indicators Forecasting</t>
  </si>
  <si>
    <t>Zian Wang, Ziyi Wang, Jie Xing, Yaya Wei, Ziyan Zhong and
Lanshan Zhang</t>
  </si>
  <si>
    <t>Task-Aware Cloud-End Offloading for Vision-Language Model Serving via Dynamic Modality-Specific Adapter Scheduling</t>
  </si>
  <si>
    <t>Yuanzheng Tan, Qing Li, Jiaqi Cui, Jun Peng, Gareth Tyson,
Zhenhui Yuan, Tingting Yang and Yong Jiang</t>
  </si>
  <si>
    <t>SkyCL: Swift Continuous Learning with Kinship-Awareness for Multi-Drone Video Analytics under Drastic Drift</t>
  </si>
  <si>
    <t>Shuhao Li, Weidong Yang, Yue Cui, Lipeng Ma, Yixuan Li,
Chaoteng Wu, Lu Qin and Fan Zhang</t>
  </si>
  <si>
    <t>ST-LEGO: Large Language Models as Modular Architects for Traffic Prediction</t>
  </si>
  <si>
    <t>Gongming Zhao, Baoqing Wang, Min Chen, Hongli Xu, Jiawei
Liu, Xuwei Yang, Liguang Xie, Yongqiang Yang and Ying Xiong</t>
  </si>
  <si>
    <t>Meteor: High-Performance Control Message Delivery for Large-Scale Clouds</t>
  </si>
  <si>
    <t>Di Yu, Helin Zheng, Changze Lv, Xin Du, Linshan Jiang,
Xiang Liu, Gang Pan and Shuiguang Deng</t>
  </si>
  <si>
    <t>MASI: Memory-Adaptive Inference Framework for Spiking Neural Networks on Edge Devices</t>
  </si>
  <si>
    <t>Haizhou Du, Haolin Wu, Zijie Zhu and Zicheng Shi</t>
  </si>
  <si>
    <t>FedRGL: Federated Riemannian Graph Learning in Mixed-Curvature Spaces with Ricci-Gated Convolution</t>
  </si>
  <si>
    <t>Guochen Yan, Luyuan Xie, Qingni Shen, Yuejian Fang and
Zhonghai Wu</t>
  </si>
  <si>
    <t>FedSRD: Sparsify-Reconstruct-Decompose for Communication-Efficient Federated Large Language Models Fine-Tuning</t>
  </si>
  <si>
    <t>Yicheng Zhang, Zhen Qin, Zhaomin Wu, Jian Hou and Shuiguang
Deng</t>
  </si>
  <si>
    <t>Personalized Federated Fine-Tuning for LLMs via Data-Driven Heterogeneous Model Architectures</t>
  </si>
  <si>
    <t>Zeyi Lu, Xiaoxiao Ma, Yujun Huang, Minxiao Chen, Bin Chen
and Shu-Tao Xia</t>
  </si>
  <si>
    <t>MoE-LC: General-Purpose Lossless Compression for Multi-modal Data via Entropy-Aware Multi-Experts</t>
  </si>
  <si>
    <t>Tong Zhou, Xin Peng, Jie Zhang, Chaofeng Sha, Chenxi Zhang,
Zicheng Yuan and Senyu Xie</t>
  </si>
  <si>
    <t>TraceLLM: Evaluating and Exploring Large Language Models on Trace Analysis in Microservice-based Web Applications</t>
  </si>
  <si>
    <t>Xiangyu Xu, Qingsong Zhong and Jilin Hu</t>
  </si>
  <si>
    <t>TimeMar: Multi-Scale Autoregressive Modeling for Unconditional Time Series Generation</t>
  </si>
  <si>
    <t>Xiao Wu, Alan Romano, Liyan Huang, Qiwen Yan, Cai Fu and
Weihang Wang</t>
  </si>
  <si>
    <t>Broken Promise: Differential Analysis of Functional Discrepancies Between WebAssembly and Native Binaries</t>
  </si>
  <si>
    <t>Peirong Zheng, Wenchao Xu and Haozhao Wang</t>
  </si>
  <si>
    <t>Self-Speculative Decoding for On-device MoE Acceleration</t>
  </si>
  <si>
    <t>Rohan Bose, Jinwei Zhao, Tanya Shreedhar, Jianping Pan and
Nitinder Mohan</t>
  </si>
  <si>
    <t>Investigating Web Content Delivery Performance over Starlink</t>
  </si>
  <si>
    <t>Ji Shen, Lixing Chen, Yang Bai, Zhongqi Miao, Zhe Qu, Pan
Zhou and Jianhua Li</t>
  </si>
  <si>
    <t>Augmenting Cross-View Geo-Localization with Spatial Semantics from Vision Foundation Models</t>
  </si>
  <si>
    <t>Xiaofei Yue, Fangming Zhao, Fulun Ye, Jiongchi Yu, Zhaoxuan
Li, Tingting Li, Ziming Zhao and Jianwei Yin</t>
  </si>
  <si>
    <t>HeteroSim: Towards High-Fidelity Heterogeneous LLM Training Simulation on GPUs</t>
  </si>
  <si>
    <t>Sijia Li, Xiaoyu Tan, Shahir Ali, Niels Schmidt, Gengchen
Ma and Xihe Qiu</t>
  </si>
  <si>
    <t>Curiosity Driven Knowledge Retrieval for Mobile Agents</t>
  </si>
  <si>
    <t>Gong Chen, Mingkai Lin, Xiaobin Hong, Wenzhong Li and
Sanglu Lu</t>
  </si>
  <si>
    <t>EcoTune: Edge-Cloud Collaborative Model Adaptation for Budget-Constrained On-Device SLM Personalization</t>
  </si>
  <si>
    <t>Shiyang Huang, Gerui Lv, Yuankang Zhao, Jiaxing Zhang,
Qingyue Tan, Congkai An, Huanhuan Zhang, Xinyi Zhang,
Qinghua Wu and Zhenyu Li</t>
  </si>
  <si>
    <t>Breath: Adaptive Protection Boundary in FEC Encoding for Mobile Real-Time Video Streaming</t>
  </si>
  <si>
    <t>Enze Yu, Penghuan Cheng, Haipeng Dai, Haihan Zhang, Sujin
Hou, Meng Li, Zhenzhe Zheng, Qiang He and Guihai Chen</t>
  </si>
  <si>
    <t>Prototype Augmentation-based Edge-end Heterogeneous Collaborative Learning</t>
  </si>
  <si>
    <t>Mengsha Kou, Xiaoyu Xia, Ziqi Wang, Ibrahim Khalil, Ruikun
Luo, Jingwen Zhou and Minhui Xue</t>
  </si>
  <si>
    <t>WinFLoRA: Incentivizing Client-Adaptive Aggregation in Federated LoRA under Privacy Heterogeneity</t>
  </si>
  <si>
    <t>Mingxuan Liu, Jianhua Gu, Tianhai Zhao and Dong Sun</t>
  </si>
  <si>
    <t>Wiseswap: Elastic Datacenter Network-Aware Disaggregated Memory for Multi-Tenant Cloud</t>
  </si>
  <si>
    <t>Ruikun Luo, Jiadong Zhao, Peize Su, Jieming Yang, Jing
Yang, Yuan Gao, Minhui Xue and Xiaoyu Xia</t>
  </si>
  <si>
    <t>Octopus: Vehicle-to-Road Collaborative Perception for Autonomous Driving with Closed-Loop Fusion</t>
  </si>
  <si>
    <t>Yongqiang Huang, Yingyu Chen, Tao Wang, Zexin Lu, Zerui
Shao, Beibei Li and Yi Zhang</t>
  </si>
  <si>
    <t>Beyond Class Boundaries: Federated Visual Primitive Sharing with Text-Guided Adaptation</t>
  </si>
  <si>
    <t>Zexin Wang, Changhua Pei, Yang Liu, Hengyue Jiang, Quan
Zhou, Haotian Si, Hang Cui, Jianhui Li, Gaogang Xie,
Jingjing Li and Dan Pei</t>
  </si>
  <si>
    <t>ViTs: Teaching Machines to See Time Series Anomalies Like Human Experts</t>
  </si>
  <si>
    <t>Haoran Shi, Junru Zhang, Cheng Peng, Xiaoli Tang, Longtao
Huang and Han Yu</t>
  </si>
  <si>
    <t>FedDiG: Frequency-Guided Diffusion Diversity for Generalizable Federated Time Series Classification</t>
  </si>
  <si>
    <t>Wangmeng Shen, Hongfan Gao, Qingsong Zhong, Dingli Xu and
Jilin Hu</t>
  </si>
  <si>
    <t>FSDI: Frequency-Shaped Diffusion For Time-Series Imputation</t>
  </si>
  <si>
    <t>Xiaoxuan Fan, Jiaqi Sun, Xianjun Deng, Qiankun Zhang, Wei
Xiang, Shenghao Liu and Lingzhi Yi</t>
  </si>
  <si>
    <t>Automated Model Selection for Multivariate Time Series Forecasting</t>
  </si>
  <si>
    <t>Chenyu Wang, Zhanglu Yan, Zhi Zhou, Xu Chen and Weng-Fai
Wong</t>
  </si>
  <si>
    <t>Energy-Efficient and Dequantization-Free Quantization of LLMs: A Spiking Neural Network Approach to Salient Value Mitigation</t>
  </si>
  <si>
    <t>Yicheng Di and Zhanjie Zhang</t>
  </si>
  <si>
    <t>RAFed: Responsive Augmentation and Approximate Update Method for Federated Learning with Non-IID Data</t>
  </si>
  <si>
    <t>Zenghao Guan, Guojun Zhu, Yucan Zhou, Wu Liu, Weiping Wang,
Jiebo Luo and Xiaoyan Gu</t>
  </si>
  <si>
    <t>Enhancing Federated Class-Incremental Learning via Spatial-Temporal Statistics Aggregation</t>
  </si>
  <si>
    <t>Yaqiao Zhu, Hongkai Wen, Geyong Min and Man Luo</t>
  </si>
  <si>
    <t>HALO: Hierarchical Reinforcement Learning for Large-Scale Adaptive Traffic Signal Control</t>
  </si>
  <si>
    <t>Ruoxuan Xia, Bingyu Li, Zhenyu Chen, Pengyu Yuan, Yunjia
Wang, Xiaofeng Zheng and Jingqiang Lin</t>
  </si>
  <si>
    <t>Starlink in the Wild: Multi-Perspective Measurements via DNS</t>
  </si>
  <si>
    <t>Xiongxiao Xu, Haoran Wang, Yueqing Liang, Philip S. Yu, Yue
Zhao and Kai Shu</t>
  </si>
  <si>
    <t>Can Multimodal LLMs Perform Time Series Anomaly Detection?</t>
  </si>
  <si>
    <t>Siqi Zhong, Mugeng Liu, Haiyang Shen, Chongyang Pan and Yun
Ma</t>
  </si>
  <si>
    <t>LaTune: Lightweight and Adaptive Configuration Tuning for LLM Inference on Edge Devices</t>
  </si>
  <si>
    <t>Yingchao Wang, Wenqi Niu and Hanpo Hou</t>
  </si>
  <si>
    <t>FedAKD: Federated Adaptive Knowledge Distillation via Global Knowledge Calibration and Decoupling</t>
  </si>
  <si>
    <t>Yingqi Peng, Wenhao Zhou, Kaijie Gong, Yang Liu, Yi Gao and
Wei Dong</t>
  </si>
  <si>
    <t>EdgeGen: Efficient LLM-Empowered Model Generation with Quantization-Aware NAS</t>
  </si>
  <si>
    <t>Xusen Guo, Mingxing Peng, Xixuan Hao, Xingchen Zou,
Qiongyan Wang, Sijie Ruan and Yuxuan Liang</t>
  </si>
  <si>
    <t>AgentSense: LLMs Empower Generalizable and Explainable Web-Based Participatory Urban Sensing</t>
  </si>
  <si>
    <t>Bingjie Wang, Chao Zhang, Wentao Li and Deyu Li</t>
  </si>
  <si>
    <t>MF^3: Multimodal Federated Learning with Dual-Path Mamba-Transformer for Metro Flow Prediction</t>
  </si>
  <si>
    <t>Yuping Zhou, Siqi Lai, Jindong Han and Hao Liu</t>
  </si>
  <si>
    <t>An LLM-Powered Cooperative Framework for Large-Scale Multi-Vehicle Navigation</t>
  </si>
  <si>
    <t>Qiuyu Ding, Rongkai Zhang, Qinnan Zhang, Zhen Xiao, Jieyi
Long, Mingchao Wan, Sen Liu and Jin Dong</t>
  </si>
  <si>
    <t>Alzo: Auto-Tuning with Reinforcement Learning for DAG-based Blockchains</t>
  </si>
  <si>
    <t>Jinming Wang, Hai Wang, Hongkai Wen, Geyong Min and Man Luo</t>
  </si>
  <si>
    <t>TRACE: Trajectory Recovery with State Propagation Diffusion for Urban Mobility</t>
  </si>
  <si>
    <t>Yanxiu Liu, Linpeng Jia, Xiaohu Yang, Zhongcheng Li and Yi
Sun</t>
  </si>
  <si>
    <t>Concordia: Enabling Low-Conflict Distributed Transaction Scheduling in Sharding Blockchain via Cooperative Perception</t>
  </si>
  <si>
    <t>Zhihao Dou, Dongfei Cui, Weida Wang, Anjun Gao, Yueyang
Quan, Mengyao Ma, Viet Vo, Guangdong Bai, Zhuqing Liu and
Minghong Fang</t>
  </si>
  <si>
    <t>SecureSplit: Mitigating Backdoor Attacks in Split Learning</t>
  </si>
  <si>
    <t>Jinyao Liu, Si Wu, Haoyuan Ma, Chaoqun Li, Hongjing Yu,
Dingyi Jia, Feng Li and Pengfei Hu</t>
  </si>
  <si>
    <t>BeeQoS: A Cloud-Native QoS System for Adaptive and Scalable Multi-Priority Bandwidth Guarantees</t>
  </si>
  <si>
    <t>Ziqi Liu, Pei Zeng and Yi Ding</t>
  </si>
  <si>
    <t>Predictability-Aware Compression and Decompression Framework for Multichannel Time Series Data with Latent Seasonality</t>
  </si>
  <si>
    <t>Zhiyuan Fang, Xingfan Yu, Yuegui Huang, Zicong Hong, Yufeng
Lyu, Wuhui Chen, Yue Yu and Fan Yu</t>
  </si>
  <si>
    <t>Fate: Fast Edge Inference of Mixture-of-Experts Models via Cross-Layer Gate</t>
  </si>
  <si>
    <t>Jiahao Qi, Dian Ding, Jie Li, Jiannong Cao, Yi-Chao Chen,
Guangtao Xue and Shengyun Liu</t>
  </si>
  <si>
    <t>BIND: Enabling Continuous Transaction Processing During Account Migration in Sharded Blockchains</t>
  </si>
  <si>
    <t>Liming Liu, Zhidong Jia, Li Jiang, Wei Zhang, Lan Xie, Feng
Qian, Leju Yan, Bing Yan, Qiang Ma, Zhou Sha, Wei Yang,
Yixuan Ban and Xinggong Zhang</t>
  </si>
  <si>
    <t>Camel: Frame-Level Bandwidth Estimation for Low-Latency Live Streaming under Video Bitrate Undershooting</t>
  </si>
  <si>
    <t>Zhihong Pan, Kai Zhang, Yuze Zhao and Yupeng Han</t>
  </si>
  <si>
    <t>Adaptive Model and Strategy Routing for Cost-Efficient LLM Services</t>
  </si>
  <si>
    <t>Wenying He, Feiyu Wang, Guangquan Xu, Yude Bai and Fei Guo</t>
  </si>
  <si>
    <t>DualDis: A Dual Disentanglement Network for Vehicle Re-identification</t>
  </si>
  <si>
    <t>Kai Zhang, Yuxuan Xu, Wenxiang Lin, Chaoqun Hong, Pei-Wei
Tsai, Xin Yuan and Minhui Xue</t>
  </si>
  <si>
    <t>CoLOR-DP: Conjugate Low-Rank Differential Privacy for Structure-Aware LoRA Fine-Tuning</t>
  </si>
  <si>
    <t>Daixin Song, Hui Cai, Haojie Zhang, Biyun Sheng, Jian Zhou,
Mang Ye and Fu Xiao</t>
  </si>
  <si>
    <t>CA-PFL: Client-adaptive Parameter-efficient Fine-tuning for Personalized Federated Learning</t>
  </si>
  <si>
    <t>Wei Sun, Ting Wang, Xinran Tian, Wanshun Lan, Xuhan Feng,
Haoyue Li and Fangxin Wang</t>
  </si>
  <si>
    <t>MetaKube: An Experience-Aware LLM Framework for Kubernetes Failure Diagnosis</t>
  </si>
  <si>
    <t>Xu Zhang, Peng Wang, Yichen Li and Wei Wang</t>
  </si>
  <si>
    <t>Amortized Predictability-aware Training Framework for Time Series Forecasting and Classification</t>
  </si>
  <si>
    <t>Xu Zhang, Qitong Wang, Peng Wang and Wei Wang</t>
  </si>
  <si>
    <t>SEMixer: Semantics Enhanced MLP-Mixer for Multiscale Mixing and Long-term Time Series Forecasting</t>
  </si>
  <si>
    <t>Yuk Hang Tsui, Ze Wu, Ahmad Alhilal, Matti Siekkinen and
Pan Hui</t>
  </si>
  <si>
    <t>FovRL: Joint Foveation and Quality Control for Immersive VR Streaming Using Reinforcement Learning</t>
  </si>
  <si>
    <t>Zhiyuan Ning, Zhanyong Tang, Juan He, Weizhi Meng, Yuntian
Chen, Jie Zhang and Zheng Wang</t>
  </si>
  <si>
    <t>SuperEar: Eavesdropping on Mobile Voice Calls via Stealthy Acoustic Metamaterials</t>
  </si>
  <si>
    <t>Yuze Liu, Yunhan Wang, Tiehua Zhang, Zhishu Shen, Cheng
Peng, Libing Wu, Feng Xia and Jiong Jin</t>
  </si>
  <si>
    <t>A Structure-Agnostic Co-Tuning Framework for LLMs and SLMs in Cloud-Edge Systems</t>
  </si>
  <si>
    <t>Min Gao, Wen Wen, Haoran Du, Qiang Duan, Yu Xiao, Yupeng
Li, Xin Wang, Pan Hui and Yang Chen</t>
  </si>
  <si>
    <t>FediScan: Collaborative Social Bot Detection in the Fediverse</t>
  </si>
  <si>
    <t>Dezhong Yao, Tongtong Liu, Yuexin Shi and Zhiqiang Xu</t>
  </si>
  <si>
    <t>FedMHO: Heterogeneous One-Shot Federated Learning Towards Resource-Constrained Clients</t>
  </si>
  <si>
    <t>Qihang Yu, Kairui Fu, Zheqi Lv, Shengyu Zhang, Xinhui Wu,
Chen Lin, Feng Wei, Bo Zheng and Fei Wu</t>
  </si>
  <si>
    <t>ThinkRec: Thinking-based recommendation via LLM</t>
  </si>
  <si>
    <t>User Modeling, Personalization and Recommendation</t>
  </si>
  <si>
    <t>Yijun Sheng, Ximing Chen, Pui Ieng Lei, Yanyan Liu and
Zhiguo Gong</t>
  </si>
  <si>
    <t>Adaptive Graph Reweighting for Collaborative Filtering</t>
  </si>
  <si>
    <t>Anchen Li and Elena Casiraghi</t>
  </si>
  <si>
    <t>Quantum-enhanced Representation Learning and Matching Learning for Recommendation</t>
  </si>
  <si>
    <t>Wei Guan, Jian Cao, Qiqi Cai, Jianqi Gao, Jinyu Cai and
See-Kiong Ng</t>
  </si>
  <si>
    <t>SEAR: LLM-Powered Sequential Recommendation via Fusion of Collaborative, Semantic, and Rating Information</t>
  </si>
  <si>
    <t>Yunkai Zhang, Qiang Zhang, Diji Yang, Ryan Lin, Ruizhong
Qiu, Benyu Zhang, Hanchao Yu, Jason Liu, Yinglong Xia,
Zhuokai Zhao, Lizhu Zhang, Xiangjun Fan, Zhuoran Yu,
Abhishek Kumar and Zeyu Zheng</t>
  </si>
  <si>
    <t>Guiding Generative Recommender Systems with Structured Human Priors via Multi-head Decoding</t>
  </si>
  <si>
    <t>Xiaofei Zhu, Jinfei Chen, Feiyang Yuan and Yang Zhou</t>
  </si>
  <si>
    <t>Iterative Semantic Reasoning from Individual to Group Interests for Generative Recommendation with LLMs</t>
  </si>
  <si>
    <t>Jiaqing Zhang, Mingjia Yin, Hao Wang, Yuxin Tian, Yuyang
Ye, Yawen Li, Wei Guo, Yong Liu and Enhong Chen</t>
  </si>
  <si>
    <t>Generative Data Transformation: From Mixed to Unified Data</t>
  </si>
  <si>
    <t>Ze Liu, Xianquan Wang, Shuochen Liu, Jie Ma, Huibo Xu,
Yupeng Han, Kai Zhang and Jun Zhou</t>
  </si>
  <si>
    <t>From Entity Reliability to Clean Feedback: An Entity-Aware Denoising Framework Beyond Interaction-Level Signals</t>
  </si>
  <si>
    <t>Yu Xia, Qing Tan, He Chen, Jingyu Chen and Qian Dong</t>
  </si>
  <si>
    <t>Reinforcement Learning-Constrained Segmented User Modeling with Large Language Models for Recommendation</t>
  </si>
  <si>
    <t>Qiang He, Rui Chen, Yicheng Liu, Sheng Zhong, Haipeng Dai,
Feifei Chen, Hai Jin and Yun Yang</t>
  </si>
  <si>
    <t>Thorki: Decoupling General and Personalized Knowledge with Collaborative Fusion for Personalized Federated Learning</t>
  </si>
  <si>
    <t>Tiantian Chen, Jiaqi Lu, Ying Shen and Lin Zhang</t>
  </si>
  <si>
    <t>ES-MemEval: Benchmarking Conversational Agents on Personalized Long-Term Emotional Support</t>
  </si>
  <si>
    <t>Alireza Salemi, Cheng Li, Mingyang Zhang, Qiaozhu Mei,
Zhuowan Li, Spurthi Amba Hombaiah, Weize Kong, Tao Chen,
Hamed Zamani and Michael Bendersky</t>
  </si>
  <si>
    <t>Pathways of Thoughts: Multi-Directional Thinking for Long-form Personalized Question Answering</t>
  </si>
  <si>
    <t>Xian Mo, Yijun Hu and Jun Pang</t>
  </si>
  <si>
    <t>Large Language Models-Enhanced Semantic Diffusion for User-Centric Recommendation</t>
  </si>
  <si>
    <t>Pengfei Zhang, Guojia An, Jin Huang, Yuhan Yang, Yang Yang
and Jie Zou</t>
  </si>
  <si>
    <t>Not All Information Brings Benefits: Personalization-Driven Agent Debate for Conversational Recommendation</t>
  </si>
  <si>
    <t>Zhao Liu, Yichen Zhu, Yiqing Yang, Xiao Lv, Guoping Tang,
Rui Huang, Qiang Luo, Ruiming Tang and Guorui Zhou</t>
  </si>
  <si>
    <t>DiffGRM: Diffusion-based Generative Recommendation Model</t>
  </si>
  <si>
    <t>Huiying Hu, Tuo Wang, Yixiao Zhou and Xiaoqing Lyu</t>
  </si>
  <si>
    <t>IACLR: Intention Alignment via Contrastive Learning for Bipartite Graph Recommendation</t>
  </si>
  <si>
    <t>Xianquan Wang, Zhaocheng Du, Jieming Zhu, Qinglin Jia,
Zhenhua Dong and Kai Zhang</t>
  </si>
  <si>
    <t>FairFS: Addressing Deep Feature Selection Biases for Recommender System</t>
  </si>
  <si>
    <t>Yizhou Dang, Zhifu Wei, Minhan Huang, Lianbo Ma, Jianzhe
Zhao, Guibing Guo and Xingwei Wang</t>
  </si>
  <si>
    <t>Tail-Aware Data Augmentation for Long-Tail Sequential Recommendation</t>
  </si>
  <si>
    <t>Fei Li, Xiaoming Liu, Jiayi Luo, Guibing Guo, Jianzhe Zhao
and Xingwei Wang</t>
  </si>
  <si>
    <t>Lifelong Sequential Recommendation with Adaptive Subsequence Compression and Contextual Fusion</t>
  </si>
  <si>
    <t>Koichi Tanaka, Ren Kishimoto, Bushun Kawagishi, Yusuke
Narita, Yasuo Yamamoto, Nobuyuki Shimizu and Yuta Saito</t>
  </si>
  <si>
    <t>Off-Policy Learning with Limited Supply</t>
  </si>
  <si>
    <t>Weihao Du, Ziran Deng, Weike Pan and Zhong Ming</t>
  </si>
  <si>
    <t>Multi-Task Multi-Behavior Sequential Recommendation</t>
  </si>
  <si>
    <t>Xiaodong Li, Juwei Yue, Xinghua Zhang, Jiawei Sheng,
Wenyuan Zhang, Taoyu Su, Zefeng Zhang and Tingwen Liu</t>
  </si>
  <si>
    <t>S2CDR: Smoothing-Sharpening Process Model for Cross-Domain Recommendation</t>
  </si>
  <si>
    <t>Multi-view Semantic Contrastive Alignment for Multimodal Recommendation</t>
  </si>
  <si>
    <t>Haozhao Wang, Wenchao Xu, Jingzhi Wang, Yunfeng Fan,
Xiaoquan Yi and Rui Zhang</t>
  </si>
  <si>
    <t>pFedDKS: Detached Knowledge Sharing for Personalized Federated Learning</t>
  </si>
  <si>
    <t>Yanbo Zhou, Bin Lü, Xu-Hua Yang, Xin-Li Xu and Boling Wang</t>
  </si>
  <si>
    <t>Adaptive Contrastive Learning in Sequential Recommendation based on Perturbation and Restoration Networks</t>
  </si>
  <si>
    <t>Xueyang Feng, Jiakai Tang, Xu Chen, Quanyu Dai and Zhenhua
Dong</t>
  </si>
  <si>
    <t>Optimizing Multi-Turn Interactive Recommendation Agents via Generative Intrinsic Motivation</t>
  </si>
  <si>
    <t>Chen Xu, Zhipeng Yi, Ruizi Wang, Wenjie Wang, Jun Xu and
Maarten de Rijke</t>
  </si>
  <si>
    <t>Unveiling and Simulating Short-Video Addiction Behaviors via Economic Addiction Theory</t>
  </si>
  <si>
    <t>Jingyi Zhou, Cheng Chen, Kai Zuo, Manjie Xu, Zhendong Fu,
Yibo Chen, Xu Tang and Yao Hu</t>
  </si>
  <si>
    <t>HyMiRec: A Hybrid Multi-interest Learning Framework for LLM-based Sequential Recommendation</t>
  </si>
  <si>
    <t>Doyun Choi, Cheonwoo Lee, Biniyam Aschalew Tolera, Taewook
Ham, Chanyoung Park and Jaemin Yoo</t>
  </si>
  <si>
    <t>PULSE: Socially-Aware User Representation Modeling Toward Parameter-Efficient Graph Collaborative Filtering</t>
  </si>
  <si>
    <t>Yutong Li, Xinyi Zhang, Peijie Sun, Letian Sha and
Zhongxuan Han</t>
  </si>
  <si>
    <t>PRISM: Personalized Recommendation via Information Synergy Module</t>
  </si>
  <si>
    <t>Guangzhi Qi, Guojun Liu and Qi Zhou</t>
  </si>
  <si>
    <t>Learning on Adaptive Manifolds for Graph Collaborative Filtering</t>
  </si>
  <si>
    <t>Ke Guo, Changle Qu, Xiao Zhang, Liqin Zhao, Shijun Wang,
Yanan Niu and Jun Xu</t>
  </si>
  <si>
    <t>Room Matters: Dynamic Room-level Collaboration Information Modeling for Live Streaming Recommendation</t>
  </si>
  <si>
    <t>Yingpeng Du, Zhu Sun, Tianjun Wei and Jie Zhang</t>
  </si>
  <si>
    <t>ONE-PASS: Single Forward Pass Decoding for Listwise Reranking</t>
  </si>
  <si>
    <t>Joy Jia Yin Lim, Ye He, Jifan Yu, Xin Cong, Daniel
Zhang-Li, Zhiyuan Liu, Huiqin Liu, Lei Hou, Juanzi Li and
Bin Xu</t>
  </si>
  <si>
    <t>Personalized Learning Path Planning through Goal-Driven Learner State Modeling</t>
  </si>
  <si>
    <t>Sunwoo Kim, Hyunjin Hwang and Kijung Shin</t>
  </si>
  <si>
    <t>Personalized Parameter-Efficient Fine-Tuning of Foundation Models for Multimodal Recommendation</t>
  </si>
  <si>
    <t>Zemu Liu, Zhida Qin, Pengzhan Zhou, Tianyu Huang and Gangyi
Ding</t>
  </si>
  <si>
    <t>Bridging Time and Domains: A Time-aware Framework for Cross-Domain Sequential Recommendation</t>
  </si>
  <si>
    <t>Dongliang Liao, Chenxing Wang and Yawen Zeng</t>
  </si>
  <si>
    <t>Bridging Explicit and Implicit Intent: Unified Interest Generative Method for Joint Search-Recommendation Modeling</t>
  </si>
  <si>
    <t>Mingyu Zhao, Haoran Bai, Yu Tian, Bing Zhu and Hengliang Luo</t>
  </si>
  <si>
    <t>CC-OR-Net: A Unified Framework for LTV Prediction through Structural Decoupling</t>
  </si>
  <si>
    <t>Jiale Huang, Yingyuan Xiao, Likang Wu, Xu Cheng, Wengguang
Zheng, Qingbo Hao, Ming He and Hongke Zhao</t>
  </si>
  <si>
    <t>Dynamic Routing-Based Adaptive Multi-LLM Collaboration: A Unified Recommendation Framework with Decision Knowledge Complementation</t>
  </si>
  <si>
    <t>Jiayu Bao, Hongjian Shi, Guanyu Zhang, Rui Zhou, Haozhao
Wang and Yuan Liu</t>
  </si>
  <si>
    <t>KE-FedRS: Tackling Data Sparsity in Federated Recommendation via Knowledge Enhancement</t>
  </si>
  <si>
    <t>Shaokang Jiang, Arshia Arya, Seoyoung Kweon, Ivan Liang,
Deepak Kumar and Kristen Vaccaro</t>
  </si>
  <si>
    <t>Long Story Short: Auditing U.S. Political Polarization in Recommendations for Long- vs. Short-form Videos on YouTube</t>
  </si>
  <si>
    <t>Xiaoxin Ye, Chengkai Huang, Hongtao Huang and Lina Yao</t>
  </si>
  <si>
    <t>Gaussian Mixture Flow Matching with Domain Alignment for Multi-Domain Sequential Recommendation</t>
  </si>
  <si>
    <t>Zhi-Yuan Chen, Siyu Lu, Qiang Liu, Xingxing Wang and Yankai
Lin</t>
  </si>
  <si>
    <t>From Prediction to Understanding: Leveraging Reasoning in Large Language Model-based Recommendations</t>
  </si>
  <si>
    <t>Hongxu Ma, Kai Tian, Tao Zhang, Xuefeng Zhang, Han Zhou,
Chenghou Jin, Chunjie Chen, Han Li, Jihong Guan and
Shuigeng Zhou</t>
  </si>
  <si>
    <t>Generative Regression Based Watch Time Prediction for Short-Video Recommendation</t>
  </si>
  <si>
    <t>Junming Zhou, Hao Zhong, Shupeng Li, Zhengyang Wu, Yong
Tang and Ronghua Lin</t>
  </si>
  <si>
    <t>Line Graphs Are Here! Unlock a Simple Solution for Data Sparsity and Class Imbalance in Recommender System</t>
  </si>
  <si>
    <t>Xinrui He, Ting-Wei Li, Tianxin Wei, Xuying Ning, Xinyu He,
Wenxuan Bao, Hanghang Tong and Jingrui He</t>
  </si>
  <si>
    <t>FeDecider: An LLM-Based Framework for Federated Cross-Domain Recommendation</t>
  </si>
  <si>
    <t>Jianye Xie, Lianyong Qi, Weiming Liu, Anqi Wang, Xiaolong
Xu, Haolong Xiang, Xuyun Zhang, Wenwen Gong, Yang Zhang,
Amin Beheshti and Wanchun Dou</t>
  </si>
  <si>
    <t>Joint Similar User Exploration and Informative Behavior Guidance for Multi-Modal New Item Recommendation</t>
  </si>
  <si>
    <t>Mingdai Yang, Nurendra Choudhary, Jiangshu Du, Edward W.
Huang, Philip Yu, Karthik Subbian and Danai Koutra</t>
  </si>
  <si>
    <t>AgentDR: Dynamic Recommendation with Implicit Item-Item Relations via LLM-based Agents</t>
  </si>
  <si>
    <t>Kaibei Li, Jie Zou, Qika Lin, Weikang Guo, Qinyang He and
Yang Yang</t>
  </si>
  <si>
    <t>ScotRec: Social Chain-of-Thought LLM Reasoning for Recommendation</t>
  </si>
  <si>
    <t>Mingxuan Luo, Guipeng Xv, Sishuo Chen, Xinyu Li, Li Zhang,
Zhangming Chan, Xiang-Rong Sheng, Han Zhu, Jian Xu, Bo
Zheng and Chen Lin</t>
  </si>
  <si>
    <t>Modeling Cascaded Delay Feedback for Online Net Conversion Rate Prediction: Benchmark, Insights and Solutions</t>
  </si>
  <si>
    <t>Rongbo Qi, Yaqi Zhang, Chunyao Song and Tingjian Ge</t>
  </si>
  <si>
    <t>Temporal-Series-Aware Adaptive Positional Encoding for Transformer-based Sequential Recommendation</t>
  </si>
  <si>
    <t>Weixin Zheng, Chunyao Song and Tingjian Ge</t>
  </si>
  <si>
    <t>MCRec: Few-Shot Multimodal Cover Recommendation via User Interest Profiles</t>
  </si>
  <si>
    <t>Yueqing Xuan, Kacper Sokol, Mark Sanderson and Jeffrey Chan</t>
  </si>
  <si>
    <t>Diversity-Augmented Negative Sampling for Implicit Collaborative Filtering</t>
  </si>
  <si>
    <t>Xinyu Li, Sishuo Chen, Guipeng Xv, Li Zhang, Mingxuan Luo,
Zhangming Chan, Xiang-Rong Sheng, Han Zhu, Jian Xu and Chen
Lin</t>
  </si>
  <si>
    <t>Delayed Feedback Modeling for Post-Click Gross Merchandise Volume Prediction: Benchmark, Insights and Approaches</t>
  </si>
  <si>
    <t>Minseo Jeon, Junwoo Jung, Daewon Gwak and Jinhong Jung</t>
  </si>
  <si>
    <t>AlphaFree: Recommendation Free from Users, IDs, and GNNs</t>
  </si>
  <si>
    <t>Jinpeng Chen, Jianxiang He, Yuan Cao, Huan Li, Zhenye Yang,
Kaimin Wei, Xiongnan Jin, Senzhang Wang and Weiping Tu</t>
  </si>
  <si>
    <t>Same Last-Item Confusion Unveiled: A Unified Mitigation Framework for Graph Learning in Session-Based Recommendation</t>
  </si>
  <si>
    <t>Yuanzi Li, Xuri Ge, Jingyu Zhao, Yidan Wang, Jiyuan Yang,
Zhumin Chen, Zhaochun Ren and Xin Xin</t>
  </si>
  <si>
    <t>R2NS: Recall and Re-ranking of Negative Samples for Sequential Recommendation</t>
  </si>
  <si>
    <t>Min Hou, Xin Liu, Le Wu, Chenyi He, Hao Liu, Zhi Li, Xin Li
and Si Wei</t>
  </si>
  <si>
    <t>WeaveRec: An LLM-Based Cross-Domain Sequential Recommendation Framework with Model Merging</t>
  </si>
  <si>
    <t>Weilin Zhou, Hao Zhang and Guangxin Wu</t>
  </si>
  <si>
    <t>Drifting with Intent: Generative Interest Trajectories for Multimodal Web Recommendation</t>
  </si>
  <si>
    <t>Yu Cui, Feng Liu, Jiawei Chen, Xingyu Lou, Changwang Zhang,
Jun Wang, Yuegang Sun, Xiaohu Yang and Can Wang</t>
  </si>
  <si>
    <t>Field Matters: A Lightweight LLM-enhanced Method for CTR Prediction</t>
  </si>
  <si>
    <t>Min-Jeong Kim, Jiwon Son, Yeon-Chang Lee and Sang-Wook Kim</t>
  </si>
  <si>
    <t>Retracing and Restoring: Chronological Context Preservation for Effective Dynamic Recommendation</t>
  </si>
  <si>
    <t>Mengyang Ma, Xiaopeng Li, Wanyu Wang, Zhaocheng Du,
Jingtong Gao, Pengyue Jia, Yuyang Ye, Yiqi Wang, Yunpeng
Weng, Weihong Luo, Xiao Han and Xiangyu Zhao</t>
  </si>
  <si>
    <t>BlossomRec: Block-level Fused Sparse Attention Mechanism for Sequential Recommendations</t>
  </si>
  <si>
    <t>Yuzhe Chen, Jie Cao, Youquan Wang, Haicheng Tao, Darko
Vuković and Jia Wu</t>
  </si>
  <si>
    <t>Modeling Endogenous Logic: Causal Neuro-Symbolic Reasoning Model for Explainable Multi-Behavior Recommendation</t>
  </si>
  <si>
    <t>Furen Xu, Jie Zhang, Kai Jiang, Chengxiang Zhuo and Zang Li</t>
  </si>
  <si>
    <t>DynaMoLTV: A Cross-Game Dynamic Mixture Model with Weighted Sub-Distributions for Player Lifetime Value Prediction</t>
  </si>
  <si>
    <t>Zhenhua Meng and Fanshen Meng</t>
  </si>
  <si>
    <t>From Criteria to Ranking: Targeting-Aware Tripartite Graph Learning for Multi-Criteria Recommendation</t>
  </si>
  <si>
    <t>Maolin Wang, Tongshu Bian, Ziyan Wang, Xiaotong Jiang,
Binhao Wang, Derong Xu, Wanyu Wang, Ruocheng Guo and
Xiangyu Zhao</t>
  </si>
  <si>
    <t>SAGE: Global Semantic Alignment with LLMs for Long-Tail Sequential Recommendation</t>
  </si>
  <si>
    <t>Yixuan Huang, Jiawei Chen, Shengfan Zhang and Zane Cao</t>
  </si>
  <si>
    <t>Relation-aware Diffusion-Asymmetric Graph Contrastive Learning for Recommendation</t>
  </si>
  <si>
    <t>Gu Tang, Jinghe Wang, Jiang Bo, Ze Zhao, Jianping Zhou,
Xiaoying Gan, Luoyi Fu, Xinbing Wang and Chenghu Zhou</t>
  </si>
  <si>
    <t>TargetMR: Learning Modality Target for Multimodal Recommendation</t>
  </si>
  <si>
    <t>Xiao Lin, Zhicheng Tang, Weilin Cong, Mengyue Hang, Kai
Wang, Yajuan Wang, Zhichen Zeng, Ting-Wei Li, Hyunsik Yoo,
Zhining Liu, Xuying Ning, Ruizhong Qiu, Wen-Yen Chen, Shuo
Chang, Rong Jin, Huayu Li and Hanghang Tong</t>
  </si>
  <si>
    <t>Mixture of Sequence: Theme-Aware Mixture-of-Experts for Long-Sequence Recommendation</t>
  </si>
  <si>
    <t>Ranxu Zhang, Junjie Meng, Ying Sun, Ziqi Xu, Bing Yin, Hao
Li, Yanyong Zhang and Chao Wang</t>
  </si>
  <si>
    <t>MCLMR: A Model-Agnostic Causal Learning Framework for Multi-Behavior Recommendation</t>
  </si>
  <si>
    <t>Yu Wang, Junshu Dai, Yuchen Ying, Hanyang Yuan, Zunlei
Feng, Tongya Zheng and Mingli Song</t>
  </si>
  <si>
    <t>Adaptive Location Hierarchy Learning for Long-Tailed Mobility Prediction</t>
  </si>
  <si>
    <t>Liwei Jin, Dan Luo, Lixin Zou, Chenliang Li, Xiangyang Luo,
Xixun Lin, Liming Dong and Yifan Zhang</t>
  </si>
  <si>
    <t>Scaling Collaborative Filtering with Multimodal Contrastive Fine-tuning</t>
  </si>
  <si>
    <t>Yuanhao Liu, Zihan Zhou, Kaiying Wu, Shuo Liu, Yiyang
Huang, Jiajun Guo, Aimin Zhou and Hong Qian</t>
  </si>
  <si>
    <t>Embedding Enhancement via Fine-Tuned Language Models for Learner-Item Cognitive Modeling</t>
  </si>
  <si>
    <t>Bo Yan, Yurong Hao, Dingqi Liu, Huabin Sun, Pengpeng Qiao,
Wei Yang Bryan Lim, Yang Cao and Chuan Shi</t>
  </si>
  <si>
    <t>Spattack: Subgroup Poisoning Attacks on Federated Recommender Systems</t>
  </si>
  <si>
    <t>Jiahao Liang, Yutian Xiao, Haoran Yang, Zhiwen Yu, Jia-Nan
Liu and Kaixiang Yang</t>
  </si>
  <si>
    <t>C-HyPOD: Causal Hyperbolic Learning with Prototype Orthogonal Disentanglement for Graph Out-of-Distribution Recommendation</t>
  </si>
  <si>
    <t>Zhiding Liu, Ben Chen, Mingyue Cheng, Enhong Chen, Li Li,
Chenyi Lei, Wenwu Ou, Han Li and Kun Gai</t>
  </si>
  <si>
    <t>Towards Context-aware Reasoning-enhanced Generative Searching in E-commerce</t>
  </si>
  <si>
    <t>Michael Soumm, Alexandre Fournier-Montgieux, Adrian Popescu
and Bertrand Delezoide</t>
  </si>
  <si>
    <t>Quantifying User Coherence: A Unified Framework for Analyzing Recommender Systems Across Domains</t>
  </si>
  <si>
    <t>Byungmoon Heo, Namjun Lee, Seonah Kim and Jaekwang Kim</t>
  </si>
  <si>
    <t>FCRLLM: Aligning LLM with Collaborative Filtering for Long-tailed Sequential Recommendation</t>
  </si>
  <si>
    <t>Jie Li, Zhen Cui and Linmei Hu</t>
  </si>
  <si>
    <t>ONeRec: Towards Openness-Aware and Adaptive Proactive News Recommendation</t>
  </si>
  <si>
    <t>Chunxu Zhang, Weipeng Zhang, Guodong Long, Zhiheng Xue,
Riting Xia and Bo Yang</t>
  </si>
  <si>
    <t>Multimodal-enhanced Federated Recommendation: A Group-wise Fusion Approach</t>
  </si>
  <si>
    <t>Chunxu Zhang, Zhiheng Xue, Guodong Long, Weipeng Zhang and
Bo Yang</t>
  </si>
  <si>
    <t>Learning Evolving Preferences: A Federated Continual Framework for User-Centric Recommendation</t>
  </si>
  <si>
    <t>Ke Fei, Jingjing Li, Zhekai Du and Hongbo Chen</t>
  </si>
  <si>
    <t>Sharpness-Consistent Cross-Domain Recommendation for Cold-Start Items</t>
  </si>
  <si>
    <t>Fengyuan Yu, Xiaohua Feng, Yuyuan Li, Changwang Zhang, Jun
Wang and Chaochao Chen</t>
  </si>
  <si>
    <t>Sharpness-Aware Minimization for Generalized Embedding Learning in Federated Recommendation</t>
  </si>
  <si>
    <t>Yifan Li, Jiahong Liu, Xinni Zhang, Hao Chen, Yankai Chen,
Wenhao Yu, Jianting Chen and Irwin King</t>
  </si>
  <si>
    <t>Generative Archetype-Grounded Item Representations for Sequential Recommendation</t>
  </si>
  <si>
    <t>Haotian Wu, Yingpeng Du, Zhu Sun, Jie Zhang and Puay Siew
Tan</t>
  </si>
  <si>
    <t>Dynamic Experts Synergy for Multi-Task Recommendation</t>
  </si>
  <si>
    <t>Shengjia Zhang, Weiqin Yang, Jiawei Chen, Peng Wu, Yuegang
Sun, Gang Wang, Qihao Shi and Can Wang</t>
  </si>
  <si>
    <t>Talos: Optimizing Top-K Accuracy in Recommender Systems</t>
  </si>
  <si>
    <t>Zhibo Wu, Yunfan Wu, Yang Chang, Ping Yang and Yao Hu</t>
  </si>
  <si>
    <t>Causality Enhancement for Cross-Domain Recommendation</t>
  </si>
  <si>
    <t>Bohao Wang, Jiawei Chen, Feng Liu, Changwang Zhang, Jun
Wang, Canghong Jin, Chun Chen and Can Wang</t>
  </si>
  <si>
    <t>Does LLM Focus on the Right Words? Mitigating Context Bias in LLM-based Recommenders</t>
  </si>
  <si>
    <t>Xiaokun Zhang, Bowei He, Jiamin Chen, Ziqiang Cui and Chen
Ma</t>
  </si>
  <si>
    <t>From Token to Item: Enhancing Large Language Models for Recommendation via Item-aware Attention Mechanism</t>
  </si>
  <si>
    <t>Kesha Ou, Zhen Tian, Wayne Xin Zhao, Hongyu Lu and Ji-Rong
Wen</t>
  </si>
  <si>
    <t>GenCI: Generative Modeling of User Interest Shift via Cohort-based Intent Learning for CTR Prediction</t>
  </si>
  <si>
    <t>Yinan Zhang, Zhixi Chen, Jiazheng Jing and Zhiqi Shen</t>
  </si>
  <si>
    <t>Following the TRAIL: Predicting and Explaining Tomorrow’s Hits with a Fine-Tuned LLM</t>
  </si>
  <si>
    <t>Miaomiao Cai, Zhijie Zhang, Junfeng Fang, Zhiyong Cheng,
Xiang Wang and Meng Wang</t>
  </si>
  <si>
    <t>RMBRec: Robust Multi-Behavior Recommendation towards Target Behaviors</t>
  </si>
  <si>
    <t>Canran Xiao and Liwei Hou</t>
  </si>
  <si>
    <t>Prototype-Aligned Federated Soft-Prompts for Continual Web Personalization</t>
  </si>
  <si>
    <t>Zhiyong Cheng, Yike Jin, Zhijie Zhang, Huilin Chen,
Zhangling Duan and Meng Wang</t>
  </si>
  <si>
    <t>Modeling Stage-wise Evolution of User Interests for News Recommendation</t>
  </si>
  <si>
    <t>Nengjun Zhu, Yixun Lu and Qi Zhang</t>
  </si>
  <si>
    <t>QDDR: Quality-Driven Intent Disentanglement with Dual-Path Modeling for Recommendation</t>
  </si>
  <si>
    <t>Parthiv Chatterjee, Dhara Jhaveri, Sourish Dasgupta and
Tanmoy Chakraborty</t>
  </si>
  <si>
    <t>IMPerSumm: Information-Modulated User Preference Modeling for Personalized Text Summarization</t>
  </si>
  <si>
    <t>Lingyan Zhang, Wanyu Ling, Shuwen Daizhou, Li Kuang and
Kehua Guo</t>
  </si>
  <si>
    <t>CCL-Diff: Representation-Consistent Diffusion with Intrinsic Contrastive Learning for Recommender Systems</t>
  </si>
  <si>
    <t>Chunxu Zhang, Shanqiang Huang, Zijian Zhang, Jiahong Liu,
Linsong Yu, Ruiqi Wan, Bo Yang and Irwin King</t>
  </si>
  <si>
    <t>SemaCDR: LLM-Powered Transferable Semantics for Cross-Domain Sequential Recommendation</t>
  </si>
  <si>
    <t>Ethan Che, Hakan Ceylan, James McInerney and Nathan Kallus</t>
  </si>
  <si>
    <t>Exploration Sizing via Model-Predictive Control</t>
  </si>
  <si>
    <t>Md Aminul Islam, Elena Zheleva and Ren Wang</t>
  </si>
  <si>
    <t>Post-hoc Popularity Bias Correction in GNN-based Collaborative Filtering</t>
  </si>
  <si>
    <t>David Liu, Erik Weis, Moritz Laber, Tina Eliassi-Rad and
Brennan Klein</t>
  </si>
  <si>
    <t>Identifying and Upweighting Power-Niche Users to Mitigate Popularity Bias in Recommendations</t>
  </si>
  <si>
    <t>Hung V. Tran, Tong Chen, Hechuan Wen, Quoc Viet Hung
Nguyen, Bin Cui and Hongzhi Yin</t>
  </si>
  <si>
    <t>Efficient Content-based Recommendation Model Training via Noise-aware Coreset Selection</t>
  </si>
  <si>
    <t>Shiyi Yang, Zhibo Hu, Xinshu Li, Chen Wang, Tong Yu, Xiwei
Xu, Liming Zhu and Lina Yao</t>
  </si>
  <si>
    <t>DrunkAgent: Stealthy Memory Corruption in LLM-Powered Recommender Agents</t>
  </si>
  <si>
    <t>Yuhan Zhao, Weixin Chen, Li Chen and Weike Pan</t>
  </si>
  <si>
    <t>The Double-Edged Sword of Knowledge Transfer: Diagnosing and Curing Fairness Pathologies in Cross-Domain Recommendation</t>
  </si>
  <si>
    <t>Ying He, Desheng Cai, Shengsheng Qian, Quan Fang, Yinwei
Wei and Changsheng Xu</t>
  </si>
  <si>
    <t>Multi-modal Bipartite Graph Structure Learning with Information Bottleneck for Micro-video Recommendation</t>
  </si>
  <si>
    <t>Jiahao Liu, Lin Li, Zhiyuan Li, Kaixi Hu, Kaize Shi and
Jingling Yuan</t>
  </si>
  <si>
    <t>Hyena Operator for Fast Sequential Recommendation</t>
  </si>
  <si>
    <t>Sirui Chen, Jiawei Chen, Canghong Jin, Sheng Zhou, Jingbang
Chen, Wujie Sun and Can Wang</t>
  </si>
  <si>
    <t>TopKGAT: A Top-K Objective-Driven Architecture for Recommendation</t>
  </si>
  <si>
    <t>Fake Lin, Binbin Hu, Zhi Zheng, Xi Zhu, Ziqi Liu, Zhiqiang
Zhang, Jun Zhou and Tong Xu</t>
  </si>
  <si>
    <t>Token-level Collaborative Alignment for LLM-based Generative Recommendation</t>
  </si>
  <si>
    <t>Shuo Yu, Mingyue Cheng, Daoyu Wang, Qi Liu, Zirui Liu, Ze
Guo and Xiaoyu Tao</t>
  </si>
  <si>
    <t>MemWeaver: A Hierarchical Memory from Textual Interactive Behaviors for Personalized Generation</t>
  </si>
  <si>
    <t>Jiaming Zhang, Yuyuan Li, Xiaohua Feng, Li Zhang, Longfei
Li, Jun Zhou and Chaochao Chen</t>
  </si>
  <si>
    <t>Taming the Long Tail: Efficient Item-wise Sharpness-Aware Minimization for LLM-based Recommender Systems</t>
  </si>
  <si>
    <t>Yilin Zhao, Jiawei Huang, Xianshi Su, Weihe Li, Xin Li, Yan
Liu, Jiacheng Xie, Qichen Su, Jin Ye, Wanchun Jiang and
Jianxin Wang</t>
  </si>
  <si>
    <t>Cardinality is Not Enough: Super Host Detection via Segmented Cardinality Estimation</t>
  </si>
  <si>
    <t>Shuili Zhang, Hongzhang Mu, Wenyuan Zhang, Duohe Ma and
Tingwen Liu</t>
  </si>
  <si>
    <t>Beyond Patches: Superpixel Token-based Transformers for Attribute-Specific Fashion Retrieval</t>
  </si>
  <si>
    <t>Jinrui Sun, Tong Jia, Minghua He and Ying Li</t>
  </si>
  <si>
    <t>VarParser: Unleashing the Neglected Power of Variables for LLM-based Log Parsing</t>
  </si>
  <si>
    <t>Zongwei Wang, Min Gao, Junliang Yu, Tong Chen and Chenghua
Lin</t>
  </si>
  <si>
    <t>PAMAS: Self-Adaptive Multi-Agent System with Perspective Aggregation for Misinformation Detection</t>
  </si>
  <si>
    <t>Soshi Kakio, Yasuko Matsubara, Ren Fujiwara and Yasushi
Sakurai</t>
  </si>
  <si>
    <t>Multi-Aspect Mining and Anomaly Detection for Heterogeneous Tensor Streams</t>
  </si>
  <si>
    <t>Jiping Zhang, Hua Zhu, Hong Huang, Yongkang Zhou, Kehan Yin
and Bang Liu</t>
  </si>
  <si>
    <t>EIAN: Explicit Interaction-aware Attention Network for Interpretable Event Modeling</t>
  </si>
  <si>
    <t>Quyu Kong, Yixuan Zhang, Yang Liu, Panrong Tong, Enqi Liu
and Feng Zhou</t>
  </si>
  <si>
    <t>Byte-token Enhanced Language Models for Temporal Point Processes Analysis</t>
  </si>
  <si>
    <t>Yuanyi Song, Heyuan Huang, Qiqiang Lin, Yin Zhao, Xiangmou
Qu, Jun Wang, Xingyu Lou, Weiwen Liu, Zhuosheng Zhang, Jun
Wang, Zhaoxiang Wang, Yong Yu and Weinan Zhang</t>
  </si>
  <si>
    <t>ColorBench: Benchmarking Mobile Agents with Graph-Structured Framework for Complex Long-Horizon Tasks</t>
  </si>
  <si>
    <t>Zhaodan Zhang, Jin Zhang and Jiafeng Guo</t>
  </si>
  <si>
    <t>Dynamic Prototype-Augmented Stance Detection: Learning from the Seen to Reason about the Unseen</t>
  </si>
  <si>
    <t>Jie Li, Jinrui Wang, Linmei Hu and Yuqiu Deng</t>
  </si>
  <si>
    <t>Triple-R: Iterative Query Rewriting and Refinement for Retrieval-Augmented Fake News Detection</t>
  </si>
  <si>
    <t>Weiyi Yang, Richong Zhang, Junfan Chen, Jiawei Sheng and
Lihong Wang</t>
  </si>
  <si>
    <t>Expectation-Maximization Driven Contrastive Disentanglement for Generalized Category Discovery</t>
  </si>
  <si>
    <t>Chaoqun Cui, Shijing Wang, Liangbin Huang, Qingqing Gu,
Zhaolong Huang, Xiao Zeng and Wenji Mao</t>
  </si>
  <si>
    <t>Hermes the Polyglot: A Unified Framework to Enhance Expressiveness for Multimodal Interlingual Subtitling</t>
  </si>
  <si>
    <t>Youheng Bai, Mingliang Hou, Teng Guo, Zitao Liu and Weiqi
Luo</t>
  </si>
  <si>
    <t>A Frequency-Aware Mixture of Heterogeneous Experts Framework for Knowledge Tracing</t>
  </si>
  <si>
    <t>Mingming Zhang, Pengfei Shi, Junbo Zhao, Ningtao Wang, Feng
Zhao, Guandong Sun, Yulin Kang, Xing Fu, Zhiqing Xiao,
Weiqiang Wang and Ruizhe Gao</t>
  </si>
  <si>
    <t>KMLP: A Scalable Hybrid Architecture for Web-Scale Tabular Data Modeling</t>
  </si>
  <si>
    <t>Yuanzhen Hao and Desheng Wu</t>
  </si>
  <si>
    <t>Measuring and Enhancing Human Value Alignment in Zero-Shot Document-Level Claim Extraction</t>
  </si>
  <si>
    <t>Liwei Qian, Hang Zhang, Yiheng Wu, Yanmin Li, Mengna Zhu,
Lihua Liu and Jibing Wu</t>
  </si>
  <si>
    <t>Thinking Bidirectionally: A Reasoning and Self-Correction Approach for Text-Based Event Prediction with Large Language Models</t>
  </si>
  <si>
    <t>Baohang Zhou, Kehui Song, Rize Jin, Yu Zhao, Xuhui Sui,
Xinying Qian, Xingyue Guo and Ying Zhang</t>
  </si>
  <si>
    <t>Hyperbolic Multimodal Generative Representation Learning for Generalized Zero-Shot Multimodal Information Extraction</t>
  </si>
  <si>
    <t>Zhibo Zhang, Jianjun Li and Zhiyuan Ma</t>
  </si>
  <si>
    <t>MIDE: Multimodal Dialogue Emotion Recognition via Mutual Information Enhancement and Dynamic Modality Selection</t>
  </si>
  <si>
    <t>Zhongxian Liang, Qilong Shi, Xiyan Liang, Zihan Li, Wenjun
Li, Tong Yang, Yangyang Wang, Mingwei Xu and Weizhe Zhang</t>
  </si>
  <si>
    <t>JitterSketch: Finding Jittery Flows in Network Streams</t>
  </si>
  <si>
    <t>Lin Zhang, Qing Li and Jingmei Zhao</t>
  </si>
  <si>
    <t>GFMixer: Decoupled Temporal Gradient and Fourier-Aware Attention for Time Series Forecasting</t>
  </si>
  <si>
    <t>Wenxia Chang, Chao Zhang, Wentao Li and Deyu Li</t>
  </si>
  <si>
    <t>MIGC-CMamba: Cross-Domain Mamba with Multi-Scale Imaging and Granular-Ball Computing for Traffic Flow Prediction</t>
  </si>
  <si>
    <t>Junyi Chen, Qian Liu, Jing Sun and Yi Zhang</t>
  </si>
  <si>
    <t>TrueLens: Video Fake News Detection with Dual Level Evidence Gathering and Consolidation</t>
  </si>
  <si>
    <t>Huajian Zhang, Mingyue Cheng, Yucong Luo and Xiaoyu Tao</t>
  </si>
  <si>
    <t>STaR: Towards Effective and Stable Table Reasoning via Slow-Thinking Large Language Models</t>
  </si>
  <si>
    <t>Zhipeng Liu, Peibo Duan, Xuan Tang, Haodong Jing, Mingyang
Geng, Yongsheng Huang, Jialu Xu, Bin Zhang and Binwu Wang</t>
  </si>
  <si>
    <t>We Need a More Robust Classifier: Dual Causal Learning Empowers Domain-Incremental Time Series Classification</t>
  </si>
  <si>
    <t>Jianqi Zhang, Jingyao Wang, Wenwen Qiang, Fanjiang Xu and
Changwen Zheng</t>
  </si>
  <si>
    <t>Enhancing Large Language Models for Time-Series Forecasting via Vector-Injected In-Context Learning</t>
  </si>
  <si>
    <t>Yuchen Fang, Shiyu Wang, Yuxuan Liang, Zhou Ye, Yang Xiang,
Yan Zhao and Kai Zheng</t>
  </si>
  <si>
    <t>Efficient High-Dimensional Time Series Forecasting with Transformers: A Channel Reordering Perspective</t>
  </si>
  <si>
    <t>Chengyu Song, Lin Yang, Jianming Zheng, Jingjing Zhang,
Hongyu Kuang, Jinzhi Liao and Mengchun Zhao</t>
  </si>
  <si>
    <t>Fusion Is Not A Simple Ensemble! Towards The Evolving Views in Insider Threat Detection</t>
  </si>
  <si>
    <t>Yichi Zhang, Yunqi Han, Jiayue Ding and Liangyu Chen</t>
  </si>
  <si>
    <t>BHGap: A Deep Iterative Prompting and Multi-stage Alignment Framework for Dynamic Facial Expression Recognition</t>
  </si>
  <si>
    <t>Haohao Qu, Shanru Lin, Yujuan Ding, Yiqi Wang and Wenqi Fan</t>
  </si>
  <si>
    <t>Diffusion Generative Recommendation with Continuous Tokens</t>
  </si>
  <si>
    <t>Hua Wang, Jinghao Lu and Fan Zhang</t>
  </si>
  <si>
    <t>EEO-TFV: Escape-Explore Optimizer for Web-Scale Time-Series Forecasting and Vision Analysis</t>
  </si>
  <si>
    <t>Rui Wang, Ziang Li, Haiping Huang, Jialin Yu, Yuxiang Zhou
and Guozi Sun</t>
  </si>
  <si>
    <t>Towards Multi-Label Text Interpretation with Chain-of-Thought Prompting and Contextualized Knowledge</t>
  </si>
  <si>
    <t>Qing Wei, Hao Miao, Yan Zhao, Kai Zheng, Bin Yang, Volker
Markl and Christian S. Jensen</t>
  </si>
  <si>
    <t>Evolving Proxy Kills Drift: Data-Efficient Streaming Time Series Anomaly Detection</t>
  </si>
  <si>
    <t>Jinwen Chen, Hao Miao, Chenxi Liu, Yan Zhao and Kai Zheng</t>
  </si>
  <si>
    <t>VisionST: Coordinating Cross-modal Traffic Prediction with Interactive Geo-image Encoding</t>
  </si>
  <si>
    <t>Diandian Guo, Fangfang Yuan, Cong Cao, Xixun Lin, Chuan
Zhou, Hao Peng, Yanan Cao and Yanbing Liu</t>
  </si>
  <si>
    <t>MuVaC: A Variational Causal Framework for Multimodal Sarcasm Understanding in Dialogues</t>
  </si>
  <si>
    <t>Ruiting Dai, Zesen Cai, Lisi Mo, Guiduo Duan, Keren Shi and
Tao He</t>
  </si>
  <si>
    <t>Anchor Drift No More: Hierarchical Consistency-Guided Prompt Distillation for Incomplete Multimodal Learning</t>
  </si>
  <si>
    <t>Shengkun Zhu, Jinshan Zeng, Yiming Wang, Sheng Wang, Yuan
Sun, Shangfeng Chen, Yuan Yao and Qiang Yang</t>
  </si>
  <si>
    <t>LoRA-E^2: Effective and Efficient Low-rank Adaptation</t>
  </si>
  <si>
    <t>Xinyu Li, Kexi Chen, Ying Zheng, Zhiyi Yao, Yi Xie, Jihan
Dai, Lei Bai, Jin Zhao, Jiajie Shen, Yunqi Cai, Hong Lu and
Xin Wang</t>
  </si>
  <si>
    <t>Modeling Point-to-Point Dependency for High-Dimensional Long-Term Series Forecasting</t>
  </si>
  <si>
    <t>Haihua Xu, Qi Hao, He Zhang, Jianpeng Zhao, Ziyue Qiao, Lu
Jiang, Pengfei Wang, Yingjie Zhou and Pengyang Wang</t>
  </si>
  <si>
    <t>Shift-Resilient Diffusive Imputation for Variable Subset Forecasting</t>
  </si>
  <si>
    <t>Mingxing Shao, Tiancheng Zhang, Yifang Yin, Wenhui Wu,
Zikai Li, Minghe Yu, Fangling Leng and Ge Yu</t>
  </si>
  <si>
    <t>Leveraging LLM and Multiscale Knowledge States to Improve Knowledge Tracing in Programming Tasks</t>
  </si>
  <si>
    <t>Boning Zhang, Haishuai Wang, Zehong Hu, Jiajun Wang, Hongyi
Zhang and Jia Jia</t>
  </si>
  <si>
    <t>Re-Diffusion: Modeling Latent Residuals with Diffusion for Time-Series Forecasting</t>
  </si>
  <si>
    <t>Liyao Li, Hao Chen, Jiaming Tian, Wentao Ye, Lirong Gao,
Chao Ye, Ningtao Wang, Xing Fu, Yu Cheng, Haobo Wang, Gang
Chen and Junbo Zhao</t>
  </si>
  <si>
    <t>Reinforcement Learning with Verbalized Probabilities for LLM Classification</t>
  </si>
  <si>
    <t>Shuofu Liu, Quanjiang Guo, Xiao Liu and Ying Liu</t>
  </si>
  <si>
    <t>Mitigating Cognitive Vulnerabilities in Code Generation via Multi-Agent Adversarial Debate</t>
  </si>
  <si>
    <t>Xianbing Zhao, Shengzun Yang and Buzhou Tang</t>
  </si>
  <si>
    <t>CCAF: Coarse-to-fine Cross-Modal Alignment and Fusion for Multimodal Sentiment Analysis</t>
  </si>
  <si>
    <t>Jiajun Chen, Yue Wu, Kai Huang, Wenxi Zhao, Wu Yangyang,
Xiaoye Miao, Mengying Zhu, Meng Xi and Guanjie Cheng</t>
  </si>
  <si>
    <t>E2PL: Effective and Efficient Prompt Learning for Incomplete Multi-view Multi-Label Class Incremental Learning</t>
  </si>
  <si>
    <t>Zhaowei Liu, Sheng Liu, Weiqing Yan, Peng Song, Yongchao
Song and Rufei Gao</t>
  </si>
  <si>
    <t>ATGFB-MFF: Adaptive Text-Guided Fiber Bundle Feature Fusion with LLMs for Multimodal Sentiment Analysis and Emotion Recognition in Conversations</t>
  </si>
  <si>
    <t>Yuhua Zhao, Zhixin Han, Xuan Li, Peiyu Xu, Hang Gao,
Mengting Hu and Tiegang Gao</t>
  </si>
  <si>
    <t>CIDC: Cluster Identification-Guided Dual Correction for Robust Short Text Clustering</t>
  </si>
  <si>
    <t>Shan Dai, Yuyang Shen, Yuyang Liang, Chenhao Ma and
Anningzhe Gao</t>
  </si>
  <si>
    <t>Mamba Hawkes Process for Event Sequence Modeling</t>
  </si>
  <si>
    <t>Changwu Li, Tongjun Shi, Shuhao Zhang, Binbin Chen,
Bingsheng He, Xiaofei Liao and Hai Jin</t>
  </si>
  <si>
    <t>StreamFP: Fingerprint-guided Data Selection for Efficient Stream Learning</t>
  </si>
  <si>
    <t>Shingo Higashiguchi, Koki Kawabata, Yasuko Matsubara and
Yasushi Sakurai</t>
  </si>
  <si>
    <t>Interpretable Dynamic Network Modeling of Tensor Time Series via Kronecker Time-Varying Graphical Lasso</t>
  </si>
  <si>
    <t>Fan Zhang, Shiming Fan and Hua Wang</t>
  </si>
  <si>
    <t>Time-TK: A Multi-Offset Temporal Interaction Framework Combining Transformer and Kolmogorov-Arnold Networks for Time Series Forecasting</t>
  </si>
  <si>
    <t>Nicolas Steinacker-Olsztyn, Devashish Gosain and Ha Dao</t>
  </si>
  <si>
    <t>Is Misinformation More Open? A Study of robots.txt Gatekeeping on the Web</t>
  </si>
  <si>
    <t>Jiangfeng Zeng, Cheng Xiong, Xiao Ma and Jialin Qin</t>
  </si>
  <si>
    <t>Bias Mitigation for Harmful Meme Detection using Front-door Adjustment</t>
  </si>
  <si>
    <t>Juntao Yang, Dayuan Cao, Kui Yu, Xiang Wang, Jing Yang, Lin
Liu and Jiuyong Li</t>
  </si>
  <si>
    <t>Multistage Feedback-Driven Causal Discovery from Textual Data with Large Language Models</t>
  </si>
  <si>
    <t>Chengyang Zhou, Zijian Zhang, Chunxu Zhang, Hao Miao, Yulin
Zhang, Kedi Lyu and Juncheng Hu</t>
  </si>
  <si>
    <t>FedDis: A Causal Disentanglement Framework for Federated Traffic Prediction</t>
  </si>
  <si>
    <t>Athanasios Efthymiou, Stevan Rudinac, Monika Kackovic,
Nachoem Wijnberg and Marcel Worring</t>
  </si>
  <si>
    <t>VL-KGE: Vision–Language Models Meet Knowledge Graph Embeddings</t>
  </si>
  <si>
    <t>Chengliang Liu, Liangbo Ning, Yujuan Ding and Wenqi Fan</t>
  </si>
  <si>
    <t>Inference Cost Attacks for Retrieval-Augmented Large Language Models</t>
  </si>
  <si>
    <t>Yunze Wei, Xingang Shi, Han Zhang, Tianyu Zhang, Yahui Li
and Xia Yin</t>
  </si>
  <si>
    <t>GlassMiner: Mining Looking Glass Services via Structure-Semantics Fusion for Web Observability</t>
  </si>
  <si>
    <t>Pingping Liu, Jiamiao Liu, Zijian Zhang, Hao Miao, Qi
Jiang, Qingliang Li, Qiuzhan Zhou and Irwin King</t>
  </si>
  <si>
    <t>UrbanMoE: A Sparse Multi-Modal Mixture-of-Experts Framework for Multi-Task Urban Region Profiling</t>
  </si>
  <si>
    <t>Mingfei Lu, Mengjia Wu, Jiawei Xu, Weikai Li, Feng Liu,
Ying Ding, Yizhou Sun, Jie Lu and Yi Zhang</t>
  </si>
  <si>
    <t>From Newborn to Impact: Bias-Aware Citation Prediction</t>
  </si>
  <si>
    <t>Zhiwei Hu, Liang Zhang and Guangxu Zhu</t>
  </si>
  <si>
    <t>FedRMamba: Federated Residual Mamba for Multivariate Time-Series Forecasting</t>
  </si>
  <si>
    <t>Zhi Zeng, Yifei Yang, Jiaying Wu, Xulang Zhang, Xiangzheng
Kong, Herun Wan, Zihan Ma and Minnan Luo</t>
  </si>
  <si>
    <t>From Manipulation to Mistrust: Explaining Diverse Micro-Video Misinformation for Robust Debunking in the Wild</t>
  </si>
  <si>
    <t>Chi Wang, Min Gao, Zongwei Wang, Junwei Yin, Kai Shu and
Chenghua Lin</t>
  </si>
  <si>
    <t>Prompt-Induced Linguistic Fingerprints for LLM-Generated Fake News Detection</t>
  </si>
  <si>
    <t>Lingkai Zu, Xiyue Peng and Xin Liu</t>
  </si>
  <si>
    <t>BARouter: A Budget-adaptive Online Large Language Model Router Framework</t>
  </si>
  <si>
    <t>Seongchan Park, Jaehong Kim, Hyeonseung Kim, Heejin Bin,
Sue Moon and Wonjae Lee</t>
  </si>
  <si>
    <t>Moral Outrage Shapes Commitments Beyond Attention: Multimodal Moral Emotions on YouTube in Korea and the US</t>
  </si>
  <si>
    <t>Seungha Hong, Sukang Chae, Suyeon Kim, Sanghwan Jang and
Hwanjo Yu</t>
  </si>
  <si>
    <t>Dynamic Multi-period Experts for Online Time Series Forecasting</t>
  </si>
  <si>
    <t>Jiarui Zhang, Yifan Deng and Qihao Wang</t>
  </si>
  <si>
    <t>Unlocking the Multilingual Long-Tail Web: A Fused Macro-Micro Framework for Scalable Content Analysis</t>
  </si>
  <si>
    <t>tweb</t>
  </si>
  <si>
    <t>Salim Hafid, Sebastian Schellhammer, Yavuz Selim Kartal, Thomas Papastergiou, Stefan Dietze, Sandra Bringay and Konstantin Todorov</t>
  </si>
  <si>
    <t xml:space="preserve">An In-depth Analysis of the Linguistic Characteristics of Science Claims on the Web and their Impact on Fact-checking </t>
  </si>
  <si>
    <t>Danielle Caled, Paula Carvalho, Francisco Sousa and Mário Silva</t>
  </si>
  <si>
    <t xml:space="preserve">DOMAIN: Explainable Credibility Assessment Tools for Empowering Online Readers Coping with Misinformation </t>
  </si>
  <si>
    <t>Ben Rosenzweig, Valentino Dalla Valle, Giovanni Apruzzese and Aurore Fass</t>
  </si>
  <si>
    <t xml:space="preserve">It's not Easy: Applying Supervised Machine Learning to Detect Malicious Extensions in the Chrome Web Store </t>
  </si>
  <si>
    <t>Paper Number</t>
  </si>
  <si>
    <t>Sheridan Title</t>
  </si>
  <si>
    <t>Authors (Cleaned)</t>
  </si>
  <si>
    <t>Shaoqing Wang:Alibaba Group;Yingcai Ma:Alibaba Group;Kairui Fu:Zhejiang University;Ziyang Wang:Alibaba Group;Dunxian Huang:Alibaba Group;Yuliang Yan:Alibaba Group;Jian Wu:Alibaba Group</t>
  </si>
  <si>
    <t>Maolin Wang:City University of Hong Kong;Lang Fu:Alibaba International Digital Commerce Group;Jun Chu:Alibaba International Digital Commerce Group;Kai Guo:Alibaba International Digital Commerce Group;Chenjie Qin:Alibaba International Digital Commerce Group;Xinxin Wang:Alibaba International Digital Commerce Group;Siyu Wu:Alibaba International Digital Commerce Group;Wen Jiang:Alibaba International Digital Commerce Group;Xiangyu Zhao:City University of Hong Kong</t>
  </si>
  <si>
    <t>Ziheng Ni:JD.com;Congcong Liu:JD.com;Cai Shang:JD.com;Yiming Sun:JD.com;Junjie Li:JD.com;Zhiwei Fang:JD.com;Guangpeng Chen:JD.com;Li Jian:JD.com;Zehua Zhang:JD.com;Changping Peng:JD.COM;Zhangang Lin:JD.com;Ching Law:JD.com;Jingping Shao:JD</t>
  </si>
  <si>
    <t>Jiazheng Kang:Beijing University of Posts and Telecommunications, Beijing University of Posts and Telecommunications;Le Huang:Beijing University of Posts and Telecommunications;Cheng Hou:Researcher;Zhe Zhao:Researcher;ZhenXiang Yan:Researcher;Ting Bai:Beijing University of Posts and Telecommunications</t>
  </si>
  <si>
    <t>Zhongjian Zhang:Beijing University of Posts and Telecommunications,China Telecom Bestpay;Mengmei Zhang:China Telecom Bestpay;Dehua Xu:China Telecom Bestpay;Rongjun Shi:China Telecom Bestpay;Jianfeng Liu:China Telecom Bestpay;Fuli Meng:China Telecom Bestpay;Huajian Xu:China Telecom Bestpay;Xiao Wang:Beihang University;Ruijia Wang:China Telecom Cloud Computing Research Institute;Junze Chen:China Telecom Bestpay;Minwei Tang:China Telecom Bestpay;Chuan Shi:Beijing University of Post and Telecommunication</t>
  </si>
  <si>
    <t>Wei Wang:East China Normal University;Fanyu Han:East China Normal University;Shengyu Zhao:Tongji University;Xuan Zhou:East China Normal University;Weining Qian:East China Normal University;Aoying Zhou:East China Normal University;Xiaoya Xia:Ant Group;Liyun Yang:China Electronics Standardization Institute;Rong Wang:Alibaba Group;Ning Jiang:Apache Software Foundation;Moming Duan:East China Normal University</t>
  </si>
  <si>
    <t>Zhenghan Tai:SimpleWay.AI;Hanwei Wu:SimpleWay.AI;Qingchen Hu:SimpleWay.AI;Jijun Chi:SimpleWay.AI;Hailin He:SimpleWay.AI;Lei Ding:University of Manitoba;Tung Sum Thomas Kwok:SimpleWay.AI;Bohuai Xiao:SimpleWay.AI;Yuchen Hua:SimpleWay.AI;Suyuchen Wang:Mila – Quebec AI Institute;Peng Lu:University of Montreal;Muzhi Li:The Chinese University of Hong Kong;Yihong Wu:University of Montreal;Liheng Ma:Mila – Quebec AI Institute;Jerry Huang:Mila – Quebec AI Institute;Jiayi Zhang:Hong Kong University of Science and Technology;Gonghao Zhang:Flab;Chaolong Jiang:SimpleWay.AI;Jingrui Tian:University of California, Los Angeles;Sicheng Lyu:McGill University;Zeyu Li:Nanyang Technological University;Boyu Han:Stanford University;Fengran Mo:University of Montreal;Xinyue Yu:University of Montreal;Yufei Cui:McGill University;Ling Zhou:CG Matrix Technology Limited;Xinyu Wang:McGill University</t>
  </si>
  <si>
    <t>Zhuoning Guo:Hong Kong University of Science and Technology (Guangzhou);Guangxing Chen:Baidu;Qian Gao:Baidu;Xiaochao Liao:Baidu;Jianjia Zheng:Baidu;Lu Shen:Baidu;Hao Liu:The Hong Kong University of Science and Technology (Guangzhou),The Hong Kong University of Science and Technology</t>
  </si>
  <si>
    <t>Zhao Li:Zhejiang University,Taotian Group;FengYang Qi:Taotian Group;Chuanyu Xu:Taotian Group;Tao Zhang:Taotian Group;Chengfu Huo:Taotian Group;Peng Zhang:Zhejiang University</t>
  </si>
  <si>
    <t>Huabin Chen:Alibaba Group;Xinao Wang:Alibaba Group;Huiping Chu:Alibaba Group;Keqin Xu:Alibaba Group;Chenhao Zhai:Tsinghua University;Chenyi Wang:Alibaba Group;Kai Meng:Alibaba Group;Yuning Jiang:Alibaba Group</t>
  </si>
  <si>
    <t>Yijia Sun:Kuaishou Technology;Shanshan Huang:Kuaishou Technology;Zhiyuan Guan:Shanghai Jiaotong University,Kuaishou Technology;Qiang Luo:Kuaishou Technology;Ruiming Tang:Kuaishou Technology;Kun Gai:Unaffiliated;Guorui Zhou:Algorithm, Kuaishou Technology</t>
  </si>
  <si>
    <t>Junshen Xu:Amazon Web Services;Jiayun Zhang:Amazon Web Services;Yi Fan:Amazon Web Services</t>
  </si>
  <si>
    <t>Xing Tang:Shenzhen Technology University;Hao Chen:FiT,Tencent;Shiwei Li:Huazhong University of Science and Technology;Fuyuan Lyu:McGill University;Weijie Shi:Hong Kong University of Science and Technology;Lingjie Li:Shenzhen Technology University;Dugang Liu:Shenzhen University;Weihong Luo:FiT,Tencent;Xiku Du:FiT,Tencent;Xiuqiang He:Shenzhen Technology University</t>
  </si>
  <si>
    <t>Lingfei Qian:The FinAI;Xueqing Peng:The FinAI;Hanley Smith:PAAL AI;Yi Han:Georgia Institute of Technology;Yueru He:Columbia University;Haohang Li:Stevens Institute of Technology;Yupeng Cao:Stevens Institute of Technology;Yangyang Yu:Stevens Institute of Technology;Guojun Xiong:Harvard University;Peng Lu:University of Montreal;Yan Wang:The FinAI;Vincent Jim Zhang:DeepKin;Huan He:The FinAI;Alejandro Lopez-Lira:University of Florida;Jimin Huang:The FinAI,National Centre for Text Mining, University of Manchester;Jian-Yun Nie:University of Montreal;Sophia Ananiadou:National Centre for Text Mining, University of Manchester,Tecnologico de Monterrey</t>
  </si>
  <si>
    <t>Fuling Wang:Thrust of Artificial Intelligence, The Hong Kong University of Science and Technology(Guangzhou);Le Zhang:Baidu Research, Baidu;Jingbo Zhou:Baidu Research, Baidu;Jindong Han:School of Artificial Intelligence, Shandong University;Ying Sun:Thrust of Artificial Intelligence, Hong Kong University of Science and Technology (Guangzhou);Chuan Qin:Department of Big Data Technology and Application Development, CNIC,Chinese Academy of Sciences;Hengshu Zhu:Department of Big Data Technology and Application Development, Computer Network Information Center,Chinese Academy of Sciences;Hui Xiong:Thrust of Artificial Intellegence, Hong Kong University of Science and Technology (Guangzhou),Department of Computer Science and Engineering, Hong Kong University of Science and Technology Hong Kong SAR</t>
  </si>
  <si>
    <t>Minmao Wang:Fudan University;Xingchen Liu:Kuaishou Technology;Shijie Yi:Kuaishou Technology;Likang Wu:Tianjin University;Hongke Zhao:Tianjin University;Fei Pan:Kuaishou Technology;Qingpeng Cai:Kuaishou Technology;Peng Jiang:Kuaishou Technology</t>
  </si>
  <si>
    <t>Changhua Pei:Computer Network Information Center, Chinese Academy of Sciences,Hangzhou Institute for Advanced Study, University of Chinese Academy of Sciences;Hang Cui:Computer Network Information Center, Chinese Academy of Sciences,University of the Chinese Academy of Sciences;Jingjing Li:Computer Network Information Center, Chinese Academy of Sciences;Yuxuan Li:Computer Network Information Center, Chinese Academy of Sciences;Zihan Liu:Computer Network Information Center, Chinese Academy of Sciences;Xinyuan Liao:CloudCore, Huawei Technologies Ltd;Cenjie Hu:Shenyang Institute of Automation, Chinese Academy of Sciences;Jiabao Wang:CloudCore, Huawei Technologies Ltd;Zheyuan Li:Computer Network Information Center, Chinese Academy of Sciences;Zexin Wang:Computer Network Information Center, Chinese Academy of Sciences;Haotian Si:Computer Network Information Center, Chinese Academy of Sciences;Ke Xiang:Computer Network Information Center, Chinese Academy of Sciences;Gaogang Xie:Computer Network Information Center, Chinese Academy of Sciences;Dan Pei:Tsinghua University</t>
  </si>
  <si>
    <t>Qijie Shen:Alibaba Group;Yuanchen Bei:Zhejiang University;Zihong Huang:Alibaba Group;Xixian Wang:Jinan University;Zhibo Xiao:Alibaba Group;Dimin Wang:Alibaba Group;Jialin Zhu:Alibaba Group;Yuning Jiang:Alibaba Group;Feiran Huang:Beihang University;Hao Chen:City University of Macau</t>
  </si>
  <si>
    <t>Qingyang Liu:Shanghai Jiao Tong University;Jiangtong Li:Tongji University;Zelin Peng:Shanghai Jiao Tong University;Shaobo Wang:Shanghai Jiao Tong University;Zhaohe Liao:Shanghai Jiao Tong University;Shuochen Chang:Shanghai Jiao Tong University;Bingjie Gao:Shanghai Jiao Tong University;Haonan Zhao:Shanghai Jiao Tong University;Mu Liu:ByteDance;Jidong Jiang:ByteDance;Li Niu:Shanghai Jiao Tong University</t>
  </si>
  <si>
    <t>Xu Chu:Peking University;Angela Li:Mobile Ecosystem Group, Baidu Inc.;Jiaming Zhang:Mobile Ecosystem Group, Baidu Inc.;Wei Li:Mobile Ecosystem Group, Baidu Inc.;Zhijie Tan:Peking University;Dawei Yin:Mobile Ecosystem Group, Baidu Inc.;Shuaiqiang Wang:Mobile Ecosystem Group, Baidu Inc.;Daiting Shi:Mobile Ecosystem Group, Baidu Inc.</t>
  </si>
  <si>
    <t>Felipe Marineli:Roma Tre University,Meltwater Deutschland GmbH;Valerio Cetorelli:Meltwater (UK) Ltd;Valter Crescenzi:Roma Tre University;Tim Furche:Meltwater (UK) Ltd;Xiaonan Guo:Meltwater (UK) Ltd</t>
  </si>
  <si>
    <t>Phuc Nguyen:LinkedIn;Benjamin Zelditch:LinkedIn;Joyce Chen:LinkedIn;Rohit K Patra:LinkedIn;Changshuai Wei:LinkedIn</t>
  </si>
  <si>
    <t>Ruize Ou:Alibaba Group;Kai Wang:Alibaba Group;Jianzhi Shao:Alibaba Group;Tao Zhang:Alibaba Group;Chengfu Huo:Alibaba Group</t>
  </si>
  <si>
    <t>Yuting Huang:School of Software, Zhejiang University;Ziquan Fang:School of Software, Zhejiang University;Zhengjie Zhou:Ant Group;Tinghui Luo:School of Software, Zhejiang University;Lu Chen:College of Computer Science and Technology, Zhejiang University;Surun Ji:iQIYI Inc;Huimei Zheng:iQIYI Inc;Mingfan Lu:iQIYI Inc;Fangshu Chen:Shanghai Polytechnic University;Yunjun Gao:College of Computer Science and Technology, Zhejiang University</t>
  </si>
  <si>
    <t>Jianhui Yang:Tsinghua University,Taobao &amp; Tmall Group of Alibaba;Yiming Jin:Taobao &amp; Tmall Group of Alibaba;Pengkun Jiao:Fudan University,Taobao &amp; Tmall Group of Alibaba;Chenhe Dong:Taobao &amp; Tmall Group of Alibaba;Zerui Huang:Taobao &amp; Tmall Group of Alibaba;Shaowei Yao:Taobao &amp; Tmall Group of Alibaba;Xiaojiang Zhou:Taobao &amp; Tmall Group of Alibaba;Dan Ou:Taobao &amp; Tmall Group of Alibaba;Haihong Tang:Taobao &amp; Tmall Group of Alibaba</t>
  </si>
  <si>
    <t>Mingjie You:Tongji University;Dawei Cheng:Tongji University;Meilin Zhang:Tongji University;Peng Zhu:Tongji University;Yuqi Liang:Seek Data Group, Emoney Inc.</t>
  </si>
  <si>
    <t>Yuejia Dou:Gaoling School of Artificial Intelligence, Renmin University of China;Shuai Dou:Alibaba Group;Yuchao Ma:Gaoling School of Artificial Intelligence, Renmin University of China;Bingzhe Wang:Gaoling School of Artificial Intelligence, Renmin University of China;Tianyu Wang:Alibaba Group;Zhilin Zhang:Alibaba Group;Chuan Yu:Alibaba Group;Jian Xu:Alibaba Group;Qi Qi:Gaoling School of Artificial Intelligence, Renmin University of China,Beijing Key Laboratory of Research on Large Models and Intelligent Governance</t>
  </si>
  <si>
    <t>Lin Guan:ByteDance;Jia-Qi Yang:ByteDance;Zhishan Zhao:ByteDance;Beichuan Zhang:ByteDance;Bo Sun:ByteDance;Xuanyuan Luo:ByteDance;Jinan Ni:ByteDance;Xiaowen Li:ByteDance;Yuhang Qi:ByteDance;Zhifang Fan:ByteDance;Hangyu Wang:ByteDance;Qiwei Chen:ByteDance;Yi Cheng:ByteDance;Feng Zhang:ByteDance;Xiao Yang:ByteDance</t>
  </si>
  <si>
    <t>Zerui Chen:Harbin Institute of Technology;Heng Chang:Huawei Technologies Co., Ltd.;Tianying Liu:Huawei Technologies Co., Ltd.;Chuantian Zhou:Beijing University of Posts and Telecommunications;Yi Cao:Huawei Technologies Co., Ltd.;Jiandong Ding:Huawei Technologies Co., Ltd.;Ming Liu:Harbin Institute of Technology;Bing Qin:Harbin Institute of Technology</t>
  </si>
  <si>
    <t>Chenghui Yu:TikTok Inc.;Hongwei Wang:TikTok Inc.;Junwen Chen:TikTok Inc.;Zixuan Wang:TikTok Inc.;Bingfeng Deng:TikTok Inc.;Zhuolin Hao:TikTok Inc.;Hongyu Xiong:TikTok Inc.;Yang Song:TikTok Inc.</t>
  </si>
  <si>
    <t>Omer Madmon:Technion - Israel Institute of Technology,Booking.com;Shiran Golan:Booking.com;Eran Fainman:Booking.com;Ofri Kleinfeld:Booking.com;Moran Beladev:Booking.com</t>
  </si>
  <si>
    <t>Peiyuan Gong:GSAI, Renmin University of China;Feiran Zhu:Kuaishou Technology;Yaqi Yin:Kuaishou Technology;ChengLei Dai:Kuaishou Technology;Chao Zhang:Kuaishou Technology;Kai Zheng:Independent;Wentian Bao:Independent;Jiaxin Mao:GSAI, Renmin University of China;Yi Zhang:Kuaishou Technology</t>
  </si>
  <si>
    <t>Weijiang Lai:Institute of Software, Chinese Academy of Sciences,University of Chinese Academy of Sciences;Beihong Jin:Institute of Software, Chinese Academy of Sciences,University of Chinese Academy of Sciences;Di Zhang:Meituan;Siru Chen:Meituan;Jiongyan Zhang:Meituan;Yuhang Gou:Meituan;Jian Dong:Meituan;Xingxing Wang:meituan</t>
  </si>
  <si>
    <t>Pengfei Tong:ByteDance;Siyuan Chen:ByteDance;Chenwei Zhang:ByteDance;Bo Wang:ByteDance;Qi Pi:ByteDance;Pixun Li:ByteDance;Zuotao Liu:ByteDance</t>
  </si>
  <si>
    <t>Fanwei Zhu:Hangzhou City University;Zhuoran Zhuang:Alibaba Group;Detao Lv:Alibaba Group;Manwei Li:Alibaba Group;Yao Yu:Alibaba Group</t>
  </si>
  <si>
    <t>Yejing Wang:City University of Hong Kong;Shengyu Zhou:Alibaba Group;Jinyu Lu:Alibaba Group;Ziwei Liu:City University of Hong Kong;Langming Liu:Alibaba Group;Maolin Wang:City University of Hong Kong;Wenlin Zhang:City University of Hong Kong;Feng Li:Alibaba Group;Wenbo Su:Alibaba Group;Pengjie Wang:Alibaba Group;Jian Xu:Alibaba Group;Xiangyu Zhao:City University of Hong Kong</t>
  </si>
  <si>
    <t>Bokai Cao:The Hong Kong University of Science and Technology (Guangzhou),IDEA Research, International Digital Economy Academy;Xueyuan Lin:The Hong Kong University of Science and Technology (Guangzhou),IDEA Research, International Digital Economy Academy;Yiyan Qi:IDEA Research, International Digital Economy Academy;Chengjin Xu:IDEA Research, International Digital Economy Academy;Cehao Yang:The Hong Kong University of Science and Technology (Guangzhou),IDEA Research, International Digital Economy Academy;Jian Guo:IDEA Research, International Digital Economy Academy</t>
  </si>
  <si>
    <t>Ruining He:Google DeepMind;Lukasz Heldt:YouTube;Lichan Hong:Google DeepMind;Raghunandan Keshavan:YouTube;Shifan Mao:YouTube;Nikhil Mehta:Google DeepMind;Zhengyang Su:YouTube;Alicia Tsai:Google DeepMind;Yueqi Wang:YouTube;Shao-Chuan Wang:Google DeepMind;Xinyang Yi:Google DeepMind;Lexi Baugher:YouTube;Baykal Cakici:YouTube;Ed Chi:Google DeepMind;Cristos Goodrow:YouTube;Ningren Han:YouTube;He Ma:YouTube;Romer Rosales:YouTube;Abby Van Soest:YouTube;Devansh Tandon:YouTube;Su-Lin Wu:YouTube;Weilong Yang:YouTube;Yilin Zheng:YouTube</t>
  </si>
  <si>
    <t>Saeed Ebrahimi:Pinterest,Inc.,West Virginia University;Weijie Jiang:Pinterest,Inc.;Jaewon Yang:Pinterest,Inc.;Olafur Gudmundsson:Pinterest,Inc.;Yucheng Tu:Pinterest,Inc.;Huizhong Duan:Pinterest,Inc.</t>
  </si>
  <si>
    <t>Jianting Tang:University of Science and Technology of China,State Key Laboratory of Cognitive Intelligence;Dongshuai Li:Researcher;Tao Wen:Researcher;Fuyu Lv:Researcher;Dan Ou:Researcher;Linli Xu:University of Science and Technology of China,State Key Laboratory of Cognitive Intelligence</t>
  </si>
  <si>
    <t>Yuchen Li:Baidu Inc.,Shanghai Jiao Tong University;Rui Kong:Baidu Inc.;Xinran Chen:Baidu Inc.;Chengzhe Zhang:Baidu Inc.;Jiamin Chen:City University of Hong Kong;Cheng Deng:University of Edinburgh;Xinyu Ma:Baidu Inc.;Haojie Zhang:Baidu Inc.;Tianhao Peng:Baidu Inc.;Hengyi Cai:Baidu Inc.;Shuaiqiang Wang:Baidu Inc.;Jiashu Zhao:Wilfrid Laurier University;Yongqi Zhang:The Hong Kong University of Science and Technology (Guangzhou);Haoyi Xiong:Baidu Inc.;Jimmy Xiangji Huang:York University;Lei Chen:The Hong Kong University of Science and Technology (Guangzhou);Jun Wang:University College London;Dawei Yin:Baidu Inc.</t>
  </si>
  <si>
    <t>Mengze Hong:Hong Kong Polytechnic University;Chen Jason Zhang:Hong Kong Polytechnic University;Zichang Guo:Hong Kong Polytechnic University;Hanlin Gu:AI Group, WeBank;Di Jiang:Hong Kong Polytechnic University;Qing Li:Hong Kong Polytechnic University</t>
  </si>
  <si>
    <t>Hebin Liang:Tianjin University;Jianye Hao:Tianjin University;Jinyi Liu:Tianjin University;Yi Ma:Shanxi University;Zilin Cao:Tianjin University;Jing Liang:Tianjin University;Kun Shao:Huawei Noah's Ark Lab;Zhaocheng Du:Huawei Noah's Ark Lab;Fei Ni:Imperial College London;Yifu Yuan:Tianjin University;Yan Zheng:Tianjin Unibersity</t>
  </si>
  <si>
    <t>Zhaoqi Zhang:Nanyang Technological University,ByteDance;Haolei Pei:ByteDance;Jun Guo:ByteDance;Tianyu Wang:ByteDance;Yufei Feng:ByteDance;Hui Sun:ByteDance;Shaowei Liu:ByteDance;Aixin Sun:Nanyang Technological University</t>
  </si>
  <si>
    <t>Baopu Qiu:Alibaba International Digital Commerce Group;Hao Chen:Alibaba International Digital Commerce Group;Yuanrong Wu:Zhejiang University;Changtong Zan:Alibaba International Digital Commerce Group;Chao Wei:Alibaba International Digital Commerce Group;Weiru Zhang:Alibaba International Digital Commerce Group;Xiaoyi Zeng:Alibaba International Digital Commerce Group</t>
  </si>
  <si>
    <t>Xiaofeng Liu:JD.com;Wenliang Li:JD.com;Tao Yu:JD.com;Guanliang Song:JD.com;Zhen Chen:JD.com;Jing Zhou:JD.com;Dongyue Wang:JD.com;Xiwei Zhao:JD.com;Sulong Xu:JD.com</t>
  </si>
  <si>
    <t>Aitolkyn Baigutanova:Korea Advanced Institute of Science &amp; Technology;Francisco Navas:Wikimedia;Pablo Aragon:Wikimedia Foundation;Mykola Trokhymovych:Universitat Pompeu Fabra;Muniza Aslam:Independent;Ai-Jou Chou:Product &amp; Technology, Wikimedia;Miriam Redi:King's College London,University of London;Diego Saez Trumper:Wikimedia</t>
  </si>
  <si>
    <t>Xixuan Hao:The Hong Kong University of Science and Technology (Guangzhou);Guicheng Li:China University of Geoscience (Wuhan);Daiqiang Wu:Didichuxing Co. Ltd;Xusen Guo:The Hong Kong University of Science and Technology (Guangzhou);Yumeng Zhu:Didichuxing Co. Ltd;Zhichao Zou:Didichuxing Co. Ltd;Peng Zhen:Didichuxing Co. Ltd;Yao Yao:China University of Geoscience (Wuhan);Yuxuan Liang:The Hong Kong University of Science and Technology (Guangzhou)</t>
  </si>
  <si>
    <t>Wenyi Xu:Zhejiang University,Kuaishou Technology;Feiran Zhu:Kuaishou Technology;Songyang Li:Kuaishou Technology;Renzhe Zhou:Kuaishou Technology;Chao Zhang:Kuaishou Technology;ChengLei Dai:Kuaishou Technology;Yuren Mao:Zhejiang University;Yunjun Gao:Zhejiang University;Yi Zhang:Kuaishou Technology</t>
  </si>
  <si>
    <t>Runze Xia:Meituan;Yupeng Ji:Meituan;Yuxi Zhou:Meituan;Haodong Liu:Meituan;Teng Zhang:Meituan;Piji Li:Researcher</t>
  </si>
  <si>
    <t>Tingfeng Hong:Kuaishou Technology;Pingye Ren:Kuaishou Technology;Xinlong Xiao:Kuaishou Technology;Chao Wang:Kuaishou Technology;Chenyi Lei:Kuaishou Technology;Wenwu Ou:Kuaishou Technology;Han Li:Kuaishou Technology</t>
  </si>
  <si>
    <t>Maria Ljubičić:Infobip,Graz University of Technology;Emanuel Lacić:Infobip;Denis Helić:Graz University of Technology</t>
  </si>
  <si>
    <t>Benshuo Lin:South China Normal University;Jiayu Ding:South China Normal University;Yuelei Li:Chongqing Samin Consumer Finance Co., Ltd.;Peng Wu:Chongqing Samin Consumer Finance Co., Ltd.;Yun Xue:South China Normal University;Yiping Song:National University of Defense Technology</t>
  </si>
  <si>
    <t>Jing Huang:Ant Digital Technologies, Ant Group;Zhiya Tan:College of Computing and Data Science, Nanyang Technological University,Ant Digital Technologies, Ant Group;Shutao Gong:Ant Digital Technologies, Ant Group;Fanwei Zeng:Ant Digital Technologies, Ant Group;Joey Tianyi Zhou:CFAR, Agency for Science, Technology and Research,IHPC, Agency for Science, Technology and Research;Changtao Miao:Ant Group;Huazhe Tan:Ant Digital Technologies, Ant Group;Weibin Yao:Ant Digital Technologies, Ant Group;Jianshu Li:Ant Digital Technologies, Ant Group</t>
  </si>
  <si>
    <t>Wenjing Li:Shanghai Jiao Tong University;Jiang Rong:Xiaohongshu;Yao Hu:Xiaohongshu;Zhenzhe Zheng:Shanghai Jiao Tong University;Fan Wu:Shanghai Jiao Tong University</t>
  </si>
  <si>
    <t>Kakam Chong:Tsinghua University;Xu Yan:Alibaba Group;Shuai Xiao:Alibaba Group;Ming Chen:Alibaba Group, Alibaba Group;Chen Ju:Alibaba Group;Fei Huang:Alibaba Group;Yuantao Gu:Tsinghua University;Shuguang Han:Alibaba Group;Jufeng Chen:Alibaba Group</t>
  </si>
  <si>
    <t>Abhinav Naikawadi:Pinterest Inc.;Hedi Xia:Pinterest Inc.;Dafang He:Pinterest Inc.;Yichu Zhou:Pinterest Inc.;Xue Xia:Pinterest Inc.;Piyush Maheshwari:Pinterest Inc.;Bella Huang:Pinterest Inc.;Bowen Deng:Pinterest Inc.;James Li:Pinterest Inc.;Dhruvil Deven Badani:Pinterest Inc.;Yijie Dylan Wang:Pinterest Inc.</t>
  </si>
  <si>
    <t>web0019</t>
  </si>
  <si>
    <t>Wenxuan Wang:School of Data Science, Lingnan University;Zirui Liu:School of Data Science, Lingnan University;Haoxuan Kou:School of Data Science, Lingnan University;Xuefeng Liu:School of Computer Science and Engineering, Beihang University;Jiaxing Shen:School of Data Science, Lingnan University</t>
  </si>
  <si>
    <t>web0052</t>
  </si>
  <si>
    <t>Yuanyi You:Department of Electronic Engineering, BNRist, Tsinghua University;Yunke Zhang:Department of Electronic Engineering, BNRist, Tsinghua University;Yong Li:Department of Electronic Engineering, BNRist, Tsinghua University</t>
  </si>
  <si>
    <t>web0137</t>
  </si>
  <si>
    <t>Dandan Liu:Universiti Malaya;Aznul Qalid Md Sabri:Universiti Malaya;Pan Lihu:Taiyuan University of Science and Technology;Guangrui Fan:Taiyuan University of Science and Technology</t>
  </si>
  <si>
    <t>web0149</t>
  </si>
  <si>
    <t>Wenhao Ying:Fudan University;Peng Zhu:Tongji University;Mingzhe Li:Tongji University;Ziyan Wang:Tongji University;Dawei Cheng:Tongji University</t>
  </si>
  <si>
    <t>web0150</t>
  </si>
  <si>
    <t>Wentao Gao:Adelaide University;Xiaojing Du:Adelaide University;Xiongren Chen:Adelaide University;Yifan Guo:Adelaide University;Andres Mauricio Cifuentes-Bernal:Adelaide University;Renqiang Luo:Jilin University;Ziqi Xu:RMIT University</t>
  </si>
  <si>
    <t>web0283</t>
  </si>
  <si>
    <t>Haorui He:Department of Interactive Media, Hong Kong Baptist University,School of Computing and Data Science, The University of Hong Kong;Yupeng Li:Department of Interactive Media, Hong Kong Baptist University;Dacheng Wen:Department of Interactive Media, Hong Kong Baptist University,School of Computing and Data Science, The University of Hong Kong;Yang Chen:College of Computer Science and Artificial Intelligence, Fudan University;Reynold Cheng:School of Computing and Data Science, The University of Hong Kong;Donglong Chen:Beijing Normal-Hong Kong Baptist University;Francis C. M. Lau:School of Computing and Data Science, The University of Hong Kong,Shenzhen Institute of Advanced Technology</t>
  </si>
  <si>
    <t>web0353</t>
  </si>
  <si>
    <t>Sicheng Yang:Shenzhen International Graduate School, Tsinghua University;Yukai Huang:Independent researcher;Weitong Cai:Queen Mary University of London;Shitong Sun:Queen Mary University of London;Fengyi Fang:Shenzhen International Graduate School, Tsinghua University;You He:Shenzhen International Graduate School, Tsinghua University;Yiqiao Xie:Imperial College London;Jiankang Deng:Imperial College London;Hang Zhang:Independent researcher;Jifei Song:University of Surrey;Zhensong Zhang:Independent researcher</t>
  </si>
  <si>
    <t>web0480</t>
  </si>
  <si>
    <t>Pengyang Shao:National University of Singapore;Naixin Zhai:University of Science and Technology of China;Lei Chen:University of Science and Technology of China;Yonghui Yang:National University of Singapore;Fengbin Zhu:National University of Singapore;Xun Yang:University of Science and Technology of China;Meng Wang:Hefei University of Technology</t>
  </si>
  <si>
    <t>web0505</t>
  </si>
  <si>
    <t>Yuwei Chuai:University of Luxembourg;Gabriele Lenzini:University of Luxembourg;Nicolas Pröllochs:JLU Giessen</t>
  </si>
  <si>
    <t>web0813</t>
  </si>
  <si>
    <t>Han Wang:Singapore University of Technology and Design;Deyi Ji:University of Science and Technology of China;Lanyun Zhu:Nanyang Technological Universities;Jiebo Luo:University of Rochester;Roy Ka-Wei Lee:Singapore University of Technology and Design</t>
  </si>
  <si>
    <t>web0902</t>
  </si>
  <si>
    <t>Liping Huang:Agency for Science, Technology and Research (A*STAR);Gaoxi Xiao:Nanyang Technological University;Stefan Ma:Ministry of Health, Singapore;Hechang Chen:Jilin University;Shisong Tang:Tsinghua University;Flora D. Salim:University of New South Wales</t>
  </si>
  <si>
    <t>web0926</t>
  </si>
  <si>
    <t>Bingbing Fan:Department of Electronic Engineering, BNRist, Tsinghua University;Lin Chen:Hong Kong University of Science and Technology;Songwei Li:Department of Electronic Engineering, BNRist, Tsinghua University;Jian Yuan:Department of Electronic Engineering, BNRist, Tsinghua University;Fengli Xu:Department of Electronic Engineering, BNRist, Tsinghua University;Pan Hui:Hong Kong University of Science and Technology(Guangzhou)),Hong Kong University of Science and Technology;Yong Li:Department of Electronic Engineering, BNRist, Tsinghua University</t>
  </si>
  <si>
    <t>web0929</t>
  </si>
  <si>
    <t>Wei Zhang:Beijing Institute of Technology;Shufeng Hao:Taiyuan University of Technology;Chongyang Shi:Beijing Institute of Technology;Usman Naseem:Macquarie University;Jinyan Liu:Beijing Institute of Technology;Ziyu Li:Beijing Institute of Technology</t>
  </si>
  <si>
    <t>web0939</t>
  </si>
  <si>
    <t>Xinyu Lin:School of Computing, National University of Singapore;Pengyuan Liu:University of Science and Technology of China;Wenjie Wang:University of Science and Technology of China;Yicheng Hu:University of Science and Technology of China;Chen Xu:Gaoling School of Artificial Intelligence, Renmin University of China;Fuli Feng:University of Science and Technology of China;Qifan Wang:Meta AI, Meta AI;Tat-Seng Chua:School of Computing, National University of Singapore</t>
  </si>
  <si>
    <t>web0966</t>
  </si>
  <si>
    <t>Chi Xu:Simon Fraser University;Jiaxing Li:Simon Fraser University;Mengdi Jin:Simon Fraser University;William I. Atlas:Wild Salmon Center;Mark A. Spoljaric:Haida Fisheries Program;Edith C.H. Ngai:The University of Hong Kong;Jiangchuan Liu:Simon Fraser University</t>
  </si>
  <si>
    <t>web1008</t>
  </si>
  <si>
    <t>Fangjian Shen:School of Computer Science and Engineering, Sun Yat-sen University;Yifan Zeng:School of Computer Science and Engineering, Sun Yat-sen University;Dechen Lyu:Guiyang Huian Medical Equipment Co., Ltd.;Wushao Wen:School of Computer Science and Engineering, Sun Yat-sen University</t>
  </si>
  <si>
    <t>web1041</t>
  </si>
  <si>
    <t>Lei Zhao:Hunan University;Xingguo Lv:Hunan University;Qika Lin:National University of Singapore;Kaize Shi:University of Southern Queensland;Xiaoming Qi:National University of Singapore;Bin Pu:The Hong Kong University of Science and Technology;Kenli Li:Hunan University</t>
  </si>
  <si>
    <t>web1045</t>
  </si>
  <si>
    <t>Communication-Efficient Federated Learning for Post-Flood Risk Assessment Using UAV Swarms</t>
  </si>
  <si>
    <t>Yongkang Zhao:College of Mathematics and Computer Science, Zhejiang A&amp;F University;Hailin Feng:College of Mathematics and Computer Science, Zhejiang A&amp;F University;Tingting Wang:Zhuhai UM Science and Technology Research Institute;Thippa Reddy Gadekallu:College of Mathematics and Computer Science, Zhejiang A&amp;F University;Kai Fang:College of Mathematics and Computer Science, Zhejiang A&amp;F University;Wei Wang:Engineering Research Centre of Applied Technology on Machine Translation and Artificial Intelligence, Macao Polytechnic University</t>
  </si>
  <si>
    <t>web1046</t>
  </si>
  <si>
    <t>Rongkun Cui:School of Computer Science and Technology, Tongji University;Nana Zhang:School of Computer Science and Technology, Donghua University;Kun Zhu:School of Computer Science and Technology, Tongji University;Qi Zhang:School of Computer Science and Technology, Tongji University</t>
  </si>
  <si>
    <t>web1047</t>
  </si>
  <si>
    <t>Xiaoyang Zhang:Hong Kong Polytechnic University;Yang Deng:Hong Kong Polytechnic University;Fang He:Hong Kong Polytechnic University;Dan Wang:Hong Kong University of Science and Technology</t>
  </si>
  <si>
    <t>web1048</t>
  </si>
  <si>
    <t>Xiaoyang Zhang:Hong Kong Polytechnic University;Taiqi Zhou:Hong Kong Polytechnic University;Fang He:Hong Kong Polytechnic University;Yang Deng:Hong Kong Polytechnic University;Dan Wang:Hong Kong University of Science and Technology</t>
  </si>
  <si>
    <t>web1051</t>
  </si>
  <si>
    <t>Qiyue Sun:Department of Computer Science, University of Exeter;Tailin Chen:Department of Computer Science, University of Exeter;Yinghui Zhang:Department of Computer Science, University of Exeter;Yuchen Zhang:Institute for Analytics and Data Science, University of Essex;Jiangbei Yue:Department of Computer Science, University of Exeter;Jianbo Jiao:School of Computer Science, University of Birmingham;Zeyu Fu:Department of Computer Science, University of Exeter</t>
  </si>
  <si>
    <t>web1052</t>
  </si>
  <si>
    <t>Yuansheng Gao:Zhejiang University;Peng Gao:Zhejiang University;Han Bao:Zhejiang University;Bin Li:Shenzhen Institute of Advanced Technology, Chinese Academy of Sciences;Jixiang Luo:Institute of Artificial Intelligence (TeleAI), China Telecom;Zonghui Wang:Zhejiang University;Wenzhi Chen:Zhejiang University</t>
  </si>
  <si>
    <t>web1055</t>
  </si>
  <si>
    <t>Jing Du:Computer Science and Engineering, Faculty of Engineering, The University of New South Wales;Haley Stone:The Kirby Institute, Faculty of Medicine &amp; Health, The University of New South Wales;Yang Yang:Computer Science and Engineering, Faculty of Engineering, The University of New South Wales;Ashna Desai:Computer Science and Engineering, Faculty of Engineering, The University of New South Wales;Hao Xue:The Hong Kong University of Science and Technology (Guangzhou);Andreas Züfle:Department of Computer Science, Emory University;C. Raina MacIntyre:The Kirby Institute, Faculty of Medicine &amp; Health, The University of New South Wales;Flora D. Salim:Computer Science and Engineering, Faculty of Engineering, The University of New South Wales</t>
  </si>
  <si>
    <t>web1058</t>
  </si>
  <si>
    <t>Jing Ren:RMIT University;Jiapeng Du:RMIT University;Bowen Li:RMIT University;Ziqi Xu:RMIT University;Xin Zheng:RMIT University;Hong Jia:University of Auckland;Suyu Ma:CSIRO's Data61;Xiwei Xu:CSIRO's Data61;Feng Xia:RMIT University</t>
  </si>
  <si>
    <t>web1062</t>
  </si>
  <si>
    <t>Ping Liu:Taiyuan University of Technology,Tsinghua University;Hui Song:Taiyuan University of Technology;Shufeng Hao:Taiyuan University of Technology;Xiaoning Hao:Taiyuan University of Technology;Zexu Zhang:Taiyuan University of Technology;Usman Naseem:Macquarie University</t>
  </si>
  <si>
    <t>web1064</t>
  </si>
  <si>
    <t>Ruixiao Zhu:School of Computer Science and Technology, Tongji University;Kun Zhu:School of Computer Science and Technology, Tongji University;Nana Zhang:School of Computer Science and Technology, Donghua University;Qi Zhang:School of Computer Science and Technology, Tongji University;Changjun Jiang:School of Computer Science and Technology, Tongji University</t>
  </si>
  <si>
    <t>web1066</t>
  </si>
  <si>
    <t>Pengyue Yang:The University of Sydney;Jiawen Wen:The University of Sydney;Haolin Jin:The University of Sydney;Linghan Huang:The University of Sydney;Huaming Chen:The University of Sydney;Ling Chen:University of Technology Sydney</t>
  </si>
  <si>
    <t>web1067</t>
  </si>
  <si>
    <t>Zhixiang Lu:Xi'an Jiaotong-Liverpool University;Chong Zhang:Xi'an Jiaotong-Liverpool University;Yulong Li:Xi'an Jiaotong-Liverpool University;Angelos Stefanidis:Xi'an Jiaotong-Liverpool University;Anh Nguyen:University of Liverpool;Imran Razzak:Mohamed bin Zayed University of Artificial Intelligence;Jionglong Su:Xi'an Jiaotong-Liverpool University;Zhengyong Jiang:Xi'an Jiaotong-Liverpool University</t>
  </si>
  <si>
    <t>web1070</t>
  </si>
  <si>
    <t>Michelle Bobek:JLU Giessen;Nicolas Pröllochs:JLU Giessen</t>
  </si>
  <si>
    <t>web1072</t>
  </si>
  <si>
    <t>Linxiao Li:The University of Sydney;Zhixiang Lu:University of Liverpool</t>
  </si>
  <si>
    <t>web1082</t>
  </si>
  <si>
    <t>He Hu:College of Computer Science and Software Engineering, Shenzhen University,Guangdong Laboratory of Artificial Intelligence and Digital Economy (SZ);Chiyuan Ma:The Chinese University of Hong Kong, Shenzhen;Qianning Wang:Auckland University of Technology;Liu Lin:University of Science and Technology of China;Yucheng Zhou:SKL-IOTSC, CIS, University of Macau;Laizhong Cui:College of Computer Science and Software Engineering, Shenzhen University;Fei Ma:Guangdong Laboratory of Artificial Intelligence and Digital Economy (SZ);Qi Tian:Guangdong Laboratory of Artificial Intelligence and Digital Economy (SZ)</t>
  </si>
  <si>
    <t>web1089</t>
  </si>
  <si>
    <t>Yubo Wang:The Hong Kong University of Science and Technology;Haoyang Li:The Hong Kong Polytechnic University;Fei Teng:The Hong Kong University of Science and Technology;Lei Chen:The Hong Kong University of Science and Technology (Guangzhou),Guangzhou HKUST Fok Ying Tung Research Institute</t>
  </si>
  <si>
    <t>web1095</t>
  </si>
  <si>
    <t>Yuankun Zu:Southeast University;Xiangyu Cai:Platform Marketing, JD.com;Chuchu Yu:JD.com;Hao Peng:JD.com;Jia Duan:Platform Marketing Center, JD.com;Long Chen:JD.com;Kunyao Wang:JD.com;Zehua Zhang:JD.com;Changping Peng:JD.com;Zhangang Lin:JD.com;Ching Law:JD.com</t>
  </si>
  <si>
    <t>web1102</t>
  </si>
  <si>
    <t>Muhammad Muneeb Pervez:Lahore University of Management Sciences;Muhammad Qasim Atiq Ullah:Lahore University of Management Sciences;Ibrahim Ahmed Khan:Lahore University of Management Sciences;Roshnik Rahat:Lahore University of Management Sciences;Muhammad Fareed Zaffar:Lahore University of Management Sciences;Rashid Tahir:University of Prince Mugrin;Talal Rahwan:New York University Abu Dhabi;Yasir Zaki:New York University Abu Dhabi</t>
  </si>
  <si>
    <t>web1104</t>
  </si>
  <si>
    <t>Yiluo Wei:The Hong Kong University of Science and Technology (Guangzhou);Gareth Tyson:The Hong Kong University of Science and Technology (Guangzhou)</t>
  </si>
  <si>
    <t>web1110</t>
  </si>
  <si>
    <t>Chaoqun Li:Shandong University;Si Wu:Shandong University;Yijun Lu:Waseda University;Yuyin Ma:Xinjiang University;Jinyao Liu:Shandong University;Dingyi Jia:Shandong University;Mingda Han:Shandong University;Feng Li:Shandong University;Pengfei Hu:Shandong University,Quancheng Laboratory</t>
  </si>
  <si>
    <t>web1113</t>
  </si>
  <si>
    <t>Wei Wang:Macao Polytechnic University;Jian Chen:The University of Hong Kong;Junxin Chen:Dalian University of Technology;Zeling Xu:Hong Kong University of Science and Technology;Yuntao Zou:Huazhong University of Science and Technology;Henry H. Y. Tong:Macao Polytechnic University</t>
  </si>
  <si>
    <t>web1138</t>
  </si>
  <si>
    <t>Xiongxiao Xu:Illinois Institute of Technology;Solomon Abera Bekele:Argonne National Laboratory;Brice Videau:Argonne National Laboratory;Kai Shu:Emory University</t>
  </si>
  <si>
    <t>web1140</t>
  </si>
  <si>
    <t>Tangwei Ye:Tongji University;Liang Hu:Tongji University;Zhongyuan Lai:Shanghai Ballsnow Intelligent Technology Co. Ltd;Qi Zhang:Tongji University;Yiming Wu:Tongji University;Jiaxing Miao:Tongji University;Yijun Yang:Tongji University;Kun Yi:State Information Center</t>
  </si>
  <si>
    <t>web1141</t>
  </si>
  <si>
    <t>Jiahao Yuan:University of Macau,East China Normal University;Zhiqing Cui:University of Macau;Hanqing Wang:University of Macau;Yuansheng Gao:University of Macau;Yucheng Zhou:University of Macau;Usman Naseem:Macquarie University</t>
  </si>
  <si>
    <t>web1149</t>
  </si>
  <si>
    <t>Hao Wu:School of Computer Science and Technology, Huazhong University of Science and Technology,Xiaohua (Shanghai) Internet Technology Co., Ltd.;Yuhua Li:School of Computer Science and Technology, Huazhong University of Science and Technology;Yuntao Zou:School of Computer Science and Technology, Huazhong University of Science and Technology;Qianqi Zhang:Faculty of Innovation Engineering, Macau University of Science and Technology;Ruixuan Li:School of Computer Science and Technology, Huazhong University of Science and Technology;Zeling Xu:School of Engineering, Hong Kong University of Science and Technology;Wei Wang:Engineering Research Centre of Applied Technology on Machine Translation and Artificial Intelligence, Macao Polytechnic University</t>
  </si>
  <si>
    <t>web1150</t>
  </si>
  <si>
    <t>Weizheng Wang:Hong Kong Polytechnic University;Qipeng Xie:The Hong Kong University of Science and Technology;Shiyu Wang:CTO, Ant Group;Qingqing Ye:The Hong Kong Polytechnic University;Kaishun Wu:The Hong Kong University of Science and Technology(Guangzhou);Haibo Hu:Department of Electrical and Electronic Engineering, The Hong Kong Polytechnic University,PolyU Research Centre for Privacy and Security Technologies in Future Smart Systems, The Hong Kong Polytechnic University</t>
  </si>
  <si>
    <t>web1156</t>
  </si>
  <si>
    <t>Chunze Yang:Sch Comp Sci &amp; Technol, Xi’an Jiaotong University;Wenjie Zhao:Sch Comp Sci &amp; Technol, Xi’an Jiaotong University;Yue Tang:Sch Comp Sci &amp; Technol, Xi’an Jiaotong University;Junbo Lu:Sch Comp Sci &amp; Technol, Xi’an Jiaotong University;Jiusong Ge:Sch Comp Sci &amp; Technol, Xi’an Jiaotong University;Qidong Liu:Sch Comp Sci &amp; Technol, Xi’an Jiaotong University;Zeyu Gao:Department of Oncology, University of Cambridge;Chen Li:Sch Comp Sci &amp; Technol, Xi’an Jiaotong University</t>
  </si>
  <si>
    <t>web1159</t>
  </si>
  <si>
    <t>Jing Ren:RMIT University;Bowen Li:RMIT University;Ziqi Xu:RMIT University;Renqiang Luo:Jilin University;Shuo Yu:Dalian University of Technology;Xin Ye:Dalian University of Technology;Haytham Fayek:RMIT University;Xiaodong Li:RMIT University;Feng Xia:RMIT University</t>
  </si>
  <si>
    <t>web1161</t>
  </si>
  <si>
    <t>Xuanhan Fan:Beijing Institute of Technology,Shenzhen MSU-BIT University;Rui Ding:Shenzhen University;Haojie Liu:Shenzhen University;Jibin Zhou:Dalian Institute of Chemical Physics, Chinese Academy of Sciences;Han Liu:Dalian University of Technology;Yuanman Li:Shenzhen University;Wei Wang:Shenzhen MSU-BIT University;Mao Ye:Dalian Institute of Chemical Physics, Chinese Academy of Sciences</t>
  </si>
  <si>
    <t>web1165</t>
  </si>
  <si>
    <t>Fei Wang:Hefei University of Technology,Institute of Artificial Intelligence, Hefei Comprehensive National Science Center;Jiangnan Yang:Anhui University,Institute of Artificial Intelligence, Hefei Comprehensive National Science Center;Junjie Chen:Hefei University of Technology,Institute of Artificial Intelligence, Hefei Comprehensive National Science Center;Yuxin Liu:Anhui University,Institute of Artificial Intelligence, Hefei Comprehensive National Science Center;Kun Li:United Arab Emirates University;Yanyan Wei:Hefei University of Technology,Intelligent Interconnected Systems Laboratory of Anhui Province (HFUT);Dan Guo:Hefei University of Technology,Institute of Artificial Intelligence, Hefei Comprehensive National Science Center;Meng Wang:Hefei University of Technology,Institute of Artificial Intelligence, Hefei Comprehensive National Science Center</t>
  </si>
  <si>
    <t>web1166</t>
  </si>
  <si>
    <t>Chenglong Fu:School of Artificial Intelligence and Computer Science, Jiangnan University,The PRC Ministry of Education Engineering Research Center of Intelligent Technology for Healthcare;Jian Yao:School of Artificial Intelligence and Computer Science, Jiangnan University,The PRC Ministry of Education Engineering Research Center of Intelligent Technology for Healthcare;Pengjiang Qian:School of Artificial Intelligence and Computer Science, Jiangnan University,The PRC Ministry of Education Engineering Research Center of Intelligent Technology for Healthcare;Weiwei Fu:School of Biomedical Engineering (Suzhou), Division of Life Sciences and Medicine, University of Science and Technology of China,Suzhou Institute of Biomedical Engineering and Technology, Chinese Academy of Science;Chuang Wang:School of Artificial Intelligence and Computer Science, Jiangnan University,The PRC Ministry of Education Engineering Research Center of Intelligent Technology for Healthcare;Guisong Yang:Department of Computer Science and Engineering, University of Shanghai for Science and Technology</t>
  </si>
  <si>
    <t>web1167</t>
  </si>
  <si>
    <t>Wenhui Wu:School of Computer Science and Engineering, Northeastern University;Tiancheng Zhang:School of Computer Science and Engineering, Northeastern University;Hengyu Liu:Department of Computer Science, Aalborg University;Lun Du:Ant Research, Ant Group;Zikai Li:School of Computer Science and Engineering, Northeastern University;Mingxing Shao:School of Computer Science and Engineering, Northeastern University;Minghe Yu:Software College, Northeastern University;Yifang Yin:Institute for Infocomm Research, A*STAR;Ge Yu:School of Computer Science and Engineering, Northeastern University</t>
  </si>
  <si>
    <t>web1168</t>
  </si>
  <si>
    <t>Aoqi Wu:Tongji University;Junming Liu:Tongji University;Yuwei Zhang:Tongji University;Weiquan Huang:Tongji University;Liang Hu:Tongji University;Yifan Yang:Microsoft Research Asia;Qi Zhang:Tongji University;Jiaxing Miao:Tongji University;Yuhan Tang:Tongji University;Zhongyuan Lai:Shanghai Ballsnow Intelligent Technology Co. Ltd</t>
  </si>
  <si>
    <t>web1169</t>
  </si>
  <si>
    <t>TravelReasoner: leveraging large reasoning models to address mobility data gap</t>
  </si>
  <si>
    <t>Peijie Liu:Department of Electronic Engineering, BNRist, Tsinghua University;Fengli Xu:Department of Electronic Engineering, BNRist, Tsinghua University;Yong Li:Department of Electronic Engineering, BNRist, Tsinghua University</t>
  </si>
  <si>
    <t>web1185</t>
  </si>
  <si>
    <t>Yinglun Zhang:Kansas State University;Sonia Moavenzadeh:University of Maine;Jarrar Amjad:Kansas State University;Onur Apul:Pennsylvania State University;Adrita Barua:Kansas State University;Fatih Evrendilek:University of Maine;Torsten Hahmann:University of  Maine;Ganga Hettiarachchi:Kansas State University;Pascal Hitzler:Kansas State University;David Kedrowski:University of Maine;Vasu Kilaru:Environmental Protection Agency (EPA);Prayas Lashkari:Roux Institute at Northeastern University;Katrina Schweikert:University of Maine;Antony Williams:Environmental Protection Agency (EPA);Hande McGinty:Kansas State University</t>
  </si>
  <si>
    <t>web1189</t>
  </si>
  <si>
    <t>Swapnil Mane:Department of Computer Science &amp; Engineering, Indian Institute of Technology Jodhpur;Rajesh Sharma:Computer Science &amp; Artificial Intelligence, Plaksha University;Suman Kundu:Wadhwani School of Data Science &amp; Artificial Intelligence, Indian Institute of Technology Madras</t>
  </si>
  <si>
    <t>web1204</t>
  </si>
  <si>
    <t>Yaokun Liu:University of Illinois Urbana-Champaign;Yifan Liu:University of Illinois at Urbana-Champaign;Phoebe Mbuvi:University of Illinois Urbana-Champaign;Zelin Li:University of Illinois Urbana-Champaign;Ruichen Yao:University of Illinois Urbana-Champaign;Gawon Lim:University of Illinois Urbana-Champaign;Dong Wang:University of Illinois Urbana-Champaign</t>
  </si>
  <si>
    <t>web1207</t>
  </si>
  <si>
    <t>Xixian Yong:Gaoling School of Artificial Intelligence, Renmin University of China;Peilin Sun:Gaoling School of Artificial Intelligence, Renmin University of China;Zihe Wang:Gaoling School of Artificial Intelligence, Renmin University of China;Xiao Zhou:Gaoling School of Artificial Intelligence, Renmin University of China</t>
  </si>
  <si>
    <t>web1209</t>
  </si>
  <si>
    <t>Xingrao Ma:Lingnan University;Zongxi Li:Lingnan University;Chengzu Dong:Lingnan University;Kai Fang:Zhejiang Agriculture and Forestry University;Shao Di:Pengcheng Lab</t>
  </si>
  <si>
    <t>web1210</t>
  </si>
  <si>
    <t>Weiwei Fang:Wuhan University of Technology;Lin Li:Wuhan University of Technology;Kaize Shi:University of Southern Queensland;Yu Yang:The Education University of Hong Kong;Jianwei Zhang:Iwate University</t>
  </si>
  <si>
    <t>web1211</t>
  </si>
  <si>
    <t>Rui Guo:School of Marxism, Beijing Normal University;Fengyi Wang:School of Artificial Intelligence and Data Science, University of International Business and Economics;Ling-Yu Lin:Peking University;Guolong Wang:School of Artificial Intelligence and Data Science, University of International Business and Economics</t>
  </si>
  <si>
    <t>web1218</t>
  </si>
  <si>
    <t>Guisong Yang:Department of Computer Science and Engineering, University of Shanghai for Science and Technology;Yuchen Yang:Department of Computer Science and Engineering, University of Shanghai for Science and Technology;Yunbo Shen:Department of Computer Science and Engineering, University of Shanghai for Science and Technology;Xingyu He:Department of Computer Science and Engineering, University of Shanghai for Science and Technology;Jianheng Tang:School of Computer Science, Peking University;Yunhuai Liu:School of Computer Science, Peking University;Chengji Xu:School of Computer Science, The University of New South Wales</t>
  </si>
  <si>
    <t>web1219</t>
  </si>
  <si>
    <t>Renqiang Luo:Jilin University;Yongshuai Yang:Zhejiang Gongshang University;Huafei Huang:Adelaide University;Qing Qing:Jilin University;Mingliang Hou:Jinan University,TAL Education Group;Ziqi Xu:RMIT University;Yi Yu:Nanyang Technological University;Jingjing Zhou:Zhejiang Gongshang University;Feng Xia:RMIT University</t>
  </si>
  <si>
    <t>web1223</t>
  </si>
  <si>
    <t>Thi Huyen Nguyen:L3S Research Center, Leibniz University Hannover;Koustav Rudra:Indian Institute of Technology Kharagpur;Wolfgang Nejdl:L3S Research Center, Leibniz University Hannover</t>
  </si>
  <si>
    <t>web1228</t>
  </si>
  <si>
    <t>Lili Tian:Shanghai Key Laboratory of Trustworthy Computing, East China Normal University,Shanghai Institute of Artificial Intelligence for Education, East China Normal University;Dehui Du:Shanghai Key Laboratory of Trustworthy Computing, East China Normal University;Yikang Chen:Shanghai Key Laboratory of Trustworthy Computing, East China Normal University</t>
  </si>
  <si>
    <t>web1236</t>
  </si>
  <si>
    <t>Md. Rafiul Biswas:Hamad Bin Khalifa University;Mabrouka Bessghaier:Northwestern University in Qatar;Shimaa Ibrahim:Northwestern University in Qatar;George Mikros:Hamad Bin Khalifa University;Wajdi Zaghouani:Northwestern University in Qatar</t>
  </si>
  <si>
    <t>web1243</t>
  </si>
  <si>
    <t>Qiuyu Li:Hefei University of Technology, Key Laboratory of Knowledge Engineering with Big Data;Kun Zhang:Hefei University of Technology, Key Laboratory of Knowledge Engineering with Big Data;Le Wu:Hefei University of Technology, Innovation School of Artificial Intelligence;Hao Liu:Hefei University of Technology, Key Laboratory of Knowledge Engineering with Big Data;Hefei Xu:Hefei University of Technology, Key Laboratory of Knowledge Engineering with Big Data;Xin Li:University of Science and Technology of China, School of Information Science and Technology;Si Wei:iFLYTEK Company Limited, Artificial Intelligence Research Institute</t>
  </si>
  <si>
    <t>web1247</t>
  </si>
  <si>
    <t>Xuankai Yang:School of Computing, Macquarie University;Yan Wang:School of Computing, Macquarie University;Jiajie Zhu:School of Computing, Macquarie University;Pengfei Ding:School of Computing, Macquarie University;Hongyang Liu:School of Computing, Macquarie University;Xiuzhen Zhang:School of Computing Technologies, RMIT University;Huan Liu:School of Computing and Augmented Intelligence, Arizona State University</t>
  </si>
  <si>
    <t>web1249</t>
  </si>
  <si>
    <t>Xinyi Wang:University of Malaya;Jiayu Zhang:Changshu Institute of Technology;Zhiyu Zhu:University of Technology Sydney;Zhibo Jin:University of Technology Sydney;Dong Yuan:The University of Sydney;Huaming Chen:The University of Sydney</t>
  </si>
  <si>
    <t>web1250</t>
  </si>
  <si>
    <t>Aditya Kishore:Indian Institute of Science Education and Research, Bhopal, India;Gaurav Kumar:Indian Institute of Science Education and Research, Bhopal, India;Jasabanta Patro:Indian Institute of Science Education and Research, Bhopal, India</t>
  </si>
  <si>
    <t>web1254</t>
  </si>
  <si>
    <t>Prottay Kumar Adhikary:Depertment of Electrical Engineering, Indian Institute of Technology Delhi;Reena Rawat:Indian Institute of Technology Delhi;Tanmoy Chakraborty:Dept of Electrical Engineering, Indian Institute of Technology Delhi</t>
  </si>
  <si>
    <t>web1255</t>
  </si>
  <si>
    <t>Han Liu:Dalian University of Technology;Zhi Xu:Dalian University of Technology;Xiaotong Zhang:Dalian University of Technology;Feng Zhang:Peking University;Xiaoming Xu:Dalian University of Technology;Wei Wang:Macao Polytechnic University;Fenglong Ma:The Pennsylvania State University;Hong Yu:Dalian University of Technology</t>
  </si>
  <si>
    <t>web1258</t>
  </si>
  <si>
    <t>Chenyang Shao:Department of Electronic Engineering, BNRist, Tsinghua University,Zhongguancun Academy;Xinyang Liu:Department of Electronic Engineering, BNRist, Tsinghua University;Yutang Lin:Department of Electronic Engineering, Tsinghua University;Fengli Xu:Department of Electronic Engineering, BNRist, Tsinghua University,Zhongguancun Academy;Yong Li:Department of Electronic Engineering, BNRist, Tsinghua University,Zhongguancun Academy</t>
  </si>
  <si>
    <t>web1278</t>
  </si>
  <si>
    <t>Tingting Li:Shanghai Qi Zhi Institute,Zhejiang University;Ziming Zhao:Zhejiang University;Zhaoxuan Li:State Key Laboratory of Cyberspace Security Defense, IIE, CAS;Xiaofei Yue:Beijing Institute of Technology;Jiongchi Yu:Singapore Management University</t>
  </si>
  <si>
    <t>web1281</t>
  </si>
  <si>
    <t>Maolin Wang:City University of Hong Kong;Beining Bao:City University of HongKong;Hongyu Chen:City University of Hongkong;Zichun Liu:City University of Hong Kong;Lang Fu:Alibaba International Digital Commerce Group;Jun Chu:Alibaba International Digital Commerce Group;Langzhang Liang:Fudan University;Zenglin Xu:Fudan University</t>
  </si>
  <si>
    <t>web1282</t>
  </si>
  <si>
    <t>Eman Nabeel:Lahore University of Management Sciences;Haleema Jamil:Lahore University of Management Sciences;Shizza Asher:Lahore University of Management Sciences;Zaeem Mohtashim Khan:Lahore University of Management Sciences;Nida Tanveer:Lahore University of Management Sciences;Ihsan Ayyub Qazi:Lahore University of Management Sciences;Zafar Ayyub Qazi:Lahore University of Management Sciences &amp; KAUST</t>
  </si>
  <si>
    <t>web1290</t>
  </si>
  <si>
    <t>Tao Tang:Zhejiang University of Technology,Zhejiang Key Laboratory of Visual Information Intelligent Processing;Mujie Liu:Federation University Australia;Botao Liu:Zhejiang University of Technology,Zhejiang Key Laboratory of Visual Information Intelligent Processing;Wei Du:Xinjiang Rural Commercial Bank Co., Ltd.;Liping Chen:RMIT University;Xinrui Cheng:RMIT University;Jiaxin Du:Zhejiang University of Technology,Zhejiang Key Laboratory of Visual Information Intelligent Processing;Xiangjie Kong:College of Computer Science and Technology, Zhejiang University of Technology,Zhejiang Key Laboratory of Visual Information Intelligent Processing</t>
  </si>
  <si>
    <t>web1297</t>
  </si>
  <si>
    <t>Baiyu Chen:The University of New South Wales;Benjamin Tag:The University of New South Wales;Hao Xue:Hong Kong University of Science and Technology (Guangzhou);Daniel Angus:Queensland University of Technology;Flora Salim:The University of New South Wales</t>
  </si>
  <si>
    <t>web1298</t>
  </si>
  <si>
    <t>Liping Chen:RMIT University;Mujie Liu:Federation University Australia;Haytham Fayek:RMIT University</t>
  </si>
  <si>
    <t>web1303</t>
  </si>
  <si>
    <t>Qian Hong:Gaoling School of Artificial Intelligence, Renmin University of China;Siyuan Chang:School of Statistics, Renmin University of China;Xiao Zhou:Gaoling School of Artificial Intelligence, Renmin University of China</t>
  </si>
  <si>
    <t>web1312</t>
  </si>
  <si>
    <t>Valerio La Gatta:Department of Computer Science and Buffett Institute for Global Affairs, Northwestern University;Marco Postiglione:Department of Computer Science and Buffett Institute for Global Affairs, Northwestern University;Jeremy Gilbert:Medill School of Journalism, Media, Integrated Marketing Communications, Northwestern University;Daniel W. Linna Jr.:Northwestern Pritzker School of Law and Department of Computer Science, Northwestern University;Morgan Manella Greenfield:The Wall Street Journal;Aaron Shaw:Department of Communication Studies, Northwestern University;V.S. Subrahmanian:Department of Computer Science and Buffett Institute for Global Affairs, Northwestern University</t>
  </si>
  <si>
    <t>web1315</t>
  </si>
  <si>
    <t>Georgios Kaoukis:Archimedes, Athena Research Center;Ioannis-Aris Koufopoulos:Archimedes, Athena Research Center;Eleni Psaroudaki:Archimedes, Athena Research Center;Danae Pla Karidi:Archimedes, Athena Research Center;Evaggelia Pitoura:University of Ioannina,Archimedes, Athena Research Center;George Papastefanatos:IMSI, Athena Research Center;Panayiotis Tsaparas:University of Ioannina,Archimedes, Athena Research Center</t>
  </si>
  <si>
    <t>web1343</t>
  </si>
  <si>
    <t>Seoyoon Jeong:Sungkyunkwan University;JeeEun Kim:Sungkyunkwan University;S. Shyam Sundar:The Pennsylvania State University,Sungkyunkwan University;Jinyoung Han:Sungkyunkwan University</t>
  </si>
  <si>
    <t>web1356</t>
  </si>
  <si>
    <t>Shuxin Zhong:HKUST(GZ),HKUST(GZ);Hongyu Lin:JD Logistics;Yan Fang:HKUST(GZ);Jun Chen:HKUST(GZ);Kaishun Wu:HKUST(GZ)</t>
  </si>
  <si>
    <t>web1362</t>
  </si>
  <si>
    <t>Jin Li:University of Technology Sydney;Huilin Gu:University of Technology Sydney;Shoujin Wang:University of Technology Sydney;Qi Zhang:Tongji University;Shui Yu:University of Technology Sydney;Chen Wang:CSIRO Data61;Xiwei Xu:CSIRO Data61;Fang Chen:University of Technology Sydney</t>
  </si>
  <si>
    <t>web1366</t>
  </si>
  <si>
    <t>Lingyao Li:University of South Florida;Xiaoshan Huang:McGill University;Renkai Ma:University of Cincinnati;Ben Zefeng Zhang:Stony Brook University;Haolun Wu:McGill University;Fan Yang:School of Journalism and Mass Communications, University of South Carolina;Chen Chen:School of Computing and Information Sciences, Florida International University</t>
  </si>
  <si>
    <t>web1373</t>
  </si>
  <si>
    <t>Hefei Xu:Key Laboratory of Knowledge Engineering with Big Data, Hefei University of Technology;Le Wu:Key Laboratory of Knowledge Engineering with Big Data, Hefei University of Technology,Innovation School of Artificial Intelligence, Hefei University of Technology;Yu Wang:Key Laboratory of Knowledge Engineering with Big Data, Hefei University of Technology;Min Hou:Key Laboratory of Knowledge Engineering with Big Data, Hefei University of Technology;Han Wu:Key Laboratory of Knowledge Engineering with Big Data, Hefei University of Technology;Zhen Zhang:Key Laboratory of Knowledge Engineering with Big Data, Hefei University of Technology;Meng Wang:Key Laboratory of Knowledge Engineering with Big Data, Hefei University of Technology</t>
  </si>
  <si>
    <t>web1381</t>
  </si>
  <si>
    <t>Sai Keerthana Karnam:Indian Institute of Technology Kharagpur;Abhisek Dash:Max Planck Institute for Software Systems;Krishna Gummadi:Max Planck Institute for Software Systems;Animesh Mukherjee:Indian Institute of Technology Kharagpur;Ingmar Weber:Saarland University;Savvas Zannettou:Delft University of Technology</t>
  </si>
  <si>
    <t>web1397</t>
  </si>
  <si>
    <t>Chen Cheng:Key Laboratory of Knowledge Engineering with Big Data, Hefei University of Technology;Hefei Xu:Key Laboratory of Knowledge Engineering with Big Data, Hefei University of Technology;Le Wu:Key Laboratory of Knowledge Engineering with Big Data, Hefei University of Technology,Innovation School of Artificial Intelligence, Hefei University of Technology</t>
  </si>
  <si>
    <t>web1398</t>
  </si>
  <si>
    <t>Moming Duan:East China Normal University;Rui Zhao:University of Oxford;Linshan Jiang:National University of Singapore;Nigel Shadbolt:University of Oxford;Bingsheng He:National University of Singapore</t>
  </si>
  <si>
    <t>web1404</t>
  </si>
  <si>
    <t>Xiaoli Zeng:Guangdong Institute of Smart Education, Jinan University;Ying Zheng:Guangdong Institute of Smart Education, Jinan University;Shuyan Huang:TAL Education Group;Zitao Liu:Guangdong Institute of Smart Education, Jinan University;Mi Tian:TAL Education Group;Mingliang Hou:TAL Education Group;Jiaqi Zheng:Guangdong Institute of Smart Education, Jinan University;Wenzhou Dou:TAL Education Group</t>
  </si>
  <si>
    <t>web1406</t>
  </si>
  <si>
    <t>Xin Jing:State Key Laboratory of IOTSC, University of Macau;Zeyu Shi:State Key Laboratory of IOTSC, University of Macau;Zhangtao Cheng:University of Electronic Science and Technology of China;Yichen Jing:State Key Laboratory of IOTSC, University of Macau;Yuhuan Lu:State Key Laboratory of IOTSC, University of Macau;Bangchao Deng:State Key Laboratory of IOTSC, University of Macau;Dingqi Yang:State Key Laboratory of IOTSC, University of Macau</t>
  </si>
  <si>
    <t>web1408</t>
  </si>
  <si>
    <t>Parviz Ahmadov:Delft University of Technology;Masoud Mansoury:Intelligent System, Delft University of Technology</t>
  </si>
  <si>
    <t>web1410</t>
  </si>
  <si>
    <t>Zhipeng Liu:Zhejiang University;Ziming Zhao:School of Software Technology, Zhejiang University;Fan Zhang:Zhejiang University</t>
  </si>
  <si>
    <t>web1447</t>
  </si>
  <si>
    <t>Mo Wang:Macquarie University;Kaixuan Ren:Macquarie University;Pratik Jalan:Macquarie University;Ahmed Ashraf:Nile University;Tuong Vy Vu:Macquarie University;Rahul Seetharaman:University of Massachusetts Amherst;Shah Nawaz:Johannes Kepler University;Usman Naseem:Macquarie University</t>
  </si>
  <si>
    <t>web1478</t>
  </si>
  <si>
    <t>Bo Yang:Zhejiang University;Lanfei Feng:Zhejiang University;Yunkui Chen:Zhejiang University;Yu Zhang:Zhejiang University;Jianyu Zhang:Zhejiang University;Xiao Xu:Zhejiang University;Nueraili Aierken:Zhejiang University;Shijian Li:Zhejiang University</t>
  </si>
  <si>
    <t>web1490</t>
  </si>
  <si>
    <t>Yicheng Di:School of Artificial Intelligence and Computer Science, Jiangnan University</t>
  </si>
  <si>
    <t>web1496</t>
  </si>
  <si>
    <t>Jiahui He:The Hong Kong University of Science and Technology (Guangzhou);Yiluo Wei:The Hong Kong University of Science and Technology (Guangzhou);Gareth Tyson:The Hong Kong University of Science and Technology (Guangzhou)</t>
  </si>
  <si>
    <t>code</t>
  </si>
  <si>
    <t>authors/comments</t>
  </si>
  <si>
    <t>- Konstantin Todorov (registered)</t>
  </si>
  <si>
    <t>Mining3 - canceled</t>
  </si>
  <si>
    <t>- Mario Silva (registered)</t>
  </si>
  <si>
    <t>PORTRAIT: A Hybrid Approach to Create Extractive Ground-truth Summary for Disaster Event - Piyush Kumar Garg (did not register will ask Ryen)</t>
  </si>
  <si>
    <t>- Piyush Kumar Garg (did not register will ask Ryen)</t>
  </si>
  <si>
    <t>- Valentino Dalla Valle (Giovanni Appruzzese who is a coauthor registered)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</si>
</sst>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d d mmmm yyyy"/>
  </numFmts>
  <fonts count="38">
    <font>
      <sz val="10.0"/>
      <color rgb="FF000000"/>
      <name val="Arial"/>
      <scheme val="minor"/>
    </font>
    <font>
      <b/>
      <color theme="1"/>
      <name val="Montserrat"/>
    </font>
    <font>
      <b/>
      <color rgb="FFFF0000"/>
      <name val="Montserrat"/>
    </font>
    <font>
      <color theme="1"/>
      <name val="Arial"/>
    </font>
    <font>
      <b/>
      <color rgb="FFFFFFFF"/>
      <name val="Montserrat"/>
    </font>
    <font>
      <b/>
      <color rgb="FF1A1B1F"/>
      <name val="Montserrat"/>
    </font>
    <font>
      <b/>
      <color theme="1"/>
      <name val="Open Sans"/>
    </font>
    <font>
      <color theme="1"/>
      <name val="Open Sans"/>
    </font>
    <font>
      <u/>
      <color rgb="FF0000FF"/>
      <name val="Open Sans"/>
    </font>
    <font>
      <u/>
      <color rgb="FF0000FF"/>
      <name val="Open Sans"/>
    </font>
    <font>
      <b/>
      <color theme="1"/>
      <name val="Arial"/>
    </font>
    <font>
      <b/>
      <i/>
      <color theme="1"/>
      <name val="Open Sans"/>
    </font>
    <font>
      <i/>
      <color theme="1"/>
      <name val="Open Sans"/>
    </font>
    <font>
      <i/>
      <color theme="1"/>
      <name val="Arial"/>
    </font>
    <font>
      <color theme="1"/>
      <name val="Arial"/>
      <scheme val="minor"/>
    </font>
    <font>
      <i/>
      <color theme="1"/>
      <name val="Arial"/>
      <scheme val="minor"/>
    </font>
    <font>
      <b/>
      <color theme="1"/>
      <name val="Arial"/>
      <scheme val="minor"/>
    </font>
    <font>
      <sz val="11.0"/>
      <color theme="1"/>
      <name val="Calibri"/>
    </font>
    <font>
      <sz val="12.0"/>
      <color rgb="FF000000"/>
      <name val="Calibri"/>
    </font>
    <font>
      <sz val="11.0"/>
      <color rgb="FF444746"/>
      <name val="Google Sans"/>
    </font>
    <font>
      <color rgb="FF1D1D1D"/>
      <name val="&quot;Helvetica Neue&quot;"/>
    </font>
    <font>
      <strike/>
      <sz val="11.0"/>
      <color theme="1"/>
      <name val="Calibri"/>
    </font>
    <font>
      <sz val="12.0"/>
      <color rgb="FF000000"/>
      <name val="Aptos"/>
    </font>
    <font>
      <b/>
      <sz val="11.0"/>
      <color theme="1"/>
      <name val="Calibri"/>
    </font>
    <font>
      <b/>
      <color rgb="FF333333"/>
      <name val="Arial"/>
    </font>
    <font>
      <color rgb="FF333333"/>
      <name val="Arial"/>
    </font>
    <font>
      <sz val="15.0"/>
      <color rgb="FF333333"/>
      <name val="Arial"/>
    </font>
    <font>
      <sz val="12.0"/>
      <color rgb="FF333333"/>
      <name val="Arial"/>
    </font>
    <font>
      <u/>
      <sz val="12.0"/>
      <color rgb="FF333333"/>
      <name val="Arial"/>
    </font>
    <font>
      <u/>
      <sz val="12.0"/>
      <color rgb="FF333333"/>
      <name val="Arial"/>
    </font>
    <font>
      <b/>
      <sz val="11.0"/>
      <color rgb="FF1F1F1F"/>
      <name val="Arial"/>
    </font>
    <font>
      <sz val="11.0"/>
      <color rgb="FF1F1F1F"/>
      <name val="Arial"/>
    </font>
    <font>
      <sz val="12.0"/>
      <color rgb="FF000000"/>
      <name val="Arial"/>
    </font>
    <font>
      <sz val="20.0"/>
      <color rgb="FF000000"/>
      <name val="Arial"/>
    </font>
    <font>
      <color rgb="FF000000"/>
      <name val="Verdana"/>
    </font>
    <font>
      <b/>
      <color rgb="FF000000"/>
      <name val="Verdana"/>
    </font>
    <font>
      <strike/>
      <color rgb="FF000000"/>
      <name val="Verdana"/>
    </font>
    <font>
      <strike/>
      <color theme="1"/>
      <name val="Arial"/>
      <scheme val="minor"/>
    </font>
  </fonts>
  <fills count="18">
    <fill>
      <patternFill patternType="none"/>
    </fill>
    <fill>
      <patternFill patternType="lightGray"/>
    </fill>
    <fill>
      <patternFill patternType="solid">
        <fgColor rgb="FFFFFFFF"/>
        <bgColor rgb="FFFFFFFF"/>
      </patternFill>
    </fill>
    <fill>
      <patternFill patternType="solid">
        <fgColor rgb="FF465D92"/>
        <bgColor rgb="FF465D92"/>
      </patternFill>
    </fill>
    <fill>
      <patternFill patternType="solid">
        <fgColor rgb="FFDCE1F8"/>
        <bgColor rgb="FFDCE1F8"/>
      </patternFill>
    </fill>
    <fill>
      <patternFill patternType="solid">
        <fgColor rgb="FFF9F8FF"/>
        <bgColor rgb="FFF9F8FF"/>
      </patternFill>
    </fill>
    <fill>
      <patternFill patternType="solid">
        <fgColor rgb="FFE6E7ED"/>
        <bgColor rgb="FFE6E7ED"/>
      </patternFill>
    </fill>
    <fill>
      <patternFill patternType="solid">
        <fgColor rgb="FFE5F3E9"/>
        <bgColor rgb="FFE5F3E9"/>
      </patternFill>
    </fill>
    <fill>
      <patternFill patternType="solid">
        <fgColor rgb="FFD9E1F8"/>
        <bgColor rgb="FFD9E1F8"/>
      </patternFill>
    </fill>
    <fill>
      <patternFill patternType="solid">
        <fgColor rgb="FFF8D7FC"/>
        <bgColor rgb="FFF8D7FC"/>
      </patternFill>
    </fill>
    <fill>
      <patternFill patternType="solid">
        <fgColor rgb="FFFFFF00"/>
        <bgColor rgb="FFFFFF00"/>
      </patternFill>
    </fill>
    <fill>
      <patternFill patternType="solid">
        <fgColor rgb="FFCCCCCC"/>
        <bgColor rgb="FFCCCCCC"/>
      </patternFill>
    </fill>
    <fill>
      <patternFill patternType="solid">
        <fgColor rgb="FFEFEFEF"/>
        <bgColor rgb="FFEFEFEF"/>
      </patternFill>
    </fill>
    <fill>
      <patternFill patternType="solid">
        <fgColor rgb="FFD9D9D9"/>
        <bgColor rgb="FFD9D9D9"/>
      </patternFill>
    </fill>
    <fill>
      <patternFill patternType="solid">
        <fgColor rgb="FFF4CCCC"/>
        <bgColor rgb="FFF4CCCC"/>
      </patternFill>
    </fill>
    <fill>
      <patternFill patternType="solid">
        <fgColor rgb="FFD9EAD3"/>
        <bgColor rgb="FFD9EAD3"/>
      </patternFill>
    </fill>
    <fill>
      <patternFill patternType="solid">
        <fgColor rgb="FFFFD966"/>
        <bgColor rgb="FFFFD966"/>
      </patternFill>
    </fill>
    <fill>
      <patternFill patternType="solid">
        <fgColor rgb="FF9FC5E8"/>
        <bgColor rgb="FF9FC5E8"/>
      </patternFill>
    </fill>
  </fills>
  <borders count="1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DDDDDD"/>
      </left>
      <right style="thin">
        <color rgb="FFDDDDDD"/>
      </right>
      <top style="thin">
        <color rgb="FFDDDDDD"/>
      </top>
      <bottom style="thin">
        <color rgb="FFEEEEEE"/>
      </bottom>
    </border>
    <border>
      <left style="thin">
        <color rgb="FFDDDDDD"/>
      </left>
      <right style="thin">
        <color rgb="FFDDDDDD"/>
      </right>
      <top style="thin">
        <color rgb="FFDDDDDD"/>
      </top>
    </border>
  </borders>
  <cellStyleXfs count="1">
    <xf borderId="0" fillId="0" fontId="0" numFmtId="0" applyAlignment="1" applyFont="1"/>
  </cellStyleXfs>
  <cellXfs count="243">
    <xf borderId="0" fillId="0" fontId="0" numFmtId="0" xfId="0" applyAlignment="1" applyFont="1">
      <alignment readingOrder="0" shrinkToFit="0" vertical="bottom" wrapText="0"/>
    </xf>
    <xf borderId="0" fillId="2" fontId="1" numFmtId="164" xfId="0" applyAlignment="1" applyFill="1" applyFont="1" applyNumberFormat="1">
      <alignment vertical="top"/>
    </xf>
    <xf borderId="0" fillId="2" fontId="2" numFmtId="0" xfId="0" applyAlignment="1" applyFont="1">
      <alignment readingOrder="0" vertical="top"/>
    </xf>
    <xf borderId="0" fillId="2" fontId="1" numFmtId="0" xfId="0" applyAlignment="1" applyFont="1">
      <alignment vertical="top"/>
    </xf>
    <xf borderId="0" fillId="0" fontId="3" numFmtId="0" xfId="0" applyAlignment="1" applyFont="1">
      <alignment readingOrder="0" vertical="top"/>
    </xf>
    <xf borderId="0" fillId="0" fontId="3" numFmtId="0" xfId="0" applyAlignment="1" applyFont="1">
      <alignment vertical="top"/>
    </xf>
    <xf borderId="0" fillId="3" fontId="4" numFmtId="0" xfId="0" applyFill="1" applyFont="1"/>
    <xf borderId="0" fillId="3" fontId="4" numFmtId="0" xfId="0" applyAlignment="1" applyFont="1">
      <alignment vertical="top"/>
    </xf>
    <xf borderId="0" fillId="3" fontId="4" numFmtId="0" xfId="0" applyAlignment="1" applyFont="1">
      <alignment shrinkToFit="0" vertical="top" wrapText="1"/>
    </xf>
    <xf borderId="0" fillId="3" fontId="4" numFmtId="0" xfId="0" applyAlignment="1" applyFont="1">
      <alignment readingOrder="0" vertical="top"/>
    </xf>
    <xf borderId="0" fillId="4" fontId="5" numFmtId="164" xfId="0" applyAlignment="1" applyFill="1" applyFont="1" applyNumberFormat="1">
      <alignment horizontal="right" vertical="top"/>
    </xf>
    <xf borderId="0" fillId="4" fontId="5" numFmtId="0" xfId="0" applyAlignment="1" applyFont="1">
      <alignment horizontal="center" vertical="top"/>
    </xf>
    <xf borderId="0" fillId="4" fontId="5" numFmtId="0" xfId="0" applyAlignment="1" applyFont="1">
      <alignment horizontal="center" shrinkToFit="0" vertical="top" wrapText="1"/>
    </xf>
    <xf borderId="0" fillId="4" fontId="5" numFmtId="0" xfId="0" applyAlignment="1" applyFont="1">
      <alignment vertical="top"/>
    </xf>
    <xf borderId="0" fillId="4" fontId="5" numFmtId="0" xfId="0" applyAlignment="1" applyFont="1">
      <alignment readingOrder="0" vertical="top"/>
    </xf>
    <xf borderId="0" fillId="5" fontId="6" numFmtId="164" xfId="0" applyAlignment="1" applyFill="1" applyFont="1" applyNumberFormat="1">
      <alignment vertical="top"/>
    </xf>
    <xf borderId="0" fillId="5" fontId="7" numFmtId="0" xfId="0" applyAlignment="1" applyFont="1">
      <alignment horizontal="center" vertical="top"/>
    </xf>
    <xf borderId="0" fillId="5" fontId="7" numFmtId="0" xfId="0" applyAlignment="1" applyFont="1">
      <alignment horizontal="center" shrinkToFit="0" vertical="top" wrapText="1"/>
    </xf>
    <xf borderId="0" fillId="5" fontId="7" numFmtId="0" xfId="0" applyAlignment="1" applyFont="1">
      <alignment shrinkToFit="0" vertical="top" wrapText="1"/>
    </xf>
    <xf borderId="0" fillId="5" fontId="7" numFmtId="0" xfId="0" applyAlignment="1" applyFont="1">
      <alignment readingOrder="0" vertical="top"/>
    </xf>
    <xf borderId="0" fillId="5" fontId="7" numFmtId="0" xfId="0" applyAlignment="1" applyFont="1">
      <alignment vertical="top"/>
    </xf>
    <xf borderId="0" fillId="2" fontId="6" numFmtId="164" xfId="0" applyAlignment="1" applyFont="1" applyNumberFormat="1">
      <alignment horizontal="left" vertical="top"/>
    </xf>
    <xf borderId="0" fillId="2" fontId="7" numFmtId="0" xfId="0" applyAlignment="1" applyFont="1">
      <alignment horizontal="left" shrinkToFit="0" vertical="top" wrapText="1"/>
    </xf>
    <xf borderId="0" fillId="2" fontId="7" numFmtId="0" xfId="0" applyAlignment="1" applyFont="1">
      <alignment horizontal="left" vertical="top"/>
    </xf>
    <xf borderId="0" fillId="2" fontId="8" numFmtId="0" xfId="0" applyAlignment="1" applyFont="1">
      <alignment horizontal="left" readingOrder="0" vertical="top"/>
    </xf>
    <xf borderId="0" fillId="0" fontId="3" numFmtId="0" xfId="0" applyAlignment="1" applyFont="1">
      <alignment horizontal="left" vertical="top"/>
    </xf>
    <xf borderId="0" fillId="6" fontId="6" numFmtId="0" xfId="0" applyAlignment="1" applyFill="1" applyFont="1">
      <alignment readingOrder="0" vertical="top"/>
    </xf>
    <xf borderId="0" fillId="6" fontId="7" numFmtId="0" xfId="0" applyAlignment="1" applyFont="1">
      <alignment horizontal="center" readingOrder="0" vertical="top"/>
    </xf>
    <xf borderId="0" fillId="6" fontId="7" numFmtId="0" xfId="0" applyAlignment="1" applyFont="1">
      <alignment vertical="top"/>
    </xf>
    <xf borderId="0" fillId="2" fontId="6" numFmtId="0" xfId="0" applyAlignment="1" applyFont="1">
      <alignment readingOrder="0" vertical="top"/>
    </xf>
    <xf borderId="0" fillId="2" fontId="7" numFmtId="0" xfId="0" applyAlignment="1" applyFont="1">
      <alignment horizontal="center" readingOrder="0" vertical="top"/>
    </xf>
    <xf borderId="0" fillId="2" fontId="7" numFmtId="0" xfId="0" applyAlignment="1" applyFont="1">
      <alignment horizontal="center" vertical="top"/>
    </xf>
    <xf borderId="0" fillId="2" fontId="7" numFmtId="0" xfId="0" applyAlignment="1" applyFont="1">
      <alignment vertical="top"/>
    </xf>
    <xf borderId="0" fillId="2" fontId="7" numFmtId="0" xfId="0" applyAlignment="1" applyFont="1">
      <alignment readingOrder="0" vertical="top"/>
    </xf>
    <xf borderId="0" fillId="5" fontId="6" numFmtId="164" xfId="0" applyAlignment="1" applyFont="1" applyNumberFormat="1">
      <alignment horizontal="left" vertical="top"/>
    </xf>
    <xf borderId="0" fillId="5" fontId="7" numFmtId="0" xfId="0" applyAlignment="1" applyFont="1">
      <alignment horizontal="left" shrinkToFit="0" vertical="top" wrapText="1"/>
    </xf>
    <xf borderId="0" fillId="5" fontId="7" numFmtId="0" xfId="0" applyAlignment="1" applyFont="1">
      <alignment horizontal="left" vertical="top"/>
    </xf>
    <xf borderId="0" fillId="5" fontId="9" numFmtId="0" xfId="0" applyAlignment="1" applyFont="1">
      <alignment horizontal="left" readingOrder="0" vertical="top"/>
    </xf>
    <xf borderId="0" fillId="2" fontId="6" numFmtId="164" xfId="0" applyAlignment="1" applyFont="1" applyNumberFormat="1">
      <alignment vertical="top"/>
    </xf>
    <xf borderId="0" fillId="4" fontId="5" numFmtId="0" xfId="0" applyAlignment="1" applyFont="1">
      <alignment shrinkToFit="0" vertical="top" wrapText="1"/>
    </xf>
    <xf borderId="0" fillId="5" fontId="7" numFmtId="0" xfId="0" applyAlignment="1" applyFont="1">
      <alignment readingOrder="0" shrinkToFit="0" vertical="top" wrapText="1"/>
    </xf>
    <xf borderId="0" fillId="2" fontId="7" numFmtId="0" xfId="0" applyAlignment="1" applyFont="1">
      <alignment horizontal="left" shrinkToFit="0" vertical="top" wrapText="1"/>
    </xf>
    <xf borderId="0" fillId="2" fontId="7" numFmtId="0" xfId="0" applyAlignment="1" applyFont="1">
      <alignment readingOrder="0" shrinkToFit="0" vertical="top" wrapText="1"/>
    </xf>
    <xf borderId="0" fillId="5" fontId="7" numFmtId="0" xfId="0" applyAlignment="1" applyFont="1">
      <alignment horizontal="left" shrinkToFit="0" vertical="top" wrapText="1"/>
    </xf>
    <xf borderId="0" fillId="2" fontId="6" numFmtId="0" xfId="0" applyAlignment="1" applyFont="1">
      <alignment vertical="top"/>
    </xf>
    <xf borderId="0" fillId="0" fontId="10" numFmtId="0" xfId="0" applyAlignment="1" applyFont="1">
      <alignment vertical="top"/>
    </xf>
    <xf borderId="0" fillId="5" fontId="6" numFmtId="164" xfId="0" applyAlignment="1" applyFont="1" applyNumberFormat="1">
      <alignment horizontal="right" vertical="top"/>
    </xf>
    <xf borderId="0" fillId="5" fontId="6" numFmtId="0" xfId="0" applyAlignment="1" applyFont="1">
      <alignment vertical="top"/>
    </xf>
    <xf borderId="0" fillId="5" fontId="6" numFmtId="0" xfId="0" applyAlignment="1" applyFont="1">
      <alignment shrinkToFit="0" vertical="top" wrapText="1"/>
    </xf>
    <xf borderId="0" fillId="7" fontId="6" numFmtId="0" xfId="0" applyAlignment="1" applyFill="1" applyFont="1">
      <alignment readingOrder="0" vertical="top"/>
    </xf>
    <xf borderId="0" fillId="7" fontId="6" numFmtId="0" xfId="0" applyAlignment="1" applyFont="1">
      <alignment horizontal="center" vertical="top"/>
    </xf>
    <xf borderId="0" fillId="7" fontId="7" numFmtId="0" xfId="0" applyAlignment="1" applyFont="1">
      <alignment vertical="top"/>
    </xf>
    <xf borderId="0" fillId="8" fontId="6" numFmtId="0" xfId="0" applyAlignment="1" applyFill="1" applyFont="1">
      <alignment readingOrder="0" vertical="top"/>
    </xf>
    <xf borderId="0" fillId="8" fontId="6" numFmtId="0" xfId="0" applyAlignment="1" applyFont="1">
      <alignment horizontal="center" vertical="top"/>
    </xf>
    <xf borderId="0" fillId="8" fontId="7" numFmtId="0" xfId="0" applyAlignment="1" applyFont="1">
      <alignment vertical="top"/>
    </xf>
    <xf borderId="1" fillId="2" fontId="7" numFmtId="0" xfId="0" applyAlignment="1" applyBorder="1" applyFont="1">
      <alignment vertical="top"/>
    </xf>
    <xf borderId="1" fillId="2" fontId="7" numFmtId="0" xfId="0" applyAlignment="1" applyBorder="1" applyFont="1">
      <alignment readingOrder="0" vertical="top"/>
    </xf>
    <xf borderId="1" fillId="2" fontId="7" numFmtId="0" xfId="0" applyAlignment="1" applyBorder="1" applyFont="1">
      <alignment shrinkToFit="0" vertical="top" wrapText="1"/>
    </xf>
    <xf borderId="1" fillId="2" fontId="7" numFmtId="0" xfId="0" applyAlignment="1" applyBorder="1" applyFont="1">
      <alignment vertical="top"/>
    </xf>
    <xf borderId="0" fillId="2" fontId="7" numFmtId="0" xfId="0" applyAlignment="1" applyFont="1">
      <alignment horizontal="right" vertical="top"/>
    </xf>
    <xf borderId="0" fillId="0" fontId="3" numFmtId="0" xfId="0" applyAlignment="1" applyFont="1">
      <alignment horizontal="right" vertical="top"/>
    </xf>
    <xf borderId="0" fillId="5" fontId="11" numFmtId="0" xfId="0" applyAlignment="1" applyFont="1">
      <alignment vertical="top"/>
    </xf>
    <xf borderId="0" fillId="5" fontId="12" numFmtId="0" xfId="0" applyAlignment="1" applyFont="1">
      <alignment readingOrder="0" shrinkToFit="0" vertical="top" wrapText="1"/>
    </xf>
    <xf borderId="0" fillId="5" fontId="12" numFmtId="0" xfId="0" applyAlignment="1" applyFont="1">
      <alignment shrinkToFit="0" vertical="top" wrapText="1"/>
    </xf>
    <xf borderId="0" fillId="5" fontId="12" numFmtId="0" xfId="0" applyAlignment="1" applyFont="1">
      <alignment horizontal="right" vertical="top"/>
    </xf>
    <xf borderId="0" fillId="0" fontId="13" numFmtId="0" xfId="0" applyAlignment="1" applyFont="1">
      <alignment horizontal="right" vertical="top"/>
    </xf>
    <xf borderId="0" fillId="0" fontId="13" numFmtId="0" xfId="0" applyAlignment="1" applyFont="1">
      <alignment vertical="top"/>
    </xf>
    <xf borderId="0" fillId="2" fontId="7" numFmtId="0" xfId="0" applyAlignment="1" applyFont="1">
      <alignment shrinkToFit="0" vertical="top" wrapText="1"/>
    </xf>
    <xf borderId="0" fillId="9" fontId="6" numFmtId="0" xfId="0" applyAlignment="1" applyFill="1" applyFont="1">
      <alignment readingOrder="0" vertical="top"/>
    </xf>
    <xf borderId="0" fillId="9" fontId="6" numFmtId="0" xfId="0" applyAlignment="1" applyFont="1">
      <alignment horizontal="center" readingOrder="0" vertical="top"/>
    </xf>
    <xf borderId="0" fillId="9" fontId="7" numFmtId="0" xfId="0" applyAlignment="1" applyFont="1">
      <alignment vertical="top"/>
    </xf>
    <xf borderId="0" fillId="2" fontId="7" numFmtId="0" xfId="0" applyAlignment="1" applyFont="1">
      <alignment horizontal="left" readingOrder="0" vertical="top"/>
    </xf>
    <xf borderId="1" fillId="2" fontId="7" numFmtId="0" xfId="0" applyAlignment="1" applyBorder="1" applyFont="1">
      <alignment horizontal="left" readingOrder="0" vertical="top"/>
    </xf>
    <xf borderId="0" fillId="5" fontId="7" numFmtId="0" xfId="0" applyAlignment="1" applyFont="1">
      <alignment horizontal="left" readingOrder="0" vertical="top"/>
    </xf>
    <xf borderId="0" fillId="6" fontId="7" numFmtId="0" xfId="0" applyAlignment="1" applyFont="1">
      <alignment horizontal="right" vertical="top"/>
    </xf>
    <xf borderId="1" fillId="2" fontId="7" numFmtId="0" xfId="0" applyAlignment="1" applyBorder="1" applyFont="1">
      <alignment shrinkToFit="0" vertical="top" wrapText="1"/>
    </xf>
    <xf borderId="0" fillId="5" fontId="12" numFmtId="0" xfId="0" applyAlignment="1" applyFont="1">
      <alignment vertical="top"/>
    </xf>
    <xf borderId="0" fillId="4" fontId="5" numFmtId="0" xfId="0" applyAlignment="1" applyFont="1">
      <alignment vertical="top"/>
    </xf>
    <xf borderId="0" fillId="4" fontId="5" numFmtId="0" xfId="0" applyAlignment="1" applyFont="1">
      <alignment shrinkToFit="0" vertical="top" wrapText="1"/>
    </xf>
    <xf borderId="0" fillId="8" fontId="6" numFmtId="0" xfId="0" applyAlignment="1" applyFont="1">
      <alignment vertical="top"/>
    </xf>
    <xf borderId="0" fillId="8" fontId="6" numFmtId="0" xfId="0" applyAlignment="1" applyFont="1">
      <alignment horizontal="center" vertical="top"/>
    </xf>
    <xf borderId="0" fillId="6" fontId="6" numFmtId="0" xfId="0" applyAlignment="1" applyFont="1">
      <alignment vertical="top"/>
    </xf>
    <xf borderId="1" fillId="5" fontId="7" numFmtId="0" xfId="0" applyAlignment="1" applyBorder="1" applyFont="1">
      <alignment vertical="top"/>
    </xf>
    <xf borderId="1" fillId="5" fontId="7" numFmtId="0" xfId="0" applyAlignment="1" applyBorder="1" applyFont="1">
      <alignment readingOrder="0" vertical="top"/>
    </xf>
    <xf borderId="1" fillId="5" fontId="7" numFmtId="0" xfId="0" applyAlignment="1" applyBorder="1" applyFont="1">
      <alignment shrinkToFit="0" vertical="top" wrapText="1"/>
    </xf>
    <xf borderId="0" fillId="2" fontId="11" numFmtId="0" xfId="0" applyAlignment="1" applyFont="1">
      <alignment vertical="top"/>
    </xf>
    <xf borderId="0" fillId="2" fontId="12" numFmtId="0" xfId="0" applyAlignment="1" applyFont="1">
      <alignment readingOrder="0" shrinkToFit="0" vertical="top" wrapText="1"/>
    </xf>
    <xf borderId="0" fillId="2" fontId="12" numFmtId="0" xfId="0" applyAlignment="1" applyFont="1">
      <alignment shrinkToFit="0" vertical="top" wrapText="1"/>
    </xf>
    <xf borderId="0" fillId="2" fontId="12" numFmtId="0" xfId="0" applyAlignment="1" applyFont="1">
      <alignment readingOrder="0" vertical="top"/>
    </xf>
    <xf borderId="0" fillId="2" fontId="12" numFmtId="0" xfId="0" applyAlignment="1" applyFont="1">
      <alignment vertical="top"/>
    </xf>
    <xf borderId="0" fillId="9" fontId="7" numFmtId="0" xfId="0" applyAlignment="1" applyFont="1">
      <alignment horizontal="right" vertical="top"/>
    </xf>
    <xf borderId="1" fillId="5" fontId="7" numFmtId="0" xfId="0" applyAlignment="1" applyBorder="1" applyFont="1">
      <alignment horizontal="left" readingOrder="0" vertical="top"/>
    </xf>
    <xf borderId="0" fillId="5" fontId="7" numFmtId="0" xfId="0" applyAlignment="1" applyFont="1">
      <alignment horizontal="left" readingOrder="0" vertical="top"/>
    </xf>
    <xf borderId="0" fillId="8" fontId="5" numFmtId="164" xfId="0" applyAlignment="1" applyFont="1" applyNumberFormat="1">
      <alignment horizontal="left" vertical="top"/>
    </xf>
    <xf borderId="2" fillId="5" fontId="7" numFmtId="0" xfId="0" applyAlignment="1" applyBorder="1" applyFont="1">
      <alignment vertical="top"/>
    </xf>
    <xf borderId="3" fillId="5" fontId="7" numFmtId="0" xfId="0" applyAlignment="1" applyBorder="1" applyFont="1">
      <alignment vertical="top"/>
    </xf>
    <xf borderId="4" fillId="5" fontId="7" numFmtId="0" xfId="0" applyAlignment="1" applyBorder="1" applyFont="1">
      <alignment vertical="top"/>
    </xf>
    <xf borderId="0" fillId="5" fontId="7" numFmtId="0" xfId="0" applyAlignment="1" applyFont="1">
      <alignment readingOrder="0" vertical="top"/>
    </xf>
    <xf borderId="0" fillId="5" fontId="7" numFmtId="0" xfId="0" applyAlignment="1" applyFont="1">
      <alignment vertical="top"/>
    </xf>
    <xf borderId="0" fillId="8" fontId="5" numFmtId="164" xfId="0" applyAlignment="1" applyFont="1" applyNumberFormat="1">
      <alignment horizontal="right" vertical="top"/>
    </xf>
    <xf borderId="0" fillId="8" fontId="5" numFmtId="0" xfId="0" applyAlignment="1" applyFont="1">
      <alignment vertical="top"/>
    </xf>
    <xf borderId="0" fillId="8" fontId="5" numFmtId="0" xfId="0" applyAlignment="1" applyFont="1">
      <alignment shrinkToFit="0" vertical="top" wrapText="1"/>
    </xf>
    <xf borderId="0" fillId="5" fontId="7" numFmtId="0" xfId="0" applyAlignment="1" applyFont="1">
      <alignment horizontal="right" vertical="top"/>
    </xf>
    <xf borderId="0" fillId="5" fontId="6" numFmtId="0" xfId="0" applyAlignment="1" applyFont="1">
      <alignment readingOrder="0" vertical="top"/>
    </xf>
    <xf borderId="1" fillId="5" fontId="7" numFmtId="0" xfId="0" applyAlignment="1" applyBorder="1" applyFont="1">
      <alignment shrinkToFit="0" vertical="top" wrapText="1"/>
    </xf>
    <xf borderId="0" fillId="2" fontId="6" numFmtId="0" xfId="0" applyAlignment="1" applyFont="1">
      <alignment horizontal="center" readingOrder="0" vertical="top"/>
    </xf>
    <xf borderId="1" fillId="5" fontId="7" numFmtId="0" xfId="0" applyAlignment="1" applyBorder="1" applyFont="1">
      <alignment vertical="top"/>
    </xf>
    <xf borderId="0" fillId="0" fontId="14" numFmtId="0" xfId="0" applyAlignment="1" applyFont="1">
      <alignment vertical="top"/>
    </xf>
    <xf borderId="0" fillId="0" fontId="15" numFmtId="0" xfId="0" applyAlignment="1" applyFont="1">
      <alignment vertical="top"/>
    </xf>
    <xf borderId="0" fillId="5" fontId="6" numFmtId="0" xfId="0" applyAlignment="1" applyFont="1">
      <alignment horizontal="left" vertical="top"/>
    </xf>
    <xf borderId="0" fillId="0" fontId="14" numFmtId="0" xfId="0" applyAlignment="1" applyFont="1">
      <alignment horizontal="left" vertical="top"/>
    </xf>
    <xf borderId="0" fillId="0" fontId="16" numFmtId="0" xfId="0" applyAlignment="1" applyFont="1">
      <alignment readingOrder="0"/>
    </xf>
    <xf borderId="0" fillId="0" fontId="16" numFmtId="0" xfId="0" applyFont="1"/>
    <xf borderId="0" fillId="0" fontId="14" numFmtId="0" xfId="0" applyAlignment="1" applyFont="1">
      <alignment readingOrder="0"/>
    </xf>
    <xf borderId="0" fillId="0" fontId="3" numFmtId="0" xfId="0" applyAlignment="1" applyFont="1">
      <alignment horizontal="right" vertical="bottom"/>
    </xf>
    <xf borderId="0" fillId="0" fontId="14" numFmtId="0" xfId="0" applyAlignment="1" applyFont="1">
      <alignment readingOrder="0"/>
    </xf>
    <xf borderId="0" fillId="0" fontId="14" numFmtId="0" xfId="0" applyFont="1"/>
    <xf borderId="0" fillId="10" fontId="14" numFmtId="0" xfId="0" applyAlignment="1" applyFill="1" applyFont="1">
      <alignment readingOrder="0"/>
    </xf>
    <xf borderId="0" fillId="0" fontId="3" numFmtId="0" xfId="0" applyAlignment="1" applyFont="1">
      <alignment readingOrder="0" vertical="bottom"/>
    </xf>
    <xf borderId="0" fillId="0" fontId="3" numFmtId="0" xfId="0" applyAlignment="1" applyFont="1">
      <alignment horizontal="right" readingOrder="0" vertical="bottom"/>
    </xf>
    <xf borderId="0" fillId="0" fontId="3" numFmtId="0" xfId="0" applyAlignment="1" applyFont="1">
      <alignment vertical="bottom"/>
    </xf>
    <xf borderId="5" fillId="11" fontId="14" numFmtId="0" xfId="0" applyBorder="1" applyFill="1" applyFont="1"/>
    <xf borderId="6" fillId="11" fontId="16" numFmtId="0" xfId="0" applyAlignment="1" applyBorder="1" applyFont="1">
      <alignment readingOrder="0"/>
    </xf>
    <xf borderId="7" fillId="11" fontId="16" numFmtId="0" xfId="0" applyAlignment="1" applyBorder="1" applyFont="1">
      <alignment readingOrder="0"/>
    </xf>
    <xf borderId="8" fillId="12" fontId="16" numFmtId="0" xfId="0" applyAlignment="1" applyBorder="1" applyFill="1" applyFont="1">
      <alignment readingOrder="0"/>
    </xf>
    <xf borderId="9" fillId="0" fontId="14" numFmtId="0" xfId="0" applyAlignment="1" applyBorder="1" applyFont="1">
      <alignment readingOrder="0"/>
    </xf>
    <xf borderId="9" fillId="0" fontId="14" numFmtId="0" xfId="0" applyBorder="1" applyFont="1"/>
    <xf borderId="10" fillId="12" fontId="16" numFmtId="0" xfId="0" applyAlignment="1" applyBorder="1" applyFont="1">
      <alignment readingOrder="0"/>
    </xf>
    <xf borderId="11" fillId="0" fontId="14" numFmtId="0" xfId="0" applyBorder="1" applyFont="1"/>
    <xf borderId="12" fillId="0" fontId="14" numFmtId="0" xfId="0" applyBorder="1" applyFont="1"/>
    <xf borderId="13" fillId="0" fontId="14" numFmtId="0" xfId="0" applyBorder="1" applyFont="1"/>
    <xf borderId="9" fillId="0" fontId="3" numFmtId="0" xfId="0" applyAlignment="1" applyBorder="1" applyFont="1">
      <alignment horizontal="right" vertical="bottom"/>
    </xf>
    <xf borderId="14" fillId="0" fontId="14" numFmtId="0" xfId="0" applyBorder="1" applyFont="1"/>
    <xf borderId="0" fillId="0" fontId="14" numFmtId="0" xfId="0" applyAlignment="1" applyFont="1">
      <alignment readingOrder="0" vertical="bottom"/>
    </xf>
    <xf borderId="14" fillId="0" fontId="3" numFmtId="0" xfId="0" applyAlignment="1" applyBorder="1" applyFont="1">
      <alignment horizontal="right" vertical="bottom"/>
    </xf>
    <xf borderId="8" fillId="2" fontId="14" numFmtId="0" xfId="0" applyAlignment="1" applyBorder="1" applyFont="1">
      <alignment readingOrder="0"/>
    </xf>
    <xf borderId="15" fillId="0" fontId="14" numFmtId="0" xfId="0" applyBorder="1" applyFont="1"/>
    <xf borderId="8" fillId="0" fontId="16" numFmtId="0" xfId="0" applyAlignment="1" applyBorder="1" applyFont="1">
      <alignment readingOrder="0"/>
    </xf>
    <xf borderId="0" fillId="2" fontId="14" numFmtId="0" xfId="0" applyAlignment="1" applyFont="1">
      <alignment readingOrder="0"/>
    </xf>
    <xf borderId="6" fillId="0" fontId="3" numFmtId="0" xfId="0" applyAlignment="1" applyBorder="1" applyFont="1">
      <alignment vertical="bottom"/>
    </xf>
    <xf borderId="6" fillId="0" fontId="14" numFmtId="0" xfId="0" applyBorder="1" applyFont="1"/>
    <xf borderId="8" fillId="0" fontId="16" numFmtId="0" xfId="0" applyBorder="1" applyFont="1"/>
    <xf borderId="10" fillId="0" fontId="16" numFmtId="0" xfId="0" applyBorder="1" applyFont="1"/>
    <xf borderId="11" fillId="0" fontId="3" numFmtId="0" xfId="0" applyAlignment="1" applyBorder="1" applyFont="1">
      <alignment readingOrder="0" vertical="bottom"/>
    </xf>
    <xf borderId="13" fillId="11" fontId="16" numFmtId="0" xfId="0" applyAlignment="1" applyBorder="1" applyFont="1">
      <alignment readingOrder="0"/>
    </xf>
    <xf borderId="14" fillId="0" fontId="17" numFmtId="0" xfId="0" applyAlignment="1" applyBorder="1" applyFont="1">
      <alignment readingOrder="0" vertical="top"/>
    </xf>
    <xf borderId="15" fillId="0" fontId="17" numFmtId="0" xfId="0" applyAlignment="1" applyBorder="1" applyFont="1">
      <alignment readingOrder="0" vertical="top"/>
    </xf>
    <xf borderId="0" fillId="13" fontId="10" numFmtId="0" xfId="0" applyAlignment="1" applyFill="1" applyFont="1">
      <alignment readingOrder="0" vertical="bottom"/>
    </xf>
    <xf borderId="0" fillId="13" fontId="3" numFmtId="0" xfId="0" applyAlignment="1" applyFont="1">
      <alignment vertical="bottom"/>
    </xf>
    <xf borderId="0" fillId="0" fontId="10" numFmtId="0" xfId="0" applyAlignment="1" applyFont="1">
      <alignment vertical="bottom"/>
    </xf>
    <xf borderId="0" fillId="0" fontId="10" numFmtId="0" xfId="0" applyAlignment="1" applyFont="1">
      <alignment horizontal="right" vertical="bottom"/>
    </xf>
    <xf borderId="0" fillId="13" fontId="14" numFmtId="0" xfId="0" applyAlignment="1" applyFont="1">
      <alignment vertical="bottom"/>
    </xf>
    <xf borderId="0" fillId="0" fontId="18" numFmtId="0" xfId="0" applyAlignment="1" applyFont="1">
      <alignment readingOrder="0" shrinkToFit="0" vertical="bottom" wrapText="0"/>
    </xf>
    <xf borderId="0" fillId="0" fontId="14" numFmtId="0" xfId="0" applyAlignment="1" applyFont="1">
      <alignment vertical="bottom"/>
    </xf>
    <xf borderId="0" fillId="0" fontId="14" numFmtId="0" xfId="0" applyAlignment="1" applyFont="1">
      <alignment readingOrder="0" vertical="bottom"/>
    </xf>
    <xf borderId="0" fillId="0" fontId="16" numFmtId="0" xfId="0" applyAlignment="1" applyFont="1">
      <alignment readingOrder="0" vertical="bottom"/>
    </xf>
    <xf borderId="0" fillId="10" fontId="18" numFmtId="0" xfId="0" applyAlignment="1" applyFont="1">
      <alignment readingOrder="0" shrinkToFit="0" vertical="bottom" wrapText="0"/>
    </xf>
    <xf borderId="0" fillId="10" fontId="14" numFmtId="0" xfId="0" applyAlignment="1" applyFont="1">
      <alignment readingOrder="0" vertical="bottom"/>
    </xf>
    <xf borderId="0" fillId="10" fontId="14" numFmtId="0" xfId="0" applyAlignment="1" applyFont="1">
      <alignment vertical="bottom"/>
    </xf>
    <xf borderId="0" fillId="10" fontId="3" numFmtId="0" xfId="0" applyAlignment="1" applyFont="1">
      <alignment vertical="bottom"/>
    </xf>
    <xf borderId="0" fillId="13" fontId="3" numFmtId="0" xfId="0" applyAlignment="1" applyFont="1">
      <alignment horizontal="right" readingOrder="0" vertical="bottom"/>
    </xf>
    <xf borderId="0" fillId="0" fontId="10" numFmtId="0" xfId="0" applyAlignment="1" applyFont="1">
      <alignment vertical="bottom"/>
    </xf>
    <xf borderId="0" fillId="13" fontId="14" numFmtId="0" xfId="0" applyFont="1"/>
    <xf borderId="0" fillId="13" fontId="3" numFmtId="0" xfId="0" applyAlignment="1" applyFont="1">
      <alignment readingOrder="0" vertical="bottom"/>
    </xf>
    <xf borderId="0" fillId="13" fontId="10" numFmtId="0" xfId="0" applyAlignment="1" applyFont="1">
      <alignment horizontal="left" readingOrder="0" vertical="bottom"/>
    </xf>
    <xf borderId="0" fillId="0" fontId="17" numFmtId="0" xfId="0" applyAlignment="1" applyFont="1">
      <alignment readingOrder="0" vertical="bottom"/>
    </xf>
    <xf borderId="0" fillId="0" fontId="3" numFmtId="0" xfId="0" applyAlignment="1" applyFont="1">
      <alignment readingOrder="0" vertical="bottom"/>
    </xf>
    <xf borderId="0" fillId="0" fontId="3" numFmtId="0" xfId="0" applyAlignment="1" applyFont="1">
      <alignment vertical="bottom"/>
    </xf>
    <xf borderId="0" fillId="0" fontId="10" numFmtId="0" xfId="0" applyAlignment="1" applyFont="1">
      <alignment readingOrder="0" vertical="bottom"/>
    </xf>
    <xf borderId="0" fillId="12" fontId="10" numFmtId="0" xfId="0" applyAlignment="1" applyFont="1">
      <alignment vertical="bottom"/>
    </xf>
    <xf borderId="0" fillId="12" fontId="3" numFmtId="0" xfId="0" applyAlignment="1" applyFont="1">
      <alignment vertical="bottom"/>
    </xf>
    <xf borderId="0" fillId="12" fontId="14" numFmtId="0" xfId="0" applyFont="1"/>
    <xf borderId="0" fillId="12" fontId="19" numFmtId="0" xfId="0" applyAlignment="1" applyFont="1">
      <alignment vertical="bottom"/>
    </xf>
    <xf borderId="0" fillId="12" fontId="3" numFmtId="0" xfId="0" applyAlignment="1" applyFont="1">
      <alignment horizontal="right" vertical="bottom"/>
    </xf>
    <xf borderId="0" fillId="10" fontId="3" numFmtId="0" xfId="0" applyAlignment="1" applyFont="1">
      <alignment horizontal="right" vertical="bottom"/>
    </xf>
    <xf borderId="0" fillId="14" fontId="14" numFmtId="0" xfId="0" applyAlignment="1" applyFill="1" applyFont="1">
      <alignment readingOrder="0"/>
    </xf>
    <xf borderId="0" fillId="15" fontId="3" numFmtId="0" xfId="0" applyAlignment="1" applyFill="1" applyFont="1">
      <alignment vertical="bottom"/>
    </xf>
    <xf borderId="0" fillId="16" fontId="3" numFmtId="0" xfId="0" applyAlignment="1" applyFill="1" applyFont="1">
      <alignment vertical="bottom"/>
    </xf>
    <xf borderId="0" fillId="17" fontId="3" numFmtId="0" xfId="0" applyAlignment="1" applyFill="1" applyFont="1">
      <alignment vertical="bottom"/>
    </xf>
    <xf borderId="0" fillId="0" fontId="17" numFmtId="0" xfId="0" applyAlignment="1" applyFont="1">
      <alignment vertical="bottom"/>
    </xf>
    <xf borderId="0" fillId="10" fontId="3" numFmtId="0" xfId="0" applyAlignment="1" applyFont="1">
      <alignment readingOrder="0" vertical="bottom"/>
    </xf>
    <xf borderId="0" fillId="10" fontId="14" numFmtId="0" xfId="0" applyFont="1"/>
    <xf borderId="0" fillId="0" fontId="10" numFmtId="0" xfId="0" applyAlignment="1" applyFont="1">
      <alignment horizontal="left" readingOrder="0" vertical="bottom"/>
    </xf>
    <xf borderId="0" fillId="0" fontId="3" numFmtId="0" xfId="0" applyAlignment="1" applyFont="1">
      <alignment horizontal="left" readingOrder="0" vertical="bottom"/>
    </xf>
    <xf borderId="0" fillId="2" fontId="20" numFmtId="0" xfId="0" applyAlignment="1" applyFont="1">
      <alignment readingOrder="0"/>
    </xf>
    <xf borderId="0" fillId="0" fontId="17" numFmtId="0" xfId="0" applyAlignment="1" applyFont="1">
      <alignment horizontal="center" vertical="top"/>
    </xf>
    <xf borderId="0" fillId="0" fontId="17" numFmtId="0" xfId="0" applyAlignment="1" applyFont="1">
      <alignment vertical="top"/>
    </xf>
    <xf borderId="0" fillId="0" fontId="3" numFmtId="0" xfId="0" applyAlignment="1" applyFont="1">
      <alignment horizontal="left" vertical="bottom"/>
    </xf>
    <xf borderId="0" fillId="0" fontId="21" numFmtId="0" xfId="0" applyAlignment="1" applyFont="1">
      <alignment vertical="top"/>
    </xf>
    <xf borderId="0" fillId="0" fontId="17" numFmtId="0" xfId="0" applyAlignment="1" applyFont="1">
      <alignment horizontal="left" vertical="top"/>
    </xf>
    <xf borderId="0" fillId="0" fontId="14" numFmtId="0" xfId="0" applyAlignment="1" applyFont="1">
      <alignment horizontal="left"/>
    </xf>
    <xf borderId="0" fillId="2" fontId="22" numFmtId="0" xfId="0" applyAlignment="1" applyFont="1">
      <alignment readingOrder="0" vertical="bottom"/>
    </xf>
    <xf borderId="0" fillId="2" fontId="22" numFmtId="0" xfId="0" applyAlignment="1" applyFont="1">
      <alignment vertical="bottom"/>
    </xf>
    <xf borderId="0" fillId="0" fontId="23" numFmtId="0" xfId="0" applyAlignment="1" applyFont="1">
      <alignment horizontal="center" readingOrder="0" vertical="top"/>
    </xf>
    <xf borderId="0" fillId="0" fontId="23" numFmtId="0" xfId="0" applyAlignment="1" applyFont="1">
      <alignment readingOrder="0" vertical="top"/>
    </xf>
    <xf borderId="0" fillId="0" fontId="17" numFmtId="0" xfId="0" applyAlignment="1" applyFont="1">
      <alignment readingOrder="0" shrinkToFit="0" vertical="bottom" wrapText="0"/>
    </xf>
    <xf borderId="0" fillId="0" fontId="17" numFmtId="0" xfId="0" applyAlignment="1" applyFont="1">
      <alignment shrinkToFit="0" vertical="bottom" wrapText="0"/>
    </xf>
    <xf borderId="0" fillId="2" fontId="24" numFmtId="0" xfId="0" applyAlignment="1" applyFont="1">
      <alignment shrinkToFit="0" vertical="bottom" wrapText="1"/>
    </xf>
    <xf borderId="0" fillId="2" fontId="24" numFmtId="0" xfId="0" applyAlignment="1" applyFont="1">
      <alignment shrinkToFit="0" vertical="bottom" wrapText="1"/>
    </xf>
    <xf borderId="0" fillId="0" fontId="10" numFmtId="0" xfId="0" applyAlignment="1" applyFont="1">
      <alignment shrinkToFit="0" vertical="bottom" wrapText="1"/>
    </xf>
    <xf borderId="0" fillId="2" fontId="25" numFmtId="0" xfId="0" applyAlignment="1" applyFont="1">
      <alignment shrinkToFit="0" vertical="bottom" wrapText="1"/>
    </xf>
    <xf borderId="0" fillId="2" fontId="25" numFmtId="0" xfId="0" applyAlignment="1" applyFont="1">
      <alignment horizontal="right" vertical="bottom"/>
    </xf>
    <xf borderId="0" fillId="0" fontId="3" numFmtId="0" xfId="0" applyAlignment="1" applyFont="1">
      <alignment shrinkToFit="0" vertical="bottom" wrapText="1"/>
    </xf>
    <xf borderId="16" fillId="2" fontId="25" numFmtId="0" xfId="0" applyAlignment="1" applyBorder="1" applyFont="1">
      <alignment vertical="bottom"/>
    </xf>
    <xf borderId="16" fillId="2" fontId="25" numFmtId="0" xfId="0" applyAlignment="1" applyBorder="1" applyFont="1">
      <alignment readingOrder="0" vertical="bottom"/>
    </xf>
    <xf borderId="16" fillId="0" fontId="3" numFmtId="0" xfId="0" applyAlignment="1" applyBorder="1" applyFont="1">
      <alignment vertical="bottom"/>
    </xf>
    <xf borderId="0" fillId="0" fontId="26" numFmtId="0" xfId="0" applyAlignment="1" applyFont="1">
      <alignment readingOrder="0"/>
    </xf>
    <xf borderId="0" fillId="0" fontId="10" numFmtId="0" xfId="0" applyAlignment="1" applyFont="1">
      <alignment shrinkToFit="0" vertical="bottom" wrapText="1"/>
    </xf>
    <xf borderId="0" fillId="0" fontId="3" numFmtId="0" xfId="0" applyAlignment="1" applyFont="1">
      <alignment shrinkToFit="0" vertical="bottom" wrapText="1"/>
    </xf>
    <xf borderId="0" fillId="0" fontId="3" numFmtId="0" xfId="0" applyAlignment="1" applyFont="1">
      <alignment horizontal="right" shrinkToFit="0" vertical="bottom" wrapText="1"/>
    </xf>
    <xf borderId="0" fillId="2" fontId="24" numFmtId="0" xfId="0" applyAlignment="1" applyFont="1">
      <alignment vertical="bottom"/>
    </xf>
    <xf borderId="0" fillId="2" fontId="24" numFmtId="0" xfId="0" applyAlignment="1" applyFont="1">
      <alignment readingOrder="0" vertical="bottom"/>
    </xf>
    <xf borderId="0" fillId="2" fontId="3" numFmtId="0" xfId="0" applyAlignment="1" applyFont="1">
      <alignment vertical="bottom"/>
    </xf>
    <xf borderId="16" fillId="2" fontId="27" numFmtId="0" xfId="0" applyAlignment="1" applyBorder="1" applyFont="1">
      <alignment readingOrder="0" vertical="bottom"/>
    </xf>
    <xf borderId="16" fillId="2" fontId="27" numFmtId="0" xfId="0" applyAlignment="1" applyBorder="1" applyFont="1">
      <alignment vertical="bottom"/>
    </xf>
    <xf borderId="0" fillId="0" fontId="28" numFmtId="0" xfId="0" applyAlignment="1" applyFont="1">
      <alignment readingOrder="0"/>
    </xf>
    <xf borderId="16" fillId="2" fontId="3" numFmtId="0" xfId="0" applyAlignment="1" applyBorder="1" applyFont="1">
      <alignment vertical="bottom"/>
    </xf>
    <xf borderId="0" fillId="0" fontId="29" numFmtId="0" xfId="0" applyAlignment="1" applyFont="1">
      <alignment readingOrder="0"/>
    </xf>
    <xf borderId="17" fillId="2" fontId="25" numFmtId="0" xfId="0" applyAlignment="1" applyBorder="1" applyFont="1">
      <alignment vertical="bottom"/>
    </xf>
    <xf borderId="17" fillId="2" fontId="27" numFmtId="0" xfId="0" applyAlignment="1" applyBorder="1" applyFont="1">
      <alignment vertical="bottom"/>
    </xf>
    <xf borderId="17" fillId="2" fontId="3" numFmtId="0" xfId="0" applyAlignment="1" applyBorder="1" applyFont="1">
      <alignment vertical="bottom"/>
    </xf>
    <xf borderId="0" fillId="2" fontId="25" numFmtId="0" xfId="0" applyAlignment="1" applyFont="1">
      <alignment vertical="bottom"/>
    </xf>
    <xf borderId="0" fillId="2" fontId="27" numFmtId="0" xfId="0" applyAlignment="1" applyFont="1">
      <alignment vertical="bottom"/>
    </xf>
    <xf borderId="0" fillId="0" fontId="30" numFmtId="0" xfId="0" applyAlignment="1" applyFont="1">
      <alignment horizontal="left" readingOrder="0" shrinkToFit="0" wrapText="1"/>
    </xf>
    <xf borderId="0" fillId="0" fontId="31" numFmtId="0" xfId="0" applyAlignment="1" applyFont="1">
      <alignment horizontal="left" readingOrder="0" shrinkToFit="0" wrapText="1"/>
    </xf>
    <xf borderId="0" fillId="0" fontId="32" numFmtId="0" xfId="0" applyAlignment="1" applyFont="1">
      <alignment horizontal="left" readingOrder="0"/>
    </xf>
    <xf borderId="0" fillId="0" fontId="33" numFmtId="0" xfId="0" applyAlignment="1" applyFont="1">
      <alignment horizontal="left" readingOrder="0"/>
    </xf>
    <xf borderId="0" fillId="0" fontId="33" numFmtId="0" xfId="0" applyAlignment="1" applyFont="1">
      <alignment horizontal="left"/>
    </xf>
    <xf borderId="0" fillId="0" fontId="32" numFmtId="0" xfId="0" applyAlignment="1" applyFont="1">
      <alignment horizontal="left"/>
    </xf>
    <xf borderId="0" fillId="0" fontId="23" numFmtId="0" xfId="0" applyAlignment="1" applyFont="1">
      <alignment vertical="top"/>
    </xf>
    <xf borderId="0" fillId="0" fontId="10" numFmtId="0" xfId="0" applyAlignment="1" applyFont="1">
      <alignment readingOrder="0"/>
    </xf>
    <xf borderId="1" fillId="0" fontId="10" numFmtId="0" xfId="0" applyAlignment="1" applyBorder="1" applyFont="1">
      <alignment horizontal="center" shrinkToFit="0" wrapText="1"/>
    </xf>
    <xf borderId="0" fillId="0" fontId="10" numFmtId="0" xfId="0" applyAlignment="1" applyFont="1">
      <alignment horizontal="center" shrinkToFit="0" wrapText="1"/>
    </xf>
    <xf borderId="0" fillId="0" fontId="34" numFmtId="0" xfId="0" applyAlignment="1" applyFont="1">
      <alignment readingOrder="0"/>
    </xf>
    <xf borderId="0" fillId="0" fontId="14" numFmtId="0" xfId="0" applyAlignment="1" applyFont="1">
      <alignment horizontal="right" readingOrder="0"/>
    </xf>
    <xf borderId="0" fillId="0" fontId="14" numFmtId="0" xfId="0" applyAlignment="1" applyFont="1">
      <alignment readingOrder="0" shrinkToFit="0" wrapText="1"/>
    </xf>
    <xf borderId="0" fillId="0" fontId="23" numFmtId="0" xfId="0" applyAlignment="1" applyFont="1">
      <alignment vertical="bottom"/>
    </xf>
    <xf borderId="0" fillId="0" fontId="23" numFmtId="0" xfId="0" applyAlignment="1" applyFont="1">
      <alignment readingOrder="0" vertical="bottom"/>
    </xf>
    <xf borderId="0" fillId="10" fontId="17" numFmtId="0" xfId="0" applyAlignment="1" applyFont="1">
      <alignment vertical="bottom"/>
    </xf>
    <xf borderId="0" fillId="0" fontId="35" numFmtId="0" xfId="0" applyAlignment="1" applyFont="1">
      <alignment readingOrder="0"/>
    </xf>
    <xf borderId="0" fillId="0" fontId="36" numFmtId="0" xfId="0" applyAlignment="1" applyFont="1">
      <alignment readingOrder="0"/>
    </xf>
    <xf borderId="0" fillId="0" fontId="37" numFmtId="0" xfId="0" applyAlignment="1" applyFont="1">
      <alignment readingOrder="0"/>
    </xf>
    <xf borderId="0" fillId="0" fontId="37" numFmtId="0" xfId="0" applyFont="1"/>
  </cellXfs>
  <cellStyles count="1">
    <cellStyle xfId="0" name="Normal" builtinId="0"/>
  </cellStyles>
  <dxfs count="2">
    <dxf>
      <font/>
      <fill>
        <patternFill patternType="none"/>
      </fill>
      <border/>
    </dxf>
    <dxf>
      <font/>
      <fill>
        <patternFill patternType="solid">
          <fgColor rgb="FFF4C7C3"/>
          <bgColor rgb="FFF4C7C3"/>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Yoelle Maarek" id="{20d74f02-179b-46d5-8c8a-706cd6a037e0}"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J40" dT="2026-05-20T08:34:38.00" personId="{20d74f02-179b-46d5-8c8a-706cd6a037e0}" id="{5691b350-af53-499f-9ec9-91766f924a8a}" done="0">
    <x18tc:text xml:space="preserve">session of 4 after tweb2 withdrawal</x18tc:text>
  </x18tc:threadedComment>
  <x18tc:threadedComment ref="E40" dT="2026-05-19T17:41:19.00" personId="{20d74f02-179b-46d5-8c8a-706cd6a037e0}" id="{64386bff-a583-4b81-9c25-94af98427c3b}" done="0">
    <x18tc:text xml:space="preserve">4 papers only</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www.w4a.info/2026/" TargetMode="External"/><Relationship Id="rId9" Type="http://schemas.openxmlformats.org/officeDocument/2006/relationships/vmlDrawing" Target="../drawings/vmlDrawing1.vml"/><Relationship Id="rId5" Type="http://schemas.openxmlformats.org/officeDocument/2006/relationships/hyperlink" Target="https://www.w4a.info/2026/" TargetMode="External"/><Relationship Id="rId6" Type="http://schemas.openxmlformats.org/officeDocument/2006/relationships/hyperlink" Target="https://www.w4a.info/2026/" TargetMode="External"/><Relationship Id="rId7" Type="http://schemas.openxmlformats.org/officeDocument/2006/relationships/hyperlink" Target="https://www.w4a.info/2026/"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0" Type="http://schemas.openxmlformats.org/officeDocument/2006/relationships/hyperlink" Target="https://www-tfm-causal.github.io/www2026-workshop/" TargetMode="External"/><Relationship Id="rId22" Type="http://schemas.openxmlformats.org/officeDocument/2006/relationships/hyperlink" Target="https://time.griffith.edu.au/workshop/time2026/" TargetMode="External"/><Relationship Id="rId21" Type="http://schemas.openxmlformats.org/officeDocument/2006/relationships/hyperlink" Target="https://time.griffith.edu.au/workshop/time2026/" TargetMode="External"/><Relationship Id="rId24" Type="http://schemas.openxmlformats.org/officeDocument/2006/relationships/hyperlink" Target="https://samsunginternet.github.io/webads26/" TargetMode="External"/><Relationship Id="rId23" Type="http://schemas.openxmlformats.org/officeDocument/2006/relationships/hyperlink" Target="https://ttthhl.github.io/www2026-workshop/" TargetMode="External"/><Relationship Id="rId1" Type="http://schemas.openxmlformats.org/officeDocument/2006/relationships/hyperlink" Target="https://rafiqulislamcse24.wixsite.com/aaimvt-26" TargetMode="External"/><Relationship Id="rId2" Type="http://schemas.openxmlformats.org/officeDocument/2006/relationships/hyperlink" Target="https://sites.google.com/view/aiofai-2026/home" TargetMode="External"/><Relationship Id="rId3" Type="http://schemas.openxmlformats.org/officeDocument/2006/relationships/hyperlink" Target="https://altars2026.dei.unipd.it/" TargetMode="External"/><Relationship Id="rId4" Type="http://schemas.openxmlformats.org/officeDocument/2006/relationships/hyperlink" Target="https://beyondfacts2026.wordpress.com/" TargetMode="External"/><Relationship Id="rId9" Type="http://schemas.openxmlformats.org/officeDocument/2006/relationships/hyperlink" Target="https://federated-learning.org/fl@fm-www-2026/" TargetMode="External"/><Relationship Id="rId26" Type="http://schemas.openxmlformats.org/officeDocument/2006/relationships/hyperlink" Target="https://webandthecity.home.blog/" TargetMode="External"/><Relationship Id="rId25" Type="http://schemas.openxmlformats.org/officeDocument/2006/relationships/hyperlink" Target="https://samsunginternet.github.io/webads26/" TargetMode="External"/><Relationship Id="rId28" Type="http://schemas.openxmlformats.org/officeDocument/2006/relationships/hyperlink" Target="https://zabapad.github.io/" TargetMode="External"/><Relationship Id="rId27" Type="http://schemas.openxmlformats.org/officeDocument/2006/relationships/hyperlink" Target="https://webst2026.netlify.app/" TargetMode="External"/><Relationship Id="rId5" Type="http://schemas.openxmlformats.org/officeDocument/2006/relationships/hyperlink" Target="https://dhow-workshop.github.io/2026/" TargetMode="External"/><Relationship Id="rId6" Type="http://schemas.openxmlformats.org/officeDocument/2006/relationships/hyperlink" Target="https://dhow-workshop.github.io/2026/" TargetMode="External"/><Relationship Id="rId29" Type="http://schemas.openxmlformats.org/officeDocument/2006/relationships/hyperlink" Target="https://zabapad.github.io/" TargetMode="External"/><Relationship Id="rId7" Type="http://schemas.openxmlformats.org/officeDocument/2006/relationships/hyperlink" Target="https://faaw.univ-tours.fr/" TargetMode="External"/><Relationship Id="rId8" Type="http://schemas.openxmlformats.org/officeDocument/2006/relationships/hyperlink" Target="https://faaw.univ-tours.fr/" TargetMode="External"/><Relationship Id="rId30" Type="http://schemas.openxmlformats.org/officeDocument/2006/relationships/drawing" Target="../drawings/drawing10.xml"/><Relationship Id="rId11" Type="http://schemas.openxmlformats.org/officeDocument/2006/relationships/hyperlink" Target="https://hcrec.github.io/" TargetMode="External"/><Relationship Id="rId10" Type="http://schemas.openxmlformats.org/officeDocument/2006/relationships/hyperlink" Target="https://glow-workshop.github.io/www2026/" TargetMode="External"/><Relationship Id="rId13" Type="http://schemas.openxmlformats.org/officeDocument/2006/relationships/hyperlink" Target="https://llmandagents4recsys.github.io/" TargetMode="External"/><Relationship Id="rId12" Type="http://schemas.openxmlformats.org/officeDocument/2006/relationships/hyperlink" Target="https://llmandagents4recsys.github.io/" TargetMode="External"/><Relationship Id="rId15" Type="http://schemas.openxmlformats.org/officeDocument/2006/relationships/hyperlink" Target="https://prompteng-ws.github.io/2026/" TargetMode="External"/><Relationship Id="rId14" Type="http://schemas.openxmlformats.org/officeDocument/2006/relationships/hyperlink" Target="https://sites.google.com/view/mm4sg-webconf26" TargetMode="External"/><Relationship Id="rId17" Type="http://schemas.openxmlformats.org/officeDocument/2006/relationships/hyperlink" Target="https://semtech4stld.github.io/" TargetMode="External"/><Relationship Id="rId16" Type="http://schemas.openxmlformats.org/officeDocument/2006/relationships/hyperlink" Target="https://sites.google.com/view/r2cass/home" TargetMode="External"/><Relationship Id="rId19" Type="http://schemas.openxmlformats.org/officeDocument/2006/relationships/hyperlink" Target="https://temporalweb.net/" TargetMode="External"/><Relationship Id="rId18" Type="http://schemas.openxmlformats.org/officeDocument/2006/relationships/hyperlink" Target="https://temporalweb.net/"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18.75"/>
    <col customWidth="1" min="2" max="2" width="49.0"/>
    <col customWidth="1" min="3" max="3" width="49.63"/>
    <col customWidth="1" min="4" max="4" width="39.13"/>
    <col customWidth="1" min="5" max="5" width="45.25"/>
    <col customWidth="1" min="6" max="6" width="44.25"/>
    <col customWidth="1" min="7" max="7" width="45.38"/>
    <col customWidth="1" min="8" max="8" width="44.38"/>
    <col customWidth="1" min="9" max="9" width="47.75"/>
    <col customWidth="1" min="10" max="10" width="39.75"/>
    <col customWidth="1" min="11" max="11" width="46.5"/>
    <col customWidth="1" min="12" max="12" width="58.88"/>
    <col customWidth="1" min="13" max="13" width="73.75"/>
    <col customWidth="1" min="14" max="14" width="62.88"/>
    <col customWidth="1" min="15" max="15" width="107.63"/>
  </cols>
  <sheetData>
    <row r="1" ht="25.5" customHeight="1">
      <c r="A1" s="1" t="s">
        <v>0</v>
      </c>
      <c r="B1" s="2" t="s">
        <v>1</v>
      </c>
      <c r="C1" s="3"/>
      <c r="D1" s="3"/>
      <c r="E1" s="3"/>
      <c r="F1" s="3"/>
      <c r="G1" s="3"/>
      <c r="H1" s="3"/>
      <c r="I1" s="3"/>
      <c r="J1" s="3"/>
      <c r="K1" s="3"/>
      <c r="L1" s="3"/>
      <c r="M1" s="3"/>
      <c r="N1" s="3"/>
      <c r="O1" s="3"/>
      <c r="P1" s="4"/>
      <c r="Q1" s="5"/>
      <c r="R1" s="5"/>
      <c r="S1" s="5"/>
      <c r="T1" s="5"/>
      <c r="U1" s="5"/>
      <c r="V1" s="5"/>
      <c r="W1" s="5"/>
      <c r="X1" s="5"/>
      <c r="Y1" s="5"/>
      <c r="Z1" s="5"/>
      <c r="AA1" s="5"/>
    </row>
    <row r="2">
      <c r="A2" s="6"/>
      <c r="B2" s="7" t="s">
        <v>2</v>
      </c>
      <c r="C2" s="7" t="s">
        <v>3</v>
      </c>
      <c r="D2" s="7" t="s">
        <v>4</v>
      </c>
      <c r="E2" s="7" t="s">
        <v>5</v>
      </c>
      <c r="F2" s="7" t="s">
        <v>6</v>
      </c>
      <c r="G2" s="7" t="s">
        <v>7</v>
      </c>
      <c r="H2" s="7" t="s">
        <v>8</v>
      </c>
      <c r="I2" s="7" t="s">
        <v>9</v>
      </c>
      <c r="J2" s="7" t="s">
        <v>10</v>
      </c>
      <c r="K2" s="7" t="s">
        <v>11</v>
      </c>
      <c r="L2" s="8" t="s">
        <v>12</v>
      </c>
      <c r="M2" s="8" t="s">
        <v>13</v>
      </c>
      <c r="N2" s="7" t="s">
        <v>14</v>
      </c>
      <c r="O2" s="9" t="s">
        <v>15</v>
      </c>
      <c r="P2" s="5"/>
      <c r="Q2" s="5"/>
      <c r="R2" s="5"/>
      <c r="S2" s="5"/>
      <c r="T2" s="5"/>
      <c r="U2" s="5"/>
      <c r="V2" s="5"/>
      <c r="W2" s="5"/>
      <c r="X2" s="5"/>
      <c r="Y2" s="5"/>
      <c r="Z2" s="5"/>
      <c r="AA2" s="5"/>
    </row>
    <row r="3">
      <c r="A3" s="10">
        <v>46202.0</v>
      </c>
      <c r="B3" s="11"/>
      <c r="C3" s="11"/>
      <c r="D3" s="11"/>
      <c r="E3" s="11"/>
      <c r="F3" s="11"/>
      <c r="G3" s="11"/>
      <c r="H3" s="11"/>
      <c r="I3" s="11"/>
      <c r="J3" s="11"/>
      <c r="K3" s="11"/>
      <c r="L3" s="12"/>
      <c r="M3" s="13"/>
      <c r="N3" s="14"/>
      <c r="O3" s="13"/>
      <c r="P3" s="5"/>
      <c r="Q3" s="5"/>
      <c r="R3" s="5"/>
      <c r="S3" s="5"/>
      <c r="T3" s="5"/>
      <c r="U3" s="5"/>
      <c r="V3" s="5"/>
      <c r="W3" s="5"/>
      <c r="X3" s="5"/>
      <c r="Y3" s="5"/>
      <c r="Z3" s="5"/>
      <c r="AA3" s="5"/>
    </row>
    <row r="4">
      <c r="A4" s="15" t="s">
        <v>16</v>
      </c>
      <c r="B4" s="16" t="s">
        <v>17</v>
      </c>
      <c r="C4" s="16" t="s">
        <v>18</v>
      </c>
      <c r="D4" s="16" t="s">
        <v>19</v>
      </c>
      <c r="E4" s="16" t="s">
        <v>20</v>
      </c>
      <c r="F4" s="16" t="s">
        <v>21</v>
      </c>
      <c r="G4" s="16" t="s">
        <v>22</v>
      </c>
      <c r="H4" s="16" t="s">
        <v>23</v>
      </c>
      <c r="I4" s="16" t="s">
        <v>24</v>
      </c>
      <c r="J4" s="16" t="s">
        <v>25</v>
      </c>
      <c r="K4" s="16" t="s">
        <v>26</v>
      </c>
      <c r="L4" s="17" t="s">
        <v>27</v>
      </c>
      <c r="M4" s="18"/>
      <c r="N4" s="19" t="s">
        <v>28</v>
      </c>
      <c r="O4" s="20"/>
      <c r="P4" s="5"/>
      <c r="Q4" s="5"/>
      <c r="R4" s="5"/>
      <c r="S4" s="5"/>
      <c r="T4" s="5"/>
      <c r="U4" s="5"/>
      <c r="V4" s="5"/>
      <c r="W4" s="5"/>
      <c r="X4" s="5"/>
      <c r="Y4" s="5"/>
      <c r="Z4" s="5"/>
      <c r="AA4" s="5"/>
    </row>
    <row r="5">
      <c r="A5" s="21"/>
      <c r="B5" s="22" t="str">
        <f>IFERROR(__xludf.DUMMYFUNCTION("TEXTJOIN(CHAR(10), TRUE,FILTER(Tutorials!$E:$E,Tutorials!$A:$A=B4))"),"Temporal Information Retrieval And Question Answering in the Age of LLMs
Bhawna Piryani, Avishek Anand and Adam Jatowt")</f>
        <v>Temporal Information Retrieval And Question Answering in the Age of LLMs
Bhawna Piryani, Avishek Anand and Adam Jatowt</v>
      </c>
      <c r="C5" s="22" t="str">
        <f>IFERROR(__xludf.DUMMYFUNCTION("TEXTJOIN(CHAR(10), TRUE,FILTER(Tutorials!$E:$E,Tutorials!$A:$A=C4))"),"Out-of-distribution Generalized Generative AI
Xin Wang, Yuwei Zhou, Zirui Pan and Wenwu Zhu")</f>
        <v>Out-of-distribution Generalized Generative AI
Xin Wang, Yuwei Zhou, Zirui Pan and Wenwu Zhu</v>
      </c>
      <c r="D5" s="22" t="str">
        <f>IFERROR(__xludf.DUMMYFUNCTION("TEXTJOIN(CHAR(10), TRUE,FILTER(Tutorials!$E:$E,Tutorials!$A:$A=D4))"),"Towards a Responsible Web: Economic Perspectives on Fairness in Information Retrieval
Chen Xu, Clara Rus, Yuanna Liu, Marleen de Jonge, Jun Xu and Maarten de Rijke")</f>
        <v>Towards a Responsible Web: Economic Perspectives on Fairness in Information Retrieval
Chen Xu, Clara Rus, Yuanna Liu, Marleen de Jonge, Jun Xu and Maarten de Rijke</v>
      </c>
      <c r="E5" s="22" t="str">
        <f>IFERROR(__xludf.DUMMYFUNCTION("TEXTJOIN(CHAR(10), TRUE,FILTER(Workshops!$F:$F,Workshops!$A:$A=E4))"),"(LARS) part 1 - LLM &amp; Agents for Recommendation Systems
Keerthi Gopalakrishnan, Qi Xu, Aysenur Inan, Zhigang Hua, Shuang Yang and Luyi Ma 
https://llmandagents4recsys.github.io/")</f>
        <v>(LARS) part 1 - LLM &amp; Agents for Recommendation Systems
Keerthi Gopalakrishnan, Qi Xu, Aysenur Inan, Zhigang Hua, Shuang Yang and Luyi Ma 
https://llmandagents4recsys.github.io/</v>
      </c>
      <c r="F5" s="22" t="str">
        <f>IFERROR(__xludf.DUMMYFUNCTION("TEXTJOIN(CHAR(10), TRUE,FILTER(Workshops!$F:$F,Workshops!$A:$A=F4))"),"(WebAds) part 1 - Emerging Trends in Web Advertising
Ehsan Toreini and Muadh Al Kalbani 
https://samsunginternet.github.io/webads26/")</f>
        <v>(WebAds) part 1 - Emerging Trends in Web Advertising
Ehsan Toreini and Muadh Al Kalbani 
https://samsunginternet.github.io/webads26/</v>
      </c>
      <c r="G5" s="22" t="str">
        <f>IFERROR(__xludf.DUMMYFUNCTION("TEXTJOIN(CHAR(10), TRUE,FILTER(Workshops!$F:$F,Workshops!$A:$A=G4))"),"(ZABAPAD) part 1 - Zero-knowledge Proof and Blockchain for Web 4.0: Advancing the Post-quantum and Decentralized Era
Shiho Kim, Ho Suk, Roberto Di Pietro, Davor Svetinovic, KyungHi Chang, Madhusudan Singh and Rakesh Shrestha 
https://zabapad.github.io")</f>
        <v>(ZABAPAD) part 1 - Zero-knowledge Proof and Blockchain for Web 4.0: Advancing the Post-quantum and Decentralized Era
Shiho Kim, Ho Suk, Roberto Di Pietro, Davor Svetinovic, KyungHi Chang, Madhusudan Singh and Rakesh Shrestha 
https://zabapad.github.io</v>
      </c>
      <c r="H5" s="22" t="str">
        <f>IFERROR(__xludf.DUMMYFUNCTION("TEXTJOIN(CHAR(10), TRUE,FILTER(Workshops!$F:$F,Workshops!$A:$A=H4))"),"(GLOW) - Graph-enhanced LLMs for Trustworthy Web Data Management
Gianluca Bonifazi, Stefano Cirillo, Eliana Pastor and Luca Virgili 
https://glow-workshop.github.io/www2026/")</f>
        <v>(GLOW) - Graph-enhanced LLMs for Trustworthy Web Data Management
Gianluca Bonifazi, Stefano Cirillo, Eliana Pastor and Luca Virgili 
https://glow-workshop.github.io/www2026/</v>
      </c>
      <c r="I5" s="22" t="str">
        <f>IFERROR(__xludf.DUMMYFUNCTION("TEXTJOIN(CHAR(10), TRUE,FILTER(Workshops!$F:$F,Workshops!$A:$A=I4))"),"(TML) - International Workshop on Trustworthy Multimodal Learning for Social Media Analysis
Jingwei Sun,G uosheng Lin, Fengmao Lv, Tao Liang, Junlin Fang and Jianli Wang
https://ttthhl.github.io/www2026-workshop/")</f>
        <v>(TML) - International Workshop on Trustworthy Multimodal Learning for Social Media Analysis
Jingwei Sun,G uosheng Lin, Fengmao Lv, Tao Liang, Junlin Fang and Jianli Wang
https://ttthhl.github.io/www2026-workshop/</v>
      </c>
      <c r="J5" s="22" t="str">
        <f>IFERROR(__xludf.DUMMYFUNCTION("TEXTJOIN(CHAR(10), TRUE,FILTER(Workshops!$F:$F,Workshops!$A:$A=J4))"),"(WebAndTheCity) - 12th International Smart City Workshop – Data-Driven Smart Cities
Leonidas Anthopoulos, Marijn Janssen and Vishanth Weerakkody 
https://webandthecity.home.blog/")</f>
        <v>(WebAndTheCity) - 12th International Smart City Workshop – Data-Driven Smart Cities
Leonidas Anthopoulos, Marijn Janssen and Vishanth Weerakkody 
https://webandthecity.home.blog/</v>
      </c>
      <c r="K5" s="22" t="str">
        <f>IFERROR(__xludf.DUMMYFUNCTION("TEXTJOIN(CHAR(10), TRUE,FILTER(Workshops!$F:$F,Workshops!$A:$A=K4))"),"(WebST) - The 2nd International Workshop on Spatio-Temporal Data Mining from the Web
Yuxuan Liang, Hao Xue, Ming Jin, Fei Wang, Qingxiang Liu, Qingsong Wen, Shirui Pan and Flora Salim 
https://webst2026.netlify.app/")</f>
        <v>(WebST) - The 2nd International Workshop on Spatio-Temporal Data Mining from the Web
Yuxuan Liang, Hao Xue, Ming Jin, Fei Wang, Qingxiang Liu, Qingsong Wen, Shirui Pan and Flora Salim 
https://webst2026.netlify.app/</v>
      </c>
      <c r="L5" s="22" t="str">
        <f>IFERROR(__xludf.DUMMYFUNCTION("TEXTJOIN(CHAR(10), TRUE,FILTER(Workshops!$F:$F,Workshops!$A:$A=L4))"),"(AAIMVT) - 1st Workshop on Applied AI and Multimodal Visualization Technologies
Cesar Sanin, Edward Szczerbicki and Md Rafiqul Islam 
https://rafiqulislamcse24.wixsite.com/aaimvt-26")</f>
        <v>(AAIMVT) - 1st Workshop on Applied AI and Multimodal Visualization Technologies
Cesar Sanin, Edward Szczerbicki and Md Rafiqul Islam 
https://rafiqulislamcse24.wixsite.com/aaimvt-26</v>
      </c>
      <c r="M5" s="23"/>
      <c r="N5" s="24" t="s">
        <v>29</v>
      </c>
      <c r="O5" s="23"/>
      <c r="P5" s="25"/>
      <c r="Q5" s="25"/>
      <c r="R5" s="25"/>
      <c r="S5" s="25"/>
      <c r="T5" s="25"/>
      <c r="U5" s="25"/>
      <c r="V5" s="25"/>
      <c r="W5" s="25"/>
      <c r="X5" s="25"/>
      <c r="Y5" s="25"/>
      <c r="Z5" s="25"/>
      <c r="AA5" s="25"/>
    </row>
    <row r="6">
      <c r="A6" s="26" t="s">
        <v>30</v>
      </c>
      <c r="B6" s="27" t="s">
        <v>31</v>
      </c>
      <c r="O6" s="28"/>
      <c r="P6" s="5"/>
      <c r="Q6" s="5"/>
      <c r="R6" s="5"/>
      <c r="S6" s="5"/>
      <c r="T6" s="5"/>
      <c r="U6" s="5"/>
      <c r="V6" s="5"/>
      <c r="W6" s="5"/>
      <c r="X6" s="5"/>
      <c r="Y6" s="5"/>
      <c r="Z6" s="5"/>
      <c r="AA6" s="5"/>
    </row>
    <row r="7">
      <c r="A7" s="29" t="s">
        <v>32</v>
      </c>
      <c r="B7" s="30" t="s">
        <v>33</v>
      </c>
      <c r="C7" s="31" t="s">
        <v>34</v>
      </c>
      <c r="D7" s="31" t="s">
        <v>35</v>
      </c>
      <c r="E7" s="31" t="s">
        <v>36</v>
      </c>
      <c r="F7" s="31" t="s">
        <v>37</v>
      </c>
      <c r="G7" s="31" t="s">
        <v>38</v>
      </c>
      <c r="H7" s="31" t="s">
        <v>39</v>
      </c>
      <c r="I7" s="31" t="s">
        <v>40</v>
      </c>
      <c r="J7" s="31" t="s">
        <v>41</v>
      </c>
      <c r="K7" s="31" t="s">
        <v>42</v>
      </c>
      <c r="L7" s="32"/>
      <c r="M7" s="32"/>
      <c r="N7" s="33" t="s">
        <v>28</v>
      </c>
      <c r="O7" s="32"/>
      <c r="P7" s="5"/>
      <c r="Q7" s="5"/>
      <c r="R7" s="5"/>
      <c r="S7" s="5"/>
      <c r="T7" s="5"/>
      <c r="U7" s="5"/>
      <c r="V7" s="5"/>
      <c r="W7" s="5"/>
      <c r="X7" s="5"/>
      <c r="Y7" s="5"/>
      <c r="Z7" s="5"/>
      <c r="AA7" s="5"/>
    </row>
    <row r="8">
      <c r="A8" s="34"/>
      <c r="B8" s="35" t="str">
        <f>IFERROR(__xludf.DUMMYFUNCTION("TEXTJOIN(CHAR(10), TRUE,FILTER(Tutorials!$E:$E,Tutorials!$A:$A=B7))"),"Quantum-Safe, Efficient, and AI-Enhanced Blockchains for the Web: A Cooperative Tutorial on Quantum Computing, Blockchain Applications, and Data Standards
Dongping Liu, Aoyu Zhang and Luyao Zhang")</f>
        <v>Quantum-Safe, Efficient, and AI-Enhanced Blockchains for the Web: A Cooperative Tutorial on Quantum Computing, Blockchain Applications, and Data Standards
Dongping Liu, Aoyu Zhang and Luyao Zhang</v>
      </c>
      <c r="C8" s="35" t="str">
        <f>IFERROR(__xludf.DUMMYFUNCTION("TEXTJOIN(CHAR(10), TRUE,FILTER(Tutorials!$E:$E,Tutorials!$A:$A=C7))"),"Bandits, LLMs, and Agentic Web
Djallel Bouneffouf and Raphael Feraud")</f>
        <v>Bandits, LLMs, and Agentic Web
Djallel Bouneffouf and Raphael Feraud</v>
      </c>
      <c r="D8" s="35" t="str">
        <f>IFERROR(__xludf.DUMMYFUNCTION("TEXTJOIN(CHAR(10), TRUE,FILTER(Tutorials!$E:$E,Tutorials!$A:$A=D7))"),"Unstructured to Structured: Building Knowledge Graphs from Documents for Web Applications
Qiang Sun, Yihao Ding, Sirui Li and Wei Liu")</f>
        <v>Unstructured to Structured: Building Knowledge Graphs from Documents for Web Applications
Qiang Sun, Yihao Ding, Sirui Li and Wei Liu</v>
      </c>
      <c r="E8" s="35" t="str">
        <f>IFERROR(__xludf.DUMMYFUNCTION("TEXTJOIN(CHAR(10), TRUE,FILTER(Workshops!$F:$F,Workshops!$A:$A=E7))"),"(LARS) part 2 - LLM &amp; Agents for Recommendation Systems
Keerthi Gopalakrishnan, Qi Xu, Aysenur Inan, Zhigang Hua, Shuang Yang and Luyi Ma 
https://llmandagents4recsys.github.io/")</f>
        <v>(LARS) part 2 - LLM &amp; Agents for Recommendation Systems
Keerthi Gopalakrishnan, Qi Xu, Aysenur Inan, Zhigang Hua, Shuang Yang and Luyi Ma 
https://llmandagents4recsys.github.io/</v>
      </c>
      <c r="F8" s="35" t="str">
        <f>IFERROR(__xludf.DUMMYFUNCTION("TEXTJOIN(CHAR(10), TRUE,FILTER(Workshops!$F:$F,Workshops!$A:$A=F7))"),"(WebAds) part 2 - Emerging Trends in Web Advertising
Ehsan Toreini and Muadh Al Kalbani 
https://samsunginternet.github.io/webads26/")</f>
        <v>(WebAds) part 2 - Emerging Trends in Web Advertising
Ehsan Toreini and Muadh Al Kalbani 
https://samsunginternet.github.io/webads26/</v>
      </c>
      <c r="G8" s="35" t="str">
        <f>IFERROR(__xludf.DUMMYFUNCTION("TEXTJOIN(CHAR(10), TRUE,FILTER(Workshops!$F:$F,Workshops!$A:$A=G7))"),"(ZABAPAD) part 2 - Zero-knowledge Proof and Blockchain for Web 4.0: Advancing the Post-quantum and Decentralized Era
Shiho Kim, Ho Suk, Roberto Di Pietro, Davor Svetinovic, KyungHi Chang, Madhusudan Singh and Rakesh Shrestha 
https://zabapad.github.io")</f>
        <v>(ZABAPAD) part 2 - Zero-knowledge Proof and Blockchain for Web 4.0: Advancing the Post-quantum and Decentralized Era
Shiho Kim, Ho Suk, Roberto Di Pietro, Davor Svetinovic, KyungHi Chang, Madhusudan Singh and Rakesh Shrestha 
https://zabapad.github.io</v>
      </c>
      <c r="H8" s="35" t="str">
        <f>IFERROR(__xludf.DUMMYFUNCTION("TEXTJOIN(CHAR(10), TRUE,FILTER(Workshops!$F:$F,Workshops!$A:$A=H7))"),"(SemTech) - 4th International Workshop on AI and Semantic Technologies for the Scientific, Technical, and Legal Web
Rima Dessi', Jeenu Joy, Danilo Dessi', Francesco Osborne and Hidir Aras 
https://semtech4stld.github.io/")</f>
        <v>(SemTech) - 4th International Workshop on AI and Semantic Technologies for the Scientific, Technical, and Legal Web
Rima Dessi', Jeenu Joy, Danilo Dessi', Francesco Osborne and Hidir Aras 
https://semtech4stld.github.io/</v>
      </c>
      <c r="I8" s="35" t="str">
        <f>IFERROR(__xludf.DUMMYFUNCTION("TEXTJOIN(CHAR(10), TRUE,FILTER(Workshops!$F:$F,Workshops!$A:$A=I7))"),"(PromptEng) - Third International Workshop on Prompt Engineering for Pre-Trained Language Models
Damien Graux, Sébastien Montella and Hajira Jabeen 
https://prompteng-ws.github.io/2026/")</f>
        <v>(PromptEng) - Third International Workshop on Prompt Engineering for Pre-Trained Language Models
Damien Graux, Sébastien Montella and Hajira Jabeen 
https://prompteng-ws.github.io/2026/</v>
      </c>
      <c r="J8" s="35" t="str">
        <f>IFERROR(__xludf.DUMMYFUNCTION("TEXTJOIN(CHAR(10), TRUE,FILTER(Workshops!$F:$F,Workshops!$A:$A=J7))"),"(BeyondFacts'26) - 6th International Workshop on Computational Methods for Online Discourse Analysis
Stefan Dietze, Dimitar Dimitrov, Pavlos Fafalios and Konstantin Todorov
https://beyondfacts2026.wordpress.com/")</f>
        <v>(BeyondFacts'26) - 6th International Workshop on Computational Methods for Online Discourse Analysis
Stefan Dietze, Dimitar Dimitrov, Pavlos Fafalios and Konstantin Todorov
https://beyondfacts2026.wordpress.com/</v>
      </c>
      <c r="K8" s="35" t="str">
        <f>IFERROR(__xludf.DUMMYFUNCTION("TEXTJOIN(CHAR(10), TRUE,FILTER(Workshops!$F:$F,Workshops!$A:$A=K7))"),"(R2CASS) - The 2nd International Workshop on Social Science Meets Web Data: Reproducible and Reusable Computational Approaches
Fakhri Momeni, Arnim Bleier, Danilo Dessi and Muhammad Taimoor Khan 
https://sites.google.com/view/r2cass/home")</f>
        <v>(R2CASS) - The 2nd International Workshop on Social Science Meets Web Data: Reproducible and Reusable Computational Approaches
Fakhri Momeni, Arnim Bleier, Danilo Dessi and Muhammad Taimoor Khan 
https://sites.google.com/view/r2cass/home</v>
      </c>
      <c r="L8" s="35"/>
      <c r="M8" s="36"/>
      <c r="N8" s="37" t="s">
        <v>29</v>
      </c>
      <c r="O8" s="36"/>
      <c r="P8" s="25"/>
      <c r="Q8" s="25"/>
      <c r="R8" s="25"/>
      <c r="S8" s="25"/>
      <c r="T8" s="25"/>
      <c r="U8" s="25"/>
      <c r="V8" s="25"/>
      <c r="W8" s="25"/>
      <c r="X8" s="25"/>
      <c r="Y8" s="25"/>
      <c r="Z8" s="25"/>
      <c r="AA8" s="25"/>
    </row>
    <row r="9">
      <c r="A9" s="38"/>
      <c r="B9" s="32"/>
      <c r="C9" s="32"/>
      <c r="D9" s="32"/>
      <c r="E9" s="32"/>
      <c r="F9" s="32"/>
      <c r="G9" s="32"/>
      <c r="H9" s="32"/>
      <c r="I9" s="32"/>
      <c r="J9" s="32"/>
      <c r="K9" s="32"/>
      <c r="L9" s="32"/>
      <c r="M9" s="32"/>
      <c r="N9" s="32"/>
      <c r="O9" s="32"/>
      <c r="P9" s="5"/>
      <c r="Q9" s="5"/>
      <c r="R9" s="5"/>
      <c r="S9" s="5"/>
      <c r="T9" s="5"/>
      <c r="U9" s="5"/>
      <c r="V9" s="5"/>
      <c r="W9" s="5"/>
      <c r="X9" s="5"/>
      <c r="Y9" s="5"/>
      <c r="Z9" s="5"/>
      <c r="AA9" s="5"/>
    </row>
    <row r="10">
      <c r="A10" s="10">
        <v>46203.0</v>
      </c>
      <c r="B10" s="13"/>
      <c r="C10" s="13"/>
      <c r="D10" s="13"/>
      <c r="E10" s="13"/>
      <c r="F10" s="13"/>
      <c r="G10" s="13"/>
      <c r="H10" s="13"/>
      <c r="I10" s="13"/>
      <c r="J10" s="13"/>
      <c r="K10" s="13"/>
      <c r="L10" s="13"/>
      <c r="M10" s="39"/>
      <c r="N10" s="13"/>
      <c r="O10" s="13"/>
      <c r="P10" s="5"/>
      <c r="Q10" s="5"/>
      <c r="R10" s="5"/>
      <c r="S10" s="5"/>
      <c r="T10" s="5"/>
      <c r="U10" s="5"/>
      <c r="V10" s="5"/>
      <c r="W10" s="5"/>
      <c r="X10" s="5"/>
      <c r="Y10" s="5"/>
      <c r="Z10" s="5"/>
      <c r="AA10" s="5"/>
    </row>
    <row r="11">
      <c r="A11" s="15" t="s">
        <v>16</v>
      </c>
      <c r="B11" s="16" t="s">
        <v>43</v>
      </c>
      <c r="C11" s="16" t="s">
        <v>44</v>
      </c>
      <c r="D11" s="16" t="s">
        <v>45</v>
      </c>
      <c r="E11" s="16" t="s">
        <v>46</v>
      </c>
      <c r="F11" s="16" t="s">
        <v>47</v>
      </c>
      <c r="G11" s="16" t="s">
        <v>48</v>
      </c>
      <c r="H11" s="16" t="s">
        <v>49</v>
      </c>
      <c r="I11" s="16" t="s">
        <v>50</v>
      </c>
      <c r="J11" s="16" t="s">
        <v>51</v>
      </c>
      <c r="K11" s="16" t="s">
        <v>52</v>
      </c>
      <c r="L11" s="17" t="s">
        <v>53</v>
      </c>
      <c r="M11" s="40" t="s">
        <v>54</v>
      </c>
      <c r="N11" s="19" t="s">
        <v>28</v>
      </c>
      <c r="O11" s="20"/>
      <c r="P11" s="5"/>
      <c r="Q11" s="5"/>
      <c r="R11" s="5"/>
      <c r="S11" s="5"/>
      <c r="T11" s="5"/>
      <c r="U11" s="5"/>
      <c r="V11" s="5"/>
      <c r="W11" s="5"/>
      <c r="X11" s="5"/>
      <c r="Y11" s="5"/>
      <c r="Z11" s="5"/>
      <c r="AA11" s="5"/>
    </row>
    <row r="12">
      <c r="A12" s="21"/>
      <c r="B12" s="22" t="str">
        <f>IFERROR(__xludf.DUMMYFUNCTION("TEXTJOIN(CHAR(10), TRUE,FILTER(Tutorials!$E:$E,Tutorials!$A:$A=B11))"),"Next-Gen Code Development with Collaborative AI Agents
Shweta Garg, Behrooz Omidvar-Tehrani, Shengyu Fu, Gauthier Guinet and Baishakhi Ray")</f>
        <v>Next-Gen Code Development with Collaborative AI Agents
Shweta Garg, Behrooz Omidvar-Tehrani, Shengyu Fu, Gauthier Guinet and Baishakhi Ray</v>
      </c>
      <c r="C12" s="22" t="str">
        <f>IFERROR(__xludf.DUMMYFUNCTION("TEXTJOIN(CHAR(10), TRUE,FILTER(Tutorials!$E:$E,Tutorials!$A:$A=C11))"),"Conversational Search: From Fundamentals to Frontiers in the Age of Agents
Chuan Meng, Fengran Mo, Mohammad Aliannejadi, Jeff Dalton and Jian-Yun Nie")</f>
        <v>Conversational Search: From Fundamentals to Frontiers in the Age of Agents
Chuan Meng, Fengran Mo, Mohammad Aliannejadi, Jeff Dalton and Jian-Yun Nie</v>
      </c>
      <c r="D12" s="22" t="str">
        <f>IFERROR(__xludf.DUMMYFUNCTION("TEXTJOIN(CHAR(10), TRUE,FILTER(Tutorials!$E:$E,Tutorials!$A:$A=D11))"),"Foundations for the Agentic Web: Infrastructure, Economics, and Society
Ramesh Raskar and Pradyumna Chari")</f>
        <v>Foundations for the Agentic Web: Infrastructure, Economics, and Society
Ramesh Raskar and Pradyumna Chari</v>
      </c>
      <c r="E12" s="22" t="str">
        <f>IFERROR(__xludf.DUMMYFUNCTION("TEXTJOIN(CHAR(10), TRUE,FILTER(Workshops!$F:$F,Workshops!$A:$A=E11))"),"(HCRS) - The 2nd Workshop on Human-Centered Recommender Systems
Kaike Zhang, Jiakai Tang, Du Su, Shuchang Liu, Julian McAuley, Lina Yao, Qi Cao, Yue Feng and Fei Sun 
https://hcrec.github.io/")</f>
        <v>(HCRS) - The 2nd Workshop on Human-Centered Recommender Systems
Kaike Zhang, Jiakai Tang, Du Su, Shuchang Liu, Julian McAuley, Lina Yao, Qi Cao, Yue Feng and Fei Sun 
https://hcrec.github.io/</v>
      </c>
      <c r="F12" s="22" t="str">
        <f>IFERROR(__xludf.DUMMYFUNCTION("TEXTJOIN(CHAR(10), TRUE,FILTER(Workshops!$F:$F,Workshops!$A:$A=F11))"),"(DHOW-MiLLA) part 1 - Joint Workshop on Diffusion of Harmful Content on Online Web and Countering Misinformation in the Age of LLMs and Agents
Thomas Mandl, Haiming Liu, Gautam Kishore Shahi, Amit Kumar Jaiswal, Durgesh Nandini, Luis-Daniel Ibáñez, Junich"&amp;"i Suga, Dai Yamamoto, Rahul Mishra, Rajakrishnan P. Rajkumar, Sagar Uprety, Sujit Kuma and Bornali Phukon
https://dhow-workshop.github.io/2026/")</f>
        <v>(DHOW-MiLLA) part 1 - Joint Workshop on Diffusion of Harmful Content on Online Web and Countering Misinformation in the Age of LLMs and Agents
Thomas Mandl, Haiming Liu, Gautam Kishore Shahi, Amit Kumar Jaiswal, Durgesh Nandini, Luis-Daniel Ibáñez, Junichi Suga, Dai Yamamoto, Rahul Mishra, Rajakrishnan P. Rajkumar, Sagar Uprety, Sujit Kuma and Bornali Phukon
https://dhow-workshop.github.io/2026/</v>
      </c>
      <c r="G12" s="22" t="str">
        <f>IFERROR(__xludf.DUMMYFUNCTION("TEXTJOIN(CHAR(10), TRUE,FILTER(Workshops!$F:$F,Workshops!$A:$A=G11))"),"(FAAW) part 1 - International Workshop on Foundations and Architectures for the Agentic Web
Abderrahmane Maaradji, Abul Ehtesham, Aditi Singh, Boualem Benatallah, Fatma Outay, Luca Muscariello, Pradyumna Chari, Ramesh Raskar, Sabrina Senatore and Yacine S"&amp;"am 
https://faaw.univ-tours.fr/")</f>
        <v>(FAAW) part 1 - International Workshop on Foundations and Architectures for the Agentic Web
Abderrahmane Maaradji, Abul Ehtesham, Aditi Singh, Boualem Benatallah, Fatma Outay, Luca Muscariello, Pradyumna Chari, Ramesh Raskar, Sabrina Senatore and Yacine Sam 
https://faaw.univ-tours.fr/</v>
      </c>
      <c r="H12" s="22" t="str">
        <f>IFERROR(__xludf.DUMMYFUNCTION("TEXTJOIN(CHAR(10), TRUE,FILTER(Workshops!$F:$F,Workshops!$A:$A=H11))"),"(TempWeb) part 1 - The 16th Temporal Web Analytics Workshop
Marc Spaniol, France Omar Alonso and Ricardo Baeza-Yates 
https://temporalweb.net/")</f>
        <v>(TempWeb) part 1 - The 16th Temporal Web Analytics Workshop
Marc Spaniol, France Omar Alonso and Ricardo Baeza-Yates 
https://temporalweb.net/</v>
      </c>
      <c r="I12" s="22" t="str">
        <f>IFERROR(__xludf.DUMMYFUNCTION("TEXTJOIN(CHAR(10), TRUE,FILTER(Workshops!$F:$F,Workshops!$A:$A=I11))"),"(TIME) part 1 - 2nd International Workshop on Transformative Insights in Multi-faceted Evaluation
 Lei Wang,  Md Zakir Hossain, Tom Gedeon, Syed Mohammed Shamsul Islam. Rafiqul Islam. Yasmeen George and Shreya Ghosh 
https://time.griffith.edu.au/workshop/"&amp;"time2026/")</f>
        <v>(TIME) part 1 - 2nd International Workshop on Transformative Insights in Multi-faceted Evaluation
 Lei Wang,  Md Zakir Hossain, Tom Gedeon, Syed Mohammed Shamsul Islam. Rafiqul Islam. Yasmeen George and Shreya Ghosh 
https://time.griffith.edu.au/workshop/time2026/</v>
      </c>
      <c r="J12" s="22" t="str">
        <f>IFERROR(__xludf.DUMMYFUNCTION("TEXTJOIN(CHAR(10), TRUE,FILTER(Workshops!$F:$F,Workshops!$A:$A=J11))"),"(ALTARS 2026) - 4th Workshop on Augmented Intelligence in Technology-Assisted Review Systems
Giorgio Maria Di Nunzio, Evangelos Kanoulas and Prasenjit Majumder 
https://altars2026.dei.unipd.it/")</f>
        <v>(ALTARS 2026) - 4th Workshop on Augmented Intelligence in Technology-Assisted Review Systems
Giorgio Maria Di Nunzio, Evangelos Kanoulas and Prasenjit Majumder 
https://altars2026.dei.unipd.it/</v>
      </c>
      <c r="K12" s="22" t="str">
        <f>IFERROR(__xludf.DUMMYFUNCTION("TEXTJOIN(CHAR(10), TRUE,FILTER(Workshops!$F:$F,Workshops!$A:$A=K11))"),"(AiOfAi) - The Workshop on Adverse Impacts and Collateral Effects of Artificial Intelligence Technologies
Esma Aïmeur, Rim Ben Salem, Dorsaf Sallami, Julita Vassileva and Nora Boulahia-Cuppens 
https://sites.google.com/view/aiofai-2026/home")</f>
        <v>(AiOfAi) - The Workshop on Adverse Impacts and Collateral Effects of Artificial Intelligence Technologies
Esma Aïmeur, Rim Ben Salem, Dorsaf Sallami, Julita Vassileva and Nora Boulahia-Cuppens 
https://sites.google.com/view/aiofai-2026/home</v>
      </c>
      <c r="L12" s="22" t="str">
        <f>IFERROR(__xludf.DUMMYFUNCTION("TEXTJOIN(CHAR(10), TRUE,FILTER(Workshops!$F:$F,Workshops!$A:$A=L11))"),"(TrustFM) - Trustworthy Foundation Models for Web Intelligence: Causal Perspectives and Challenges
Haoang Chi  Qi  Wang  Jiantong Jiang  Jiangchao Yao  Feng Liu  Bo Han 
https://www-tfm-causal.github.io/www2026-workshop/")</f>
        <v>(TrustFM) - Trustworthy Foundation Models for Web Intelligence: Causal Perspectives and Challenges
Haoang Chi  Qi  Wang  Jiantong Jiang  Jiangchao Yao  Feng Liu  Bo Han 
https://www-tfm-causal.github.io/www2026-workshop/</v>
      </c>
      <c r="M12" s="41" t="str">
        <f>IFERROR(__xludf.DUMMYFUNCTION("TEXTJOIN(CHAR(10), TRUE,FILTER('PhD Symposium'!$D:$D,'PhD Symposium'!$E:$E=M11))"),"Tutoring Large Language Models to be Domain-adaptive, Precise, and Safe
Somnath Banerjee
LeTCC-ZK: Smooth, Verifiable Distributed Inference via Spline-Coded Computing
Ekaterina Pavlova
Edge-Mamba: Efficient and Robust Security Evaluation for the Web of "&amp;"Things via Selective State Spaces
Chenchong Du
Towards Conversational Dataset Discovery on the Web
Lisa-Yao Gan
Constructing the Cycle of Mastery: LLM-Empowered Intelligent Tutoring for Programming Education
Junfeng Zhang
")</f>
        <v>Tutoring Large Language Models to be Domain-adaptive, Precise, and Safe
Somnath Banerjee
LeTCC-ZK: Smooth, Verifiable Distributed Inference via Spline-Coded Computing
Ekaterina Pavlova
Edge-Mamba: Efficient and Robust Security Evaluation for the Web of Things via Selective State Spaces
Chenchong Du
Towards Conversational Dataset Discovery on the Web
Lisa-Yao Gan
Constructing the Cycle of Mastery: LLM-Empowered Intelligent Tutoring for Programming Education
Junfeng Zhang
</v>
      </c>
      <c r="N12" s="24" t="s">
        <v>29</v>
      </c>
      <c r="O12" s="23"/>
      <c r="P12" s="25"/>
      <c r="Q12" s="25"/>
      <c r="R12" s="25"/>
      <c r="S12" s="25"/>
      <c r="T12" s="25"/>
      <c r="U12" s="25"/>
      <c r="V12" s="25"/>
      <c r="W12" s="25"/>
      <c r="X12" s="25"/>
      <c r="Y12" s="25"/>
      <c r="Z12" s="25"/>
      <c r="AA12" s="25"/>
    </row>
    <row r="13">
      <c r="A13" s="26" t="s">
        <v>30</v>
      </c>
      <c r="B13" s="27" t="s">
        <v>31</v>
      </c>
      <c r="O13" s="28"/>
      <c r="P13" s="5"/>
      <c r="Q13" s="5"/>
      <c r="R13" s="5"/>
      <c r="S13" s="5"/>
      <c r="T13" s="5"/>
      <c r="U13" s="5"/>
      <c r="V13" s="5"/>
      <c r="W13" s="5"/>
      <c r="X13" s="5"/>
      <c r="Y13" s="5"/>
      <c r="Z13" s="5"/>
      <c r="AA13" s="5"/>
    </row>
    <row r="14">
      <c r="A14" s="29" t="s">
        <v>55</v>
      </c>
      <c r="B14" s="30" t="s">
        <v>56</v>
      </c>
      <c r="C14" s="31" t="s">
        <v>57</v>
      </c>
      <c r="D14" s="31" t="s">
        <v>58</v>
      </c>
      <c r="E14" s="31" t="s">
        <v>59</v>
      </c>
      <c r="F14" s="31" t="s">
        <v>60</v>
      </c>
      <c r="G14" s="31" t="s">
        <v>61</v>
      </c>
      <c r="H14" s="31" t="s">
        <v>62</v>
      </c>
      <c r="I14" s="31" t="s">
        <v>63</v>
      </c>
      <c r="J14" s="31" t="s">
        <v>64</v>
      </c>
      <c r="K14" s="31" t="s">
        <v>65</v>
      </c>
      <c r="L14" s="32"/>
      <c r="M14" s="42" t="s">
        <v>66</v>
      </c>
      <c r="N14" s="33" t="s">
        <v>28</v>
      </c>
      <c r="O14" s="32"/>
      <c r="P14" s="5"/>
      <c r="Q14" s="5"/>
      <c r="R14" s="5"/>
      <c r="S14" s="5"/>
      <c r="T14" s="5"/>
      <c r="U14" s="5"/>
      <c r="V14" s="5"/>
      <c r="W14" s="5"/>
      <c r="X14" s="5"/>
      <c r="Y14" s="5"/>
      <c r="Z14" s="5"/>
      <c r="AA14" s="5"/>
    </row>
    <row r="15">
      <c r="A15" s="34"/>
      <c r="B15" s="35" t="str">
        <f>IFERROR(__xludf.DUMMYFUNCTION("TEXTJOIN(CHAR(10), TRUE,FILTER(Tutorials!$E:$E,Tutorials!$A:$A=B14))"),"LLM-Enhanced Web-Centric Spatio-Temporal Intelligence: Methods, Applications, and Frontier Research
Zijian Zhang, Hao Miao, Yuxuan Liang, Yan Zhao and Irwin King")</f>
        <v>LLM-Enhanced Web-Centric Spatio-Temporal Intelligence: Methods, Applications, and Frontier Research
Zijian Zhang, Hao Miao, Yuxuan Liang, Yan Zhao and Irwin King</v>
      </c>
      <c r="C15" s="35" t="str">
        <f>IFERROR(__xludf.DUMMYFUNCTION("TEXTJOIN(CHAR(10), TRUE,FILTER(Tutorials!$E:$E,Tutorials!$A:$A=C14))"),"Generalist Model for Structured Data: Foundations, Frontiers and Applications
Peng Cui, Xingxuan Zhang, Han-Jia Ye, Jintai Chen and Shuyang Li")</f>
        <v>Generalist Model for Structured Data: Foundations, Frontiers and Applications
Peng Cui, Xingxuan Zhang, Han-Jia Ye, Jintai Chen and Shuyang Li</v>
      </c>
      <c r="D15" s="35" t="str">
        <f>IFERROR(__xludf.DUMMYFUNCTION("TEXTJOIN(CHAR(10), TRUE,FILTER(Tutorials!$E:$E,Tutorials!$A:$A=D14))"),"Robust Graph Learning on the Web: Challenges, Methods, and Applications
Xiang Ao, Yang Liu, Guansong Pang, Yuanhao Ding, Hezhe Qiao, Dawei Cheng and Qing He")</f>
        <v>Robust Graph Learning on the Web: Challenges, Methods, and Applications
Xiang Ao, Yang Liu, Guansong Pang, Yuanhao Ding, Hezhe Qiao, Dawei Cheng and Qing He</v>
      </c>
      <c r="E15" s="35" t="str">
        <f>IFERROR(__xludf.DUMMYFUNCTION("TEXTJOIN(CHAR(10), TRUE,FILTER(Tutorials!$E:$E,Tutorials!$A:$A=E14))"),"Responsible Prompting on the Web: Governance, Mini-Evaluation, and Readiness with ChatGPT
Manali Sharma and Ayush Garg")</f>
        <v>Responsible Prompting on the Web: Governance, Mini-Evaluation, and Readiness with ChatGPT
Manali Sharma and Ayush Garg</v>
      </c>
      <c r="F15" s="35" t="str">
        <f>IFERROR(__xludf.DUMMYFUNCTION("TEXTJOIN(CHAR(10), TRUE,FILTER(Workshops!$F:$F,Workshops!$A:$A=F14))"),"(DHOW-MiLLA) part 2 - Joint Workshop on Diffusion of Harmful Content on Online Web and Countering Misinformation in the Age of LLMs and Agents
Thomas Mandl, Haiming Liu, Gautam Kishore Shahi, Amit Kumar Jaiswal, Durgesh Nandini, Luis-Daniel Ibáñez, Junich"&amp;"i Suga, Dai Yamamoto, Rahul Mishra, Rajakrishnan P. Rajkumar, Sagar Uprety, Sujit Kuma and Bornali Phukon
https://dhow-workshop.github.io/2026/")</f>
        <v>(DHOW-MiLLA) part 2 - Joint Workshop on Diffusion of Harmful Content on Online Web and Countering Misinformation in the Age of LLMs and Agents
Thomas Mandl, Haiming Liu, Gautam Kishore Shahi, Amit Kumar Jaiswal, Durgesh Nandini, Luis-Daniel Ibáñez, Junichi Suga, Dai Yamamoto, Rahul Mishra, Rajakrishnan P. Rajkumar, Sagar Uprety, Sujit Kuma and Bornali Phukon
https://dhow-workshop.github.io/2026/</v>
      </c>
      <c r="G15" s="35" t="str">
        <f>IFERROR(__xludf.DUMMYFUNCTION("TEXTJOIN(CHAR(10), TRUE,FILTER(Workshops!$F:$F,Workshops!$A:$A=G14))"),"(FAAW) part 2 - International Workshop on Foundations and Architectures for the Agentic Web
Abderrahmane Maaradji, Abul Ehtesham, Aditi Singh, Boualem Benatallah, Fatma Outay, Luca Muscariello, Pradyumna Chari, Ramesh Raskar, Sabrina Senatore and Yacine S"&amp;"am 
https://faaw.univ-tours.fr/")</f>
        <v>(FAAW) part 2 - International Workshop on Foundations and Architectures for the Agentic Web
Abderrahmane Maaradji, Abul Ehtesham, Aditi Singh, Boualem Benatallah, Fatma Outay, Luca Muscariello, Pradyumna Chari, Ramesh Raskar, Sabrina Senatore and Yacine Sam 
https://faaw.univ-tours.fr/</v>
      </c>
      <c r="H15" s="35" t="str">
        <f>IFERROR(__xludf.DUMMYFUNCTION("TEXTJOIN(CHAR(10), TRUE,FILTER(Workshops!$F:$F,Workshops!$A:$A=H14))"),"(TempWeb) part 2 - The 16th Temporal Web Analytics Workshop
Marc Spaniol, France Omar Alonso and Ricardo Baeza-Yates 
https://temporalweb.net/")</f>
        <v>(TempWeb) part 2 - The 16th Temporal Web Analytics Workshop
Marc Spaniol, France Omar Alonso and Ricardo Baeza-Yates 
https://temporalweb.net/</v>
      </c>
      <c r="I15" s="35" t="str">
        <f>IFERROR(__xludf.DUMMYFUNCTION("TEXTJOIN(CHAR(10), TRUE,FILTER(Workshops!$F:$F,Workshops!$A:$A=I14))"),"(TIME) part 2 - 2nd International Workshop on Transformative Insights in Multi-faceted Evaluation
 Lei Wang,  Md Zakir Hossain, Tom Gedeon, Syed Mohammed Shamsul Islam. Rafiqul Islam. Yasmeen George and Shreya Ghosh 
https://time.griffith.edu.au/workshop/"&amp;"time2026/")</f>
        <v>(TIME) part 2 - 2nd International Workshop on Transformative Insights in Multi-faceted Evaluation
 Lei Wang,  Md Zakir Hossain, Tom Gedeon, Syed Mohammed Shamsul Islam. Rafiqul Islam. Yasmeen George and Shreya Ghosh 
https://time.griffith.edu.au/workshop/time2026/</v>
      </c>
      <c r="J15" s="35" t="str">
        <f>IFERROR(__xludf.DUMMYFUNCTION("TEXTJOIN(CHAR(10), TRUE,FILTER(Workshops!$F:$F,Workshops!$A:$A=J14))"),"(FL@FM) - International Workshop on Federated Foundation Models for the Web 2026
Irwin King, Guodong Long, Zenglin Xu, Han Yu, Xiaoli Tang and Liping Yi 
https://federated-learning.org/fl@fm-www-2026/")</f>
        <v>(FL@FM) - International Workshop on Federated Foundation Models for the Web 2026
Irwin King, Guodong Long, Zenglin Xu, Han Yu, Xiaoli Tang and Liping Yi 
https://federated-learning.org/fl@fm-www-2026/</v>
      </c>
      <c r="K15" s="35" t="str">
        <f>IFERROR(__xludf.DUMMYFUNCTION("TEXTJOIN(CHAR(10), TRUE,FILTER(Workshops!$F:$F,Workshops!$A:$A=K14))"),"(MM4SG) - Fourth International Workshop on Multimodal Content Analysis for Social Good
Usman Naseem, Surendrabikram Thapa, Roy Ka-Wei Lee and Mehwish Nasim 
https://sites.google.com/view/mm4sg-webconf26")</f>
        <v>(MM4SG) - Fourth International Workshop on Multimodal Content Analysis for Social Good
Usman Naseem, Surendrabikram Thapa, Roy Ka-Wei Lee and Mehwish Nasim 
https://sites.google.com/view/mm4sg-webconf26</v>
      </c>
      <c r="L15" s="36"/>
      <c r="M15" s="43" t="str">
        <f>IFERROR(__xludf.DUMMYFUNCTION("TEXTJOIN(CHAR(10), TRUE,FILTER('PhD Symposium'!$D:$D,'PhD Symposium'!$E:$E=M14))"),"Foundational Representations for Efficient Retrieval of Structured Tabular Data
Inwon Kang
Exploring Political Attitudes under Selective Media Consumption with Large Language Models
Upasana Dutta
How the Web Remembers Multilingual Collective Memory on W"&amp;"ikipedia and in Large Language Models
H. Laurie Lawson
Can You Trust the Data Trust?
An Ning Shen
Introducing Temporal Dynamics to Proactive Recommender Systems for Email Outreach
Čeněk Žid
")</f>
        <v>Foundational Representations for Efficient Retrieval of Structured Tabular Data
Inwon Kang
Exploring Political Attitudes under Selective Media Consumption with Large Language Models
Upasana Dutta
How the Web Remembers Multilingual Collective Memory on Wikipedia and in Large Language Models
H. Laurie Lawson
Can You Trust the Data Trust?
An Ning Shen
Introducing Temporal Dynamics to Proactive Recommender Systems for Email Outreach
Čeněk Žid
</v>
      </c>
      <c r="N15" s="37" t="s">
        <v>29</v>
      </c>
      <c r="O15" s="36"/>
      <c r="P15" s="25"/>
      <c r="Q15" s="25"/>
      <c r="R15" s="25"/>
      <c r="S15" s="25"/>
      <c r="T15" s="25"/>
      <c r="U15" s="25"/>
      <c r="V15" s="25"/>
      <c r="W15" s="25"/>
      <c r="X15" s="25"/>
      <c r="Y15" s="25"/>
      <c r="Z15" s="25"/>
      <c r="AA15" s="25"/>
    </row>
    <row r="16">
      <c r="A16" s="38"/>
      <c r="B16" s="32"/>
      <c r="C16" s="32"/>
      <c r="D16" s="32"/>
      <c r="E16" s="32"/>
      <c r="F16" s="32"/>
      <c r="G16" s="32"/>
      <c r="H16" s="32"/>
      <c r="I16" s="32"/>
      <c r="J16" s="32"/>
      <c r="K16" s="32"/>
      <c r="L16" s="32"/>
      <c r="M16" s="32"/>
      <c r="N16" s="32"/>
      <c r="O16" s="44"/>
      <c r="P16" s="45"/>
      <c r="Q16" s="45"/>
      <c r="R16" s="45"/>
      <c r="S16" s="5"/>
      <c r="T16" s="5"/>
      <c r="U16" s="5"/>
      <c r="V16" s="5"/>
      <c r="W16" s="5"/>
      <c r="X16" s="5"/>
      <c r="Y16" s="5"/>
      <c r="Z16" s="5"/>
      <c r="AA16" s="5"/>
    </row>
    <row r="17">
      <c r="A17" s="46"/>
      <c r="B17" s="47"/>
      <c r="C17" s="47"/>
      <c r="D17" s="47"/>
      <c r="E17" s="47"/>
      <c r="F17" s="47"/>
      <c r="G17" s="47"/>
      <c r="H17" s="47"/>
      <c r="I17" s="47"/>
      <c r="J17" s="47"/>
      <c r="K17" s="47"/>
      <c r="L17" s="48"/>
      <c r="M17" s="48"/>
      <c r="N17" s="47"/>
      <c r="O17" s="47"/>
      <c r="P17" s="45"/>
      <c r="Q17" s="45"/>
      <c r="R17" s="45"/>
      <c r="S17" s="5"/>
      <c r="T17" s="5"/>
      <c r="U17" s="5"/>
      <c r="V17" s="5"/>
      <c r="W17" s="5"/>
      <c r="X17" s="5"/>
      <c r="Y17" s="5"/>
      <c r="Z17" s="5"/>
      <c r="AA17" s="5"/>
    </row>
    <row r="18">
      <c r="A18" s="10">
        <v>46204.0</v>
      </c>
      <c r="B18" s="13"/>
      <c r="C18" s="13"/>
      <c r="D18" s="13"/>
      <c r="E18" s="13"/>
      <c r="F18" s="13"/>
      <c r="G18" s="13"/>
      <c r="H18" s="13"/>
      <c r="I18" s="13"/>
      <c r="J18" s="13"/>
      <c r="K18" s="13"/>
      <c r="L18" s="39"/>
      <c r="M18" s="39"/>
      <c r="N18" s="13"/>
      <c r="O18" s="13"/>
      <c r="P18" s="45"/>
      <c r="Q18" s="45"/>
      <c r="R18" s="45"/>
      <c r="S18" s="5"/>
      <c r="T18" s="5"/>
      <c r="U18" s="5"/>
      <c r="V18" s="5"/>
      <c r="W18" s="5"/>
      <c r="X18" s="5"/>
      <c r="Y18" s="5"/>
      <c r="Z18" s="5"/>
      <c r="AA18" s="5"/>
    </row>
    <row r="19">
      <c r="A19" s="49" t="s">
        <v>67</v>
      </c>
      <c r="B19" s="50" t="s">
        <v>68</v>
      </c>
      <c r="O19" s="51"/>
      <c r="P19" s="5"/>
      <c r="Q19" s="5"/>
      <c r="R19" s="5"/>
      <c r="S19" s="5"/>
      <c r="T19" s="5"/>
      <c r="U19" s="5"/>
      <c r="V19" s="5"/>
      <c r="W19" s="5"/>
      <c r="X19" s="5"/>
      <c r="Y19" s="5"/>
      <c r="Z19" s="5"/>
      <c r="AA19" s="5"/>
    </row>
    <row r="20">
      <c r="A20" s="52" t="s">
        <v>69</v>
      </c>
      <c r="B20" s="53" t="s">
        <v>70</v>
      </c>
      <c r="O20" s="54"/>
      <c r="P20" s="5"/>
      <c r="Q20" s="5"/>
      <c r="R20" s="5"/>
      <c r="S20" s="5"/>
      <c r="T20" s="5"/>
      <c r="U20" s="5"/>
      <c r="V20" s="5"/>
      <c r="W20" s="5"/>
      <c r="X20" s="5"/>
      <c r="Y20" s="5"/>
      <c r="Z20" s="5"/>
      <c r="AA20" s="5"/>
    </row>
    <row r="21">
      <c r="A21" s="26" t="s">
        <v>71</v>
      </c>
      <c r="B21" s="27" t="s">
        <v>31</v>
      </c>
      <c r="O21" s="28"/>
      <c r="P21" s="5"/>
      <c r="Q21" s="5"/>
      <c r="R21" s="5"/>
      <c r="S21" s="5"/>
      <c r="T21" s="5"/>
      <c r="U21" s="5"/>
      <c r="V21" s="5"/>
      <c r="W21" s="5"/>
      <c r="X21" s="5"/>
      <c r="Y21" s="5"/>
      <c r="Z21" s="5"/>
      <c r="AA21" s="5"/>
    </row>
    <row r="22">
      <c r="A22" s="29" t="s">
        <v>72</v>
      </c>
      <c r="B22" s="55" t="s">
        <v>73</v>
      </c>
      <c r="C22" s="56" t="s">
        <v>74</v>
      </c>
      <c r="D22" s="56" t="s">
        <v>75</v>
      </c>
      <c r="E22" s="55" t="s">
        <v>76</v>
      </c>
      <c r="F22" s="55" t="s">
        <v>77</v>
      </c>
      <c r="G22" s="55" t="s">
        <v>78</v>
      </c>
      <c r="H22" s="55" t="s">
        <v>79</v>
      </c>
      <c r="I22" s="55" t="s">
        <v>80</v>
      </c>
      <c r="J22" s="55" t="s">
        <v>81</v>
      </c>
      <c r="K22" s="55" t="s">
        <v>82</v>
      </c>
      <c r="L22" s="57" t="s">
        <v>83</v>
      </c>
      <c r="M22" s="57" t="s">
        <v>84</v>
      </c>
      <c r="N22" s="58" t="s">
        <v>85</v>
      </c>
      <c r="O22" s="59"/>
      <c r="P22" s="60"/>
      <c r="Q22" s="60"/>
      <c r="R22" s="5"/>
      <c r="S22" s="5"/>
      <c r="T22" s="5"/>
      <c r="U22" s="5"/>
      <c r="V22" s="5"/>
      <c r="W22" s="5"/>
      <c r="X22" s="5"/>
      <c r="Y22" s="5"/>
      <c r="Z22" s="5"/>
      <c r="AA22" s="5"/>
    </row>
    <row r="23" collapsed="1">
      <c r="A23" s="61"/>
      <c r="B23" s="62" t="str">
        <f>IFERROR(__xludf.DUMMYFUNCTION("TEXTJOIN(CHAR(10), TRUE,FILTER('Sessions Counts'!$B:$B,'Sessions Counts'!$A:$A=B22))"),"Social Dynamics, Voting, and Consensus")</f>
        <v>Social Dynamics, Voting, and Consensus</v>
      </c>
      <c r="C23" s="62" t="str">
        <f>IFERROR(__xludf.DUMMYFUNCTION("TEXTJOIN(CHAR(10), TRUE,FILTER('Sessions Counts'!$B:$B,'Sessions Counts'!$A:$A=C22))"),"Graph Foundation Models 1")</f>
        <v>Graph Foundation Models 1</v>
      </c>
      <c r="D23" s="62" t="str">
        <f>IFERROR(__xludf.DUMMYFUNCTION("TEXTJOIN(CHAR(10), TRUE,FILTER('Sessions Counts'!$B:$B,'Sessions Counts'!$A:$A=D22))"),"Anomaly Detection")</f>
        <v>Anomaly Detection</v>
      </c>
      <c r="E23" s="62" t="str">
        <f>IFERROR(__xludf.DUMMYFUNCTION("TEXTJOIN(CHAR(10), TRUE,FILTER('Sessions Counts'!$B:$B,'Sessions Counts'!$A:$A=E22))"),"Zero-Shot &amp; Graph RAG")</f>
        <v>Zero-Shot &amp; Graph RAG</v>
      </c>
      <c r="F23" s="62" t="str">
        <f>IFERROR(__xludf.DUMMYFUNCTION("TEXTJOIN(CHAR(10), TRUE,FILTER('Sessions Counts'!$B:$B,'Sessions Counts'!$A:$A=F22))"),"Logical Reasoning &amp; Graph Understanding")</f>
        <v>Logical Reasoning &amp; Graph Understanding</v>
      </c>
      <c r="G23" s="62" t="str">
        <f>IFERROR(__xludf.DUMMYFUNCTION("TEXTJOIN(CHAR(10), TRUE,FILTER('Sessions Counts'!$B:$B,'Sessions Counts'!$A:$A=G22))"),"Opinion Dynamics and Misinformation")</f>
        <v>Opinion Dynamics and Misinformation</v>
      </c>
      <c r="H23" s="62" t="str">
        <f>IFERROR(__xludf.DUMMYFUNCTION("TEXTJOIN(CHAR(10), TRUE,FILTER('Sessions Counts'!$B:$B,'Sessions Counts'!$A:$A=H22))"),"Client-Adaptive Federated Learning")</f>
        <v>Client-Adaptive Federated Learning</v>
      </c>
      <c r="I23" s="62" t="str">
        <f>IFERROR(__xludf.DUMMYFUNCTION("TEXTJOIN(CHAR(10), TRUE,FILTER('Sessions Counts'!$B:$B,'Sessions Counts'!$A:$A=I22))"),"Fingerprinting")</f>
        <v>Fingerprinting</v>
      </c>
      <c r="J23" s="62" t="str">
        <f>IFERROR(__xludf.DUMMYFUNCTION("TEXTJOIN(CHAR(10), TRUE,FILTER('Sessions Counts'!$B:$B,'Sessions Counts'!$A:$A=J22))"),"Sequence and Temporal Pattern Mining")</f>
        <v>Sequence and Temporal Pattern Mining</v>
      </c>
      <c r="K23" s="62" t="str">
        <f>IFERROR(__xludf.DUMMYFUNCTION("TEXTJOIN(CHAR(10), TRUE,FILTER('Sessions Counts'!$B:$B,'Sessions Counts'!$A:$A=K22))"),"Multi-Behavior User Modeling")</f>
        <v>Multi-Behavior User Modeling</v>
      </c>
      <c r="L23" s="63" t="str">
        <f>IFERROR(__xludf.DUMMYFUNCTION("TEXTJOIN(CHAR(10), TRUE,FILTER('Industry assignment'!$B:$B,'Industry assignment'!$A:$A=L22))"),"Financial Intelligence &amp; Market Simulation")</f>
        <v>Financial Intelligence &amp; Market Simulation</v>
      </c>
      <c r="M23" s="62" t="str">
        <f>IFERROR(__xludf.DUMMYFUNCTION("TEXTJOIN(CHAR(10), TRUE,FILTER('Sessions Counts'!$B:$B,'Sessions Counts'!$A:$A=M22))"),"Generative &amp; Next-Gen Recommendation Architectures")</f>
        <v>Generative &amp; Next-Gen Recommendation Architectures</v>
      </c>
      <c r="N23" s="63"/>
      <c r="O23" s="64"/>
      <c r="P23" s="65"/>
      <c r="Q23" s="65"/>
      <c r="R23" s="66"/>
      <c r="S23" s="66"/>
      <c r="T23" s="66"/>
      <c r="U23" s="66"/>
      <c r="V23" s="66"/>
      <c r="W23" s="66"/>
      <c r="X23" s="66"/>
      <c r="Y23" s="66"/>
      <c r="Z23" s="66"/>
      <c r="AA23" s="66"/>
    </row>
    <row r="24" hidden="1" outlineLevel="1">
      <c r="A24" s="44"/>
      <c r="B24" s="67" t="str">
        <f>IFERROR(__xludf.DUMMYFUNCTION("TEXTJOIN(CHAR(10), TRUE,FILTER('Research assignment'!$D:$D,'Research assignment'!$F:$F=B22))"),"Opinion Dynamics with Multiple Adversaries
Akhil Jalan and Marios Papachristou
Aggregating Information and Preferences under Different Coordination Ability
Qishen Han, Grant Schoenebeck, Biaoshuai Tao and Lirong Xia
The Art of Two-Round Voting
Qishen Ha"&amp;"n, Grant Schoenebeck, Biaoshuai Tao and Lirong Xia
The Price of Uncertainty for Social Consensus
Yunzhe Bai and Alec Sun
Social Deliberation: Democratic Deliberation Through Unbiased Social Interactions
Dana Afazeli, Mohamad Latifian and Masoud Seddighi"&amp;"n
")</f>
        <v>Opinion Dynamics with Multiple Adversaries
Akhil Jalan and Marios Papachristou
Aggregating Information and Preferences under Different Coordination Ability
Qishen Han, Grant Schoenebeck, Biaoshuai Tao and Lirong Xia
The Art of Two-Round Voting
Qishen Han, Grant Schoenebeck, Biaoshuai Tao and Lirong Xia
The Price of Uncertainty for Social Consensus
Yunzhe Bai and Alec Sun
Social Deliberation: Democratic Deliberation Through Unbiased Social Interactions
Dana Afazeli, Mohamad Latifian and Masoud Seddighin
</v>
      </c>
      <c r="C24" s="67" t="str">
        <f>IFERROR(__xludf.DUMMYFUNCTION("TEXTJOIN(CHAR(10), TRUE,FILTER('Research assignment'!$D:$D,'Research assignment'!$F:$F=C22))"),"Topology-Aware Feature Sorting Enables Universal Modeling on Homophilic and Heterophilic Graphs
Yi Wang, Jitao Zhao, Dongxiao He, Jia Li, Yuxiao Huang and
Zhiyong Feng
A Graph Foundation Model for Unified Anomaly Detection
Renda Han, Xiaobao Wang, Luzhi "&amp;"Wang, Wenxin Zhang,
Guangzhen Yao and Hongxiang Liang
RAG-GFM: Overcoming In-Memory Bottlenecks in Graph Foundation Models via Retrieval-Augmented Generation
Haonan Yuan, Qingyun Sun, Jiacheng Tao, Xingcheng Fu and
Jianxin Li
Towards Graph Foundation Mo"&amp;"del: Node Feature Transfer Invariant Modeling on General Graphs
Jitao Zhao, Yi Wang, Yawen Li, Dongxiao He, Di Jin, Zhiyong
Feng and Weixiong Zhang
GraphRAG-R1: Graph Retrieval-Augmented Generation with Process-Constrained Reinforcement Learning
Chuanyue"&amp;" Yu, Kuo Zhao, Yuhan Li, Heng Chang, Mingjian Feng,
Xiangzhe Jiang, Yufei Sun, Jia Li, Yuzhi Zhang, Qingyun
Sun, Jianxin Li and Ziwei Zhang
")</f>
        <v>Topology-Aware Feature Sorting Enables Universal Modeling on Homophilic and Heterophilic Graphs
Yi Wang, Jitao Zhao, Dongxiao He, Jia Li, Yuxiao Huang and
Zhiyong Feng
A Graph Foundation Model for Unified Anomaly Detection
Renda Han, Xiaobao Wang, Luzhi Wang, Wenxin Zhang,
Guangzhen Yao and Hongxiang Liang
RAG-GFM: Overcoming In-Memory Bottlenecks in Graph Foundation Models via Retrieval-Augmented Generation
Haonan Yuan, Qingyun Sun, Jiacheng Tao, Xingcheng Fu and
Jianxin Li
Towards Graph Foundation Model: Node Feature Transfer Invariant Modeling on General Graphs
Jitao Zhao, Yi Wang, Yawen Li, Dongxiao He, Di Jin, Zhiyong
Feng and Weixiong Zhang
GraphRAG-R1: Graph Retrieval-Augmented Generation with Process-Constrained Reinforcement Learning
Chuanyue Yu, Kuo Zhao, Yuhan Li, Heng Chang, Mingjian Feng,
Xiangzhe Jiang, Yufei Sun, Jia Li, Yuzhi Zhang, Qingyun
Sun, Jianxin Li and Ziwei Zhang
</v>
      </c>
      <c r="D24" s="67" t="str">
        <f>IFERROR(__xludf.DUMMYFUNCTION("TEXTJOIN(CHAR(10), TRUE,FILTER('Research assignment'!$D:$D,'Research assignment'!$F:$F=D22))"),"Unsupervised Subgraph Anomaly Detection based on Pattern Collaboration
Sun Jiayang, Liu Shenghao, Deng Xianjun, Xiang Wei, Luo
Meng, Zhang Qiankun and Zheng Dandan
DP-DGAD: A Generalist Dynamic Graph Anomaly Detector with Dynamic Prototypes
Jialun Zheng,"&amp;" Jie Liu, Jiannong Cao, Xiao Wang, Hanchen
Yang and Yankai Chen
Anomaly Detection of Interaction Behaviors in Streaming Graphs
Shuai Ren, Fan Zhang, Bolin Wang, Xiang Zhao and Zhihong
Tian
PAGE: Progressive Anomaly Generation Network for Semi-supervised"&amp;" Graph Anomaly Detection
Ting Guo, Dongyu Pei, Gangzhu Qiao, Kaixuan Yao and Da Wang
Cross-Type Semantic Alignment for Multi-Type Anomaly Detection in Heterogeneous Graphs
Di Jin, Xiao Huang, Xiaobao Wang, Fengyu Yan, Luzhi Wang
and Hongxiang Liang
")</f>
        <v>Unsupervised Subgraph Anomaly Detection based on Pattern Collaboration
Sun Jiayang, Liu Shenghao, Deng Xianjun, Xiang Wei, Luo
Meng, Zhang Qiankun and Zheng Dandan
DP-DGAD: A Generalist Dynamic Graph Anomaly Detector with Dynamic Prototypes
Jialun Zheng, Jie Liu, Jiannong Cao, Xiao Wang, Hanchen
Yang and Yankai Chen
Anomaly Detection of Interaction Behaviors in Streaming Graphs
Shuai Ren, Fan Zhang, Bolin Wang, Xiang Zhao and Zhihong
Tian
PAGE: Progressive Anomaly Generation Network for Semi-supervised Graph Anomaly Detection
Ting Guo, Dongyu Pei, Gangzhu Qiao, Kaixuan Yao and Da Wang
Cross-Type Semantic Alignment for Multi-Type Anomaly Detection in Heterogeneous Graphs
Di Jin, Xiao Huang, Xiaobao Wang, Fengyu Yan, Luzhi Wang
and Hongxiang Liang
</v>
      </c>
      <c r="E24" s="67" t="str">
        <f>IFERROR(__xludf.DUMMYFUNCTION("TEXTJOIN(CHAR(10), TRUE,FILTER('Research assignment'!$D:$D,'Research assignment'!$F:$F=E22))"),"QuiZSF: A Retrieval-Augmented Framework for Zero-Shot Time Series Forecasting
Shichao Ma, Zhengyang Zhou, Qihe Huang, Binwu Wang and Yang
Wang
SDR-CIR: Semantic Debias Retrieval Framework for Training-Free Zero-Shot Composed Image Retrieval
Yi Sun, Jinyu"&amp;" Xu, Qing Xie, Jiachen Li, Yanchun Ma and
Yongjian Liu
FlowRAG: Continual Learning for Dynamic Retriever in Retrieval-Augmented Generation
Senlei Zhang, Tongjun Shi, Dandan Song, Luan Zhang, Shuhao
Zhang, Xiaofei Liao and Hai Jin
DA-RAG: Dynamic Attribu"&amp;"ted Community Search for Retrieval-Augmented Generation
Xingyuan Zeng, Zuohan Wu, Yue Wang, Chen Zhang, Quanming
Yao, Libin Zheng and Jian Yin
HyperRAG: Reasoning N-ary Facts over Hypergraphs for Retrieval Augmented Generation
Wen-Sheng Lien, Yu-Kai Chan"&amp;", Hao-Lung Hsiao, Bo-Kai Ruan,
Meng-Fen Chiang, Chien-An Chen, Yi-Ren Yeh and Hong-Han
Shuai
")</f>
        <v>QuiZSF: A Retrieval-Augmented Framework for Zero-Shot Time Series Forecasting
Shichao Ma, Zhengyang Zhou, Qihe Huang, Binwu Wang and Yang
Wang
SDR-CIR: Semantic Debias Retrieval Framework for Training-Free Zero-Shot Composed Image Retrieval
Yi Sun, Jinyu Xu, Qing Xie, Jiachen Li, Yanchun Ma and
Yongjian Liu
FlowRAG: Continual Learning for Dynamic Retriever in Retrieval-Augmented Generation
Senlei Zhang, Tongjun Shi, Dandan Song, Luan Zhang, Shuhao
Zhang, Xiaofei Liao and Hai Jin
DA-RAG: Dynamic Attributed Community Search for Retrieval-Augmented Generation
Xingyuan Zeng, Zuohan Wu, Yue Wang, Chen Zhang, Quanming
Yao, Libin Zheng and Jian Yin
HyperRAG: Reasoning N-ary Facts over Hypergraphs for Retrieval Augmented Generation
Wen-Sheng Lien, Yu-Kai Chan, Hao-Lung Hsiao, Bo-Kai Ruan,
Meng-Fen Chiang, Chien-An Chen, Yi-Ren Yeh and Hong-Han
Shuai
</v>
      </c>
      <c r="F24" s="67" t="str">
        <f>IFERROR(__xludf.DUMMYFUNCTION("TEXTJOIN(CHAR(10), TRUE,FILTER('Research assignment'!$D:$D,'Research assignment'!$F:$F=F22))"),"Unifying Deductive and Abductive Reasoning in Knowledge Graphs with Masked Diffusion Model
Yisen Gao, Jiaxin Bai, Yi Huang, Xingcheng Fu, Qingyun Sun
and Yangqiu Song
Are LLMs Stable Formal Logic Translators in Logical Reasoning Across Linguistically Div"&amp;"ersified Texts?
Qingchuan Li, Jiatong Li, Zirui Liu, Mingyue Cheng, Yitong
Zhou, Yuting Zeng, Qi Liu and Tongxuan Liu
Matrix as Plan: Structured Logical Reasoning with Feedback-Driven Replanning
Ke Chen, Jiandian Zeng, Zihao Peng, Guo Li, Guangxue Zhang
"&amp;"and Tian Wang
GraphCogent: Mitigating LLMs' Working Memory Constraints via Multi-Agent Collaboration in Complex Graph Understanding
Rongzheng Wang, Shuang Liang, Qizhi Chen, Yihong Huang,
Muquan Li, Yizhuo Ma, Dongyang Zhang, Ke Qin and Man-Fai
Leung
La"&amp;"rge Language Model for OWL Proofs
Hui Yang, Jiaoyan Chen and Uli Sattler
")</f>
        <v>Unifying Deductive and Abductive Reasoning in Knowledge Graphs with Masked Diffusion Model
Yisen Gao, Jiaxin Bai, Yi Huang, Xingcheng Fu, Qingyun Sun
and Yangqiu Song
Are LLMs Stable Formal Logic Translators in Logical Reasoning Across Linguistically Diversified Texts?
Qingchuan Li, Jiatong Li, Zirui Liu, Mingyue Cheng, Yitong
Zhou, Yuting Zeng, Qi Liu and Tongxuan Liu
Matrix as Plan: Structured Logical Reasoning with Feedback-Driven Replanning
Ke Chen, Jiandian Zeng, Zihao Peng, Guo Li, Guangxue Zhang
and Tian Wang
GraphCogent: Mitigating LLMs' Working Memory Constraints via Multi-Agent Collaboration in Complex Graph Understanding
Rongzheng Wang, Shuang Liang, Qizhi Chen, Yihong Huang,
Muquan Li, Yizhuo Ma, Dongyang Zhang, Ke Qin and Man-Fai
Leung
Large Language Model for OWL Proofs
Hui Yang, Jiaoyan Chen and Uli Sattler
</v>
      </c>
      <c r="G24" s="67" t="str">
        <f>IFERROR(__xludf.DUMMYFUNCTION("TEXTJOIN(CHAR(10), TRUE,FILTER('Research assignment'!$D:$D,'Research assignment'!$F:$F=G22))"),"Rhythm of Opinion: Interpretable Hawkes-Graph Networks for Hierarchical Opinion Propagation
Yulong Li, Zhixiang Lu, Peixin Guo, Simin Lai, Yuxuan
Zhang, Haochen Xue, Xiwei Liu, Yichen Li, Zhaodong Wu,
Feilong Tang, Mian Zhou, Chong Li, Imran Razzak, Qingx"&amp;"ia Li
and Jionglong Su
PolicySim: An LLM-Based Agent Social Simulation Sandbox for Proactive Policy Optimization
Renhong Huang, Ning Tang, Jiarong Xu, Yuxuan Cao, Qingqian
Tu, Sheng Guo, Bo Zheng, Huiyuan Liu and Yang Yang
Tracing Belief-Driven Thoughts"&amp;" with Theory-of-Mind Agents: An Opinion Analysis Framework
Jintao Wen, Yunfeng Ning, Hankun Kang, Xin Miao and Tieyun
Qian
DREAMS: A Social Exchange Theory-Informed Modeling of Misinformation Engagement on Social Media
Lin Tian and Marian-Andrei Rizoiu
"&amp;"Cross-Platform Narrative Prediction: Leveraging Platform-Invariant Discourse Networks
Patrick Gerard, Luca Luceri, Leonardo Blas and Emilio
Ferrara
")</f>
        <v>Rhythm of Opinion: Interpretable Hawkes-Graph Networks for Hierarchical Opinion Propagation
Yulong Li, Zhixiang Lu, Peixin Guo, Simin Lai, Yuxuan
Zhang, Haochen Xue, Xiwei Liu, Yichen Li, Zhaodong Wu,
Feilong Tang, Mian Zhou, Chong Li, Imran Razzak, Qingxia Li
and Jionglong Su
PolicySim: An LLM-Based Agent Social Simulation Sandbox for Proactive Policy Optimization
Renhong Huang, Ning Tang, Jiarong Xu, Yuxuan Cao, Qingqian
Tu, Sheng Guo, Bo Zheng, Huiyuan Liu and Yang Yang
Tracing Belief-Driven Thoughts with Theory-of-Mind Agents: An Opinion Analysis Framework
Jintao Wen, Yunfeng Ning, Hankun Kang, Xin Miao and Tieyun
Qian
DREAMS: A Social Exchange Theory-Informed Modeling of Misinformation Engagement on Social Media
Lin Tian and Marian-Andrei Rizoiu
Cross-Platform Narrative Prediction: Leveraging Platform-Invariant Discourse Networks
Patrick Gerard, Luca Luceri, Leonardo Blas and Emilio
Ferrara
</v>
      </c>
      <c r="H24" s="67" t="str">
        <f>IFERROR(__xludf.DUMMYFUNCTION("TEXTJOIN(CHAR(10), TRUE,FILTER('Research assignment'!$D:$D,'Research assignment'!$F:$F=H22))"),"FedBridge: Accelerating Edge-Assisted Federated Learning for Model-Heterogeneous Clients
Kaibin Wang, Qiang He, Zeqian Dong, Ziteng Wei, Caslon
Chua, Feifei Chen, Hai Jin and Yun Yang
WinFLoRA: Incentivizing Client-Adaptive Aggregation in Federated LoRA "&amp;"under Privacy Heterogeneity
Mengsha Kou, Xiaoyu Xia, Ziqi Wang, Ibrahim Khalil, Ruikun
Luo, Jingwen Zhou and Minhui Xue
Beyond Class Boundaries: Federated Visual Primitive Sharing with Text-Guided Adaptation
Yongqiang Huang, Yingyu Chen, Tao Wang, Zexin "&amp;"Lu, Zerui
Shao, Beibei Li and Yi Zhang
CoLOR-DP: Conjugate Low-Rank Differential Privacy for Structure-Aware LoRA Fine-Tuning
Kai Zhang, Yuxuan Xu, Wenxiang Lin, Chaoqun Hong, Pei-Wei
Tsai, Xin Yuan and Minhui Xue
CA-PFL: Client-adaptive Parameter-effic"&amp;"ient Fine-tuning for Personalized Federated Learning
Daixin Song, Hui Cai, Haojie Zhang, Biyun Sheng, Jian Zhou,
Mang Ye and Fu Xiao
")</f>
        <v>FedBridge: Accelerating Edge-Assisted Federated Learning for Model-Heterogeneous Clients
Kaibin Wang, Qiang He, Zeqian Dong, Ziteng Wei, Caslon
Chua, Feifei Chen, Hai Jin and Yun Yang
WinFLoRA: Incentivizing Client-Adaptive Aggregation in Federated LoRA under Privacy Heterogeneity
Mengsha Kou, Xiaoyu Xia, Ziqi Wang, Ibrahim Khalil, Ruikun
Luo, Jingwen Zhou and Minhui Xue
Beyond Class Boundaries: Federated Visual Primitive Sharing with Text-Guided Adaptation
Yongqiang Huang, Yingyu Chen, Tao Wang, Zexin Lu, Zerui
Shao, Beibei Li and Yi Zhang
CoLOR-DP: Conjugate Low-Rank Differential Privacy for Structure-Aware LoRA Fine-Tuning
Kai Zhang, Yuxuan Xu, Wenxiang Lin, Chaoqun Hong, Pei-Wei
Tsai, Xin Yuan and Minhui Xue
CA-PFL: Client-adaptive Parameter-efficient Fine-tuning for Personalized Federated Learning
Daixin Song, Hui Cai, Haojie Zhang, Biyun Sheng, Jian Zhou,
Mang Ye and Fu Xiao
</v>
      </c>
      <c r="I24" s="67" t="str">
        <f>IFERROR(__xludf.DUMMYFUNCTION("TEXTJOIN(CHAR(10), TRUE,FILTER('Research assignment'!$D:$D,'Research assignment'!$F:$F=I22))"),"Reading Between the Lines: Towards Reliable Black-box LLM Fingerprinting via Zeroth-order Gradient Estimation
Shuo Shao, Yiming Li, Hongwei Yao, Yifei Chen, Yuchen Yang
and Zhan Qin
Forge: A Robust Multi-tab Website Fingerprinting Attack via Blind Source"&amp;" Separation
Yitan Huang, Wei Qiao, Ding Wang, Meng Shen, Di Zhao, Linxu
Li, Susu Cui, Bo Jiang, Zhigang Lu and Baoxu Liu
HiFi-WF: Toward Realistic Website Fingerprinting with Multi-tab and Subpage Recognition
Songyang Wu, Chuan Ma, Ming Ding, Long Yuan, "&amp;"Biwen Chen,
Yuwen Qian and Tao Xiang
RoFiRe: Robust Website Fingerprinting on Real-World Tor Traffic via Improved Augmentation and Normalization
Haeseung Jeon, Sujin Kim, Nate Mathews, Hosung Kang and Se
Eun Oh
Understanding Server-side Commercial Finge"&amp;"rprinting
Elisa Luo, Tom Ritter, Stefan Savage and Geoffrey M Voelker
")</f>
        <v>Reading Between the Lines: Towards Reliable Black-box LLM Fingerprinting via Zeroth-order Gradient Estimation
Shuo Shao, Yiming Li, Hongwei Yao, Yifei Chen, Yuchen Yang
and Zhan Qin
Forge: A Robust Multi-tab Website Fingerprinting Attack via Blind Source Separation
Yitan Huang, Wei Qiao, Ding Wang, Meng Shen, Di Zhao, Linxu
Li, Susu Cui, Bo Jiang, Zhigang Lu and Baoxu Liu
HiFi-WF: Toward Realistic Website Fingerprinting with Multi-tab and Subpage Recognition
Songyang Wu, Chuan Ma, Ming Ding, Long Yuan, Biwen Chen,
Yuwen Qian and Tao Xiang
RoFiRe: Robust Website Fingerprinting on Real-World Tor Traffic via Improved Augmentation and Normalization
Haeseung Jeon, Sujin Kim, Nate Mathews, Hosung Kang and Se
Eun Oh
Understanding Server-side Commercial Fingerprinting
Elisa Luo, Tom Ritter, Stefan Savage and Geoffrey M Voelker
</v>
      </c>
      <c r="J24" s="67" t="str">
        <f>IFERROR(__xludf.DUMMYFUNCTION("TEXTJOIN(CHAR(10), TRUE,FILTER('Research assignment'!$D:$D,'Research assignment'!$F:$F=J22))"),"A Frequency-Aware Mixture of Heterogeneous Experts Framework for Knowledge Tracing
Youheng Bai, Mingliang Hou, Teng Guo, Zitao Liu and Weiqi
Luo
Efficient High-Dimensional Time Series Forecasting with Transformers: A Channel Reordering Perspective
Yuchen"&amp;" Fang, Shiyu Wang, Yuxuan Liang, Zhou Ye, Yang Xiang,
Yan Zhao and Kai Zheng
Modeling Point-to-Point Dependency for High-Dimensional Long-Term Series Forecasting
Xinyu Li, Kexi Chen, Ying Zheng, Zhiyi Yao, Yi Xie, Jihan
Dai, Lei Bai, Jin Zhao, Jiajie She"&amp;"n, Yunqi Cai, Hong Lu and
Xin Wang
Time-TK: A Multi-Offset Temporal Interaction Framework Combining Transformer and Kolmogorov-Arnold Networks for Time Series Forecasting
Fan Zhang, Shiming Fan and Hua Wang
FedDis: A Causal Disentanglement Framework for"&amp;" Federated Traffic Prediction
Chengyang Zhou, Zijian Zhang, Chunxu Zhang, Hao Miao, Yulin
Zhang, Kedi Lyu and Juncheng Hu
")</f>
        <v>A Frequency-Aware Mixture of Heterogeneous Experts Framework for Knowledge Tracing
Youheng Bai, Mingliang Hou, Teng Guo, Zitao Liu and Weiqi
Luo
Efficient High-Dimensional Time Series Forecasting with Transformers: A Channel Reordering Perspective
Yuchen Fang, Shiyu Wang, Yuxuan Liang, Zhou Ye, Yang Xiang,
Yan Zhao and Kai Zheng
Modeling Point-to-Point Dependency for High-Dimensional Long-Term Series Forecasting
Xinyu Li, Kexi Chen, Ying Zheng, Zhiyi Yao, Yi Xie, Jihan
Dai, Lei Bai, Jin Zhao, Jiajie Shen, Yunqi Cai, Hong Lu and
Xin Wang
Time-TK: A Multi-Offset Temporal Interaction Framework Combining Transformer and Kolmogorov-Arnold Networks for Time Series Forecasting
Fan Zhang, Shiming Fan and Hua Wang
FedDis: A Causal Disentanglement Framework for Federated Traffic Prediction
Chengyang Zhou, Zijian Zhang, Chunxu Zhang, Hao Miao, Yulin
Zhang, Kedi Lyu and Juncheng Hu
</v>
      </c>
      <c r="K24" s="67" t="str">
        <f>IFERROR(__xludf.DUMMYFUNCTION("TEXTJOIN(CHAR(10), TRUE,FILTER('Research assignment'!$D:$D,'Research assignment'!$F:$F=K22))"),"ThinkRec: Thinking-based recommendation via LLM
Qihang Yu, Kairui Fu, Zheqi Lv, Shengyu Zhang, Xinhui Wu,
Chen Lin, Feng Wei, Bo Zheng and Fei Wu
Iterative Semantic Reasoning from Individual to Group Interests for Generative Recommendation with LLMs
Xiao"&amp;"fei Zhu, Jinfei Chen, Feiyang Yuan and Yang Zhou
Reinforcement Learning-Constrained Segmented User Modeling with Large Language Models for Recommendation
Yu Xia, Qing Tan, He Chen, Jingyu Chen and Qian Dong
Multi-Task Multi-Behavior Sequential Recommend"&amp;"ation
Weihao Du, Ziran Deng, Weike Pan and Zhong Ming
RMBRec: Robust Multi-Behavior Recommendation towards Target Behaviors
Miaomiao Cai, Zhijie Zhang, Junfeng Fang, Zhiyong Cheng,
Xiang Wang and Meng Wang
")</f>
        <v>ThinkRec: Thinking-based recommendation via LLM
Qihang Yu, Kairui Fu, Zheqi Lv, Shengyu Zhang, Xinhui Wu,
Chen Lin, Feng Wei, Bo Zheng and Fei Wu
Iterative Semantic Reasoning from Individual to Group Interests for Generative Recommendation with LLMs
Xiaofei Zhu, Jinfei Chen, Feiyang Yuan and Yang Zhou
Reinforcement Learning-Constrained Segmented User Modeling with Large Language Models for Recommendation
Yu Xia, Qing Tan, He Chen, Jingyu Chen and Qian Dong
Multi-Task Multi-Behavior Sequential Recommendation
Weihao Du, Ziran Deng, Weike Pan and Zhong Ming
RMBRec: Robust Multi-Behavior Recommendation towards Target Behaviors
Miaomiao Cai, Zhijie Zhang, Junfeng Fang, Zhiyong Cheng,
Xiang Wang and Meng Wang
</v>
      </c>
      <c r="L24" s="67" t="str">
        <f>IFERROR(__xludf.DUMMYFUNCTION("TEXTJOIN(CHAR(10), TRUE,FILTER('Industry assignment'!$D:$D,'Industry assignment'!$F:$F=L22))"),"FRiskGPT: A Generative Foundation Model for Financial Risk Detection
Zhongjian Zhang, Mengmei Zhang, Dehua Xu, Rongjun Shi, Jianfeng Liu, Fuli Meng, Huajian Xu, Xiao Wang, Ruijia Wang, Junze Chen, Minwei Tang and Chuan Shi
VeritasFi: An Adaptable, Multi-"&amp;"tiered RAG Framework for Multi-modal Financial Question Answering
Zhenghan Tai, Hanwei Wu, Qingchen Hu, Jijun Chi, Hailin He, Lei Ding, Tung Sum Thomas Kwok, Bohuai Xiao, Yuchen Hua, Suyuchen Wang, Peng Lu, Muzhi Li, Yihong Wu, Liheng Ma, Jerry Huang, Jia"&amp;"yi Zhang, Gonghao Zhang, Chaolong Jiang, Jingrui Tian, Sicheng Lyu, Zeyu Li, Boyu Han, Fengran Mo, Xinyue Yu, Yufei Cui, Ling Zhou and Xinyu Wang
When Agents Trade: Live Multi-Market Trading Arena for LLM Agents
Lingfei Qian, Xueqing Peng, Hanley Smith, "&amp;"Yi Han, Yueru He, Haohang Li, Yupeng Cao, Yangyang Yu, Guojun Xiong, Peng Lu, Yan Wang, Vincent Jim Zhang, Huan He, Alejandro Lopez-Lira, Jimin Huang, Jian-Yun Nie and Sophia Ananiadou
Financial Wind Tunnel: A Retrieval-Augmented Market Simulator
Bokai C"&amp;"ao, Xueyuan Lin, Yiyan Qi, Chengjin Xu, Cehao Yang and Jian Guo
FishFlow: A LLM-Empowered Dynamic Pricing Framework for Online Fleamarket Platform
Kakam Chong, Xu Yan, Shuai Xiao, Ming Chen, Chen Ju, Fei Huang, Yuantao Gu, Shuguang Han and Jufeng Chen
")</f>
        <v>FRiskGPT: A Generative Foundation Model for Financial Risk Detection
Zhongjian Zhang, Mengmei Zhang, Dehua Xu, Rongjun Shi, Jianfeng Liu, Fuli Meng, Huajian Xu, Xiao Wang, Ruijia Wang, Junze Chen, Minwei Tang and Chuan Shi
VeritasFi: An Adaptable, Multi-tiered RAG Framework for Multi-modal Financial Question Answering
Zhenghan Tai, Hanwei Wu, Qingchen Hu, Jijun Chi, Hailin He, Lei Ding, Tung Sum Thomas Kwok, Bohuai Xiao, Yuchen Hua, Suyuchen Wang, Peng Lu, Muzhi Li, Yihong Wu, Liheng Ma, Jerry Huang, Jiayi Zhang, Gonghao Zhang, Chaolong Jiang, Jingrui Tian, Sicheng Lyu, Zeyu Li, Boyu Han, Fengran Mo, Xinyue Yu, Yufei Cui, Ling Zhou and Xinyu Wang
When Agents Trade: Live Multi-Market Trading Arena for LLM Agents
Lingfei Qian, Xueqing Peng, Hanley Smith, Yi Han, Yueru He, Haohang Li, Yupeng Cao, Yangyang Yu, Guojun Xiong, Peng Lu, Yan Wang, Vincent Jim Zhang, Huan He, Alejandro Lopez-Lira, Jimin Huang, Jian-Yun Nie and Sophia Ananiadou
Financial Wind Tunnel: A Retrieval-Augmented Market Simulator
Bokai Cao, Xueyuan Lin, Yiyan Qi, Chengjin Xu, Cehao Yang and Jian Guo
FishFlow: A LLM-Empowered Dynamic Pricing Framework for Online Fleamarket Platform
Kakam Chong, Xu Yan, Shuai Xiao, Ming Chen, Chen Ju, Fei Huang, Yuantao Gu, Shuguang Han and Jufeng Chen
</v>
      </c>
      <c r="M24" s="67" t="str">
        <f>IFERROR(__xludf.DUMMYFUNCTION("TEXTJOIN(CHAR(10), TRUE,FILTER('Industry assignment'!$D:$D,'Industry assignment'!$F:$F=M22))"),"Hierarchical Semantic RL: Tackling the Problem of Dynamic Action Space for RL-based Recommendations
Minmao Wang, Xingchen Liu, Shijie Yi, Likang Wu, Hongke Zhao, Fei Pan, Qingpeng Cai and Peng Jiang
Beyond the Flat Sequence: Hierarchical and Preference-A"&amp;"ware Generative Recommendations
Zerui Chen, Heng Chang, Tianying Liu, Chuantian Zhou, Yi Cao, Jiandong Ding, Ming Liu and Bing Qin
NEZHA: A Zero-sacrifice and Hyperspeed Decoding Architecture for Generative Recommendations
Yejing Wang, Shengyu Zhou, Jiny"&amp;"u Lu, Ziwei Liu, Langming Liu, Maolin Wang, Wenlin Zhang, Feng Li, Wenbo Su, Pengjie Wang, Jian Xu and Xiangyu Zhao
OneTrans: Unified Feature Interaction and Sequence Modeling with One Transformer in Industrial Recommender
Zhaoqi Zhang, Haolei Pei, Jun G"&amp;"uo, Tianyu Wang, Yufei Feng, Hui Sun, Shaowei Liu and Aixin Sun
GRADE: Personalized Multi-Task Fusion via Group-Relative Reinforcement Learning with Adaptive Dirichlet Exploration
Tingfeng Hong, Pingye Ren, Xinlong Xiao, Chao Wang, Chenyi Lei, Wenwu Ou a"&amp;"nd Han Li
")</f>
        <v>Hierarchical Semantic RL: Tackling the Problem of Dynamic Action Space for RL-based Recommendations
Minmao Wang, Xingchen Liu, Shijie Yi, Likang Wu, Hongke Zhao, Fei Pan, Qingpeng Cai and Peng Jiang
Beyond the Flat Sequence: Hierarchical and Preference-Aware Generative Recommendations
Zerui Chen, Heng Chang, Tianying Liu, Chuantian Zhou, Yi Cao, Jiandong Ding, Ming Liu and Bing Qin
NEZHA: A Zero-sacrifice and Hyperspeed Decoding Architecture for Generative Recommendations
Yejing Wang, Shengyu Zhou, Jinyu Lu, Ziwei Liu, Langming Liu, Maolin Wang, Wenlin Zhang, Feng Li, Wenbo Su, Pengjie Wang, Jian Xu and Xiangyu Zhao
OneTrans: Unified Feature Interaction and Sequence Modeling with One Transformer in Industrial Recommender
Zhaoqi Zhang, Haolei Pei, Jun Guo, Tianyu Wang, Yufei Feng, Hui Sun, Shaowei Liu and Aixin Sun
GRADE: Personalized Multi-Task Fusion via Group-Relative Reinforcement Learning with Adaptive Dirichlet Exploration
Tingfeng Hong, Pingye Ren, Xinlong Xiao, Chao Wang, Chenyi Lei, Wenwu Ou and Han Li
</v>
      </c>
      <c r="N24" s="67" t="str">
        <f>IFERROR(__xludf.DUMMYFUNCTION("TEXTJOIN(CHAR(10), TRUE,FILTER('HoW assignment'!$D:$D,'HoW assignment'!$F:$F=N22))"),"Welcome by History of Web Chairs
Wendy Hall and Oshani Seneviratne
Seoul Test of Time Winner Presentation - LINE: Large-scale Information Network Embedding
Jian Tang
The Pendulum of Verbosity: The Evolution of Search from Blue Links to Agents
Evgeniy Ga"&amp;"brilovich
")</f>
        <v>Welcome by History of Web Chairs
Wendy Hall and Oshani Seneviratne
Seoul Test of Time Winner Presentation - LINE: Large-scale Information Network Embedding
Jian Tang
The Pendulum of Verbosity: The Evolution of Search from Blue Links to Agents
Evgeniy Gabrilovich
</v>
      </c>
      <c r="O24" s="59"/>
      <c r="P24" s="60"/>
      <c r="Q24" s="60"/>
      <c r="R24" s="5"/>
      <c r="S24" s="5"/>
      <c r="T24" s="5"/>
      <c r="U24" s="5"/>
      <c r="V24" s="5"/>
      <c r="W24" s="5"/>
      <c r="X24" s="5"/>
      <c r="Y24" s="5"/>
      <c r="Z24" s="5"/>
      <c r="AA24" s="5"/>
    </row>
    <row r="25" collapsed="1">
      <c r="A25" s="68" t="s">
        <v>86</v>
      </c>
      <c r="B25" s="69" t="s">
        <v>87</v>
      </c>
      <c r="O25" s="70"/>
      <c r="P25" s="5"/>
      <c r="Q25" s="5"/>
      <c r="R25" s="5"/>
      <c r="S25" s="5"/>
      <c r="T25" s="5"/>
      <c r="U25" s="5"/>
      <c r="V25" s="5"/>
      <c r="W25" s="5"/>
      <c r="X25" s="5"/>
      <c r="Y25" s="5"/>
      <c r="Z25" s="5"/>
      <c r="AA25" s="5"/>
    </row>
    <row r="26" hidden="1" outlineLevel="1">
      <c r="A26" s="71"/>
      <c r="B26" s="72" t="s">
        <v>88</v>
      </c>
      <c r="C26" s="72" t="s">
        <v>89</v>
      </c>
      <c r="D26" s="72" t="str">
        <f>IFERROR(__xludf.DUMMYFUNCTION("ARRAY_CONSTRAIN(TRANSPOSE(FILTER('All Counts'!B:B, RIGHT(TO_TEXT('All Counts'!B:B), 1)=""1"")), 1, 11)"),"EconPoster1")</f>
        <v>EconPoster1</v>
      </c>
      <c r="E26" s="71" t="str">
        <f>IFERROR(__xludf.DUMMYFUNCTION("""COMPUTED_VALUE"""),"GraphPoster1")</f>
        <v>GraphPoster1</v>
      </c>
      <c r="F26" s="71" t="str">
        <f>IFERROR(__xludf.DUMMYFUNCTION("""COMPUTED_VALUE"""),"SearchPoster1")</f>
        <v>SearchPoster1</v>
      </c>
      <c r="G26" s="71" t="str">
        <f>IFERROR(__xludf.DUMMYFUNCTION("""COMPUTED_VALUE"""),"SemanticsPoster1")</f>
        <v>SemanticsPoster1</v>
      </c>
      <c r="H26" s="71" t="str">
        <f>IFERROR(__xludf.DUMMYFUNCTION("""COMPUTED_VALUE"""),"SecurityPoster1")</f>
        <v>SecurityPoster1</v>
      </c>
      <c r="I26" s="71" t="str">
        <f>IFERROR(__xludf.DUMMYFUNCTION("""COMPUTED_VALUE"""),"SocialPoster1")</f>
        <v>SocialPoster1</v>
      </c>
      <c r="J26" s="71" t="str">
        <f>IFERROR(__xludf.DUMMYFUNCTION("""COMPUTED_VALUE"""),"SystemsPoster1")</f>
        <v>SystemsPoster1</v>
      </c>
      <c r="K26" s="71" t="str">
        <f>IFERROR(__xludf.DUMMYFUNCTION("""COMPUTED_VALUE"""),"RecSysPoster1")</f>
        <v>RecSysPoster1</v>
      </c>
      <c r="L26" s="71" t="str">
        <f>IFERROR(__xludf.DUMMYFUNCTION("""COMPUTED_VALUE"""),"MiningPoster1")</f>
        <v>MiningPoster1</v>
      </c>
      <c r="M26" s="71" t="str">
        <f>IFERROR(__xludf.DUMMYFUNCTION("""COMPUTED_VALUE"""),"IndustryPoster1")</f>
        <v>IndustryPoster1</v>
      </c>
      <c r="N26" s="71" t="str">
        <f>IFERROR(__xludf.DUMMYFUNCTION("""COMPUTED_VALUE"""),"Web4GoodPoster1")</f>
        <v>Web4GoodPoster1</v>
      </c>
      <c r="O26" s="71"/>
      <c r="P26" s="25"/>
      <c r="Q26" s="25"/>
      <c r="R26" s="25"/>
      <c r="S26" s="25"/>
      <c r="T26" s="25"/>
      <c r="U26" s="25"/>
      <c r="V26" s="25"/>
      <c r="W26" s="25"/>
      <c r="X26" s="25"/>
      <c r="Y26" s="25"/>
      <c r="Z26" s="25"/>
      <c r="AA26" s="25"/>
    </row>
    <row r="27" ht="538.5" hidden="1" customHeight="1" outlineLevel="1">
      <c r="A27" s="73"/>
      <c r="B27" s="73" t="str">
        <f>IFERROR(__xludf.DUMMYFUNCTION("TEXTJOIN(CHAR(10), TRUE,FILTER(Demos!$D:$D,Demos!$E:$E=B26))"),"STIndex: A Context-Aware Multi-Dimensional Spatiotemporal Information Extraction System
Wenxiao Zhang, Yu Liu, Qiang Sun, Yihao Ding, Sirui Li, Yanbing Liu, Jin B. Hong and Wei Liu
SJBP: A Platform to Launch a Novel Jailbreak Attack on Large Language Mod"&amp;"els Based on Content's Spatial Distribution
Zhiyi Mou, Zeheng Qian, Tianfang Xiao, Wangze Ni, Weijie Sun, Lei Chen, Zhan Qin, Peng Cheng and Kui Ren
Pattern Discovery with Wide-Lens Analysis and Sharp-Focus Validation
Li Liu, Omar Alonso and Giorgio Ball"&amp;"ardin
DualMind: Towards Understanding Cognitive-Affective Cascades in Public Opinion Dissemination via Multi-Agent Simulation
Enhao Huang, Tongtong Pan, Shuhuai Zhang, Qishu Jin, Liheng Zheng, Kaichun Hu, Yiming Li, Zhan Qin and Kui Ren
RISE: A Retrieva"&amp;"l-Augmented Generation Enhanced Immersive System for Education
Guo Chen, Haowei Tang, Yan Wei, Yuming Wang, Haoyang Zhang, Yikang Hou, Maolin Zheng and Junjie Huang
PromptX: A Cognitive Agent Platform with Long-term Memory
Binhao Wang, Jianglin Huang, Xi"&amp;"ao Hu, Shan Jiang, Maolin Wang, Ching-Ho Yang, Jian Jiang, Junhao Ye, Yaozu Cen, Rui Zeng, Yingtong Zhou, Yingjie Luo, Guanjie Wu, Wangzhong Xu, Feiyu Zhou and Xiangyu Zhao
TrustResearcher: Automating Knowledge-Grounded and Transparent Research Ideation "&amp;"with Multi-Agent Collaboration
Jiawei Zhou, Ruicheng Zhu, Mengshi Chen, Jianwei Wang and Kai Wang
Multimodal Peer Review Simulation with Actionable To-Do Recommendations for Community-Aware Manuscript Revisions
Mengze Hong, Di Jiang, Weiwei Zhao, Yawen L"&amp;"i, Yihang Wang, Xinyuan Luo, Yanjie Sun and Chen Jason Zhang
")</f>
        <v>STIndex: A Context-Aware Multi-Dimensional Spatiotemporal Information Extraction System
Wenxiao Zhang, Yu Liu, Qiang Sun, Yihao Ding, Sirui Li, Yanbing Liu, Jin B. Hong and Wei Liu
SJBP: A Platform to Launch a Novel Jailbreak Attack on Large Language Models Based on Content's Spatial Distribution
Zhiyi Mou, Zeheng Qian, Tianfang Xiao, Wangze Ni, Weijie Sun, Lei Chen, Zhan Qin, Peng Cheng and Kui Ren
Pattern Discovery with Wide-Lens Analysis and Sharp-Focus Validation
Li Liu, Omar Alonso and Giorgio Ballardin
DualMind: Towards Understanding Cognitive-Affective Cascades in Public Opinion Dissemination via Multi-Agent Simulation
Enhao Huang, Tongtong Pan, Shuhuai Zhang, Qishu Jin, Liheng Zheng, Kaichun Hu, Yiming Li, Zhan Qin and Kui Ren
RISE: A Retrieval-Augmented Generation Enhanced Immersive System for Education
Guo Chen, Haowei Tang, Yan Wei, Yuming Wang, Haoyang Zhang, Yikang Hou, Maolin Zheng and Junjie Huang
PromptX: A Cognitive Agent Platform with Long-term Memory
Binhao Wang, Jianglin Huang, Xiao Hu, Shan Jiang, Maolin Wang, Ching-Ho Yang, Jian Jiang, Junhao Ye, Yaozu Cen, Rui Zeng, Yingtong Zhou, Yingjie Luo, Guanjie Wu, Wangzhong Xu, Feiyu Zhou and Xiangyu Zhao
TrustResearcher: Automating Knowledge-Grounded and Transparent Research Ideation with Multi-Agent Collaboration
Jiawei Zhou, Ruicheng Zhu, Mengshi Chen, Jianwei Wang and Kai Wang
Multimodal Peer Review Simulation with Actionable To-Do Recommendations for Community-Aware Manuscript Revisions
Mengze Hong, Di Jiang, Weiwei Zhao, Yawen Li, Yihang Wang, Xinyuan Luo, Yanjie Sun and Chen Jason Zhang
</v>
      </c>
      <c r="C27" s="73" t="str">
        <f>IFERROR(__xludf.DUMMYFUNCTION("TEXTJOIN(CHAR(10), TRUE,FILTER('ShortPapers assignment'!$D:$D,'ShortPapers assignment'!$E:$E=C26))"),"DOS: Dual-Flow Orthogonal Semantic IDs for Recommendation in Meituan
Junwei Yin, Senjie Kou, Changhao Li, Shuli Wang, Yinqiu Huang, Xue Wei, Yinhua Zhu, Haitao Wang and Xingxing Wang
RASTP: Representation-Aware Semantic Token Pruning for Generative Recom"&amp;"mendation with Semantic Identifiers
Tianyu Zhan, Kairui Fu, Zheqi Lv and Shengyu Zhang
Few-shot and Zero-shot Audience Expansion with User and Task Model Pre-training on Tabular Data
Siwei Qiang, Pengyu Li, Zhe Yu, Mengyao Sun, Jun Chen and Bo Zheng
Lea"&amp;"rning To Generate Effective Health Advertisements
Yuval Saadaty and Elad Yom-Tov
Decentralized in Name Only: The Centralization of DAO Labor
Lingling Zhang, Morteza Zihayat and Ebrahim Bagheri
A Reinforcement Learning Based Hyper-Parameter Generation Sy"&amp;"stem Guided by LLM-Powered Virtual Users
Changlin Qiu, Bang Lin, Tao Zhang and Chengfu Huo
DualGR: Generative Retrieval with Long and Short-Term Interests Modeling
Zhongchao Yi, Kai Feng, Xiaojian Ma, Yalong Wang, Yongqi Liu, Han Li, Zhengyang Zhou and Y"&amp;"ang Wang
Cascaded Verification Framework: A Progressive Approach for Mitigating Hallucinations in Large Language Models
Shu Zhou, Yufei Song, Jinman Leng, Xin Wang, Tao Fan and Hao Wang
Hidden-in-Plain-Text: A Benchmark for Social-Web Indirect Prompt In"&amp;"jection in RAG
Haoze Guo and Ziqi Wei
Activation Caching for Retrieval-Augmented Generation
Shu Zhou, Yufei Song, Jinman Leng, Xin Wang, Tao Fan and Hao Wang
PH-EMO: Decoding Emotions from the Brain Inward – EEG-Grounded Multimodal Reasoning with LLMs
K"&amp;"ehong Liu, Yang Liu and Jiming Liu
GPR: Empowering Generation with Graph-Pretrained Retriever
Xiaochen Wang, Zongyu Wu, Yuan Zhong, Xiang Zhang, Suhang Wang and Fenglong Ma
Graph Discrete Prompt Optimization for Knowledge Graph Question Answering
Wooyou"&amp;"ng Kim, Haemin Jung, Byeongjin Kim, Suhyeon Kwon and Wooju Kim
WITHDRAWN 1/29/26, email from chairs -- Exploring Latent Preference with Interest-Guided Collaborative Expansion for Multimodal Recommendation
Jiuqiang Li and Hongjun Wang
Improving the Accu"&amp;"racy of Community Detection on Signed Networks via Community Refinement and Contrastive Learning
Hyunuk Shin, Hojin Kim, Chanyoung Lee, Yeon-Chang Lee and David Yoon Suk Kang
AIMER: Affective Intention-guided Multimodal Emotion Reasoner for Visual Emotio"&amp;"n Analysis in Social Media
Yubeen Lee, Shinyu Park, Jiwon Park and Eunil Park
SIR-Teach: Student-Implicit Reward Teaching
Haochen You and Baojing Liu
Generative Retrieval for E‑commerce: Jointly Learning Embedding and Codebook with Same Product Cluster
"&amp;"Songtao Fang, Zihao Xu, Shaowei Wei, Jin Zhang and Zhuojun Wang
Rethink Web Service Resilience in Space: A Radiation-Aware and Sustainable Transmission Solution
Long Chen, Hao Fang, Yi Ching Chou, Haoyuan Zhao, Xiaoyi Fan, Zhe Chen, Hengzhi Wang and Jian"&amp;"gchuan Liu
Access Controlled Website Interaction for Agentic AI with Delegated Critical Tasks
Sunyoung Kim and Hokeun Kim
Infer As You Train: A Symmetric Paradigm of Masked Generative for Click-Through Rate Prediction
Moyu Zhang, Yujun Jin, Yun Chen, Ji"&amp;"nxin Hu, Yu Zhang and Xiaoyi Zeng
Learning Probabilistic Distributions for CTR Uncertainty
Biho Kim
Structure Over Scale: Diagnosing Liquidity Fragility in Concentrated-Liquidity AMMs
Qiangqiang Liu, Runfa Jiang, Qian Huang, Frank Fan, Kunpeng Ren and W"&amp;"ei Cai
Fedivertex: a Graph Dataset based on Decentralized Social Media
Marc Damie and Edwige Cyffers
Cost Ratio Aware Algorithm for Representative Subset Selection
Tong Cheng and Xueyan Tang
")</f>
        <v>DOS: Dual-Flow Orthogonal Semantic IDs for Recommendation in Meituan
Junwei Yin, Senjie Kou, Changhao Li, Shuli Wang, Yinqiu Huang, Xue Wei, Yinhua Zhu, Haitao Wang and Xingxing Wang
RASTP: Representation-Aware Semantic Token Pruning for Generative Recommendation with Semantic Identifiers
Tianyu Zhan, Kairui Fu, Zheqi Lv and Shengyu Zhang
Few-shot and Zero-shot Audience Expansion with User and Task Model Pre-training on Tabular Data
Siwei Qiang, Pengyu Li, Zhe Yu, Mengyao Sun, Jun Chen and Bo Zheng
Learning To Generate Effective Health Advertisements
Yuval Saadaty and Elad Yom-Tov
Decentralized in Name Only: The Centralization of DAO Labor
Lingling Zhang, Morteza Zihayat and Ebrahim Bagheri
A Reinforcement Learning Based Hyper-Parameter Generation System Guided by LLM-Powered Virtual Users
Changlin Qiu, Bang Lin, Tao Zhang and Chengfu Huo
DualGR: Generative Retrieval with Long and Short-Term Interests Modeling
Zhongchao Yi, Kai Feng, Xiaojian Ma, Yalong Wang, Yongqi Liu, Han Li, Zhengyang Zhou and Yang Wang
Cascaded Verification Framework: A Progressive Approach for Mitigating Hallucinations in Large Language Models
Shu Zhou, Yufei Song, Jinman Leng, Xin Wang, Tao Fan and Hao Wang
Hidden-in-Plain-Text: A Benchmark for Social-Web Indirect Prompt Injection in RAG
Haoze Guo and Ziqi Wei
Activation Caching for Retrieval-Augmented Generation
Shu Zhou, Yufei Song, Jinman Leng, Xin Wang, Tao Fan and Hao Wang
PH-EMO: Decoding Emotions from the Brain Inward – EEG-Grounded Multimodal Reasoning with LLMs
Kehong Liu, Yang Liu and Jiming Liu
GPR: Empowering Generation with Graph-Pretrained Retriever
Xiaochen Wang, Zongyu Wu, Yuan Zhong, Xiang Zhang, Suhang Wang and Fenglong Ma
Graph Discrete Prompt Optimization for Knowledge Graph Question Answering
Wooyoung Kim, Haemin Jung, Byeongjin Kim, Suhyeon Kwon and Wooju Kim
WITHDRAWN 1/29/26, email from chairs -- Exploring Latent Preference with Interest-Guided Collaborative Expansion for Multimodal Recommendation
Jiuqiang Li and Hongjun Wang
Improving the Accuracy of Community Detection on Signed Networks via Community Refinement and Contrastive Learning
Hyunuk Shin, Hojin Kim, Chanyoung Lee, Yeon-Chang Lee and David Yoon Suk Kang
AIMER: Affective Intention-guided Multimodal Emotion Reasoner for Visual Emotion Analysis in Social Media
Yubeen Lee, Shinyu Park, Jiwon Park and Eunil Park
SIR-Teach: Student-Implicit Reward Teaching
Haochen You and Baojing Liu
Generative Retrieval for E‑commerce: Jointly Learning Embedding and Codebook with Same Product Cluster
Songtao Fang, Zihao Xu, Shaowei Wei, Jin Zhang and Zhuojun Wang
Rethink Web Service Resilience in Space: A Radiation-Aware and Sustainable Transmission Solution
Long Chen, Hao Fang, Yi Ching Chou, Haoyuan Zhao, Xiaoyi Fan, Zhe Chen, Hengzhi Wang and Jiangchuan Liu
Access Controlled Website Interaction for Agentic AI with Delegated Critical Tasks
Sunyoung Kim and Hokeun Kim
Infer As You Train: A Symmetric Paradigm of Masked Generative for Click-Through Rate Prediction
Moyu Zhang, Yujun Jin, Yun Chen, Jinxin Hu, Yu Zhang and Xiaoyi Zeng
Learning Probabilistic Distributions for CTR Uncertainty
Biho Kim
Structure Over Scale: Diagnosing Liquidity Fragility in Concentrated-Liquidity AMMs
Qiangqiang Liu, Runfa Jiang, Qian Huang, Frank Fan, Kunpeng Ren and Wei Cai
Fedivertex: a Graph Dataset based on Decentralized Social Media
Marc Damie and Edwige Cyffers
Cost Ratio Aware Algorithm for Representative Subset Selection
Tong Cheng and Xueyan Tang
</v>
      </c>
      <c r="D27" s="73" t="str">
        <f>IFERROR(__xludf.DUMMYFUNCTION("TEXTJOIN(CHAR(10), TRUE,FILTER('Research assignment'!$D:$D,'Research assignment'!$G:$G=D26))"),"Deterring A Small Collusion is All You Need
Yotam Gafni
Analysis of CEX-DEX Arbitrage Opportunities with Hidden Markov Models
Bence Ladóczki
LiquidityPool: Game-Theoretic Analysis of Stakeholder Revenue in Ranking-Dependent DeFi
Qinde Chen, Huawei Huang"&amp;" and Jian Zheng
Allocating Chores with Restricted Additive Costs: Achieving EFX, MMS, and Efficiency Simultaneously
Zehan Lin, Xiaowei Wu and Shengwei Zhou
All-but-one MMS Allocation for Chores
Jiawei Qiu, Xiaowei Wu, Cong Zhang and Shengwei Zhou
Barte"&amp;"r Exchange with Asymmetric Item Valuations
Juan Luque, Sharmila Duppala, Michael Curry, John Dickerson
and Aravind Srinivasan
")</f>
        <v>Deterring A Small Collusion is All You Need
Yotam Gafni
Analysis of CEX-DEX Arbitrage Opportunities with Hidden Markov Models
Bence Ladóczki
LiquidityPool: Game-Theoretic Analysis of Stakeholder Revenue in Ranking-Dependent DeFi
Qinde Chen, Huawei Huang and Jian Zheng
Allocating Chores with Restricted Additive Costs: Achieving EFX, MMS, and Efficiency Simultaneously
Zehan Lin, Xiaowei Wu and Shengwei Zhou
All-but-one MMS Allocation for Chores
Jiawei Qiu, Xiaowei Wu, Cong Zhang and Shengwei Zhou
Barter Exchange with Asymmetric Item Valuations
Juan Luque, Sharmila Duppala, Michael Curry, John Dickerson
and Aravind Srinivasan
</v>
      </c>
      <c r="E27" s="73" t="str">
        <f>IFERROR(__xludf.DUMMYFUNCTION("TEXTJOIN(CHAR(10), TRUE,FILTER('Research assignment'!$D:$D,'Research assignment'!$G:$G=E26))"),"Difference-based Sample Selection for Federated Graph Rationalization
Linan Yue and Weibo Gao
Class-Domain Incremental Learning on Graphs via Disentangled Knowledge Distillation
Qin Tian, Chen Zhao, Xintao Wu, Dong Li, Minglai Shao,
Xujiang Zhao and Wenj"&amp;"un Wang
Exploring Sequential Dynamics on Temporal Graphs via Composite Filtering
Yuanyuan Xu, Danni Wu, Xuemin Lin, Dong Wen, Wenjie Zhang,
Lei Chen and Ying Zhang
Maximum Edge-based Quasi-Clique: Novel Iterative Frameworks
Hongbo Xia, Shengxin Liu and "&amp;"Zhaoquan Gu
Scalable and Provable Biclique-Preserving Clustering: The Power of Counting-based Approaches
Longlong Lin, Zeli Wang, Rong-Hua Li, Xiaohai Dai, Li Ni
and Jin Zhao
Graph Diffusion Evolution Model for Multi-Conditional Molecular Generation
Xin"&amp;"gcheng Fu, Lingyun Liu, Yisen Gao, Tianyu Chen, Qingyun
Sun, Jianxin Li and Xianxian Li
Integrated Mixture of Neighborhood and Community Experts for Graph-Based Fraud Detection
Zhizhi Yu, Di Jin, Dongxiao He, Wenhuan Lu and Jianguo Wei
FeedGuard: Online"&amp;" Critic-Guided Reinforcement Learning with Privacy-Preserving Feedback for Recommendation
Mengying Zhu, Feiyue Chen, Lifan Jiang, Mengyuan Yang,
Yangyang Wu, Guanjie Cheng and Xiaolin Zheng
HomeRun: Performing Curveball Trades quasi in Streaming for Fast"&amp;" Null Modeling of Graphs, Hypergraphs, and Binary Matrices
Michelle Contreras-Catalan and Matteo Riondato
")</f>
        <v>Difference-based Sample Selection for Federated Graph Rationalization
Linan Yue and Weibo Gao
Class-Domain Incremental Learning on Graphs via Disentangled Knowledge Distillation
Qin Tian, Chen Zhao, Xintao Wu, Dong Li, Minglai Shao,
Xujiang Zhao and Wenjun Wang
Exploring Sequential Dynamics on Temporal Graphs via Composite Filtering
Yuanyuan Xu, Danni Wu, Xuemin Lin, Dong Wen, Wenjie Zhang,
Lei Chen and Ying Zhang
Maximum Edge-based Quasi-Clique: Novel Iterative Frameworks
Hongbo Xia, Shengxin Liu and Zhaoquan Gu
Scalable and Provable Biclique-Preserving Clustering: The Power of Counting-based Approaches
Longlong Lin, Zeli Wang, Rong-Hua Li, Xiaohai Dai, Li Ni
and Jin Zhao
Graph Diffusion Evolution Model for Multi-Conditional Molecular Generation
Xingcheng Fu, Lingyun Liu, Yisen Gao, Tianyu Chen, Qingyun
Sun, Jianxin Li and Xianxian Li
Integrated Mixture of Neighborhood and Community Experts for Graph-Based Fraud Detection
Zhizhi Yu, Di Jin, Dongxiao He, Wenhuan Lu and Jianguo Wei
FeedGuard: Online Critic-Guided Reinforcement Learning with Privacy-Preserving Feedback for Recommendation
Mengying Zhu, Feiyue Chen, Lifan Jiang, Mengyuan Yang,
Yangyang Wu, Guanjie Cheng and Xiaolin Zheng
HomeRun: Performing Curveball Trades quasi in Streaming for Fast Null Modeling of Graphs, Hypergraphs, and Binary Matrices
Michelle Contreras-Catalan and Matteo Riondato
</v>
      </c>
      <c r="F27" s="73" t="str">
        <f>IFERROR(__xludf.DUMMYFUNCTION("TEXTJOIN(CHAR(10), TRUE,FILTER('Research assignment'!$D:$D,'Research assignment'!$G:$G=F26))"),"What Should I Cite? A RAG Benchmark for Academic Citation Prediction
Leqi Zheng, Jiajun Zhang, Canzhi Chen, Chaokun Wang,
Hongwei Li, Yuying Li, Yaoxin Mao, Shannan Yan, Zixin Song,
Zhiyuan Feng, Zhaolu Kang, Zirong Chen, Hang Zhang, Qiang
Liu, Liang Wang"&amp;" and Ziyang Liu
Med-R$^2$: Crafting Trustworthy LLM Physicians via Retrieval and Reasoning of Evidence-Based Medicine
Lu Keer, Zheng Liang, Da Pan, Shusen Zhang, Guosheng Dong,
Huang Leng, Bin Cui, Zhonghai Wu and Wentao Zhang
Generalized Pseudo-Relevan"&amp;"ce Feedback
Yiteng Tu, Weihang Su, Yujia Zhou, Yiqun Liu, Fen Lin, Qin
Liu and Qingyao Ai
Rethinking the Hidden Risk of Reranking: Achieving Risk-aware Reranking with Information Gain for RAG with LLMs
Zhizhao Liu, Zhihua Wen, Zhiliang Tian, Zhen Huang,
"&amp;"Miaorong Zhu, Zimian Wei, Yifu Gao, Liang Ding and
Dongsheng Li
NeocorRAG: Less Irrelevant Information, More Explicit Evidence, and More Effective Recall via Evidence Chains
Shiyao Peng, Qianhe Zheng, Zhuodi Hao, Zichen Tang, Rongjin
Li, Qing Huang, Jiay"&amp;"u Huang, Jiacheng Liu, Yifan Zhu and
Haihong E
Pedestrian-Centric Discriminative and Fine-grained Semantic Mining for Text-based Person Retrieval
Yuheng Liang, Haipeng Chen, Yu Liu, Yingda Lyu and Xue Wang
")</f>
        <v>What Should I Cite? A RAG Benchmark for Academic Citation Prediction
Leqi Zheng, Jiajun Zhang, Canzhi Chen, Chaokun Wang,
Hongwei Li, Yuying Li, Yaoxin Mao, Shannan Yan, Zixin Song,
Zhiyuan Feng, Zhaolu Kang, Zirong Chen, Hang Zhang, Qiang
Liu, Liang Wang and Ziyang Liu
Med-R$^2$: Crafting Trustworthy LLM Physicians via Retrieval and Reasoning of Evidence-Based Medicine
Lu Keer, Zheng Liang, Da Pan, Shusen Zhang, Guosheng Dong,
Huang Leng, Bin Cui, Zhonghai Wu and Wentao Zhang
Generalized Pseudo-Relevance Feedback
Yiteng Tu, Weihang Su, Yujia Zhou, Yiqun Liu, Fen Lin, Qin
Liu and Qingyao Ai
Rethinking the Hidden Risk of Reranking: Achieving Risk-aware Reranking with Information Gain for RAG with LLMs
Zhizhao Liu, Zhihua Wen, Zhiliang Tian, Zhen Huang,
Miaorong Zhu, Zimian Wei, Yifu Gao, Liang Ding and
Dongsheng Li
NeocorRAG: Less Irrelevant Information, More Explicit Evidence, and More Effective Recall via Evidence Chains
Shiyao Peng, Qianhe Zheng, Zhuodi Hao, Zichen Tang, Rongjin
Li, Qing Huang, Jiayu Huang, Jiacheng Liu, Yifan Zhu and
Haihong E
Pedestrian-Centric Discriminative and Fine-grained Semantic Mining for Text-based Person Retrieval
Yuheng Liang, Haipeng Chen, Yu Liu, Yingda Lyu and Xue Wang
</v>
      </c>
      <c r="G27" s="73" t="str">
        <f>IFERROR(__xludf.DUMMYFUNCTION("TEXTJOIN(CHAR(10), TRUE,FILTER('Research assignment'!$D:$D,'Research assignment'!$G:$G=G26))"),"Bridging Expert Reasoning and LLM Detection: A Knowledge-Driven Framework for Malicious Packages
Wenbo Guo, Shiwen Song, Jiaxun Guo, Zhengzi Xu, Chengwei
Liu, Haoran Ou, Mengmeng Ge and Yang Liu
HingeMem: Boundary Guided Long-Term Memory with Query Adapt"&amp;"ive Retrieval for Scalable Dialogues
Yijie Zhong, Yunfan Gao and Haofen Wang
LHG: LLM-enhanced and Heterogeneous Graph-induced for Unsupervised Social Event Detection
Zitai Qiu, Rongwei Xu, Congbo Ma, Shan Xue, Jian Yang,
Guanfeng Liu, Quan Z. Sheng, Ami"&amp;"n Beheshti and Jia Wu
Decoding Web Memorization: A Semantic Membership Inference Attack on LLMs
Zhiyao Wu, Zi Liang and Haibo Hu
Bridging Semantic Understanding and Popularity Bias with LLMs
Renqiang Luo, Dong Zhang, Yupeng Gao, Wen Shi, Mingliang
Hou, "&amp;"Jiaying Liu, Zhe Wang and Shuo Yu
Simple-Sampling and Hard-Mixup with Prototypes to Rebalance Contrastive Learning for Text Classification
Mengyu Li, Yonghao Liu, Fausto Giunchiglia, Ximing Li,
Xiaoyue Feng and Renchu Guan
Traceable Latent Variable Disc"&amp;"overy Based on Multi-Agent Collaboration
Huaming Du, Tao Hu, Yijie Huang, Yu Zhao, Guisong Liu, Tao
Gu, Gang Kou and Carl Yang
DyLogNet: A Dynamic Multi-Relational Graph Framework for Log Anomaly Detection
Xudong Zhao, Xiaolong Xu, Haolong Xiang, Tong Ga"&amp;"o, Lianyong
Qi, Amin Beheshti, Xuyun Zhang and Wanchun Dou
")</f>
        <v>Bridging Expert Reasoning and LLM Detection: A Knowledge-Driven Framework for Malicious Packages
Wenbo Guo, Shiwen Song, Jiaxun Guo, Zhengzi Xu, Chengwei
Liu, Haoran Ou, Mengmeng Ge and Yang Liu
HingeMem: Boundary Guided Long-Term Memory with Query Adaptive Retrieval for Scalable Dialogues
Yijie Zhong, Yunfan Gao and Haofen Wang
LHG: LLM-enhanced and Heterogeneous Graph-induced for Unsupervised Social Event Detection
Zitai Qiu, Rongwei Xu, Congbo Ma, Shan Xue, Jian Yang,
Guanfeng Liu, Quan Z. Sheng, Amin Beheshti and Jia Wu
Decoding Web Memorization: A Semantic Membership Inference Attack on LLMs
Zhiyao Wu, Zi Liang and Haibo Hu
Bridging Semantic Understanding and Popularity Bias with LLMs
Renqiang Luo, Dong Zhang, Yupeng Gao, Wen Shi, Mingliang
Hou, Jiaying Liu, Zhe Wang and Shuo Yu
Simple-Sampling and Hard-Mixup with Prototypes to Rebalance Contrastive Learning for Text Classification
Mengyu Li, Yonghao Liu, Fausto Giunchiglia, Ximing Li,
Xiaoyue Feng and Renchu Guan
Traceable Latent Variable Discovery Based on Multi-Agent Collaboration
Huaming Du, Tao Hu, Yijie Huang, Yu Zhao, Guisong Liu, Tao
Gu, Gang Kou and Carl Yang
DyLogNet: A Dynamic Multi-Relational Graph Framework for Log Anomaly Detection
Xudong Zhao, Xiaolong Xu, Haolong Xiang, Tong Gao, Lianyong
Qi, Amin Beheshti, Xuyun Zhang and Wanchun Dou
</v>
      </c>
      <c r="H27" s="73" t="str">
        <f>IFERROR(__xludf.DUMMYFUNCTION("TEXTJOIN(CHAR(10), TRUE,FILTER('Research assignment'!$D:$D,'Research assignment'!$G:$G=H26))"),"SIsomap: Secure Collaborative Manifold Learning with Reducing Communication Costs
Peizhao Zhou, Xiaojie Guo, Pinzhi Chen, Ranyang Liu, Lihai
Nie, Tong Li and Zheli Liu
PrivSplit: A Lossless Method for Prompt Privacy in Distributed Parameter-Efficient Fin"&amp;"e-Tuning
Wujia Niu, Lan Zhang, Haoran Cheng and Shen Li
TGNN: Enhancing Pixel Tracking Detection via LLM-driven Annotation and GAT-powered Structural Representation
Shenping Xiong, Xutong Wang, Ze Jin, Xinyu Liu, Haoqiang
Wang, Zhen Chen, Ru Tan and Qixu"&amp;" Liu
DiSCoQR: Diffusion-Driven Semantic Compression for Robust Image Steganography in Standard QR Codes
Lijing Ren and Denghui Zhang
Netting Phish in the IPFS Ocean: Real-Time Monitoring and Characterization of Decentralized Phishing Campaigns
Anas Kast"&amp;"antin, Leonhard Balduf, Onur Ascigil, Saidu
Sokoto, Björn Scheuermann, Andrzej Duda, Michał Król and
Maciej Korczyński
FraudShield: Knowledge Graph Empowered Defense for LLMs against Fraud Attacks
Naen Xu, Jinghuai Zhang, Ping He, Chunyi Zhou, Jun Wang,
"&amp;"Zhihui Fu, Tianyu Du, Zhaoxiang Wang and Shouling Ji
HyperDetector: Advanced Persistent Threat Detection via Hypergraph Neural Networks with Enhanced Global Perception
Ziyue Wu, Nan Wang, Jiqiang Liu, Hairong Dong and Xibin Zhao
Privacy-Friendly Adaptat"&amp;"ion of Vision Transformers for Communication and Latency-Efficient Private Inference
Zhi Pang, Bo Feng, Meng Luo, Chenhao Liu, Shuwang Xu, Kai
Zhao, Yadi Wu and Bo Zeng
MGFFD-VLM: Multi-Granularity Prompt Learning for Face Forgery Detection with VLM
Tao "&amp;"Chen, Jingyi Zhang, Decheng Liu and Chunlei Peng
")</f>
        <v>SIsomap: Secure Collaborative Manifold Learning with Reducing Communication Costs
Peizhao Zhou, Xiaojie Guo, Pinzhi Chen, Ranyang Liu, Lihai
Nie, Tong Li and Zheli Liu
PrivSplit: A Lossless Method for Prompt Privacy in Distributed Parameter-Efficient Fine-Tuning
Wujia Niu, Lan Zhang, Haoran Cheng and Shen Li
TGNN: Enhancing Pixel Tracking Detection via LLM-driven Annotation and GAT-powered Structural Representation
Shenping Xiong, Xutong Wang, Ze Jin, Xinyu Liu, Haoqiang
Wang, Zhen Chen, Ru Tan and Qixu Liu
DiSCoQR: Diffusion-Driven Semantic Compression for Robust Image Steganography in Standard QR Codes
Lijing Ren and Denghui Zhang
Netting Phish in the IPFS Ocean: Real-Time Monitoring and Characterization of Decentralized Phishing Campaigns
Anas Kastantin, Leonhard Balduf, Onur Ascigil, Saidu
Sokoto, Björn Scheuermann, Andrzej Duda, Michał Król and
Maciej Korczyński
FraudShield: Knowledge Graph Empowered Defense for LLMs against Fraud Attacks
Naen Xu, Jinghuai Zhang, Ping He, Chunyi Zhou, Jun Wang,
Zhihui Fu, Tianyu Du, Zhaoxiang Wang and Shouling Ji
HyperDetector: Advanced Persistent Threat Detection via Hypergraph Neural Networks with Enhanced Global Perception
Ziyue Wu, Nan Wang, Jiqiang Liu, Hairong Dong and Xibin Zhao
Privacy-Friendly Adaptation of Vision Transformers for Communication and Latency-Efficient Private Inference
Zhi Pang, Bo Feng, Meng Luo, Chenhao Liu, Shuwang Xu, Kai
Zhao, Yadi Wu and Bo Zeng
MGFFD-VLM: Multi-Granularity Prompt Learning for Face Forgery Detection with VLM
Tao Chen, Jingyi Zhang, Decheng Liu and Chunlei Peng
</v>
      </c>
      <c r="I27" s="73" t="str">
        <f>IFERROR(__xludf.DUMMYFUNCTION("TEXTJOIN(CHAR(10), TRUE,FILTER('Research assignment'!$D:$D,'Research assignment'!$G:$G=I26))"),"Collusion-Aware Set-level Learning Framework for Detecting Spamming Activities
Yuli Liu
The Devil Within, The Cure Without: Securing Locally Private Graph Learning under Poisoning
Longzhu He, Peng Tang, Li Sun and Sen Su
H-NeiFi: Non-Invasive and Consen"&amp;"sus-Efficient Multi-Agent Opinion Guidance
Shijun Guo, Haoran Xu, Yaming Yang, Ziyu Guan, Wei Zhao,
Zhang Xinyi and Song Yishan
FairGE: Fairness-Aware Graph Encoding in Incomplete Social Networks
Renqiang Luo, Huafei Huang, Tao Tang, Jing Ren, Ziqi Xu,
M"&amp;"ingliang Hou, Enyan Dai and Feng Xia
Explaining Synergistic Effects in Social Recommendations
Yicong Li, Shan Jin, Qi Liu, Shuo Wang, Jiaying Liu, Shuo
Yu, Qiang Zhang, Kuanjiu Zhou and Feng Xia
Graph Adversarial Defense via Hilbert-Schmidt Independence"&amp;" Criterion against Influence Maximization Attacks
Yuxing Guo, Jianqing Liang, Kaixuan Yao, Zhihao Guo and
Jiye Liang
")</f>
        <v>Collusion-Aware Set-level Learning Framework for Detecting Spamming Activities
Yuli Liu
The Devil Within, The Cure Without: Securing Locally Private Graph Learning under Poisoning
Longzhu He, Peng Tang, Li Sun and Sen Su
H-NeiFi: Non-Invasive and Consensus-Efficient Multi-Agent Opinion Guidance
Shijun Guo, Haoran Xu, Yaming Yang, Ziyu Guan, Wei Zhao,
Zhang Xinyi and Song Yishan
FairGE: Fairness-Aware Graph Encoding in Incomplete Social Networks
Renqiang Luo, Huafei Huang, Tao Tang, Jing Ren, Ziqi Xu,
Mingliang Hou, Enyan Dai and Feng Xia
Explaining Synergistic Effects in Social Recommendations
Yicong Li, Shan Jin, Qi Liu, Shuo Wang, Jiaying Liu, Shuo
Yu, Qiang Zhang, Kuanjiu Zhou and Feng Xia
Graph Adversarial Defense via Hilbert-Schmidt Independence Criterion against Influence Maximization Attacks
Yuxing Guo, Jianqing Liang, Kaixuan Yao, Zhihao Guo and
Jiye Liang
</v>
      </c>
      <c r="J27" s="73" t="str">
        <f>IFERROR(__xludf.DUMMYFUNCTION("TEXTJOIN(CHAR(10), TRUE,FILTER('Research assignment'!$D:$D,'Research assignment'!$G:$G=J26))"),"Smaller but Better: ​​Plasticity-Preserving Continual Learning for Embedded AI​
Chenxin Mao, Haibo Liu, Zhenzhe Zheng, Fan Wu and Guihai
Chen
Macro-Micro Collaborative Learning for Logical Data Center Microservice Indicators Forecasting
Mohan Gao, Zhemen"&amp;"g Yu, Yang Luo, Lintao Ma, Yinbo Sun,
Yuchen Fang and Xiaofeng Gao
Task-Aware Cloud-End Offloading for Vision-Language Model Serving via Dynamic Modality-Specific Adapter Scheduling
Zian Wang, Ziyi Wang, Jie Xing, Yaya Wei, Ziyan Zhong and
Lanshan Zhang
"&amp;"
SkyCL: Swift Continuous Learning with Kinship-Awareness for Multi-Drone Video Analytics under Drastic Drift
Yuanzheng Tan, Qing Li, Jiaqi Cui, Jun Peng, Gareth Tyson,
Zhenhui Yuan, Tingting Yang and Yong Jiang
Meteor: High-Performance Control Message De"&amp;"livery for Large-Scale Clouds
Gongming Zhao, Baoqing Wang, Min Chen, Hongli Xu, Jiawei
Liu, Xuwei Yang, Liguang Xie, Yongqiang Yang and Ying Xiong
MASI: Memory-Adaptive Inference Framework for Spiking Neural Networks on Edge Devices
Di Yu, Helin Zheng, C"&amp;"hangze Lv, Xin Du, Linshan Jiang,
Xiang Liu, Gang Pan and Shuiguang Deng
FedRGL: Federated Riemannian Graph Learning in Mixed-Curvature Spaces with Ricci-Gated Convolution
Haizhou Du, Haolin Wu, Zijie Zhu and Zicheng Shi
MoE-LC: General-Purpose Lossless"&amp;" Compression for Multi-modal Data via Entropy-Aware Multi-Experts
Zeyi Lu, Xiaoxiao Ma, Yujun Huang, Minxiao Chen, Bin Chen
and Shu-Tao Xia
")</f>
        <v>Smaller but Better: ​​Plasticity-Preserving Continual Learning for Embedded AI​
Chenxin Mao, Haibo Liu, Zhenzhe Zheng, Fan Wu and Guihai
Chen
Macro-Micro Collaborative Learning for Logical Data Center Microservice Indicators Forecasting
Mohan Gao, Zhemeng Yu, Yang Luo, Lintao Ma, Yinbo Sun,
Yuchen Fang and Xiaofeng Gao
Task-Aware Cloud-End Offloading for Vision-Language Model Serving via Dynamic Modality-Specific Adapter Scheduling
Zian Wang, Ziyi Wang, Jie Xing, Yaya Wei, Ziyan Zhong and
Lanshan Zhang
SkyCL: Swift Continuous Learning with Kinship-Awareness for Multi-Drone Video Analytics under Drastic Drift
Yuanzheng Tan, Qing Li, Jiaqi Cui, Jun Peng, Gareth Tyson,
Zhenhui Yuan, Tingting Yang and Yong Jiang
Meteor: High-Performance Control Message Delivery for Large-Scale Clouds
Gongming Zhao, Baoqing Wang, Min Chen, Hongli Xu, Jiawei
Liu, Xuwei Yang, Liguang Xie, Yongqiang Yang and Ying Xiong
MASI: Memory-Adaptive Inference Framework for Spiking Neural Networks on Edge Devices
Di Yu, Helin Zheng, Changze Lv, Xin Du, Linshan Jiang,
Xiang Liu, Gang Pan and Shuiguang Deng
FedRGL: Federated Riemannian Graph Learning in Mixed-Curvature Spaces with Ricci-Gated Convolution
Haizhou Du, Haolin Wu, Zijie Zhu and Zicheng Shi
MoE-LC: General-Purpose Lossless Compression for Multi-modal Data via Entropy-Aware Multi-Experts
Zeyi Lu, Xiaoxiao Ma, Yujun Huang, Minxiao Chen, Bin Chen
and Shu-Tao Xia
</v>
      </c>
      <c r="K27" s="73" t="str">
        <f>IFERROR(__xludf.DUMMYFUNCTION("TEXTJOIN(CHAR(10), TRUE,FILTER('Research assignment'!$D:$D,'Research assignment'!$G:$G=K26))"),"Quantum-enhanced Representation Learning and Matching Learning for Recommendation
Anchen Li and Elena Casiraghi
From Entity Reliability to Clean Feedback: An Entity-Aware Denoising Framework Beyond Interaction-Level Signals
Ze Liu, Xianquan Wang, Shuoche"&amp;"n Liu, Jie Ma, Huibo Xu,
Yupeng Han, Kai Zhang and Jun Zhou
Thorki: Decoupling General and Personalized Knowledge with Collaborative Fusion for Personalized Federated Learning
Qiang He, Rui Chen, Yicheng Liu, Sheng Zhong, Haipeng Dai,
Feifei Chen, Hai Ji"&amp;"n and Yun Yang
Large Language Models-Enhanced Semantic Diffusion for User-Centric Recommendation
Xian Mo, Yijun Hu and Jun Pang
Not All Information Brings Benefits: Personalization-Driven Agent Debate for Conversational Recommendation
Pengfei Zhang, Guo"&amp;"jia An, Jin Huang, Yuhan Yang, Yang Yang
and Jie Zou
FairFS: Addressing Deep Feature Selection Biases for Recommender System
Xianquan Wang, Zhaocheng Du, Jieming Zhu, Qinglin Jia,
Zhenhua Dong and Kai Zhang
Tail-Aware Data Augmentation for Long-Tail Seq"&amp;"uential Recommendation
Yizhou Dang, Zhifu Wei, Minhan Huang, Lianbo Ma, Jianzhe
Zhao, Guibing Guo and Xingwei Wang
Off-Policy Learning with Limited Supply
Koichi Tanaka, Ren Kishimoto, Bushun Kawagishi, Yusuke
Narita, Yasuo Yamamoto, Nobuyuki Shimizu and"&amp;" Yuta Saito
S2CDR: Smoothing-Sharpening Process Model for Cross-Domain Recommendation
Xiaodong Li, Juwei Yue, Xinghua Zhang, Jiawei Sheng,
Wenyuan Zhang, Taoyu Su, Zefeng Zhang and Tingwen Liu
Multi-view Semantic Contrastive Alignment for Multimodal Rec"&amp;"ommendation
Jiuqiang Li and Hongjun Wang
pFedDKS: Detached Knowledge Sharing for Personalized Federated Learning
Haozhao Wang, Wenchao Xu, Jingzhi Wang, Yunfeng Fan,
Xiaoquan Yi and Rui Zhang
Adaptive Contrastive Learning in Sequential Recommendation ba"&amp;"sed on Perturbation and Restoration Networks
Yanbo Zhou, Bin Lü, Xu-Hua Yang, Xin-Li Xu and Boling Wang
")</f>
        <v>Quantum-enhanced Representation Learning and Matching Learning for Recommendation
Anchen Li and Elena Casiraghi
From Entity Reliability to Clean Feedback: An Entity-Aware Denoising Framework Beyond Interaction-Level Signals
Ze Liu, Xianquan Wang, Shuochen Liu, Jie Ma, Huibo Xu,
Yupeng Han, Kai Zhang and Jun Zhou
Thorki: Decoupling General and Personalized Knowledge with Collaborative Fusion for Personalized Federated Learning
Qiang He, Rui Chen, Yicheng Liu, Sheng Zhong, Haipeng Dai,
Feifei Chen, Hai Jin and Yun Yang
Large Language Models-Enhanced Semantic Diffusion for User-Centric Recommendation
Xian Mo, Yijun Hu and Jun Pang
Not All Information Brings Benefits: Personalization-Driven Agent Debate for Conversational Recommendation
Pengfei Zhang, Guojia An, Jin Huang, Yuhan Yang, Yang Yang
and Jie Zou
FairFS: Addressing Deep Feature Selection Biases for Recommender System
Xianquan Wang, Zhaocheng Du, Jieming Zhu, Qinglin Jia,
Zhenhua Dong and Kai Zhang
Tail-Aware Data Augmentation for Long-Tail Sequential Recommendation
Yizhou Dang, Zhifu Wei, Minhan Huang, Lianbo Ma, Jianzhe
Zhao, Guibing Guo and Xingwei Wang
Off-Policy Learning with Limited Supply
Koichi Tanaka, Ren Kishimoto, Bushun Kawagishi, Yusuke
Narita, Yasuo Yamamoto, Nobuyuki Shimizu and Yuta Saito
S2CDR: Smoothing-Sharpening Process Model for Cross-Domain Recommendation
Xiaodong Li, Juwei Yue, Xinghua Zhang, Jiawei Sheng,
Wenyuan Zhang, Taoyu Su, Zefeng Zhang and Tingwen Liu
Multi-view Semantic Contrastive Alignment for Multimodal Recommendation
Jiuqiang Li and Hongjun Wang
pFedDKS: Detached Knowledge Sharing for Personalized Federated Learning
Haozhao Wang, Wenchao Xu, Jingzhi Wang, Yunfeng Fan,
Xiaoquan Yi and Rui Zhang
Adaptive Contrastive Learning in Sequential Recommendation based on Perturbation and Restoration Networks
Yanbo Zhou, Bin Lü, Xu-Hua Yang, Xin-Li Xu and Boling Wang
</v>
      </c>
      <c r="L27" s="73" t="str">
        <f>IFERROR(__xludf.DUMMYFUNCTION("TEXTJOIN(CHAR(10), TRUE,FILTER('Research assignment'!$D:$D,'Research assignment'!$G:$G=L26))"),"Cardinality is Not Enough: Super Host Detection via Segmented Cardinality Estimation
Yilin Zhao, Jiawei Huang, Xianshi Su, Weihe Li, Xin Li, Yan
Liu, Jiacheng Xie, Qichen Su, Jin Ye, Wanchun Jiang and
Jianxin Wang
Byte-token Enhanced Language Models for "&amp;"Temporal Point Processes Analysis
Quyu Kong, Yixuan Zhang, Yang Liu, Panrong Tong, Enqi Liu
and Feng Zhou
Dynamic Prototype-Augmented Stance Detection: Learning from the Seen to Reason about the Unseen
Zhaodan Zhang, Jin Zhang and Jiafeng Guo
Triple-R: "&amp;"Iterative Query Rewriting and Refinement for Retrieval-Augmented Fake News Detection
Jie Li, Jinrui Wang, Linmei Hu and Yuqiu Deng
Expectation-Maximization Driven Contrastive Disentanglement for Generalized Category Discovery
Weiyi Yang, Richong Zhang, J"&amp;"unfan Chen, Jiawei Sheng and
Lihong Wang
KMLP: A Scalable Hybrid Architecture for Web-Scale Tabular Data Modeling
Mingming Zhang, Pengfei Shi, Junbo Zhao, Ningtao Wang, Feng
Zhao, Guandong Sun, Yulin Kang, Xing Fu, Zhiqing Xiao,
Weiqiang Wang and Ruizhe "&amp;"Gao
Measuring and Enhancing Human Value Alignment in Zero-Shot Document-Level Claim Extraction
Yuanzhen Hao and Desheng Wu
")</f>
        <v>Cardinality is Not Enough: Super Host Detection via Segmented Cardinality Estimation
Yilin Zhao, Jiawei Huang, Xianshi Su, Weihe Li, Xin Li, Yan
Liu, Jiacheng Xie, Qichen Su, Jin Ye, Wanchun Jiang and
Jianxin Wang
Byte-token Enhanced Language Models for Temporal Point Processes Analysis
Quyu Kong, Yixuan Zhang, Yang Liu, Panrong Tong, Enqi Liu
and Feng Zhou
Dynamic Prototype-Augmented Stance Detection: Learning from the Seen to Reason about the Unseen
Zhaodan Zhang, Jin Zhang and Jiafeng Guo
Triple-R: Iterative Query Rewriting and Refinement for Retrieval-Augmented Fake News Detection
Jie Li, Jinrui Wang, Linmei Hu and Yuqiu Deng
Expectation-Maximization Driven Contrastive Disentanglement for Generalized Category Discovery
Weiyi Yang, Richong Zhang, Junfan Chen, Jiawei Sheng and
Lihong Wang
KMLP: A Scalable Hybrid Architecture for Web-Scale Tabular Data Modeling
Mingming Zhang, Pengfei Shi, Junbo Zhao, Ningtao Wang, Feng
Zhao, Guandong Sun, Yulin Kang, Xing Fu, Zhiqing Xiao,
Weiqiang Wang and Ruizhe Gao
Measuring and Enhancing Human Value Alignment in Zero-Shot Document-Level Claim Extraction
Yuanzhen Hao and Desheng Wu
</v>
      </c>
      <c r="M27" s="73" t="str">
        <f>IFERROR(__xludf.DUMMYFUNCTION("TEXTJOIN(CHAR(10), TRUE,FILTER('Industry assignment'!$D:$D,'Industry assignment'!$G:$G=M26))"),"OpenDigger: A Practical Framework for Assessing Community Health and Sustainability in Open Source Collaboration Platforms
Wei Wang, Fanyu Han, Shengyu Zhao, Xuan Zhou, Weining Qian, Aoying Zhou, Xiaoya Xia, Liyun Yang, Rong Wang, Ning Jiang and Moming Du"&amp;"an
Bridging Visual Dynamics and Narrative Reasoning: Multimodal Large Language Models for Short Drama Quality Assessment
Qingyang Liu, Jiangtong Li, Zelin Peng, Shaobo Wang, Zhaohe Liao, Shuochen Chang, Bingjie Gao, Haonan Zhao, Mu Liu, Jidong Jiang and "&amp;"Li Niu
Not All Candidates are Created Equal: A Heterogeneity-Aware Approach to Pre-ranking in Recommender Systems
Pengfei Tong, Siyuan Chen, Chenwei Zhang, Bo Wang, Qi Pi, Pixun Li and Zuotao Liu
Unbiased Multimodal Reranking for Long-Tail Short-Video S"&amp;"earch
Wenyi Xu, Feiran Zhu, Songyang Li, Renzhe Zhou, Chao Zhang, ChengLei Dai, Yuren Mao, Yunjun Gao and Yi Zhang
")</f>
        <v>OpenDigger: A Practical Framework for Assessing Community Health and Sustainability in Open Source Collaboration Platforms
Wei Wang, Fanyu Han, Shengyu Zhao, Xuan Zhou, Weining Qian, Aoying Zhou, Xiaoya Xia, Liyun Yang, Rong Wang, Ning Jiang and Moming Duan
Bridging Visual Dynamics and Narrative Reasoning: Multimodal Large Language Models for Short Drama Quality Assessment
Qingyang Liu, Jiangtong Li, Zelin Peng, Shaobo Wang, Zhaohe Liao, Shuochen Chang, Bingjie Gao, Haonan Zhao, Mu Liu, Jidong Jiang and Li Niu
Not All Candidates are Created Equal: A Heterogeneity-Aware Approach to Pre-ranking in Recommender Systems
Pengfei Tong, Siyuan Chen, Chenwei Zhang, Bo Wang, Qi Pi, Pixun Li and Zuotao Liu
Unbiased Multimodal Reranking for Long-Tail Short-Video Search
Wenyi Xu, Feiran Zhu, Songyang Li, Renzhe Zhou, Chao Zhang, ChengLei Dai, Yuren Mao, Yunjun Gao and Yi Zhang
</v>
      </c>
      <c r="N27" s="73" t="str">
        <f>IFERROR(__xludf.DUMMYFUNCTION("TEXTJOIN(CHAR(10), TRUE,FILTER('Web4Good assignment'!$D:$D,'Web4Good assignment'!$G:$G=N26))"),"The Chatbot Knows It’s You: Dialogue Attribution in Unauthenticated Human–LLM Sessions
Wenxuan Wang, Zirui Liu, Haoxuan Kou, Xuefeng Liu and Jiaxing Shen
Toward Green Computing: General Carbon Intensity Forecasting via Dual Graph Empowered Time Series Fo"&amp;"undation Model
Xiaoyang Zhang, Taiqi Zhou, Fang He, Yang Deng and Dan Wang
Egocentric Co-Pilot: Web-Native Smart-Glasses Agents for Assistive Egocentric AI
Sicheng Yang, Yukai Huang, Weitong Cai, Shitong Sun, Fengyi Fang, You He, Yiqiao Xie, Jiankang Den"&amp;"g, Hang Zhang, Jifei Song and Zhensong Zhang
Green Industrial Engineering on the Web: Agent-Driven Ant Colony Optimization Tuning for Energy-Efficient 3D Pipe Routing
Xuanhan Fan, Rui Ding, Haojie Liu, Jibin Zhou, Han Liu, Yuanman Li, Wei Wang and Mao Ye"&amp;"
Dynamic Min-Max Multi-Dimensional Reinforcement Backdoor Attacks and Orchestrated Closed-Loop Defense in Fairness-Aware Web Federated Finance
Ruixiao Zhu, Kun Zhu, Nana Zhang, Qi Zhang and Changjun Jiang
MultiHateLoc: Towards Temporal Localisation of M"&amp;"ultimodal Hate Content in Online Videos
Qiyue Sun, Tailin Chen, Yinghui Zhang, Yuchen Zhang, Jiangbei Yue, Jianbo Jiao and Zeyu Fu
'They've Stolen My GPL-Licensed Model!': Toward Standardized and Transparent Model Licensing
Moming Duan, Rui Zhao, Linshan"&amp;" Jiang, Nigel Shadbolt and Bingsheng He
Community Fact-Checks Do Not Break Follower Loyalty
Michelle Bobek and Nicolas Pröllochs
Fair and Carbon-Aware LLM Routing for Web Services
Tingting Li, Ziming Zhao, Zhaoxuan Li, Xiaofei Yue and Jiongchi Yu
Towar"&amp;"ds Fair Large Language Model-based Recommender Systems without Costly Retraining
Jin Li, Huilin Gu, Shoujin Wang, Qi Zhang, Shui Yu, Chen Wang, Xiwei Xu and Fang Chen
Enhancing Rare Event Detection via Counterfactual Generation with Exogenous Variables
L"&amp;"ili Tian, Dehui Du and Yikang Chen
coTherapist: A Behavior-Aligned Small Language Model Framework to Support Mental Healthcare Experts
Prottay Kumar Adhikary, Reena Rawat and Tanmoy Chakraborty
Debating Truth: Debate-driven Claim Verification with Multi"&amp;"ple Large Language Model Agents
Haorui He, Yupeng Li, Dacheng Wen, Yang Chen, Reynold Cheng, Donglong Chen and Francis C. M. Lau
Sustainable and Responsible ECG-Based AI Diagnostics: Masked Frequency Reconstruction with Peak-Aware Transformers
Wei Wang, "&amp;"Jian Chen, Junxin Chen, Zeling Xu, Yuntao Zou and Henry H. Y. Tong
FairGU: Fairness-aware Graph Unlearning in Social Networks
Renqiang Luo, Yongshuai Yang, Huafei Huang, Qing Qing, Mingliang Hou, Ziqi Xu, Yi Yu, Jingjing Zhou and Feng Xia
")</f>
        <v>The Chatbot Knows It’s You: Dialogue Attribution in Unauthenticated Human–LLM Sessions
Wenxuan Wang, Zirui Liu, Haoxuan Kou, Xuefeng Liu and Jiaxing Shen
Toward Green Computing: General Carbon Intensity Forecasting via Dual Graph Empowered Time Series Foundation Model
Xiaoyang Zhang, Taiqi Zhou, Fang He, Yang Deng and Dan Wang
Egocentric Co-Pilot: Web-Native Smart-Glasses Agents for Assistive Egocentric AI
Sicheng Yang, Yukai Huang, Weitong Cai, Shitong Sun, Fengyi Fang, You He, Yiqiao Xie, Jiankang Deng, Hang Zhang, Jifei Song and Zhensong Zhang
Green Industrial Engineering on the Web: Agent-Driven Ant Colony Optimization Tuning for Energy-Efficient 3D Pipe Routing
Xuanhan Fan, Rui Ding, Haojie Liu, Jibin Zhou, Han Liu, Yuanman Li, Wei Wang and Mao Ye
Dynamic Min-Max Multi-Dimensional Reinforcement Backdoor Attacks and Orchestrated Closed-Loop Defense in Fairness-Aware Web Federated Finance
Ruixiao Zhu, Kun Zhu, Nana Zhang, Qi Zhang and Changjun Jiang
MultiHateLoc: Towards Temporal Localisation of Multimodal Hate Content in Online Videos
Qiyue Sun, Tailin Chen, Yinghui Zhang, Yuchen Zhang, Jiangbei Yue, Jianbo Jiao and Zeyu Fu
'They've Stolen My GPL-Licensed Model!': Toward Standardized and Transparent Model Licensing
Moming Duan, Rui Zhao, Linshan Jiang, Nigel Shadbolt and Bingsheng He
Community Fact-Checks Do Not Break Follower Loyalty
Michelle Bobek and Nicolas Pröllochs
Fair and Carbon-Aware LLM Routing for Web Services
Tingting Li, Ziming Zhao, Zhaoxuan Li, Xiaofei Yue and Jiongchi Yu
Towards Fair Large Language Model-based Recommender Systems without Costly Retraining
Jin Li, Huilin Gu, Shoujin Wang, Qi Zhang, Shui Yu, Chen Wang, Xiwei Xu and Fang Chen
Enhancing Rare Event Detection via Counterfactual Generation with Exogenous Variables
Lili Tian, Dehui Du and Yikang Chen
coTherapist: A Behavior-Aligned Small Language Model Framework to Support Mental Healthcare Experts
Prottay Kumar Adhikary, Reena Rawat and Tanmoy Chakraborty
Debating Truth: Debate-driven Claim Verification with Multiple Large Language Model Agents
Haorui He, Yupeng Li, Dacheng Wen, Yang Chen, Reynold Cheng, Donglong Chen and Francis C. M. Lau
Sustainable and Responsible ECG-Based AI Diagnostics: Masked Frequency Reconstruction with Peak-Aware Transformers
Wei Wang, Jian Chen, Junxin Chen, Zeling Xu, Yuntao Zou and Henry H. Y. Tong
FairGU: Fairness-aware Graph Unlearning in Social Networks
Renqiang Luo, Yongshuai Yang, Huafei Huang, Qing Qing, Mingliang Hou, Ziqi Xu, Yi Yu, Jingjing Zhou and Feng Xia
</v>
      </c>
      <c r="O27" s="36"/>
      <c r="P27" s="25"/>
      <c r="Q27" s="25"/>
      <c r="R27" s="25"/>
      <c r="S27" s="25"/>
      <c r="T27" s="25"/>
      <c r="U27" s="25"/>
      <c r="V27" s="25"/>
      <c r="W27" s="25"/>
      <c r="X27" s="25"/>
      <c r="Y27" s="25"/>
      <c r="Z27" s="25"/>
      <c r="AA27" s="25"/>
    </row>
    <row r="28">
      <c r="A28" s="52" t="s">
        <v>90</v>
      </c>
      <c r="B28" s="53" t="s">
        <v>91</v>
      </c>
      <c r="O28" s="54"/>
      <c r="P28" s="5"/>
      <c r="Q28" s="5"/>
      <c r="R28" s="5"/>
      <c r="S28" s="5"/>
      <c r="T28" s="5"/>
      <c r="U28" s="5"/>
      <c r="V28" s="5"/>
      <c r="W28" s="5"/>
      <c r="X28" s="5"/>
      <c r="Y28" s="5"/>
      <c r="Z28" s="5"/>
      <c r="AA28" s="5"/>
    </row>
    <row r="29">
      <c r="A29" s="26" t="s">
        <v>92</v>
      </c>
      <c r="B29" s="27" t="s">
        <v>31</v>
      </c>
      <c r="O29" s="74"/>
      <c r="P29" s="60"/>
      <c r="Q29" s="60"/>
      <c r="R29" s="60"/>
      <c r="S29" s="5"/>
      <c r="T29" s="5"/>
      <c r="U29" s="5"/>
      <c r="V29" s="5"/>
      <c r="W29" s="5"/>
      <c r="X29" s="5"/>
      <c r="Y29" s="5"/>
      <c r="Z29" s="5"/>
      <c r="AA29" s="5"/>
    </row>
    <row r="30">
      <c r="A30" s="29" t="s">
        <v>93</v>
      </c>
      <c r="B30" s="55" t="s">
        <v>94</v>
      </c>
      <c r="C30" s="56" t="s">
        <v>95</v>
      </c>
      <c r="D30" s="56" t="s">
        <v>96</v>
      </c>
      <c r="E30" s="55" t="s">
        <v>97</v>
      </c>
      <c r="F30" s="55" t="s">
        <v>98</v>
      </c>
      <c r="G30" s="55" t="s">
        <v>99</v>
      </c>
      <c r="H30" s="55" t="s">
        <v>100</v>
      </c>
      <c r="I30" s="55" t="s">
        <v>101</v>
      </c>
      <c r="J30" s="55" t="s">
        <v>102</v>
      </c>
      <c r="K30" s="55" t="s">
        <v>103</v>
      </c>
      <c r="L30" s="75" t="s">
        <v>104</v>
      </c>
      <c r="M30" s="57" t="s">
        <v>105</v>
      </c>
      <c r="N30" s="58" t="s">
        <v>106</v>
      </c>
      <c r="O30" s="59"/>
      <c r="P30" s="60"/>
      <c r="Q30" s="60"/>
      <c r="R30" s="60"/>
      <c r="S30" s="5"/>
      <c r="T30" s="5"/>
      <c r="U30" s="5"/>
      <c r="V30" s="5"/>
      <c r="W30" s="5"/>
      <c r="X30" s="5"/>
      <c r="Y30" s="5"/>
      <c r="Z30" s="5"/>
      <c r="AA30" s="5"/>
    </row>
    <row r="31" collapsed="1">
      <c r="A31" s="61"/>
      <c r="B31" s="62" t="str">
        <f>IFERROR(__xludf.DUMMYFUNCTION("TEXTJOIN(CHAR(10), TRUE,FILTER('Sessions Counts'!$B:$B,'Sessions Counts'!$A:$A=B30))"),"Auto-bidding and Budget Allocation in Online Advertising")</f>
        <v>Auto-bidding and Budget Allocation in Online Advertising</v>
      </c>
      <c r="C31" s="62" t="str">
        <f>IFERROR(__xludf.DUMMYFUNCTION("TEXTJOIN(CHAR(10), TRUE,FILTER('Sessions Counts'!$B:$B,'Sessions Counts'!$A:$A=C30))"),"Attacks &amp; Explainability")</f>
        <v>Attacks &amp; Explainability</v>
      </c>
      <c r="D31" s="62" t="str">
        <f>IFERROR(__xludf.DUMMYFUNCTION("TEXTJOIN(CHAR(10), TRUE,FILTER('Sessions Counts'!$B:$B,'Sessions Counts'!$A:$A=D30))"),"Dynamics and Temporal")</f>
        <v>Dynamics and Temporal</v>
      </c>
      <c r="E31" s="62" t="str">
        <f>IFERROR(__xludf.DUMMYFUNCTION("TEXTJOIN(CHAR(10), TRUE,FILTER('Sessions Counts'!$B:$B,'Sessions Counts'!$A:$A=E30))"),"Agents &amp; Reasoning")</f>
        <v>Agents &amp; Reasoning</v>
      </c>
      <c r="F31" s="62" t="str">
        <f>IFERROR(__xludf.DUMMYFUNCTION("TEXTJOIN(CHAR(10), TRUE,FILTER('Sessions Counts'!$B:$B,'Sessions Counts'!$A:$A=F30))"),"Knowledge Editing &amp; Maintenance")</f>
        <v>Knowledge Editing &amp; Maintenance</v>
      </c>
      <c r="G31" s="62" t="str">
        <f>IFERROR(__xludf.DUMMYFUNCTION("TEXTJOIN(CHAR(10), TRUE,FILTER('Sessions Counts'!$B:$B,'Sessions Counts'!$A:$A=G30))"),"Information Diffusion and Influence")</f>
        <v>Information Diffusion and Influence</v>
      </c>
      <c r="H31" s="62" t="str">
        <f>IFERROR(__xludf.DUMMYFUNCTION("TEXTJOIN(CHAR(10), TRUE,FILTER('Sessions Counts'!$B:$B,'Sessions Counts'!$A:$A=H30))"),"Efficient and Privacy-Aware Federated Learning")</f>
        <v>Efficient and Privacy-Aware Federated Learning</v>
      </c>
      <c r="I31" s="62" t="str">
        <f>IFERROR(__xludf.DUMMYFUNCTION("TEXTJOIN(CHAR(10), TRUE,FILTER('Sessions Counts'!$B:$B,'Sessions Counts'!$A:$A=I30))"),"Security &amp; Privacy for Federated Systems")</f>
        <v>Security &amp; Privacy for Federated Systems</v>
      </c>
      <c r="J31" s="62" t="str">
        <f>IFERROR(__xludf.DUMMYFUNCTION("TEXTJOIN(CHAR(10), TRUE,FILTER('Sessions Counts'!$B:$B,'Sessions Counts'!$A:$A=J30))"),"Multimodal Web Content Representation and Understanding")</f>
        <v>Multimodal Web Content Representation and Understanding</v>
      </c>
      <c r="K31" s="62" t="str">
        <f>IFERROR(__xludf.DUMMYFUNCTION("TEXTJOIN(CHAR(10), TRUE,FILTER('Sessions Counts'!$B:$B,'Sessions Counts'!$A:$A=K30))"),"Cross-Domain Recommendation")</f>
        <v>Cross-Domain Recommendation</v>
      </c>
      <c r="L31" s="62" t="str">
        <f>IFERROR(__xludf.DUMMYFUNCTION("TEXTJOIN(CHAR(10), TRUE,FILTER('Sessions Counts'!$B:$B,'Sessions Counts'!$A:$A=L30))"),"Causal &amp; Counterfactual Recommendation")</f>
        <v>Causal &amp; Counterfactual Recommendation</v>
      </c>
      <c r="M31" s="62" t="str">
        <f>IFERROR(__xludf.DUMMYFUNCTION("TEXTJOIN(CHAR(10), TRUE,FILTER('Sessions Counts'!$B:$B,'Sessions Counts'!$A:$A=M30))"),"Core Recommendation &amp; CTR Optimization")</f>
        <v>Core Recommendation &amp; CTR Optimization</v>
      </c>
      <c r="N31" s="63"/>
      <c r="O31" s="76"/>
      <c r="P31" s="66"/>
      <c r="Q31" s="66"/>
      <c r="R31" s="66"/>
      <c r="S31" s="66"/>
      <c r="T31" s="66"/>
      <c r="U31" s="66"/>
      <c r="V31" s="66"/>
      <c r="W31" s="66"/>
      <c r="X31" s="66"/>
      <c r="Y31" s="66"/>
      <c r="Z31" s="66"/>
      <c r="AA31" s="66"/>
    </row>
    <row r="32" hidden="1" outlineLevel="1">
      <c r="A32" s="44"/>
      <c r="B32" s="67" t="str">
        <f>IFERROR(__xludf.DUMMYFUNCTION("TEXTJOIN(CHAR(10), TRUE,FILTER('Research assignment'!$D:$D,'Research assignment'!$F:$F=B30))"),"Auto-bidding under Return-on-Spend Constraints with Uncertainty Quantification
Jiale Han, Chun Gan, Chengcheng Zhang, Jie He, Zhangang
Lin, Ching Law and Xiaowu Dai
DARA: Few-shot Budget Allocation in Online Advertising via In-Context Decision Making wit"&amp;"h RL-Finetuned LLMs
Mingxuan Song, Yusen Huo, Bohan Zhou, Shenglin Yin, Zhen
Xiao, Jieyi Long, Zhilin Zhang and Chuan Yu
LBM: Hierarchical Large Auto-Bidding Model via Reasoning and Acting
Yewen Li, Zhiyi Lyu, Peng Jiang, Qingpeng Cai, Fei Pan, Bo
An and"&amp;" Peng Jiang
Platform Competition in the Autobidding World
Gagan Aggarwal, Andres Perlroth, Ariel Schvartzman Cohenca
and Mingfei Zhao
AHBid: An Adaptable Hierarchical Bidding Framework for Cross-Channel Advertising
Xinxin Yang, Yangyang Tang, Yikun Zhou"&amp;", Yaolei Liu, Yun Li
and Bo Yang
")</f>
        <v>Auto-bidding under Return-on-Spend Constraints with Uncertainty Quantification
Jiale Han, Chun Gan, Chengcheng Zhang, Jie He, Zhangang
Lin, Ching Law and Xiaowu Dai
DARA: Few-shot Budget Allocation in Online Advertising via In-Context Decision Making with RL-Finetuned LLMs
Mingxuan Song, Yusen Huo, Bohan Zhou, Shenglin Yin, Zhen
Xiao, Jieyi Long, Zhilin Zhang and Chuan Yu
LBM: Hierarchical Large Auto-Bidding Model via Reasoning and Acting
Yewen Li, Zhiyi Lyu, Peng Jiang, Qingpeng Cai, Fei Pan, Bo
An and Peng Jiang
Platform Competition in the Autobidding World
Gagan Aggarwal, Andres Perlroth, Ariel Schvartzman Cohenca
and Mingfei Zhao
AHBid: An Adaptable Hierarchical Bidding Framework for Cross-Channel Advertising
Xinxin Yang, Yangyang Tang, Yikun Zhou, Yaolei Liu, Yun Li
and Bo Yang
</v>
      </c>
      <c r="C32" s="67" t="str">
        <f>IFERROR(__xludf.DUMMYFUNCTION("TEXTJOIN(CHAR(10), TRUE,FILTER('Research assignment'!$D:$D,'Research assignment'!$F:$F=C30))"),"Unveiling Backdoor Propagation in Graphs: Neuron-Centric Defense Mechanisms
Di Jin, Bingdao Feng, Xiaobao Wang, Yuxiang Zhang, Zechuan
Zhang, Liang Yang, Dongxiao He and Zhen Wang
Identification of Influential Node Group in Attributed Graph through Expla"&amp;"ining Graph Neural Network
Xiao Tan, Tongtong Su, Jiayi Wu, Yan Zhang, Binghui Xu,
Dian Shen, Meng Wang and Beilun Wang
Can LLMs Fool Graph Learning? Exploring Universal Adversarial Attacks on Text-Attributed Graphs
Zihui Chen, Yuling Wang, Pengfei Jiao,"&amp;" Kai Wu, Xiao Wang,
Xiang Ao and Dalin Zhang
A^2GBD: Attack-Agnostic Graph Backdoor Defense
Chenxu Du, Yang Liu, Xingtong Yu, Zhuoer Xu, Yang Liu and
Tianrui Li
Towards Robust Heterogeneous Graph Explanations under Structural Perturbations
Yifan Lu, Pen"&amp;"gfei Jiao, Xuan Guo, Ziyun Zou, Yiwei Wang,
Mengzhou Gao, Huaming Wu and Imran Razzak
")</f>
        <v>Unveiling Backdoor Propagation in Graphs: Neuron-Centric Defense Mechanisms
Di Jin, Bingdao Feng, Xiaobao Wang, Yuxiang Zhang, Zechuan
Zhang, Liang Yang, Dongxiao He and Zhen Wang
Identification of Influential Node Group in Attributed Graph through Explaining Graph Neural Network
Xiao Tan, Tongtong Su, Jiayi Wu, Yan Zhang, Binghui Xu,
Dian Shen, Meng Wang and Beilun Wang
Can LLMs Fool Graph Learning? Exploring Universal Adversarial Attacks on Text-Attributed Graphs
Zihui Chen, Yuling Wang, Pengfei Jiao, Kai Wu, Xiao Wang,
Xiang Ao and Dalin Zhang
A^2GBD: Attack-Agnostic Graph Backdoor Defense
Chenxu Du, Yang Liu, Xingtong Yu, Zhuoer Xu, Yang Liu and
Tianrui Li
Towards Robust Heterogeneous Graph Explanations under Structural Perturbations
Yifan Lu, Pengfei Jiao, Xuan Guo, Ziyun Zou, Yiwei Wang,
Mengzhou Gao, Huaming Wu and Imran Razzak
</v>
      </c>
      <c r="D32" s="67" t="str">
        <f>IFERROR(__xludf.DUMMYFUNCTION("TEXTJOIN(CHAR(10), TRUE,FILTER('Research assignment'!$D:$D,'Research assignment'!$F:$F=D30))"),"Riemannian Liquid Spatio-Temporal Graph Network
Liangsi Lu, Jingchao Wang, Zhaorong Dai, Hanqian Liu and
Yang Shi
Diffusion-based Kriging Model with Graph-enhanced Attention
Mingtao Zhang, Guoli Yang, Zhanxing Zhu, Guangyin Jin,
Mengzhu Wang and Xiaoying"&amp;" Bai
Graph Retention Networks for Dynamic Graphs
Qian Chang, Xia Li, Xiufeng Cheng, Runsong Jia, Jinqing
Yang, Guoping Hu and Ciprian Doru Giurcaneanu
Network Dismantling via Reverse Dismantling: Static and Dynamic Algorithms
Jinyu Duan, Sijin Wang, Fan"&amp;" Zhang, Xiang Zhao, Wenjie Zhang
and Zhihong Tian
Zero-Shot Forecasting of Network Dynamics through Weight Flow Matching
Shihe Zhou, Ruikun Li, Huandong Wang and Yong Li
")</f>
        <v>Riemannian Liquid Spatio-Temporal Graph Network
Liangsi Lu, Jingchao Wang, Zhaorong Dai, Hanqian Liu and
Yang Shi
Diffusion-based Kriging Model with Graph-enhanced Attention
Mingtao Zhang, Guoli Yang, Zhanxing Zhu, Guangyin Jin,
Mengzhu Wang and Xiaoying Bai
Graph Retention Networks for Dynamic Graphs
Qian Chang, Xia Li, Xiufeng Cheng, Runsong Jia, Jinqing
Yang, Guoping Hu and Ciprian Doru Giurcaneanu
Network Dismantling via Reverse Dismantling: Static and Dynamic Algorithms
Jinyu Duan, Sijin Wang, Fan Zhang, Xiang Zhao, Wenjie Zhang
and Zhihong Tian
Zero-Shot Forecasting of Network Dynamics through Weight Flow Matching
Shihe Zhou, Ruikun Li, Huandong Wang and Yong Li
</v>
      </c>
      <c r="E32" s="67" t="str">
        <f>IFERROR(__xludf.DUMMYFUNCTION("TEXTJOIN(CHAR(10), TRUE,FILTER('Research assignment'!$D:$D,'Research assignment'!$F:$F=E30))"),"Difficulty-Aware Agentic Orchestration for Query-Specific Multi-Agent Workflows
Jinwei Su, Qizhen Lan, Yinghui Xia, Lifan Sun, Weiyou Tian,
Tianyu Shi and Lewei He
Toward Generalized Web Agent Training: A Deep Dive into Entropy-Balanced Reinforcement Lea"&amp;"rning
Guanting Dong, Licheng Bao, Zhongyuan Wang, Kangzhi Zhao,
Xiaoxi Li, Jiajie Jin, Jinghan Yang, Hangyu Mao, Fuzheng
Zhang, Kun Gai, Guorui Zhou, Yutao Zhu, Ji-Rong Wen and
Zhicheng Dou
QChunker: Learning Question-Aware Text Chunking for Domain RAG v"&amp;"ia Multi-Agent Debate
Jihao Zhao, Daixuan Li, Pengfei Li, Shuaishuai Zu, Biao Qin
and Hongyan Liu
DeepAgent: A General Reasoning Agent with Scalable Toolsets
Xiaoxi Li, Wenxiang Jiao, Jiarui Jin, Guanting Dong, Jiajie
Jin, Yinuo Wang, Hao Wang, Yutao Zhu"&amp;", Ji-Rong Wen, Yuan Lu
and Zhicheng Dou
Reasoning by Exploration: A Unified Approach to Retrieval and Generation over Graphs
Haoyu Han, Kai Guo, Harry Shomer, Yu Wang, Yucheng Chu,
Hang Li, Li Ma and Jiliang Tang
")</f>
        <v>Difficulty-Aware Agentic Orchestration for Query-Specific Multi-Agent Workflows
Jinwei Su, Qizhen Lan, Yinghui Xia, Lifan Sun, Weiyou Tian,
Tianyu Shi and Lewei He
Toward Generalized Web Agent Training: A Deep Dive into Entropy-Balanced Reinforcement Learning
Guanting Dong, Licheng Bao, Zhongyuan Wang, Kangzhi Zhao,
Xiaoxi Li, Jiajie Jin, Jinghan Yang, Hangyu Mao, Fuzheng
Zhang, Kun Gai, Guorui Zhou, Yutao Zhu, Ji-Rong Wen and
Zhicheng Dou
QChunker: Learning Question-Aware Text Chunking for Domain RAG via Multi-Agent Debate
Jihao Zhao, Daixuan Li, Pengfei Li, Shuaishuai Zu, Biao Qin
and Hongyan Liu
DeepAgent: A General Reasoning Agent with Scalable Toolsets
Xiaoxi Li, Wenxiang Jiao, Jiarui Jin, Guanting Dong, Jiajie
Jin, Yinuo Wang, Hao Wang, Yutao Zhu, Ji-Rong Wen, Yuan Lu
and Zhicheng Dou
Reasoning by Exploration: A Unified Approach to Retrieval and Generation over Graphs
Haoyu Han, Kai Guo, Harry Shomer, Yu Wang, Yucheng Chu,
Hang Li, Li Ma and Jiliang Tang
</v>
      </c>
      <c r="F32" s="67" t="str">
        <f>IFERROR(__xludf.DUMMYFUNCTION("TEXTJOIN(CHAR(10), TRUE,FILTER('Research assignment'!$D:$D,'Research assignment'!$F:$F=F30))"),"EMSEdit: Efficient Multi-Step Meta-Learning-based Model Editing
Xiaopeng Li, Shasha Li, Xi Wang, Shezheng Song, Bin Ji,
Shangwen Wang, Jun Ma, Xiaodong Liu, Mina Liu and Jie Yu
CASE: Conflict-assessed Knowledge-sensitive Neuron Tuning for Lifelong Model "&amp;"Editing
Zhange Zhang, Yuqing Ma, Yulong Wang, Tianbo Wang, Jiakai
Wang, Simin Li and Xianglong Liu
RAIE:Region-Aware Incremental Preference Editing with LoRA for LLM-based Recommendation
Jin Zeng, Yupeng Qi, Hui Li, Chengming Li, Ziyu Lyu, Lixin
Cui and "&amp;"Lu Bai
Towards Meta-Cognitive Knowledge Editing for Multimodal LLMs
Zhaoyu Fan, Kaihang Pan, Mingze Zhou, Bosheng Qin, Juncheng
Li, Shengyu Zhang, Wenqiao Zhang, Siliang Tang, Fei Wu and
Yueting Zhuang
WiNELL: Wikipedia Never-Ending Updating with LLM Ag"&amp;"ents
Revanth Gangi Reddy, Tanay Dixit, Jiaxin Qin, Cheng Qian,
Daniel Lee, Jiawei Han, Kevin Small, Xing Fan, Ruhi
Sarikaya and Heng Ji
")</f>
        <v>EMSEdit: Efficient Multi-Step Meta-Learning-based Model Editing
Xiaopeng Li, Shasha Li, Xi Wang, Shezheng Song, Bin Ji,
Shangwen Wang, Jun Ma, Xiaodong Liu, Mina Liu and Jie Yu
CASE: Conflict-assessed Knowledge-sensitive Neuron Tuning for Lifelong Model Editing
Zhange Zhang, Yuqing Ma, Yulong Wang, Tianbo Wang, Jiakai
Wang, Simin Li and Xianglong Liu
RAIE:Region-Aware Incremental Preference Editing with LoRA for LLM-based Recommendation
Jin Zeng, Yupeng Qi, Hui Li, Chengming Li, Ziyu Lyu, Lixin
Cui and Lu Bai
Towards Meta-Cognitive Knowledge Editing for Multimodal LLMs
Zhaoyu Fan, Kaihang Pan, Mingze Zhou, Bosheng Qin, Juncheng
Li, Shengyu Zhang, Wenqiao Zhang, Siliang Tang, Fei Wu and
Yueting Zhuang
WiNELL: Wikipedia Never-Ending Updating with LLM Agents
Revanth Gangi Reddy, Tanay Dixit, Jiaxin Qin, Cheng Qian,
Daniel Lee, Jiawei Han, Kevin Small, Xing Fan, Ruhi
Sarikaya and Heng Ji
</v>
      </c>
      <c r="G32" s="67" t="str">
        <f>IFERROR(__xludf.DUMMYFUNCTION("TEXTJOIN(CHAR(10), TRUE,FILTER('Research assignment'!$D:$D,'Research assignment'!$F:$F=G30))"),"Many Hands Make Light Work: Group-based Information Diffusion Prediction over Long-Context Cascades
Zihan Feng, Yajun Yang, Xin Huang, Xin Wang, Hong Gao and
Qinghua Hu
Multi-task Inference of Diffusion Networks
Ting Gan, Kudereti Kuerban, Qian Yan, Ling"&amp;" Han, Zhigao
Zheng and Hao Huang
Playing Close to the Vest: Competitive Information Propagation in Partially Observed Dual-Population Mean-Field Games
Dun Tan, Lixing Chen, Bo Zhang, Hongfu Liu, Hao Peng,
Shenghong Li, Yang Bai and Pan Zhou
LLM-Driven S"&amp;"emantic ID for Information Diffusion Prediction
Haoshuang Liu, Zihan Feng, Yajun Yang, Xin Wang, Hong Gao
and Qinghua Hu
DynaFLUX: Implicit Dynamics-Preserving Reinforcement Learning for Topology-Free Influence Maximization
Daiyunke Zhang, Ting Deng, Tia"&amp;"nchen Zhu, Shuai Ma, Daqing
Li, Mingtian Peng and Feng Tian
")</f>
        <v>Many Hands Make Light Work: Group-based Information Diffusion Prediction over Long-Context Cascades
Zihan Feng, Yajun Yang, Xin Huang, Xin Wang, Hong Gao and
Qinghua Hu
Multi-task Inference of Diffusion Networks
Ting Gan, Kudereti Kuerban, Qian Yan, Ling Han, Zhigao
Zheng and Hao Huang
Playing Close to the Vest: Competitive Information Propagation in Partially Observed Dual-Population Mean-Field Games
Dun Tan, Lixing Chen, Bo Zhang, Hongfu Liu, Hao Peng,
Shenghong Li, Yang Bai and Pan Zhou
LLM-Driven Semantic ID for Information Diffusion Prediction
Haoshuang Liu, Zihan Feng, Yajun Yang, Xin Wang, Hong Gao
and Qinghua Hu
DynaFLUX: Implicit Dynamics-Preserving Reinforcement Learning for Topology-Free Influence Maximization
Daiyunke Zhang, Ting Deng, Tianchen Zhu, Shuai Ma, Daqing
Li, Mingtian Peng and Feng Tian
</v>
      </c>
      <c r="H32" s="67" t="str">
        <f>IFERROR(__xludf.DUMMYFUNCTION("TEXTJOIN(CHAR(10), TRUE,FILTER('Research assignment'!$D:$D,'Research assignment'!$F:$F=H30))"),"FedSRD: Sparsify-Reconstruct-Decompose for Communication-Efficient Federated Large Language Models Fine-Tuning
Guochen Yan, Luyuan Xie, Qingni Shen, Yuejian Fang and
Zhonghai Wu
Personalized Federated Fine-Tuning for LLMs via Data-Driven Heterogeneous Mo"&amp;"del Architectures
Yicheng Zhang, Zhen Qin, Zhaomin Wu, Jian Hou and Shuiguang
Deng
EcoTune: Edge-Cloud Collaborative Model Adaptation for Budget-Constrained On-Device SLM Personalization
Gong Chen, Mingkai Lin, Xiaobin Hong, Wenzhong Li and
Sanglu Lu
Fe"&amp;"dDiG: Frequency-Guided Diffusion Diversity for Generalizable Federated Time Series Classification
Haoran Shi, Junru Zhang, Cheng Peng, Xiaoli Tang, Longtao
Huang and Han Yu
FedAKD: Federated Adaptive Knowledge Distillation via Global Knowledge Calibratio"&amp;"n and Decoupling
Yingchao Wang, Wenqi Niu and Hanpo Hou
")</f>
        <v>FedSRD: Sparsify-Reconstruct-Decompose for Communication-Efficient Federated Large Language Models Fine-Tuning
Guochen Yan, Luyuan Xie, Qingni Shen, Yuejian Fang and
Zhonghai Wu
Personalized Federated Fine-Tuning for LLMs via Data-Driven Heterogeneous Model Architectures
Yicheng Zhang, Zhen Qin, Zhaomin Wu, Jian Hou and Shuiguang
Deng
EcoTune: Edge-Cloud Collaborative Model Adaptation for Budget-Constrained On-Device SLM Personalization
Gong Chen, Mingkai Lin, Xiaobin Hong, Wenzhong Li and
Sanglu Lu
FedDiG: Frequency-Guided Diffusion Diversity for Generalizable Federated Time Series Classification
Haoran Shi, Junru Zhang, Cheng Peng, Xiaoli Tang, Longtao
Huang and Han Yu
FedAKD: Federated Adaptive Knowledge Distillation via Global Knowledge Calibration and Decoupling
Yingchao Wang, Wenqi Niu and Hanpo Hou
</v>
      </c>
      <c r="I32" s="67" t="str">
        <f>IFERROR(__xludf.DUMMYFUNCTION("TEXTJOIN(CHAR(10), TRUE,FILTER('Research assignment'!$D:$D,'Research assignment'!$F:$F=I30))"),"Unveiling and Mitigating Untargeted Poisoning Attacks on Federated Knowledge Graph Embedding
Wenzheng Jiang, Ke Liang, Wenke Huang, Xiongtao Zhang,
Zhenxing Xu, Guancheng Wan, Cheston Tan, Flint Xiaofeng Fan
and Ji Wang
Reconstructing Training Data from "&amp;"Adapter-based Federated Large Language Models
Silong Chen, Yuchuan Luo, Guilin Deng, Yi Liu, Ming Xu,
Shaojing Fu and Xiaohua Jia
Xemis: Fair and Robust Privacy-Preserving Data Trading based on Distributed Noise Sharing
Xinxin Xing, Yizhong Liu, Ruonan C"&amp;"hen, Banghong Qin,
Wangjie Qiu, Jianwei Liu, Qianhong Wu, Willy Susilo and
Robert H. Deng
Federated Latent Factor Learning for Privacy-Preserving Spatio-Temporal Signal Recovery
Chengjun Yu, Di Wu, Yi He, Jia Chen and Xin Luo
Beyond Denial-of-Service: T"&amp;"he Puppeteer's Attack for Fine-Grained Control in Ranking-Based Federated Learning
Zhihao Chen, Zirui Gong, Jianting Ning, Yanjun Zhang and
Leo Yu Zhang
")</f>
        <v>Unveiling and Mitigating Untargeted Poisoning Attacks on Federated Knowledge Graph Embedding
Wenzheng Jiang, Ke Liang, Wenke Huang, Xiongtao Zhang,
Zhenxing Xu, Guancheng Wan, Cheston Tan, Flint Xiaofeng Fan
and Ji Wang
Reconstructing Training Data from Adapter-based Federated Large Language Models
Silong Chen, Yuchuan Luo, Guilin Deng, Yi Liu, Ming Xu,
Shaojing Fu and Xiaohua Jia
Xemis: Fair and Robust Privacy-Preserving Data Trading based on Distributed Noise Sharing
Xinxin Xing, Yizhong Liu, Ruonan Chen, Banghong Qin,
Wangjie Qiu, Jianwei Liu, Qianhong Wu, Willy Susilo and
Robert H. Deng
Federated Latent Factor Learning for Privacy-Preserving Spatio-Temporal Signal Recovery
Chengjun Yu, Di Wu, Yi He, Jia Chen and Xin Luo
Beyond Denial-of-Service: The Puppeteer's Attack for Fine-Grained Control in Ranking-Based Federated Learning
Zhihao Chen, Zirui Gong, Jianting Ning, Yanjun Zhang and
Leo Yu Zhang
</v>
      </c>
      <c r="J32" s="67" t="str">
        <f>IFERROR(__xludf.DUMMYFUNCTION("TEXTJOIN(CHAR(10), TRUE,FILTER('Research assignment'!$D:$D,'Research assignment'!$F:$F=J30))"),"Hermes the Polyglot: A Unified Framework to Enhance Expressiveness for Multimodal Interlingual Subtitling
Chaoqun Cui, Shijing Wang, Liangbin Huang, Qingqing Gu,
Zhaolong Huang, Xiao Zeng and Wenji Mao
BHGap: A Deep Iterative Prompting and Multi-stage Al"&amp;"ignment Framework for Dynamic Facial Expression Recognition
Yichi Zhang, Yunqi Han, Jiayue Ding and Liangyu Chen
MuVaC: A Variational Causal Framework for Multimodal Sarcasm Understanding in Dialogues
Diandian Guo, Fangfang Yuan, Cong Cao, Xixun Lin, Chu"&amp;"an
Zhou, Hao Peng, Yanan Cao and Yanbing Liu
CCAF: Coarse-to-fine Cross-Modal Alignment and Fusion for Multimodal Sentiment Analysis
Xianbing Zhao, Shengzun Yang and Buzhou Tang
ATGFB-MFF: Adaptive Text-Guided Fiber Bundle Feature Fusion with LLMs for M"&amp;"ultimodal Sentiment Analysis and Emotion Recognition in Conversations
Zhaowei Liu, Sheng Liu, Weiqing Yan, Peng Song, Yongchao
Song and Rufei Gao
")</f>
        <v>Hermes the Polyglot: A Unified Framework to Enhance Expressiveness for Multimodal Interlingual Subtitling
Chaoqun Cui, Shijing Wang, Liangbin Huang, Qingqing Gu,
Zhaolong Huang, Xiao Zeng and Wenji Mao
BHGap: A Deep Iterative Prompting and Multi-stage Alignment Framework for Dynamic Facial Expression Recognition
Yichi Zhang, Yunqi Han, Jiayue Ding and Liangyu Chen
MuVaC: A Variational Causal Framework for Multimodal Sarcasm Understanding in Dialogues
Diandian Guo, Fangfang Yuan, Cong Cao, Xixun Lin, Chuan
Zhou, Hao Peng, Yanan Cao and Yanbing Liu
CCAF: Coarse-to-fine Cross-Modal Alignment and Fusion for Multimodal Sentiment Analysis
Xianbing Zhao, Shengzun Yang and Buzhou Tang
ATGFB-MFF: Adaptive Text-Guided Fiber Bundle Feature Fusion with LLMs for Multimodal Sentiment Analysis and Emotion Recognition in Conversations
Zhaowei Liu, Sheng Liu, Weiqing Yan, Peng Song, Yongchao
Song and Rufei Gao
</v>
      </c>
      <c r="K32" s="67" t="str">
        <f>IFERROR(__xludf.DUMMYFUNCTION("TEXTJOIN(CHAR(10), TRUE,FILTER('Research assignment'!$D:$D,'Research assignment'!$F:$F=K30))"),"Generative Data Transformation: From Mixed to Unified Data
Jiaqing Zhang, Mingjia Yin, Hao Wang, Yuxin Tian, Yuyang
Ye, Yawen Li, Wei Guo, Yong Liu and Enhong Chen
Gaussian Mixture Flow Matching with Domain Alignment for Multi-Domain Sequential Recommend"&amp;"ation
Xiaoxin Ye, Chengkai Huang, Hongtao Huang and Lina Yao
WeaveRec: An LLM-Based Cross-Domain Sequential Recommendation Framework with Model Merging
Min Hou, Xin Liu, Le Wu, Chenyi He, Hao Liu, Zhi Li, Xin Li
and Si Wei
SemaCDR: LLM-Powered Transfera"&amp;"ble Semantics for Cross-Domain Sequential Recommendation
Chunxu Zhang, Shanqiang Huang, Zijian Zhang, Jiahong Liu,
Linsong Yu, Ruiqi Wan, Bo Yang and Irwin King
The Double-Edged Sword of Knowledge Transfer: Diagnosing and Curing Fairness Pathologies in C"&amp;"ross-Domain Recommendation
Yuhan Zhao, Weixin Chen, Li Chen and Weike Pan
")</f>
        <v>Generative Data Transformation: From Mixed to Unified Data
Jiaqing Zhang, Mingjia Yin, Hao Wang, Yuxin Tian, Yuyang
Ye, Yawen Li, Wei Guo, Yong Liu and Enhong Chen
Gaussian Mixture Flow Matching with Domain Alignment for Multi-Domain Sequential Recommendation
Xiaoxin Ye, Chengkai Huang, Hongtao Huang and Lina Yao
WeaveRec: An LLM-Based Cross-Domain Sequential Recommendation Framework with Model Merging
Min Hou, Xin Liu, Le Wu, Chenyi He, Hao Liu, Zhi Li, Xin Li
and Si Wei
SemaCDR: LLM-Powered Transferable Semantics for Cross-Domain Sequential Recommendation
Chunxu Zhang, Shanqiang Huang, Zijian Zhang, Jiahong Liu,
Linsong Yu, Ruiqi Wan, Bo Yang and Irwin King
The Double-Edged Sword of Knowledge Transfer: Diagnosing and Curing Fairness Pathologies in Cross-Domain Recommendation
Yuhan Zhao, Weixin Chen, Li Chen and Weike Pan
</v>
      </c>
      <c r="L32" s="67" t="str">
        <f>IFERROR(__xludf.DUMMYFUNCTION("TEXTJOIN(CHAR(10), TRUE,FILTER('Research assignment'!$D:$D,'Research assignment'!$F:$F=L30))"),"DiffGRM: Diffusion-based Generative Recommendation Model
Zhao Liu, Yichen Zhu, Yiqing Yang, Xiao Lv, Guoping Tang,
Rui Huang, Qiang Luo, Ruiming Tang and Guorui Zhou
Modeling Endogenous Logic: Causal Neuro-Symbolic Reasoning Model for Explainable Multi-B"&amp;"ehavior Recommendation
Yuzhe Chen, Jie Cao, Youquan Wang, Haicheng Tao, Darko
Vuković and Jia Wu
MCLMR: A Model-Agnostic Causal Learning Framework for Multi-Behavior Recommendation
Ranxu Zhang, Junjie Meng, Ying Sun, Ziqi Xu, Bing Yin, Hao
Li, Yanyong Zh"&amp;"ang and Chao Wang
C-HyPOD: Causal Hyperbolic Learning with Prototype Orthogonal Disentanglement for Graph Out-of-Distribution Recommendation
Jiahao Liang, Yutian Xiao, Haoran Yang, Zhiwen Yu, Jia-Nan
Liu and Kaixiang Yang
Causality Enhancement for Cross"&amp;"-Domain Recommendation
Zhibo Wu, Yunfan Wu, Yang Chang, Ping Yang and Yao Hu
")</f>
        <v>DiffGRM: Diffusion-based Generative Recommendation Model
Zhao Liu, Yichen Zhu, Yiqing Yang, Xiao Lv, Guoping Tang,
Rui Huang, Qiang Luo, Ruiming Tang and Guorui Zhou
Modeling Endogenous Logic: Causal Neuro-Symbolic Reasoning Model for Explainable Multi-Behavior Recommendation
Yuzhe Chen, Jie Cao, Youquan Wang, Haicheng Tao, Darko
Vuković and Jia Wu
MCLMR: A Model-Agnostic Causal Learning Framework for Multi-Behavior Recommendation
Ranxu Zhang, Junjie Meng, Ying Sun, Ziqi Xu, Bing Yin, Hao
Li, Yanyong Zhang and Chao Wang
C-HyPOD: Causal Hyperbolic Learning with Prototype Orthogonal Disentanglement for Graph Out-of-Distribution Recommendation
Jiahao Liang, Yutian Xiao, Haoran Yang, Zhiwen Yu, Jia-Nan
Liu and Kaixiang Yang
Causality Enhancement for Cross-Domain Recommendation
Zhibo Wu, Yunfan Wu, Yang Chang, Ping Yang and Yao Hu
</v>
      </c>
      <c r="M32" s="67" t="str">
        <f>IFERROR(__xludf.DUMMYFUNCTION("TEXTJOIN(CHAR(10), TRUE,FILTER('Industry assignment'!$D:$D,'Industry assignment'!$F:$F=M30))"),"PI2I: A Personalized Item-Based Collaborative Filtering Retrieval Framework
Shaoqing Wang, Yingcai Ma, Kairui Fu, Ziyang Wang, Dunxian Huang, Yuliang Yan and Jian Wu
AliBoostV2: CTR-Growth Balanced Boosting Framework in Billion-Scale Recommendation Platf"&amp;"orm
Qijie Shen, Yuanchen Bei, Zihong Huang, Xixian Wang, Zhibo Xiao, Dimin Wang, Jialin Zhu, Yuning Jiang, Feiran Huang and Hao Chen
BanditLP: Large-Scale Stochastic Optimization for Personalized Recommendations
Phuc Nguyen, Benjamin Zelditch, Joyce Chen"&amp;", Rohit K Patra and Changshuai Wei
Unleashing the Potential of Sparse Attention on Long-term Behaviors for CTR Prediction
Weijiang Lai, Beihong Jin, Di Zhang, Siru Chen, Jiongyan Zhang, Yuhang Gou, Jian Dong and Xingxing Wang
Improving Multi Task Recomm"&amp;"endations via Cross User Learning with a Hybrid Pointwise and Pairwise Ranking Loss
Abhinav Naikawadi, Hedi Xia, Dafang He, Yichu Zhou, Xue Xia, Piyush Maheshwari, Bella Huang, Bowen Deng, James Li, Dhruvil Deven Badani and Yijie Dylan Wang
")</f>
        <v>PI2I: A Personalized Item-Based Collaborative Filtering Retrieval Framework
Shaoqing Wang, Yingcai Ma, Kairui Fu, Ziyang Wang, Dunxian Huang, Yuliang Yan and Jian Wu
AliBoostV2: CTR-Growth Balanced Boosting Framework in Billion-Scale Recommendation Platform
Qijie Shen, Yuanchen Bei, Zihong Huang, Xixian Wang, Zhibo Xiao, Dimin Wang, Jialin Zhu, Yuning Jiang, Feiran Huang and Hao Chen
BanditLP: Large-Scale Stochastic Optimization for Personalized Recommendations
Phuc Nguyen, Benjamin Zelditch, Joyce Chen, Rohit K Patra and Changshuai Wei
Unleashing the Potential of Sparse Attention on Long-term Behaviors for CTR Prediction
Weijiang Lai, Beihong Jin, Di Zhang, Siru Chen, Jiongyan Zhang, Yuhang Gou, Jian Dong and Xingxing Wang
Improving Multi Task Recommendations via Cross User Learning with a Hybrid Pointwise and Pairwise Ranking Loss
Abhinav Naikawadi, Hedi Xia, Dafang He, Yichu Zhou, Xue Xia, Piyush Maheshwari, Bella Huang, Bowen Deng, James Li, Dhruvil Deven Badani and Yijie Dylan Wang
</v>
      </c>
      <c r="N32" s="67" t="str">
        <f>IFERROR(__xludf.DUMMYFUNCTION("TEXTJOIN(CHAR(10), TRUE,FILTER('HoW assignment'!$D:$D,'HoW assignment'!$F:$F=N30))"),"On the historic roots of Agentic AI in Semantic Web Services
Axel Polleres
From Lexical and Semantic to Predictive Search: Evolution or Involution?
Ricardo Baeza-Yates
Evolving Notions of Success on the Web: From Retrieval to Experience
Mounia Lalmas
P"&amp;"anel
Yoelle Maarek, Ricardo Baeza-Yates, Wendy Hall moderated by Oshani Seneviratne
")</f>
        <v>On the historic roots of Agentic AI in Semantic Web Services
Axel Polleres
From Lexical and Semantic to Predictive Search: Evolution or Involution?
Ricardo Baeza-Yates
Evolving Notions of Success on the Web: From Retrieval to Experience
Mounia Lalmas
Panel
Yoelle Maarek, Ricardo Baeza-Yates, Wendy Hall moderated by Oshani Seneviratne
</v>
      </c>
      <c r="O32" s="32"/>
      <c r="P32" s="5"/>
      <c r="Q32" s="5"/>
      <c r="R32" s="5"/>
      <c r="S32" s="5"/>
      <c r="T32" s="5"/>
      <c r="U32" s="5"/>
      <c r="V32" s="5"/>
      <c r="W32" s="5"/>
      <c r="X32" s="5"/>
      <c r="Y32" s="5"/>
      <c r="Z32" s="5"/>
      <c r="AA32" s="5"/>
    </row>
    <row r="33" collapsed="1">
      <c r="A33" s="68" t="s">
        <v>107</v>
      </c>
      <c r="B33" s="69" t="s">
        <v>108</v>
      </c>
      <c r="O33" s="70"/>
      <c r="P33" s="5"/>
      <c r="Q33" s="5"/>
      <c r="R33" s="5"/>
      <c r="S33" s="5"/>
      <c r="T33" s="5"/>
      <c r="U33" s="5"/>
      <c r="V33" s="5"/>
      <c r="W33" s="5"/>
      <c r="X33" s="5"/>
      <c r="Y33" s="5"/>
      <c r="Z33" s="5"/>
      <c r="AA33" s="5"/>
    </row>
    <row r="34" hidden="1" outlineLevel="1">
      <c r="A34" s="44"/>
      <c r="B34" s="55" t="s">
        <v>109</v>
      </c>
      <c r="C34" s="56" t="s">
        <v>110</v>
      </c>
      <c r="D34" s="56" t="s">
        <v>111</v>
      </c>
      <c r="E34" s="33" t="s">
        <v>112</v>
      </c>
      <c r="F34" s="33" t="s">
        <v>113</v>
      </c>
      <c r="G34" s="33" t="s">
        <v>114</v>
      </c>
      <c r="H34" s="33" t="s">
        <v>115</v>
      </c>
      <c r="I34" s="33" t="s">
        <v>116</v>
      </c>
      <c r="J34" s="33" t="s">
        <v>117</v>
      </c>
      <c r="K34" s="33" t="s">
        <v>118</v>
      </c>
      <c r="L34" s="33" t="s">
        <v>119</v>
      </c>
      <c r="M34" s="71" t="s">
        <v>120</v>
      </c>
      <c r="N34" s="71" t="s">
        <v>121</v>
      </c>
      <c r="O34" s="71"/>
      <c r="P34" s="5"/>
      <c r="Q34" s="5"/>
      <c r="R34" s="5"/>
      <c r="S34" s="5"/>
      <c r="T34" s="5"/>
      <c r="U34" s="5"/>
      <c r="V34" s="5"/>
      <c r="W34" s="5"/>
      <c r="X34" s="5"/>
      <c r="Y34" s="5"/>
      <c r="Z34" s="5"/>
      <c r="AA34" s="5"/>
    </row>
    <row r="35" hidden="1" outlineLevel="1">
      <c r="A35" s="15"/>
      <c r="B35" s="20" t="str">
        <f>IFERROR(__xludf.DUMMYFUNCTION("TEXTJOIN(CHAR(10), TRUE,FILTER(Demos!$D:$D,Demos!$E:$E=B34))"),"Lang2Plan: An LLM-Powered Multi-Agent System for Building Layout Planning
Fangyong Pan, Xi Chen, Weiqi Xu, Yifeng Xu and Haofen Wang
NGCAPTCHA: A CAPTCHA Bridging the Past and the Future
Ziqi Ding, Shangzhi Xu, Wei Song and Yuekang Li
G-SEIR: A Graph-En"&amp;"hanced Epidemic Forecasting System for Dengue Intervention
Cheng-Ru Chou, Shou-Po Tsai, Jing-Zhe Huang, Hsu-Han Tu, Pei-Xuan Li and Hsun-Ping Hsieh
SAMPLE: A Spatial/Channel-wise Attention GCN with MLP and Periodic Linear Encoding for Land Boundary Demar"&amp;"cation System
Min-Huan Tsai, Cheng-Ru Chou, Chia Chen Tsai, Yu-Yin Wang, Pei-Xuan Li, Hsun-Ping Hsieh and Tzu-Chang Lee
A Large Language Model-based Agent for Automated Machine Learning Workflow Construction
Yutian Xu, Yanhao Wang, Hui Li, Shengjie Xia a"&amp;"nd Shengtian Min
Deep Research Comparator: A Platform For Fine-grained Human Annotations of Deep Research Agents
Prahaladh Chandrahasan, Jiahe Jin, Zhihan Zhang, Tevin Wang, Andy Tang, Lucy Mo, Morteza Ziyadi, Leonardo F.R. Ribeiro, Zimeng Qiu, Markus Dr"&amp;"eyer, Akari Asai and Chenyan Xiong
Docs2Synth: A Synthetic Data Tuned Retriever Framework for Documents Understanding
Yihao Ding, Qiang Sun, Puzhen Wu, Sirui Li, Siwen Luo and Wei Liu
GCAgent: Enhancing Group Chat Communication through Dialogue Agents S"&amp;"ystem
Zijie Meng, Zheyong Xie, Zheyu Ye, Chonggang Lu, Zuozhu Liu, Zihan Niu, Yao Hu and Shaosheng Cao
")</f>
        <v>Lang2Plan: An LLM-Powered Multi-Agent System for Building Layout Planning
Fangyong Pan, Xi Chen, Weiqi Xu, Yifeng Xu and Haofen Wang
NGCAPTCHA: A CAPTCHA Bridging the Past and the Future
Ziqi Ding, Shangzhi Xu, Wei Song and Yuekang Li
G-SEIR: A Graph-Enhanced Epidemic Forecasting System for Dengue Intervention
Cheng-Ru Chou, Shou-Po Tsai, Jing-Zhe Huang, Hsu-Han Tu, Pei-Xuan Li and Hsun-Ping Hsieh
SAMPLE: A Spatial/Channel-wise Attention GCN with MLP and Periodic Linear Encoding for Land Boundary Demarcation System
Min-Huan Tsai, Cheng-Ru Chou, Chia Chen Tsai, Yu-Yin Wang, Pei-Xuan Li, Hsun-Ping Hsieh and Tzu-Chang Lee
A Large Language Model-based Agent for Automated Machine Learning Workflow Construction
Yutian Xu, Yanhao Wang, Hui Li, Shengjie Xia and Shengtian Min
Deep Research Comparator: A Platform For Fine-grained Human Annotations of Deep Research Agents
Prahaladh Chandrahasan, Jiahe Jin, Zhihan Zhang, Tevin Wang, Andy Tang, Lucy Mo, Morteza Ziyadi, Leonardo F.R. Ribeiro, Zimeng Qiu, Markus Dreyer, Akari Asai and Chenyan Xiong
Docs2Synth: A Synthetic Data Tuned Retriever Framework for Documents Understanding
Yihao Ding, Qiang Sun, Puzhen Wu, Sirui Li, Siwen Luo and Wei Liu
GCAgent: Enhancing Group Chat Communication through Dialogue Agents System
Zijie Meng, Zheyong Xie, Zheyu Ye, Chonggang Lu, Zuozhu Liu, Zihan Niu, Yao Hu and Shaosheng Cao
</v>
      </c>
      <c r="C35" s="20" t="str">
        <f>IFERROR(__xludf.DUMMYFUNCTION("TEXTJOIN(CHAR(10), TRUE,FILTER('ShortPapers assignment'!$D:$D,'ShortPapers assignment'!$E:$E=C34))"),"Let It Try First: Uncertainty-Guided Retrieval Switching for Retrieval-Augmented Question Answering
Xiaohai Wang, Yu Liang, Wei Zhou and Sixing Wu
DiffusionGS: Generative Search with Query Conditioned Diffusion in Kuaishou
Qinyao Li, Xiaoyang Zheng, Qiha"&amp;"ng Zhao, Ke Xu, Zhongbo Sun, Chao Wang, Chenyi Lei, Han Li and Wenwu Ou
LLM Reasoning for Cold-Start Item Recommendation
Shijun Li, Yu Wang, Jin Wang, Ying Li, Joydeep Ghosh and Anne Cocos
Hierarchical Layer Attention with Contrastive Learning for Robus"&amp;"t Audio Deepfake Detection
Zhili Nicholas Liang, Soyeon Caren Han, Qizhou Wang and Christopher Leckie
Online Bidding Algorithms with Strict Return on Spend (ROS) Constraint
Rahul Vaze and Abhishek Sinha
OMGRec: One-time Matching-based Generative Rerank "&amp;"with Permutation-level Modeling in E-commerce
Junwei Xu, Zhibo Xiao, Chuxin Chen, Chengyu Lai, Qijie Shen, Jiuning Lin, Dimin Wang, Jialin Zhu and Xiao-Ping Zhang
LPEdit: Locality-Preserving Knowledge Editing for MultiModal Large Language Models
Tianyu Z"&amp;"hang, Junfeng Fang, Houcheng Jiang, Xingyu Zhu, Xiang Wang and Xiangnan He
Img2KG: Ontology-Driven Correction of Visual Triples
Christina Kanetou and Yannis Tzitzikas
A Life‑Cycle Assessment of the Hidden Environmental Cost of Selfies
Tilen Hliš, Urška "&amp;"Butolen, Iztok Fister and Iztok Fister
We May Not Need Much Visual Encoding of Web Data for Question Answering
Tan Yue, Qiong Wu and Dongyan Zhao
CityVerse: A Unified Data Framework for Evaluating Large Language Models in Urban Computing
Yaqiao Zhu, Hon"&amp;"gkai Wen, Mark Birkin and Man Luo
An Improved Combinatorial Algorithm for Edge-Colored Clustering in Hypergraphs
Seongjune Han and Nate Veldt
BitHeteroNet: A Heterogeneous Network Benchmark for Enhanced Anomaly Detection in Bitcoin Transactions
Zheng Go"&amp;"ng, Shuheng Shen, Changhua Meng and Ying Sun
Feature-PI: A Data Repository for Learning-based Feature Importance Estimation
Yin Lou
BiCare: Bi-Objective Set Similarity with Box Embeddings for Safe and Effective Healthcare Decision Support
Guofang Ma, Pe"&amp;"ngxiang Zhan, Haoze Huang and Yanchao Tan
ReMi-ReMath: A Reverse-Mutual Reasoning Framework for Enhancing Mathematical Thinking in Small Language Models
Dae Kyoo Kim, Sang Kyu Moon and Eunil Park
Beyond Isolated Clients: Integrating Graph-Based Embeddin"&amp;"gs into Event Sequence Models
Harry Proshian, Nikita Severin, Sergey Nikolenko, Ivan Kireev, Andrey Savchenko, Ivan Sergeev, Maria Postnova and Ilya Makarov
GlotWeb: Web Indexing for Minority Languages
Abdullah Al Sefat, Amir Hossein Kargaran, François Y"&amp;"von and Hinrich Schütze
Graph Poisoning for Node Rank Manipulation
Seyed Mohammad Hosseini, Radin Hamidi Rad, Morteza Zihayat and Ebrahim Bagheri
P-Aligner: Pre-Aligning LLMs via Principled Instruction Synthesis
Feifan Song, Bofei Gao, Yifan Song, Yi Li"&amp;"u, Weimin Xiong, Yuyang Song, Tianyu Liu, Guoyin Wang and Houfeng Wang
Interaction-level Membership Inference Attack for Recommender Systems via Cluster-based User Modeling
Danyang Zong, Kaike Zhang, Qi Cao, Du Su and Fei Sun
CytoCrowd: A Multi-Annotato"&amp;"r Benchmark Dataset for Cytology Image Analysis
Yonghao Si, Xingyuan Zeng, Zhao Chen, Libin Zheng, Caleb Chen Cao, Chen Lei and Jian Yin
FilterRec: An Intent-Aware Framework for Dynamic Filter Recommendation
Dingxian Wang, Jiacheng Dong, Jiaqi Deng, Jing"&amp;" Long, Ted Liu, George Barelas, Arya Taylor, Spyros Kapnissis, Frank Yang, Andrew Rabinovich and Guandong Xu
MCP vs RAG vs NLWeb vs HTML: A Comparison of the Effectiveness and Efficiency of Different Agent Interfaces to the Web
Aaron Steiner, Ralph Peete"&amp;"rs and Christian Bizer
SIT-KGED: Simply Inject Topology into LLM for Knowledge Graph Error Detection
Ting Li, Xingyi Mao, Yipeng Yu and Liang Yao
")</f>
        <v>Let It Try First: Uncertainty-Guided Retrieval Switching for Retrieval-Augmented Question Answering
Xiaohai Wang, Yu Liang, Wei Zhou and Sixing Wu
DiffusionGS: Generative Search with Query Conditioned Diffusion in Kuaishou
Qinyao Li, Xiaoyang Zheng, Qihang Zhao, Ke Xu, Zhongbo Sun, Chao Wang, Chenyi Lei, Han Li and Wenwu Ou
LLM Reasoning for Cold-Start Item Recommendation
Shijun Li, Yu Wang, Jin Wang, Ying Li, Joydeep Ghosh and Anne Cocos
Hierarchical Layer Attention with Contrastive Learning for Robust Audio Deepfake Detection
Zhili Nicholas Liang, Soyeon Caren Han, Qizhou Wang and Christopher Leckie
Online Bidding Algorithms with Strict Return on Spend (ROS) Constraint
Rahul Vaze and Abhishek Sinha
OMGRec: One-time Matching-based Generative Rerank with Permutation-level Modeling in E-commerce
Junwei Xu, Zhibo Xiao, Chuxin Chen, Chengyu Lai, Qijie Shen, Jiuning Lin, Dimin Wang, Jialin Zhu and Xiao-Ping Zhang
LPEdit: Locality-Preserving Knowledge Editing for MultiModal Large Language Models
Tianyu Zhang, Junfeng Fang, Houcheng Jiang, Xingyu Zhu, Xiang Wang and Xiangnan He
Img2KG: Ontology-Driven Correction of Visual Triples
Christina Kanetou and Yannis Tzitzikas
A Life‑Cycle Assessment of the Hidden Environmental Cost of Selfies
Tilen Hliš, Urška Butolen, Iztok Fister and Iztok Fister
We May Not Need Much Visual Encoding of Web Data for Question Answering
Tan Yue, Qiong Wu and Dongyan Zhao
CityVerse: A Unified Data Framework for Evaluating Large Language Models in Urban Computing
Yaqiao Zhu, Hongkai Wen, Mark Birkin and Man Luo
An Improved Combinatorial Algorithm for Edge-Colored Clustering in Hypergraphs
Seongjune Han and Nate Veldt
BitHeteroNet: A Heterogeneous Network Benchmark for Enhanced Anomaly Detection in Bitcoin Transactions
Zheng Gong, Shuheng Shen, Changhua Meng and Ying Sun
Feature-PI: A Data Repository for Learning-based Feature Importance Estimation
Yin Lou
BiCare: Bi-Objective Set Similarity with Box Embeddings for Safe and Effective Healthcare Decision Support
Guofang Ma, Pengxiang Zhan, Haoze Huang and Yanchao Tan
ReMi-ReMath: A Reverse-Mutual Reasoning Framework for Enhancing Mathematical Thinking in Small Language Models
Dae Kyoo Kim, Sang Kyu Moon and Eunil Park
Beyond Isolated Clients: Integrating Graph-Based Embeddings into Event Sequence Models
Harry Proshian, Nikita Severin, Sergey Nikolenko, Ivan Kireev, Andrey Savchenko, Ivan Sergeev, Maria Postnova and Ilya Makarov
GlotWeb: Web Indexing for Minority Languages
Abdullah Al Sefat, Amir Hossein Kargaran, François Yvon and Hinrich Schütze
Graph Poisoning for Node Rank Manipulation
Seyed Mohammad Hosseini, Radin Hamidi Rad, Morteza Zihayat and Ebrahim Bagheri
P-Aligner: Pre-Aligning LLMs via Principled Instruction Synthesis
Feifan Song, Bofei Gao, Yifan Song, Yi Liu, Weimin Xiong, Yuyang Song, Tianyu Liu, Guoyin Wang and Houfeng Wang
Interaction-level Membership Inference Attack for Recommender Systems via Cluster-based User Modeling
Danyang Zong, Kaike Zhang, Qi Cao, Du Su and Fei Sun
CytoCrowd: A Multi-Annotator Benchmark Dataset for Cytology Image Analysis
Yonghao Si, Xingyuan Zeng, Zhao Chen, Libin Zheng, Caleb Chen Cao, Chen Lei and Jian Yin
FilterRec: An Intent-Aware Framework for Dynamic Filter Recommendation
Dingxian Wang, Jiacheng Dong, Jiaqi Deng, Jing Long, Ted Liu, George Barelas, Arya Taylor, Spyros Kapnissis, Frank Yang, Andrew Rabinovich and Guandong Xu
MCP vs RAG vs NLWeb vs HTML: A Comparison of the Effectiveness and Efficiency of Different Agent Interfaces to the Web
Aaron Steiner, Ralph Peeters and Christian Bizer
SIT-KGED: Simply Inject Topology into LLM for Knowledge Graph Error Detection
Ting Li, Xingyi Mao, Yipeng Yu and Liang Yao
</v>
      </c>
      <c r="D35" s="20" t="str">
        <f>IFERROR(__xludf.DUMMYFUNCTION("TEXTJOIN(CHAR(10), TRUE,FILTER('Research assignment'!$D:$D,'Research assignment'!$G:$G=D34))"),"Online Rounding and Pricing Schemes for k-Rental Problems
Hossein Nekouyan, Bo Sun, Raouf Boutaba and Xiaoqi Tan
Online Advertising with Spatial Interactions
Gagan Aggarwal, Yifan Wang and Mingfei Zhao
Automated Deterministic Auction Design with Objecti"&amp;"ve Decomposition
Zhijian Duan, Haoran Sun, Yichong Xia, Siqiang Wang, Zhilin
Zhang, Chuan Yu, Jian Xu and Xiaotie Deng
The Query Complexity of Uniform Pricing
Houshuang Chen, Yaonan Jin, Pinyan Lu and Chihao Zhang
Determinants and Effects of Buy Box Sup"&amp;"pression on Amazon
Jeffrey Gleason, Shuo Zhang and Christo Wilson
Additively Competitive Secretaries
Mohammad Mahdian, Jieming Mao, Enze Sun, Kangning Wang and
Yifan Wang
Improving the Price of Anarchy via Predictions in Parallel-Link Networks
George Ch"&amp;"ristodoulou, Vasilis Christoforidis, Alkmini
Sgouritsa and Ioannis Vlachos
")</f>
        <v>Online Rounding and Pricing Schemes for k-Rental Problems
Hossein Nekouyan, Bo Sun, Raouf Boutaba and Xiaoqi Tan
Online Advertising with Spatial Interactions
Gagan Aggarwal, Yifan Wang and Mingfei Zhao
Automated Deterministic Auction Design with Objective Decomposition
Zhijian Duan, Haoran Sun, Yichong Xia, Siqiang Wang, Zhilin
Zhang, Chuan Yu, Jian Xu and Xiaotie Deng
The Query Complexity of Uniform Pricing
Houshuang Chen, Yaonan Jin, Pinyan Lu and Chihao Zhang
Determinants and Effects of Buy Box Suppression on Amazon
Jeffrey Gleason, Shuo Zhang and Christo Wilson
Additively Competitive Secretaries
Mohammad Mahdian, Jieming Mao, Enze Sun, Kangning Wang and
Yifan Wang
Improving the Price of Anarchy via Predictions in Parallel-Link Networks
George Christodoulou, Vasilis Christoforidis, Alkmini
Sgouritsa and Ioannis Vlachos
</v>
      </c>
      <c r="E35" s="20" t="str">
        <f>IFERROR(__xludf.DUMMYFUNCTION("TEXTJOIN(CHAR(10), TRUE,FILTER('Research assignment'!$D:$D,'Research assignment'!$G:$G=E34))"),"TAWRMAC: A Novel Dynamic Graph Representation Learning Method
Soheila Farokhi, Xiaojun Qi and Hamid Karimi
negMIX: Negative Mixup for OOD Generalization in Open-Set Node Classification
Junwei Gong, Xiao Shen, Zhihao Chen, Shirui Pan, Xiao Wang
and Xi Zho"&amp;"u
UTAG: Leveraging LLM as a Unified Embedding Generator for Text-Attributed Graphs
Mingqian Ding, Jianjun Li, Zhiyuan Ma, Liwei Zhang and
Wenqi Yang
Mitigating Dynamic Graph Distribution Shifts via Mixture of Variational Experts
Qianyu Song, Chao Li, Ye"&amp;"yu Yan, Hui Zhou, Zhongying Zhao
and Qingtian Zeng
Text-attributed Graph Condensation via Text Selection and Attribute Matching
Haowei Han, Yuxiang Wang, Guojia Wan, Hao Wang, Shanshan
Feng, Hao Huang, Jiawei Jiang and Xiao Yan
Practical Group Steiner T"&amp;"ree Algorithms for Web Applications with Many Groups
Qicheng Shan, Yuxuan Yang and Gong Cheng
GraphTARIF: Linear Graph Transformer with Augmented Rank and Improved Focus
Zhaolin Hu, Kun Li, Hehe Fan and Yi Yang
VSAL: A Vision Solver with Adaptive Layout"&amp;"s for Graph Property Detection
Jiahao Xie and Guangmo Tong
Sustained Vertex Cover on Temporal Graphs
Junqiang Peng, Tian Bai, Jingyang Zhao and Mingyu Xiao
Dual-level Reweighting for Positive-Unlabeled Graph Classification
Junghun Kim, Shihyung Park and"&amp;" U Kang
")</f>
        <v>TAWRMAC: A Novel Dynamic Graph Representation Learning Method
Soheila Farokhi, Xiaojun Qi and Hamid Karimi
negMIX: Negative Mixup for OOD Generalization in Open-Set Node Classification
Junwei Gong, Xiao Shen, Zhihao Chen, Shirui Pan, Xiao Wang
and Xi Zhou
UTAG: Leveraging LLM as a Unified Embedding Generator for Text-Attributed Graphs
Mingqian Ding, Jianjun Li, Zhiyuan Ma, Liwei Zhang and
Wenqi Yang
Mitigating Dynamic Graph Distribution Shifts via Mixture of Variational Experts
Qianyu Song, Chao Li, Yeyu Yan, Hui Zhou, Zhongying Zhao
and Qingtian Zeng
Text-attributed Graph Condensation via Text Selection and Attribute Matching
Haowei Han, Yuxiang Wang, Guojia Wan, Hao Wang, Shanshan
Feng, Hao Huang, Jiawei Jiang and Xiao Yan
Practical Group Steiner Tree Algorithms for Web Applications with Many Groups
Qicheng Shan, Yuxuan Yang and Gong Cheng
GraphTARIF: Linear Graph Transformer with Augmented Rank and Improved Focus
Zhaolin Hu, Kun Li, Hehe Fan and Yi Yang
VSAL: A Vision Solver with Adaptive Layouts for Graph Property Detection
Jiahao Xie and Guangmo Tong
Sustained Vertex Cover on Temporal Graphs
Junqiang Peng, Tian Bai, Jingyang Zhao and Mingyu Xiao
Dual-level Reweighting for Positive-Unlabeled Graph Classification
Junghun Kim, Shihyung Park and U Kang
</v>
      </c>
      <c r="F35" s="20" t="str">
        <f>IFERROR(__xludf.DUMMYFUNCTION("TEXTJOIN(CHAR(10), TRUE,FILTER('Research assignment'!$D:$D,'Research assignment'!$G:$G=F34))"),"Dual-Branch Multi-Granularity Network with Structured Contrastive Ranking for Cross-Modal Retrieval
Zihao Chen, Chenyang Bu, Shengwei Ji and Xindong Wu
Less is More: Compact Clue Selection for Efficient Retrieval-Augmented Generation Reasoning
Qianchi Zh"&amp;"ang, Hainan Zhang, Liang Pang, Yongxin Tong,
Hongwei Zheng and Zhiming Zheng
Déjà Vu of Strange Stickers! Enhancing Out-of-Distribution Robustness in Sticker Retrieval via Cross-Modal Intent Alignment
Yu-An Liu, Ruqing Zhang, Jiafeng Guo, Changjiang Zhou"&amp;", Fan
Zhang and Yinhu Zhao
SQL-Checker: Error Detection and Labeling for Text-to-SQL with Interpretability Analysis
Xingyu Ma, Xin Tian, Lingxiang Wu, Xuepeng Wang, Xueming
Tang and Jinqiao Wang
To Search or Not to Search: Aligning the Decision Boundary"&amp;" of Deep Search Agents via Causal Intervention
Wenlin Zhang, Kuicai Dong, Junyi Li, Yingyi Zhang, Xiaopeng
Li, Pengyue Jia, Yi Wen, Derong Xu, Maolin Wang, Yichao
Wang, Yong Liu and Xiangyu Zhao
XR: Cross-Modal Agents for Composed Image Retrieval
Zhongyu"&amp;" Yang, Wei Pang and Yingfang Yuan
")</f>
        <v>Dual-Branch Multi-Granularity Network with Structured Contrastive Ranking for Cross-Modal Retrieval
Zihao Chen, Chenyang Bu, Shengwei Ji and Xindong Wu
Less is More: Compact Clue Selection for Efficient Retrieval-Augmented Generation Reasoning
Qianchi Zhang, Hainan Zhang, Liang Pang, Yongxin Tong,
Hongwei Zheng and Zhiming Zheng
Déjà Vu of Strange Stickers! Enhancing Out-of-Distribution Robustness in Sticker Retrieval via Cross-Modal Intent Alignment
Yu-An Liu, Ruqing Zhang, Jiafeng Guo, Changjiang Zhou, Fan
Zhang and Yinhu Zhao
SQL-Checker: Error Detection and Labeling for Text-to-SQL with Interpretability Analysis
Xingyu Ma, Xin Tian, Lingxiang Wu, Xuepeng Wang, Xueming
Tang and Jinqiao Wang
To Search or Not to Search: Aligning the Decision Boundary of Deep Search Agents via Causal Intervention
Wenlin Zhang, Kuicai Dong, Junyi Li, Yingyi Zhang, Xiaopeng
Li, Pengyue Jia, Yi Wen, Derong Xu, Maolin Wang, Yichao
Wang, Yong Liu and Xiangyu Zhao
XR: Cross-Modal Agents for Composed Image Retrieval
Zhongyu Yang, Wei Pang and Yingfang Yuan
</v>
      </c>
      <c r="G35" s="20" t="str">
        <f>IFERROR(__xludf.DUMMYFUNCTION("TEXTJOIN(CHAR(10), TRUE,FILTER('Research assignment'!$D:$D,'Research assignment'!$G:$G=G34))"),"Lifting Manifolds to Mitigate Pseudo-Alignment in LLM4TS
Liangwei Nathan Zheng, Wenhao Liang, Wei Emma Zhang, Miao
Xu, Olaf Maennel and Weitong Chen
MePe: Rethinking Multimodal Chinese Idiom Reading Comprehension from a Metaphorical Perspective
Tongguan "&amp;"Wang, Junkai Li, Feiyue Xue, Hui Liu, Dongyu Su,
Wangjun Huang and Ying Sha
PLIKD: Prompt Learning with Instance-aware Knowledge Distillation for Web-scale Semantic Image Classification
Jianye Xie, Chunhua Hu, Lianyong Qi, Fan Wang, Xiaolong Xu,
Haolong "&amp;"Xiang, Xuyun Zhang, Shichao Pei, Amin Beheshti,
Wanchun Dou and Xiaokang Zhou
Neuro-Sym Supporter: A Thoughtful Emotion Support Agent Integrating Neural and Symbolic Policy Learning
Minghui Ma, Bin Guo, Mengqi Chen, Jingqi Liu, Yasan Ding,
Yan Liu and Ha"&amp;"n Wang
LoSemB: Logic-Guided Semantic Bridging for Inductive Tool Retrieval
Luyao Zhuang, Qinggang Zhang, Huachi Zhou, Yujing Zhang and
Xiao Huang
Beyond Factual Queries: A Novel Predictive Retrieval-Augmented Generation
Debo Cheng, Jianfeng Deng, Qingfe"&amp;"ng Chen, Jinyi Jie and
Jiangzhang Gan
Generalized Incremental Learning under Concept Drift across Evolving Data Streams
En Yu, Jie Lu and Guangquan Zhang
")</f>
        <v>Lifting Manifolds to Mitigate Pseudo-Alignment in LLM4TS
Liangwei Nathan Zheng, Wenhao Liang, Wei Emma Zhang, Miao
Xu, Olaf Maennel and Weitong Chen
MePe: Rethinking Multimodal Chinese Idiom Reading Comprehension from a Metaphorical Perspective
Tongguan Wang, Junkai Li, Feiyue Xue, Hui Liu, Dongyu Su,
Wangjun Huang and Ying Sha
PLIKD: Prompt Learning with Instance-aware Knowledge Distillation for Web-scale Semantic Image Classification
Jianye Xie, Chunhua Hu, Lianyong Qi, Fan Wang, Xiaolong Xu,
Haolong Xiang, Xuyun Zhang, Shichao Pei, Amin Beheshti,
Wanchun Dou and Xiaokang Zhou
Neuro-Sym Supporter: A Thoughtful Emotion Support Agent Integrating Neural and Symbolic Policy Learning
Minghui Ma, Bin Guo, Mengqi Chen, Jingqi Liu, Yasan Ding,
Yan Liu and Han Wang
LoSemB: Logic-Guided Semantic Bridging for Inductive Tool Retrieval
Luyao Zhuang, Qinggang Zhang, Huachi Zhou, Yujing Zhang and
Xiao Huang
Beyond Factual Queries: A Novel Predictive Retrieval-Augmented Generation
Debo Cheng, Jianfeng Deng, Qingfeng Chen, Jinyi Jie and
Jiangzhang Gan
Generalized Incremental Learning under Concept Drift across Evolving Data Streams
En Yu, Jie Lu and Guangquan Zhang
</v>
      </c>
      <c r="H35" s="20" t="str">
        <f>IFERROR(__xludf.DUMMYFUNCTION("TEXTJOIN(CHAR(10), TRUE,FILTER('Research assignment'!$D:$D,'Research assignment'!$G:$G=H34))"),"Red-Teaming Privacy-Protective Perturbations: Blind Face Restoration as an Attack Strategy
Zelin Li, Yifan Liu, Huimin Zeng, Yaokun Liu, Ruichen Yao,
Yang Zhang and Dong Wang
LLMQuA: Practical Backdoor Injection on Large Language Model Quantization
Xiang"&amp;"xiang Chen, Peixin Zhang, Jun Sun, Jin Song Dong,
Wenhai Wang and Jingyi Wang
Unveiling the Vulnerability of Graph-LLMs: An Interpretable Multi-Dimensional Adversarial Attack on TAGs
Bowen Fan, Zhilin Guo, Xunkai Li, Yihan Zhou, Bing Zhou,
Zhenjun Li, Ro"&amp;"ng-Hua Li and Guoren Wang
Robust LLM-Based Website Fingerprinting under Dynamic Real-World Conditions
Xiyuan Zhao, Xinhao Deng, Tianyu Cui, Yixiang Zhang, Ke Xu
and Qi Li
Breaking Cross-modal Alignment in Embodied Intelligence: A Multimodal Adversarial "&amp;"Attack Framework for Vision-Language-Action Models
Zhihui Zhao, Xiaorong Dong, Yaowen Zheng, Xiaohui Chen,
Yimo Ren, Hangbei Cheng, Yongle Chen and Limin Sun
TGweaver: Synthesizing Transaction Graphs for De-anonymization Analysis
Fajie Wu, Jiajing Wu, Zh"&amp;"iying Wu, Jun Chen, Tao Wang,
Longjian He, Bowen Song and Weiqiang Wang
Towards Practical LLM Unlearning: Efficient, Modular, and Retain-Free
Peng Liu, Peng-Fei Zhang, Jianfeng Qu, Ximing Li, Zhixu Li
and Pengpeng Zhao
The Promise vs. Reality of NFT Dec"&amp;"entralization: An Empirical Study of Storage Strategies and Defects
Yufang Wu, Siwen Chen, Chao Li, Yuan Weng and Wei Wang
PWAVEP: Purifying Imperceptible Adversarial Perturbations in 3D Point Clouds via Spectral Graph Wavelets
Li Haoran, Renyang Liu, Ho"&amp;"ngjia Liu, Chen Wang, Long Yin
and Jian Xu
Zelda: Feedback-driven Closed-box Fuzzing for Identifying Web Application Vulnerabilities
Soyoung Lee, Sunnyeo Park, Yonghwi Kwon and Sooel Son
")</f>
        <v>Red-Teaming Privacy-Protective Perturbations: Blind Face Restoration as an Attack Strategy
Zelin Li, Yifan Liu, Huimin Zeng, Yaokun Liu, Ruichen Yao,
Yang Zhang and Dong Wang
LLMQuA: Practical Backdoor Injection on Large Language Model Quantization
Xiangxiang Chen, Peixin Zhang, Jun Sun, Jin Song Dong,
Wenhai Wang and Jingyi Wang
Unveiling the Vulnerability of Graph-LLMs: An Interpretable Multi-Dimensional Adversarial Attack on TAGs
Bowen Fan, Zhilin Guo, Xunkai Li, Yihan Zhou, Bing Zhou,
Zhenjun Li, Rong-Hua Li and Guoren Wang
Robust LLM-Based Website Fingerprinting under Dynamic Real-World Conditions
Xiyuan Zhao, Xinhao Deng, Tianyu Cui, Yixiang Zhang, Ke Xu
and Qi Li
Breaking Cross-modal Alignment in Embodied Intelligence: A Multimodal Adversarial Attack Framework for Vision-Language-Action Models
Zhihui Zhao, Xiaorong Dong, Yaowen Zheng, Xiaohui Chen,
Yimo Ren, Hangbei Cheng, Yongle Chen and Limin Sun
TGweaver: Synthesizing Transaction Graphs for De-anonymization Analysis
Fajie Wu, Jiajing Wu, Zhiying Wu, Jun Chen, Tao Wang,
Longjian He, Bowen Song and Weiqiang Wang
Towards Practical LLM Unlearning: Efficient, Modular, and Retain-Free
Peng Liu, Peng-Fei Zhang, Jianfeng Qu, Ximing Li, Zhixu Li
and Pengpeng Zhao
The Promise vs. Reality of NFT Decentralization: An Empirical Study of Storage Strategies and Defects
Yufang Wu, Siwen Chen, Chao Li, Yuan Weng and Wei Wang
PWAVEP: Purifying Imperceptible Adversarial Perturbations in 3D Point Clouds via Spectral Graph Wavelets
Li Haoran, Renyang Liu, Hongjia Liu, Chen Wang, Long Yin
and Jian Xu
Zelda: Feedback-driven Closed-box Fuzzing for Identifying Web Application Vulnerabilities
Soyoung Lee, Sunnyeo Park, Yonghwi Kwon and Sooel Son
</v>
      </c>
      <c r="I35" s="20" t="str">
        <f>IFERROR(__xludf.DUMMYFUNCTION("TEXTJOIN(CHAR(10), TRUE,FILTER('Research assignment'!$D:$D,'Research assignment'!$G:$G=I34))"),"Social Event Prediction via Fourier Graph Learning
Mingjie Qiu, Zhiyi Tan and Bing-Kun Bao
FS_GPlib: Breaking the Web-Scale Barrier — A Unified Acceleration Framework for Graph Propagation Models
Chang Guo, Juyuan Zhang, Chang Su, Tianlong Fan and Linyua"&amp;"n
Lü
Source Localization in Continuous-Time Propagation via Spectral ODE Modeling
Dongpeng Hou, Yuchen Wang, Giulio Cimini, Roberto Benzi,
Huixiang Zhang, Zhen Wang and Chao Gao
TFWaveFormer: Temporal-Frequency Collaborative Multi-level Wavelet Transfor"&amp;"mer for Dynamic Link Prediction
Hantong Feng, Yonggang Wu, Duxin Chen and Wenwu Yu
CIFAD: Causal-Invariant Subspace Learning for Few-Shot Anomaly Detection on Dynamic Relational Graphs
Xiao Yu, Haolong Xiang, Xiaolong Xu, Qi Lianyong, Zhang
Xuyun, Fan We"&amp;"i and Dou Wanchun
Fair k-Center Clustering on Massive Social Network Data Streams
Longkun Guo, Chaoqi Jia and Chao Chen
")</f>
        <v>Social Event Prediction via Fourier Graph Learning
Mingjie Qiu, Zhiyi Tan and Bing-Kun Bao
FS_GPlib: Breaking the Web-Scale Barrier — A Unified Acceleration Framework for Graph Propagation Models
Chang Guo, Juyuan Zhang, Chang Su, Tianlong Fan and Linyuan
Lü
Source Localization in Continuous-Time Propagation via Spectral ODE Modeling
Dongpeng Hou, Yuchen Wang, Giulio Cimini, Roberto Benzi,
Huixiang Zhang, Zhen Wang and Chao Gao
TFWaveFormer: Temporal-Frequency Collaborative Multi-level Wavelet Transformer for Dynamic Link Prediction
Hantong Feng, Yonggang Wu, Duxin Chen and Wenwu Yu
CIFAD: Causal-Invariant Subspace Learning for Few-Shot Anomaly Detection on Dynamic Relational Graphs
Xiao Yu, Haolong Xiang, Xiaolong Xu, Qi Lianyong, Zhang
Xuyun, Fan Wei and Dou Wanchun
Fair k-Center Clustering on Massive Social Network Data Streams
Longkun Guo, Chaoqi Jia and Chao Chen
</v>
      </c>
      <c r="J35" s="20" t="str">
        <f>IFERROR(__xludf.DUMMYFUNCTION("TEXTJOIN(CHAR(10), TRUE,FILTER('Research assignment'!$D:$D,'Research assignment'!$G:$G=J34))"),"TraceLLM: Evaluating and Exploring Large Language Models on Trace Analysis in Microservice-based Web Applications
Tong Zhou, Xin Peng, Jie Zhang, Chaofeng Sha, Chenxi Zhang,
Zicheng Yuan and Senyu Xie
Broken Promise: Differential Analysis of Functional D"&amp;"iscrepancies Between WebAssembly and Native Binaries
Xiao Wu, Alan Romano, Liyan Huang, Qiwen Yan, Cai Fu and
Weihang Wang
Self-Speculative Decoding for On-device MoE Acceleration
Peirong Zheng, Wenchao Xu and Haozhao Wang
HeteroSim: Towards High-Fideli"&amp;"ty Heterogeneous LLM Training Simulation on GPUs
Xiaofei Yue, Fangming Zhao, Fulun Ye, Jiongchi Yu, Zhaoxuan
Li, Tingting Li, Ziming Zhao and Jianwei Yin
Curiosity Driven Knowledge Retrieval for Mobile Agents
Sijia Li, Xiaoyu Tan, Shahir Ali, Niels Schmi"&amp;"dt, Gengchen
Ma and Xihe Qiu
Prototype Augmentation-based Edge-end Heterogeneous Collaborative Learning
Enze Yu, Penghuan Cheng, Haipeng Dai, Haihan Zhang, Sujin
Hou, Meng Li, Zhenzhe Zheng, Qiang He and Guihai Chen
Octopus: Vehicle-to-Road Collaborativ"&amp;"e Perception for Autonomous Driving with Closed-Loop Fusion
Ruikun Luo, Jiadong Zhao, Peize Su, Jieming Yang, Jing
Yang, Yuan Gao, Minhui Xue and Xiaoyu Xia
")</f>
        <v>TraceLLM: Evaluating and Exploring Large Language Models on Trace Analysis in Microservice-based Web Applications
Tong Zhou, Xin Peng, Jie Zhang, Chaofeng Sha, Chenxi Zhang,
Zicheng Yuan and Senyu Xie
Broken Promise: Differential Analysis of Functional Discrepancies Between WebAssembly and Native Binaries
Xiao Wu, Alan Romano, Liyan Huang, Qiwen Yan, Cai Fu and
Weihang Wang
Self-Speculative Decoding for On-device MoE Acceleration
Peirong Zheng, Wenchao Xu and Haozhao Wang
HeteroSim: Towards High-Fidelity Heterogeneous LLM Training Simulation on GPUs
Xiaofei Yue, Fangming Zhao, Fulun Ye, Jiongchi Yu, Zhaoxuan
Li, Tingting Li, Ziming Zhao and Jianwei Yin
Curiosity Driven Knowledge Retrieval for Mobile Agents
Sijia Li, Xiaoyu Tan, Shahir Ali, Niels Schmidt, Gengchen
Ma and Xihe Qiu
Prototype Augmentation-based Edge-end Heterogeneous Collaborative Learning
Enze Yu, Penghuan Cheng, Haipeng Dai, Haihan Zhang, Sujin
Hou, Meng Li, Zhenzhe Zheng, Qiang He and Guihai Chen
Octopus: Vehicle-to-Road Collaborative Perception for Autonomous Driving with Closed-Loop Fusion
Ruikun Luo, Jiadong Zhao, Peize Su, Jieming Yang, Jing
Yang, Yuan Gao, Minhui Xue and Xiaoyu Xia
</v>
      </c>
      <c r="K35" s="20" t="str">
        <f>IFERROR(__xludf.DUMMYFUNCTION("TEXTJOIN(CHAR(10), TRUE,FILTER('Research assignment'!$D:$D,'Research assignment'!$G:$G=K34))"),"Optimizing Multi-Turn Interactive Recommendation Agents via Generative Intrinsic Motivation
Xueyang Feng, Jiakai Tang, Xu Chen, Quanyu Dai and Zhenhua
Dong
Unveiling and Simulating Short-Video Addiction Behaviors via Economic Addiction Theory
Chen Xu, Zh"&amp;"ipeng Yi, Ruizi Wang, Wenjie Wang, Jun Xu and
Maarten de Rijke
PRISM: Personalized Recommendation via Information Synergy Module
Yutong Li, Xinyi Zhang, Peijie Sun, Letian Sha and
Zhongxuan Han
Learning on Adaptive Manifolds for Graph Collaborative Filt"&amp;"ering
Guangzhi Qi, Guojun Liu and Qi Zhou
Room Matters: Dynamic Room-level Collaboration Information Modeling for Live Streaming Recommendation
Ke Guo, Changle Qu, Xiao Zhang, Liqin Zhao, Shijun Wang,
Yanan Niu and Jun Xu
ONE-PASS: Single Forward Pass D"&amp;"ecoding for Listwise Reranking
Yingpeng Du, Zhu Sun, Tianjun Wei and Jie Zhang
Personalized Learning Path Planning through Goal-Driven Learner State Modeling
Joy Jia Yin Lim, Ye He, Jifan Yu, Xin Cong, Daniel
Zhang-Li, Zhiyuan Liu, Huiqin Liu, Lei Hou, J"&amp;"uanzi Li and
Bin Xu
Bridging Time and Domains: A Time-aware Framework for Cross-Domain Sequential Recommendation
Zemu Liu, Zhida Qin, Pengzhan Zhou, Tianyu Huang and Gangyi
Ding
CC-OR-Net: A Unified Framework for LTV Prediction through Structural Decoup"&amp;"ling
Mingyu Zhao, Haoran Bai, Yu Tian, Bing Zhu and Hengliang Luo
KE-FedRS: Tackling Data Sparsity in Federated Recommendation via Knowledge Enhancement
Jiayu Bao, Hongjian Shi, Guanyu Zhang, Rui Zhou, Haozhao
Wang and Yuan Liu
Long Story Short: Auditin"&amp;"g U.S. Political Polarization in Recommendations for Long- vs. Short-form Videos on YouTube
Shaokang Jiang, Arshia Arya, Seoyoung Kweon, Ivan Liang,
Deepak Kumar and Kristen Vaccaro
")</f>
        <v>Optimizing Multi-Turn Interactive Recommendation Agents via Generative Intrinsic Motivation
Xueyang Feng, Jiakai Tang, Xu Chen, Quanyu Dai and Zhenhua
Dong
Unveiling and Simulating Short-Video Addiction Behaviors via Economic Addiction Theory
Chen Xu, Zhipeng Yi, Ruizi Wang, Wenjie Wang, Jun Xu and
Maarten de Rijke
PRISM: Personalized Recommendation via Information Synergy Module
Yutong Li, Xinyi Zhang, Peijie Sun, Letian Sha and
Zhongxuan Han
Learning on Adaptive Manifolds for Graph Collaborative Filtering
Guangzhi Qi, Guojun Liu and Qi Zhou
Room Matters: Dynamic Room-level Collaboration Information Modeling for Live Streaming Recommendation
Ke Guo, Changle Qu, Xiao Zhang, Liqin Zhao, Shijun Wang,
Yanan Niu and Jun Xu
ONE-PASS: Single Forward Pass Decoding for Listwise Reranking
Yingpeng Du, Zhu Sun, Tianjun Wei and Jie Zhang
Personalized Learning Path Planning through Goal-Driven Learner State Modeling
Joy Jia Yin Lim, Ye He, Jifan Yu, Xin Cong, Daniel
Zhang-Li, Zhiyuan Liu, Huiqin Liu, Lei Hou, Juanzi Li and
Bin Xu
Bridging Time and Domains: A Time-aware Framework for Cross-Domain Sequential Recommendation
Zemu Liu, Zhida Qin, Pengzhan Zhou, Tianyu Huang and Gangyi
Ding
CC-OR-Net: A Unified Framework for LTV Prediction through Structural Decoupling
Mingyu Zhao, Haoran Bai, Yu Tian, Bing Zhu and Hengliang Luo
KE-FedRS: Tackling Data Sparsity in Federated Recommendation via Knowledge Enhancement
Jiayu Bao, Hongjian Shi, Guanyu Zhang, Rui Zhou, Haozhao
Wang and Yuan Liu
Long Story Short: Auditing U.S. Political Polarization in Recommendations for Long- vs. Short-form Videos on YouTube
Shaokang Jiang, Arshia Arya, Seoyoung Kweon, Ivan Liang,
Deepak Kumar and Kristen Vaccaro
</v>
      </c>
      <c r="L35" s="20" t="str">
        <f>IFERROR(__xludf.DUMMYFUNCTION("TEXTJOIN(CHAR(10), TRUE,FILTER('Research assignment'!$D:$D,'Research assignment'!$G:$G=L34))"),"Thinking Bidirectionally: A Reasoning and Self-Correction Approach for Text-Based Event Prediction with Large Language Models
Liwei Qian, Hang Zhang, Yiheng Wu, Yanmin Li, Mengna Zhu,
Lihua Liu and Jibing Wu
Hyperbolic Multimodal Generative Representatio"&amp;"n Learning for Generalized Zero-Shot Multimodal Information Extraction
Baohang Zhou, Kehui Song, Rize Jin, Yu Zhao, Xuhui Sui,
Xinying Qian, Xingyue Guo and Ying Zhang
MIDE: Multimodal Dialogue Emotion Recognition via Mutual Information Enhancement and D"&amp;"ynamic Modality Selection
Zhibo Zhang, Jianjun Li and Zhiyuan Ma
GFMixer: Decoupled Temporal Gradient and Fourier-Aware Attention for Time Series Forecasting
Lin Zhang, Qing Li and Jingmei Zhao
MIGC-CMamba: Cross-Domain Mamba with Multi-Scale Imaging an"&amp;"d Granular-Ball Computing for Traffic Flow Prediction
Wenxia Chang, Chao Zhang, Wentao Li and Deyu Li
STaR: Towards Effective and Stable Table Reasoning via Slow-Thinking Large Language Models
Huajian Zhang, Mingyue Cheng, Yucong Luo and Xiaoyu Tao
Enha"&amp;"ncing Large Language Models for Time-Series Forecasting via Vector-Injected In-Context Learning
Jianqi Zhang, Jingyao Wang, Wenwen Qiang, Fanjiang Xu and
Changwen Zheng
")</f>
        <v>Thinking Bidirectionally: A Reasoning and Self-Correction Approach for Text-Based Event Prediction with Large Language Models
Liwei Qian, Hang Zhang, Yiheng Wu, Yanmin Li, Mengna Zhu,
Lihua Liu and Jibing Wu
Hyperbolic Multimodal Generative Representation Learning for Generalized Zero-Shot Multimodal Information Extraction
Baohang Zhou, Kehui Song, Rize Jin, Yu Zhao, Xuhui Sui,
Xinying Qian, Xingyue Guo and Ying Zhang
MIDE: Multimodal Dialogue Emotion Recognition via Mutual Information Enhancement and Dynamic Modality Selection
Zhibo Zhang, Jianjun Li and Zhiyuan Ma
GFMixer: Decoupled Temporal Gradient and Fourier-Aware Attention for Time Series Forecasting
Lin Zhang, Qing Li and Jingmei Zhao
MIGC-CMamba: Cross-Domain Mamba with Multi-Scale Imaging and Granular-Ball Computing for Traffic Flow Prediction
Wenxia Chang, Chao Zhang, Wentao Li and Deyu Li
STaR: Towards Effective and Stable Table Reasoning via Slow-Thinking Large Language Models
Huajian Zhang, Mingyue Cheng, Yucong Luo and Xiaoyu Tao
Enhancing Large Language Models for Time-Series Forecasting via Vector-Injected In-Context Learning
Jianqi Zhang, Jingyao Wang, Wenwen Qiang, Fanjiang Xu and
Changwen Zheng
</v>
      </c>
      <c r="M35" s="73" t="str">
        <f>IFERROR(__xludf.DUMMYFUNCTION("TEXTJOIN(CHAR(10), TRUE,FILTER('Industry assignment'!$D:$D,'Industry assignment'!$G:$G=M34))"),"GPU-accelerated Multi-relational Parallel Graph Retrieval for Web-scale Recommendations
Zhuoning Guo, Guangxing Chen, Qian Gao, Xiaochao Liao, Jianjia Zheng, Lu Shen and Hao Liu
Accurate and Efficient Personalized Query Rewriting in Baidu Search
Xu Chu, "&amp;"Angela Li, Jiaming Zhang, Wei Li, Zhijie Tan, Dawei Yin, Shuaiqiang Wang and Daiting Shi
PLUM: Adapting Pre-trained Language Models for Industrial-scale Generative Recommendations
Ruining He, Lukasz Heldt, Lichan Hong, Raghunandan Keshavan, Shifan Mao, N"&amp;"ikhil Mehta, Zhengyang Su, Alicia Tsai, Yueqi Wang, Shao-Chuan Wang, Xinyang Yi, Lexi Baugher, Baykal Cakici, Ed Chi, Cristos Goodrow, Ningren Han, He Ma, Romer Rosales, Abby Van Soest, Devansh Tandon, Su-Lin Wu, Weilong Yang and Yilin Zheng
A Creator-Aw"&amp;"are Recommendation System for Content Platforms
Wenjing Li, Jiang Rong, Yao Hu, Zhenzhe Zheng and Fan Wu
")</f>
        <v>GPU-accelerated Multi-relational Parallel Graph Retrieval for Web-scale Recommendations
Zhuoning Guo, Guangxing Chen, Qian Gao, Xiaochao Liao, Jianjia Zheng, Lu Shen and Hao Liu
Accurate and Efficient Personalized Query Rewriting in Baidu Search
Xu Chu, Angela Li, Jiaming Zhang, Wei Li, Zhijie Tan, Dawei Yin, Shuaiqiang Wang and Daiting Shi
PLUM: Adapting Pre-trained Language Models for Industrial-scale Generative Recommendations
Ruining He, Lukasz Heldt, Lichan Hong, Raghunandan Keshavan, Shifan Mao, Nikhil Mehta, Zhengyang Su, Alicia Tsai, Yueqi Wang, Shao-Chuan Wang, Xinyang Yi, Lexi Baugher, Baykal Cakici, Ed Chi, Cristos Goodrow, Ningren Han, He Ma, Romer Rosales, Abby Van Soest, Devansh Tandon, Su-Lin Wu, Weilong Yang and Yilin Zheng
A Creator-Aware Recommendation System for Content Platforms
Wenjing Li, Jiang Rong, Yao Hu, Zhenzhe Zheng and Fan Wu
</v>
      </c>
      <c r="N35" s="73" t="str">
        <f>IFERROR(__xludf.DUMMYFUNCTION("TEXTJOIN(CHAR(10), TRUE,FILTER('Web4Good assignment'!$D:$D,'Web4Good assignment'!$G:$G=N34))"),"Spiking Graph Predictive Coding for Reliable OOD Generalization
Jing Ren, Jiapeng Du, Bowen Li, Ziqi Xu, Xin Zheng, Hong Jia, Suyu Ma, Xiwei Xu and Feng Xia
Boosting Large Language Models for Mental Manipulation Detection via Data Augmentation and Distil"&amp;"lation
Yuansheng Gao, Peng Gao, Han Bao, Bin Li, Jixiang Luo, Zonghui Wang and Wenzhi Chen
ReRule: Temporal Rule-Augmented Language Modeling for Causal Event Chain Completion
Wei Zhang, Shufeng Hao, Chongyang Shi, Usman Naseem, Jinyan Liu and Ziyu Li
In"&amp;"dicAG: An Explainable Agentic Framework for Indic-Multilingual Multidimensional Aggression Detection
Swapnil Mane, Rajesh Sharma and Suman Kundu
GRAND: A Robust Diffusion Framework for Multi-Granularity Graph Anomaly Detection in Web Platforms
Maolin Wan"&amp;"g, Beining Bao, Hongyu Chen, Zichun Liu, Lang Fu, Jun Chu, Langzhang Liang and Zenglin Xu
Accurate Trajectory Recovery in Underserved Areas via Location Inference from Web Crowdsourced Data
Tangwei Ye, Liang Hu, Zhongyuan Lai, Qi Zhang, Yiming Wu, Jiaxin"&amp;"g Miao, Yijun Yang and Kun Yi
Modeling Multimodal Information Cascade on Social Media with Interpretable Mixture of Experts
Xin Jing, Zeyu Shi, Zhangtao Cheng, Yichen Jing, Yuhuan Lu, Bangchao Deng and Dingqi Yang
TheraMind: A Strategic and Adaptive Age"&amp;"nt for Longitudinal Psychological Counseling
He Hu, Chiyuan Ma, Qianning Wang, Liu Lin, Yucheng Zhou, Laizhong Cui, Fei Ma and Qi Tian
When Ads Become Profiles: Uncovering the Invisible Risk of Web Advertising at Scale with LLMs
Baiyu Chen, Benjamin Tag,"&amp;" Hao Xue, Daniel Angus and Flora Salim
TravelReasoner: Leveraging Large Reasoning Models to Address Mobility Data Gap
Peijie Liu, Fengli Xu and Yong Li
Longitudinal Trends in Global Climate Change Discourse on Facebook
Md. Rafiul Biswas, Mabrouka Bessgh"&amp;"aier, Shimaa Ibrahim, George Mikros and Wajdi Zaghouani
Bowling with ChatGPT: On the Evolving User Interactions with Conversational AI Systems
Sai Keerthana Karnam, Abhisek Dash, Krishna Gummadi, Animesh Mukherjee, Ingmar Weber and Savvas Zannettou
Invi"&amp;"sible Walls in Cities: Designing LLM Agent to Predict Urban Segregation Experience with Social Media Content
Bingbing Fan, Lin Chen, Songwei Li, Jian Yuan, Fengli Xu, Pan Hui and Yong Li
How Green Is Your Login? A Cross-Protocol Benchmark of Authenticati"&amp;"on Energy &amp; Latency
Weizheng Wang, Qipeng Xie, Shiyu Wang, Qingqing Ye, Kaishun Wu and Haibo Hu
MultiCheck: Strengthening Web Trust with Unified Multimodal Fact Verification
Aditya Kishore, Gaurav Kumar and Jasabanta Patro
")</f>
        <v>Spiking Graph Predictive Coding for Reliable OOD Generalization
Jing Ren, Jiapeng Du, Bowen Li, Ziqi Xu, Xin Zheng, Hong Jia, Suyu Ma, Xiwei Xu and Feng Xia
Boosting Large Language Models for Mental Manipulation Detection via Data Augmentation and Distillation
Yuansheng Gao, Peng Gao, Han Bao, Bin Li, Jixiang Luo, Zonghui Wang and Wenzhi Chen
ReRule: Temporal Rule-Augmented Language Modeling for Causal Event Chain Completion
Wei Zhang, Shufeng Hao, Chongyang Shi, Usman Naseem, Jinyan Liu and Ziyu Li
IndicAG: An Explainable Agentic Framework for Indic-Multilingual Multidimensional Aggression Detection
Swapnil Mane, Rajesh Sharma and Suman Kundu
GRAND: A Robust Diffusion Framework for Multi-Granularity Graph Anomaly Detection in Web Platforms
Maolin Wang, Beining Bao, Hongyu Chen, Zichun Liu, Lang Fu, Jun Chu, Langzhang Liang and Zenglin Xu
Accurate Trajectory Recovery in Underserved Areas via Location Inference from Web Crowdsourced Data
Tangwei Ye, Liang Hu, Zhongyuan Lai, Qi Zhang, Yiming Wu, Jiaxing Miao, Yijun Yang and Kun Yi
Modeling Multimodal Information Cascade on Social Media with Interpretable Mixture of Experts
Xin Jing, Zeyu Shi, Zhangtao Cheng, Yichen Jing, Yuhuan Lu, Bangchao Deng and Dingqi Yang
TheraMind: A Strategic and Adaptive Agent for Longitudinal Psychological Counseling
He Hu, Chiyuan Ma, Qianning Wang, Liu Lin, Yucheng Zhou, Laizhong Cui, Fei Ma and Qi Tian
When Ads Become Profiles: Uncovering the Invisible Risk of Web Advertising at Scale with LLMs
Baiyu Chen, Benjamin Tag, Hao Xue, Daniel Angus and Flora Salim
TravelReasoner: Leveraging Large Reasoning Models to Address Mobility Data Gap
Peijie Liu, Fengli Xu and Yong Li
Longitudinal Trends in Global Climate Change Discourse on Facebook
Md. Rafiul Biswas, Mabrouka Bessghaier, Shimaa Ibrahim, George Mikros and Wajdi Zaghouani
Bowling with ChatGPT: On the Evolving User Interactions with Conversational AI Systems
Sai Keerthana Karnam, Abhisek Dash, Krishna Gummadi, Animesh Mukherjee, Ingmar Weber and Savvas Zannettou
Invisible Walls in Cities: Designing LLM Agent to Predict Urban Segregation Experience with Social Media Content
Bingbing Fan, Lin Chen, Songwei Li, Jian Yuan, Fengli Xu, Pan Hui and Yong Li
How Green Is Your Login? A Cross-Protocol Benchmark of Authentication Energy &amp; Latency
Weizheng Wang, Qipeng Xie, Shiyu Wang, Qingqing Ye, Kaishun Wu and Haibo Hu
MultiCheck: Strengthening Web Trust with Unified Multimodal Fact Verification
Aditya Kishore, Gaurav Kumar and Jasabanta Patro
</v>
      </c>
      <c r="O35" s="36"/>
      <c r="P35" s="5"/>
      <c r="Q35" s="5"/>
      <c r="R35" s="5"/>
      <c r="S35" s="5"/>
      <c r="T35" s="5"/>
      <c r="U35" s="5"/>
      <c r="V35" s="5"/>
      <c r="W35" s="5"/>
      <c r="X35" s="5"/>
      <c r="Y35" s="5"/>
      <c r="Z35" s="5"/>
      <c r="AA35" s="5"/>
    </row>
    <row r="36">
      <c r="A36" s="10">
        <v>46205.0</v>
      </c>
      <c r="B36" s="77"/>
      <c r="C36" s="77"/>
      <c r="D36" s="77"/>
      <c r="E36" s="77"/>
      <c r="F36" s="77"/>
      <c r="G36" s="77"/>
      <c r="H36" s="77"/>
      <c r="I36" s="77"/>
      <c r="J36" s="77"/>
      <c r="K36" s="77"/>
      <c r="L36" s="78"/>
      <c r="M36" s="78"/>
      <c r="N36" s="77"/>
      <c r="O36" s="13"/>
      <c r="P36" s="5"/>
      <c r="Q36" s="5"/>
      <c r="R36" s="5"/>
      <c r="S36" s="5"/>
      <c r="T36" s="5"/>
      <c r="U36" s="5"/>
      <c r="V36" s="5"/>
      <c r="W36" s="5"/>
      <c r="X36" s="5"/>
      <c r="Y36" s="5"/>
      <c r="Z36" s="5"/>
      <c r="AA36" s="5"/>
    </row>
    <row r="37">
      <c r="A37" s="79" t="s">
        <v>122</v>
      </c>
      <c r="B37" s="80" t="s">
        <v>123</v>
      </c>
      <c r="O37" s="54"/>
      <c r="P37" s="20"/>
      <c r="Q37" s="20"/>
      <c r="R37" s="20"/>
      <c r="S37" s="20"/>
      <c r="T37" s="5"/>
      <c r="U37" s="5"/>
      <c r="V37" s="5"/>
      <c r="W37" s="5"/>
      <c r="X37" s="5"/>
      <c r="Y37" s="5"/>
      <c r="Z37" s="5"/>
      <c r="AA37" s="5"/>
    </row>
    <row r="38">
      <c r="A38" s="81" t="s">
        <v>124</v>
      </c>
      <c r="B38" s="27" t="s">
        <v>31</v>
      </c>
      <c r="O38" s="74"/>
      <c r="P38" s="59"/>
      <c r="Q38" s="59"/>
      <c r="R38" s="59"/>
      <c r="S38" s="59"/>
      <c r="T38" s="5"/>
      <c r="U38" s="5"/>
      <c r="V38" s="5"/>
      <c r="W38" s="5"/>
      <c r="X38" s="5"/>
      <c r="Y38" s="5"/>
      <c r="Z38" s="5"/>
      <c r="AA38" s="5"/>
    </row>
    <row r="39">
      <c r="A39" s="47" t="s">
        <v>125</v>
      </c>
      <c r="B39" s="82" t="s">
        <v>126</v>
      </c>
      <c r="C39" s="83" t="s">
        <v>127</v>
      </c>
      <c r="D39" s="83" t="s">
        <v>128</v>
      </c>
      <c r="E39" s="82" t="s">
        <v>129</v>
      </c>
      <c r="F39" s="82" t="s">
        <v>130</v>
      </c>
      <c r="G39" s="82" t="s">
        <v>131</v>
      </c>
      <c r="H39" s="82" t="s">
        <v>132</v>
      </c>
      <c r="I39" s="82" t="s">
        <v>133</v>
      </c>
      <c r="J39" s="82" t="s">
        <v>134</v>
      </c>
      <c r="K39" s="82" t="s">
        <v>135</v>
      </c>
      <c r="L39" s="84" t="s">
        <v>136</v>
      </c>
      <c r="M39" s="84" t="s">
        <v>137</v>
      </c>
      <c r="N39" s="83" t="s">
        <v>138</v>
      </c>
      <c r="O39" s="20"/>
      <c r="P39" s="20"/>
      <c r="Q39" s="20"/>
      <c r="R39" s="20"/>
      <c r="S39" s="20"/>
      <c r="T39" s="5"/>
      <c r="U39" s="5"/>
      <c r="V39" s="5"/>
      <c r="W39" s="5"/>
      <c r="X39" s="5"/>
      <c r="Y39" s="5"/>
      <c r="Z39" s="5"/>
      <c r="AA39" s="5"/>
    </row>
    <row r="40" ht="33.0" customHeight="1" collapsed="1">
      <c r="A40" s="85"/>
      <c r="B40" s="86" t="str">
        <f>IFERROR(__xludf.DUMMYFUNCTION("TEXTJOIN(CHAR(10), TRUE,FILTER('Sessions Counts'!$B:$B,'Sessions Counts'!$A:$A=B39))"),"Economics of Generative AI")</f>
        <v>Economics of Generative AI</v>
      </c>
      <c r="C40" s="86" t="str">
        <f>IFERROR(__xludf.DUMMYFUNCTION("TEXTJOIN(CHAR(10), TRUE,FILTER('Sessions Counts'!$B:$B,'Sessions Counts'!$A:$A=C39))"),"Graph Neural Networks 1")</f>
        <v>Graph Neural Networks 1</v>
      </c>
      <c r="D40" s="86" t="str">
        <f>IFERROR(__xludf.DUMMYFUNCTION("TEXTJOIN(CHAR(10), TRUE,FILTER('Sessions Counts'!$B:$B,'Sessions Counts'!$A:$A=D39))"),"Graph Foundation Models 2")</f>
        <v>Graph Foundation Models 2</v>
      </c>
      <c r="E40" s="86" t="str">
        <f>IFERROR(__xludf.DUMMYFUNCTION("TEXTJOIN(CHAR(10), TRUE,FILTER('Sessions Counts'!$B:$B,'Sessions Counts'!$A:$A=E39))"),"Question Answering &amp; Knowledge Graphs")</f>
        <v>Question Answering &amp; Knowledge Graphs</v>
      </c>
      <c r="F40" s="86" t="str">
        <f>IFERROR(__xludf.DUMMYFUNCTION("TEXTJOIN(CHAR(10), TRUE,FILTER('Sessions Counts'!$B:$B,'Sessions Counts'!$A:$A=F39))"),"Multimodal Knowledge Graphs")</f>
        <v>Multimodal Knowledge Graphs</v>
      </c>
      <c r="G40" s="86" t="str">
        <f>IFERROR(__xludf.DUMMYFUNCTION("TEXTJOIN(CHAR(10), TRUE,FILTER('Sessions Counts'!$B:$B,'Sessions Counts'!$A:$A=G39))"),"Trust, Safety, and Content Moderation")</f>
        <v>Trust, Safety, and Content Moderation</v>
      </c>
      <c r="H40" s="86" t="str">
        <f>IFERROR(__xludf.DUMMYFUNCTION("TEXTJOIN(CHAR(10), TRUE,FILTER('Sessions Counts'!$B:$B,'Sessions Counts'!$A:$A=H39))"),"Cloud–Edge AI Systems")</f>
        <v>Cloud–Edge AI Systems</v>
      </c>
      <c r="I40" s="86" t="str">
        <f>IFERROR(__xludf.DUMMYFUNCTION("TEXTJOIN(CHAR(10), TRUE,FILTER('Sessions Counts'!$B:$B,'Sessions Counts'!$A:$A=I39))"),"Security &amp; Privacy for LLM I")</f>
        <v>Security &amp; Privacy for LLM I</v>
      </c>
      <c r="J40" s="86" t="str">
        <f>IFERROR(__xludf.DUMMYFUNCTION("TEXTJOIN(CHAR(10), TRUE,FILTER('Sessions Counts'!$B:$B,'Sessions Counts'!$A:$A=J39))"),"Misinformation, Content Authenticity, and Social Mining")</f>
        <v>Misinformation, Content Authenticity, and Social Mining</v>
      </c>
      <c r="K40" s="86" t="str">
        <f>IFERROR(__xludf.DUMMYFUNCTION("TEXTJOIN(CHAR(10), TRUE,FILTER('Sessions Counts'!$B:$B,'Sessions Counts'!$A:$A=K39))"),"Graph-Based Collaborative Filtering")</f>
        <v>Graph-Based Collaborative Filtering</v>
      </c>
      <c r="L40" s="87" t="str">
        <f>IFERROR(__xludf.DUMMYFUNCTION("TEXTJOIN(CHAR(10), TRUE,FILTER('Industry assignment'!$B:$B,'Industry assignment'!$A:$A=L39))"),"LLM Efficiency, Reasoning &amp; System Logs")</f>
        <v>LLM Efficiency, Reasoning &amp; System Logs</v>
      </c>
      <c r="M40" s="86" t="str">
        <f>IFERROR(__xludf.DUMMYFUNCTION("TEXTJOIN(CHAR(10), TRUE,FILTER('Sessions Counts'!$B:$B,'Sessions Counts'!$A:$A=M39))"),"Logistics, Travel &amp; Geospatial Services")</f>
        <v>Logistics, Travel &amp; Geospatial Services</v>
      </c>
      <c r="N40" s="88" t="str">
        <f>IFERROR(__xludf.DUMMYFUNCTION("TEXTJOIN(CHAR(10), TRUE,FILTER('Sessions Counts'!$B:$B,'Sessions Counts'!$A:$A=N39))"),"Trustworthy, Fair &amp; Safe Web AI")</f>
        <v>Trustworthy, Fair &amp; Safe Web AI</v>
      </c>
      <c r="O40" s="89"/>
      <c r="P40" s="89"/>
      <c r="Q40" s="89"/>
      <c r="R40" s="89"/>
      <c r="S40" s="89"/>
      <c r="T40" s="66"/>
      <c r="U40" s="66"/>
      <c r="V40" s="66"/>
      <c r="W40" s="66"/>
      <c r="X40" s="66"/>
      <c r="Y40" s="66"/>
      <c r="Z40" s="66"/>
      <c r="AA40" s="66"/>
    </row>
    <row r="41" hidden="1" outlineLevel="1">
      <c r="A41" s="47"/>
      <c r="B41" s="18" t="str">
        <f>IFERROR(__xludf.DUMMYFUNCTION("TEXTJOIN(CHAR(10), TRUE,FILTER('Research assignment'!$D:$D,'Research assignment'!$F:$F=B39))"),"PMIScore: An Unsupervised Approach to Quantify Dialogue Engagement
Yongkang Guo, Yuqing Kong and Zhihuan Huang
Strategic Content Creation with GenAI: To Share or Not to Share?
Gur Keinan and Omer Ben-Porat
Pay for The Second-Best Service: A Game-Theoret"&amp;"ic Approach against Dishonest LLM Providers
Yuhan Cao, Yu Wang, Sitong Liu, Miao Li, Yixin Tao and
Tianxing He
Position Auctions in AI-Generated Content
Santiago Balseiro, Kshipra Bhawalkar, Yuan Deng, Zhe Feng,
Jieming Mao, Aranyak Mehta, Vahab Mirrokni"&amp;", Renato Paes
Leme, Di Wang and Song Zuo
How to Strategize Human Content Creation in the Era of GenAI?
Seyed Esmaeili, Kevin Lim, Kshipra Bhawalkar, Zhe Feng, Di
Wang and Haifeng Xu
")</f>
        <v>PMIScore: An Unsupervised Approach to Quantify Dialogue Engagement
Yongkang Guo, Yuqing Kong and Zhihuan Huang
Strategic Content Creation with GenAI: To Share or Not to Share?
Gur Keinan and Omer Ben-Porat
Pay for The Second-Best Service: A Game-Theoretic Approach against Dishonest LLM Providers
Yuhan Cao, Yu Wang, Sitong Liu, Miao Li, Yixin Tao and
Tianxing He
Position Auctions in AI-Generated Content
Santiago Balseiro, Kshipra Bhawalkar, Yuan Deng, Zhe Feng,
Jieming Mao, Aranyak Mehta, Vahab Mirrokni, Renato Paes
Leme, Di Wang and Song Zuo
How to Strategize Human Content Creation in the Era of GenAI?
Seyed Esmaeili, Kevin Lim, Kshipra Bhawalkar, Zhe Feng, Di
Wang and Haifeng Xu
</v>
      </c>
      <c r="C41" s="18" t="str">
        <f>IFERROR(__xludf.DUMMYFUNCTION("TEXTJOIN(CHAR(10), TRUE,FILTER('Research assignment'!$D:$D,'Research assignment'!$F:$F=C39))"),"Heterophily-Agnostic Hypergraph Neural Networks with Riemannian Local Exchanger
Li Sun, Ming Zhang, Wenxin Jin, Zhongtian Sun, Zhenhao
Huang, Hao Peng, Sen Su and Philip Yu
IVQ-GNN: Mitigating Performance Gaps from Graph Connection Pattern Inconsistency "&amp;"via Vector Quantization
Di Jin, Yixuan Du, Cuiying Huo, Xiaotong Huang, Ruqiong
Zhang, Xiaobao Wang and Yawen Li
Frequency-Corrupt Based Graph Self-Supervised Learning
Haojie Li, Mengjiao Zhang, Guanfeng Liu, Qiang Hu, Yan Wang
and Junwei Du
Discrete Di"&amp;"ffusion-Based Model-Level Explanation of Heterogeneous GNNs with Node Features
Pallabee Das and Stefan Heindorf
SliceGX: Layer-wise GNN Explanation with Model-slicing
Cibo Yu, Tingting Zhu, Tingyang Chen, Yinghui Wu, Arijit
Khan and Xiangyu Ke
")</f>
        <v>Heterophily-Agnostic Hypergraph Neural Networks with Riemannian Local Exchanger
Li Sun, Ming Zhang, Wenxin Jin, Zhongtian Sun, Zhenhao
Huang, Hao Peng, Sen Su and Philip Yu
IVQ-GNN: Mitigating Performance Gaps from Graph Connection Pattern Inconsistency via Vector Quantization
Di Jin, Yixuan Du, Cuiying Huo, Xiaotong Huang, Ruqiong
Zhang, Xiaobao Wang and Yawen Li
Frequency-Corrupt Based Graph Self-Supervised Learning
Haojie Li, Mengjiao Zhang, Guanfeng Liu, Qiang Hu, Yan Wang
and Junwei Du
Discrete Diffusion-Based Model-Level Explanation of Heterogeneous GNNs with Node Features
Pallabee Das and Stefan Heindorf
SliceGX: Layer-wise GNN Explanation with Model-slicing
Cibo Yu, Tingting Zhu, Tingyang Chen, Yinghui Wu, Arijit
Khan and Xiangyu Ke
</v>
      </c>
      <c r="D41" s="18" t="str">
        <f>IFERROR(__xludf.DUMMYFUNCTION("TEXTJOIN(CHAR(10), TRUE,FILTER('Research assignment'!$D:$D,'Research assignment'!$F:$F=D39))"),"Toward Graph-Tokenizing Large Language Models with Reconstructive Graph Instruction Tuning
Zhongjian Zhang, Xiao Wang, Mengmei Zhang, Jiarui Tan and
Chuan Shi
Beyond Single-Granularity Prompts: A Multi-Scale Chain-of-Thought Prompt Learning for Graph
Ziy"&amp;"u Zheng, Yaming Yang, Ziyu Guan, Wei Zhao, Xinyan Huang
and Weigang Lu
Riemannian Graph Tokenizer for Structural Knowledge Transfer
Qimin Zhou, Haibo Liu, Yujie Wang, Li Sun and Chuan Shi
LEDA: Latent Semantic Distribution Alignment for Multi-domain Gra"&amp;"ph Pre-training
Lianze Shan, Jitao Zhao, Dongxiao He, Siqi Liu, Jiaxu Cui
and Weixiong Zhang
Towards A Universal Graph Structural Encoder
Jialin Chen, Haolan Zuo, Haoyu Wang, Siqi Miao, Pan Li and
Rex Ying
")</f>
        <v>Toward Graph-Tokenizing Large Language Models with Reconstructive Graph Instruction Tuning
Zhongjian Zhang, Xiao Wang, Mengmei Zhang, Jiarui Tan and
Chuan Shi
Beyond Single-Granularity Prompts: A Multi-Scale Chain-of-Thought Prompt Learning for Graph
Ziyu Zheng, Yaming Yang, Ziyu Guan, Wei Zhao, Xinyan Huang
and Weigang Lu
Riemannian Graph Tokenizer for Structural Knowledge Transfer
Qimin Zhou, Haibo Liu, Yujie Wang, Li Sun and Chuan Shi
LEDA: Latent Semantic Distribution Alignment for Multi-domain Graph Pre-training
Lianze Shan, Jitao Zhao, Dongxiao He, Siqi Liu, Jiaxu Cui
and Weixiong Zhang
Towards A Universal Graph Structural Encoder
Jialin Chen, Haolan Zuo, Haoyu Wang, Siqi Miao, Pan Li and
Rex Ying
</v>
      </c>
      <c r="E41" s="18" t="str">
        <f>IFERROR(__xludf.DUMMYFUNCTION("TEXTJOIN(CHAR(10), TRUE,FILTER('Research assignment'!$D:$D,'Research assignment'!$F:$F=E39))"),"CompactRAG: Reducing LLM Calls and Token Overhead in Multi-Hop Question Answering
Hao Yang, Zhiyu Yang, Xvpeng Zhang, Wei Wei, Yunjie Zhang
and Lin Yang
KEPo: Knowledge Evolution Poison on Graph-based Retrieval-Augmented Generation
Qizhi Chen, Chao Qi, Y"&amp;"ihong Huang, Muquan Li, Rongzheng
Wang, Dongyang Zhang, Ke Qin and Shuang Liang
Inferential Question Answering
Jamshid Mozafari, Hamed Zamani, Guido Zuccon and Adam Jatowt
RPO-RAG: Aligning Small LLMs with Relation-aware Preference Optimization for Know"&amp;"ledge Graph Question Answering
Kaehyun Um, Kyuhwan Yeom, Haerim Yang, Minyoung Choi,
Hyeongjun Yang and Kyong-Ho Lee
")</f>
        <v>CompactRAG: Reducing LLM Calls and Token Overhead in Multi-Hop Question Answering
Hao Yang, Zhiyu Yang, Xvpeng Zhang, Wei Wei, Yunjie Zhang
and Lin Yang
KEPo: Knowledge Evolution Poison on Graph-based Retrieval-Augmented Generation
Qizhi Chen, Chao Qi, Yihong Huang, Muquan Li, Rongzheng
Wang, Dongyang Zhang, Ke Qin and Shuang Liang
Inferential Question Answering
Jamshid Mozafari, Hamed Zamani, Guido Zuccon and Adam Jatowt
RPO-RAG: Aligning Small LLMs with Relation-aware Preference Optimization for Knowledge Graph Question Answering
Kaehyun Um, Kyuhwan Yeom, Haerim Yang, Minyoung Choi,
Hyeongjun Yang and Kyong-Ho Lee
</v>
      </c>
      <c r="F41" s="18" t="str">
        <f>IFERROR(__xludf.DUMMYFUNCTION("TEXTJOIN(CHAR(10), TRUE,FILTER('Research assignment'!$D:$D,'Research assignment'!$F:$F=F39))"),"Multi-Granularity Multi-Modal Knowledge Graph Representation Learning via Subgraph-Aware Adaptive Fusion and Hierarchical Relation Modeling
Peining Li, Meiyu Liang, Wei Huang, Junping Du, Zhe Xue,
Guanhua Ye, Wu Liu and Lei Shi
Grasp: Refining Semantic G"&amp;"raphs into Purified Knowledge for Cross-Modal Communication
Liang Chen, Xiaoding Wang, Limei Lin, Dajin Wang, Zhiquan
Liu and Jie Wu
Enhancing Multi-Modal Entity Alignment via Multi-Grained Decision Fusion
Yu Xing, Qizhuo Xie, You Lv, Ziyang Zhou, Qianzi"&amp;" Hou, Qing
Gu, Bin Chong and Tieke He
Relation-Aware Multimodal Analogical Reasoning with Modality Fingerprints and Adaptive Gating
Ruofan Wang, Zijian Huang, Qiqi Wang, Yuchen Su, Robert
Amor, Kaiqi Zhao and Meng-Fen Chiang
DyMRL: Dynamic Multispace Re"&amp;"presentation Learning for Multimodal Event Forecasting in Knowledge Graph
Feng Zhao, Kangzheng Liu, Teng Peng, Yu Yang and Guandong Xu
")</f>
        <v>Multi-Granularity Multi-Modal Knowledge Graph Representation Learning via Subgraph-Aware Adaptive Fusion and Hierarchical Relation Modeling
Peining Li, Meiyu Liang, Wei Huang, Junping Du, Zhe Xue,
Guanhua Ye, Wu Liu and Lei Shi
Grasp: Refining Semantic Graphs into Purified Knowledge for Cross-Modal Communication
Liang Chen, Xiaoding Wang, Limei Lin, Dajin Wang, Zhiquan
Liu and Jie Wu
Enhancing Multi-Modal Entity Alignment via Multi-Grained Decision Fusion
Yu Xing, Qizhuo Xie, You Lv, Ziyang Zhou, Qianzi Hou, Qing
Gu, Bin Chong and Tieke He
Relation-Aware Multimodal Analogical Reasoning with Modality Fingerprints and Adaptive Gating
Ruofan Wang, Zijian Huang, Qiqi Wang, Yuchen Su, Robert
Amor, Kaiqi Zhao and Meng-Fen Chiang
DyMRL: Dynamic Multispace Representation Learning for Multimodal Event Forecasting in Knowledge Graph
Feng Zhao, Kangzheng Liu, Teng Peng, Yu Yang and Guandong Xu
</v>
      </c>
      <c r="G41" s="18" t="str">
        <f>IFERROR(__xludf.DUMMYFUNCTION("TEXTJOIN(CHAR(10), TRUE,FILTER('Research assignment'!$D:$D,'Research assignment'!$F:$F=G39))"),"Open or Blocked Skies? Community Moderation Practices in Bluesky
Saidu Sokoto, Leonhard Balduf, Onur Ascigil, Gareth Tyson,
Ignacio Castro, Björn Scheuermann, Andrea Baronchelli and
Michał Król
Pattern-aware Illicit Account Detection based on User Behavi"&amp;"or Sequences
Zehao Wang, Lanjun Wang, Fuxia Guo and Yanjie Dong
Unmasking Bots in Higher Dimensions: Message Passing over Simplexes for Bot Detection
Fangfang Li, Huihui Zhang, Xin Zhang and Wei Wu
ContiGuard: A Framework for Continual Toxicity Detectio"&amp;"n Against Evolving Evasive Perturbations
Hankun Kang, Xin Miao, Jianhao Chen, Jintao Wen, Mayi Xu,
Weiyu Zhang, Wenpeng Lu and Tieyun Qian
They Said Memes Were Harmless --- We Found the Ones That Hurt: Decoding Jokes, Symbols, and Cultural References
Sah"&amp;"il Tripathi, Gautam Siddharth Kashyap, Mehwish Nasim,
Jian Yang, Jiechao Gao and Usman Naseem
")</f>
        <v>Open or Blocked Skies? Community Moderation Practices in Bluesky
Saidu Sokoto, Leonhard Balduf, Onur Ascigil, Gareth Tyson,
Ignacio Castro, Björn Scheuermann, Andrea Baronchelli and
Michał Król
Pattern-aware Illicit Account Detection based on User Behavior Sequences
Zehao Wang, Lanjun Wang, Fuxia Guo and Yanjie Dong
Unmasking Bots in Higher Dimensions: Message Passing over Simplexes for Bot Detection
Fangfang Li, Huihui Zhang, Xin Zhang and Wei Wu
ContiGuard: A Framework for Continual Toxicity Detection Against Evolving Evasive Perturbations
Hankun Kang, Xin Miao, Jianhao Chen, Jintao Wen, Mayi Xu,
Weiyu Zhang, Wenpeng Lu and Tieyun Qian
They Said Memes Were Harmless --- We Found the Ones That Hurt: Decoding Jokes, Symbols, and Cultural References
Sahil Tripathi, Gautam Siddharth Kashyap, Mehwish Nasim,
Jian Yang, Jiechao Gao and Usman Naseem
</v>
      </c>
      <c r="H41" s="18" t="str">
        <f>IFERROR(__xludf.DUMMYFUNCTION("TEXTJOIN(CHAR(10), TRUE,FILTER('Research assignment'!$D:$D,'Research assignment'!$F:$F=H39))"),"Wiseswap: Elastic Datacenter Network-Aware Disaggregated Memory for Multi-Tenant Cloud
Mingxuan Liu, Jianhua Gu, Tianhai Zhao and Dong Sun
LaTune: Lightweight and Adaptive Configuration Tuning for LLM Inference on Edge Devices
Siqi Zhong, Mugeng Liu, Hai"&amp;"yang Shen, Chongyang Pan and Yun
Ma
EdgeGen: Efficient LLM-Empowered Model Generation with Quantization-Aware NAS
Yingqi Peng, Wenhao Zhou, Kaijie Gong, Yang Liu, Yi Gao and
Wei Dong
BeeQoS: A Cloud-Native QoS System for Adaptive and Scalable Multi-Prio"&amp;"rity Bandwidth Guarantees
Jinyao Liu, Si Wu, Haoyuan Ma, Chaoqun Li, Hongjing Yu,
Dingyi Jia, Feng Li and Pengfei Hu
A Structure-Agnostic Co-Tuning Framework for LLMs and SLMs in Cloud-Edge Systems
Yuze Liu, Yunhan Wang, Tiehua Zhang, Zhishu Shen, Cheng
"&amp;"Peng, Libing Wu, Feng Xia and Jiong Jin
")</f>
        <v>Wiseswap: Elastic Datacenter Network-Aware Disaggregated Memory for Multi-Tenant Cloud
Mingxuan Liu, Jianhua Gu, Tianhai Zhao and Dong Sun
LaTune: Lightweight and Adaptive Configuration Tuning for LLM Inference on Edge Devices
Siqi Zhong, Mugeng Liu, Haiyang Shen, Chongyang Pan and Yun
Ma
EdgeGen: Efficient LLM-Empowered Model Generation with Quantization-Aware NAS
Yingqi Peng, Wenhao Zhou, Kaijie Gong, Yang Liu, Yi Gao and
Wei Dong
BeeQoS: A Cloud-Native QoS System for Adaptive and Scalable Multi-Priority Bandwidth Guarantees
Jinyao Liu, Si Wu, Haoyuan Ma, Chaoqun Li, Hongjing Yu,
Dingyi Jia, Feng Li and Pengfei Hu
A Structure-Agnostic Co-Tuning Framework for LLMs and SLMs in Cloud-Edge Systems
Yuze Liu, Yunhan Wang, Tiehua Zhang, Zhishu Shen, Cheng
Peng, Libing Wu, Feng Xia and Jiong Jin
</v>
      </c>
      <c r="I41" s="18" t="str">
        <f>IFERROR(__xludf.DUMMYFUNCTION("TEXTJOIN(CHAR(10), TRUE,FILTER('Research assignment'!$D:$D,'Research assignment'!$F:$F=I39))"),"ProvGuard: Logic-Aware Multi-View Contrastive Learning for Robust and Efficient Host Threat Detection
Anyuan Sang, Li Yang, Lu Zhou, Cheng Zhou, Junbo Jia and
Huipeng Yang
Re-understanding Graph Unlearning through Memorization
Pengfei Ding, Yan Wang and "&amp;"Guanfeng Liu
Towards Robust Detection of Chinese Toxic Variants via Dynamic Knowledge Graph–LLM Reasoning
Shaochen Yang, Kefei Zhou and Wei Xu
When Reasoning Leaks Membership: Membership Inference Attack on Black-box Large Reasoning Models
Ruihan Hu, Yu"&amp;"-Ming Shang, Wei Luo, Ye Tao and Xi Zhang
Unequal Vulnerability: The Differential Impact of Label Flipping Attacks Across Classes
Pinlong Zhao, Mengyang Li, Pengfei Jiao, Huijun Tang and Ou
Wu
")</f>
        <v>ProvGuard: Logic-Aware Multi-View Contrastive Learning for Robust and Efficient Host Threat Detection
Anyuan Sang, Li Yang, Lu Zhou, Cheng Zhou, Junbo Jia and
Huipeng Yang
Re-understanding Graph Unlearning through Memorization
Pengfei Ding, Yan Wang and Guanfeng Liu
Towards Robust Detection of Chinese Toxic Variants via Dynamic Knowledge Graph–LLM Reasoning
Shaochen Yang, Kefei Zhou and Wei Xu
When Reasoning Leaks Membership: Membership Inference Attack on Black-box Large Reasoning Models
Ruihan Hu, Yu-Ming Shang, Wei Luo, Ye Tao and Xi Zhang
Unequal Vulnerability: The Differential Impact of Label Flipping Attacks Across Classes
Pinlong Zhao, Mengyang Li, Pengfei Jiao, Huijun Tang and Ou
Wu
</v>
      </c>
      <c r="J41" s="18" t="str">
        <f>IFERROR(__xludf.DUMMYFUNCTION("TEXTJOIN(CHAR(10), TRUE,FILTER('Research assignment'!$D:$D,'Research assignment'!$F:$F=J39))"),"PAMAS: Self-Adaptive Multi-Agent System with Perspective Aggregation for Misinformation Detection
Zongwei Wang, Min Gao, Junliang Yu, Tong Chen and Chenghua
Lin
TrueLens: Video Fake News Detection with Dual Level Evidence Gathering and Consolidation
Juny"&amp;"i Chen, Qian Liu, Jing Sun and Yi Zhang
Is Misinformation More Open? A Study of robots.txt Gatekeeping on the Web
Nicolas Steinacker-Olsztyn, Devashish Gosain and Ha Dao
From Manipulation to Mistrust: Explaining Diverse Micro-Video Misinformation for Ro"&amp;"bust Debunking in the Wild
Zhi Zeng, Yifei Yang, Jiaying Wu, Xulang Zhang, Xiangzheng
Kong, Herun Wan, Zihan Ma and Minnan Luo
")</f>
        <v>PAMAS: Self-Adaptive Multi-Agent System with Perspective Aggregation for Misinformation Detection
Zongwei Wang, Min Gao, Junliang Yu, Tong Chen and Chenghua
Lin
TrueLens: Video Fake News Detection with Dual Level Evidence Gathering and Consolidation
Junyi Chen, Qian Liu, Jing Sun and Yi Zhang
Is Misinformation More Open? A Study of robots.txt Gatekeeping on the Web
Nicolas Steinacker-Olsztyn, Devashish Gosain and Ha Dao
From Manipulation to Mistrust: Explaining Diverse Micro-Video Misinformation for Robust Debunking in the Wild
Zhi Zeng, Yifei Yang, Jiaying Wu, Xulang Zhang, Xiangzheng
Kong, Herun Wan, Zihan Ma and Minnan Luo
</v>
      </c>
      <c r="K41" s="18" t="str">
        <f>IFERROR(__xludf.DUMMYFUNCTION("TEXTJOIN(CHAR(10), TRUE,FILTER('Research assignment'!$D:$D,'Research assignment'!$F:$F=K39))"),"Adaptive Graph Reweighting for Collaborative Filtering
Yijun Sheng, Ximing Chen, Pui Ieng Lei, Yanyan Liu and
Zhiguo Gong
IACLR: Intention Alignment via Contrastive Learning for Bipartite Graph Recommendation
Huiying Hu, Tuo Wang, Yixiao Zhou and Xiaoqin"&amp;"g Lyu
PULSE: Socially-Aware User Representation Modeling Toward Parameter-Efficient Graph Collaborative Filtering
Doyun Choi, Cheonwoo Lee, Biniyam Aschalew Tolera, Taewook
Ham, Chanyoung Park and Jaemin Yoo
Line Graphs Are Here! Unlock a Simple Solutio"&amp;"n for Data Sparsity and Class Imbalance in Recommender System
Junming Zhou, Hao Zhong, Shupeng Li, Zhengyang Wu, Yong
Tang and Ronghua Lin
Multi-modal Bipartite Graph Structure Learning with Information Bottleneck for Micro-video Recommendation
Ying He, "&amp;"Desheng Cai, Shengsheng Qian, Quan Fang, Yinwei
Wei and Changsheng Xu
")</f>
        <v>Adaptive Graph Reweighting for Collaborative Filtering
Yijun Sheng, Ximing Chen, Pui Ieng Lei, Yanyan Liu and
Zhiguo Gong
IACLR: Intention Alignment via Contrastive Learning for Bipartite Graph Recommendation
Huiying Hu, Tuo Wang, Yixiao Zhou and Xiaoqing Lyu
PULSE: Socially-Aware User Representation Modeling Toward Parameter-Efficient Graph Collaborative Filtering
Doyun Choi, Cheonwoo Lee, Biniyam Aschalew Tolera, Taewook
Ham, Chanyoung Park and Jaemin Yoo
Line Graphs Are Here! Unlock a Simple Solution for Data Sparsity and Class Imbalance in Recommender System
Junming Zhou, Hao Zhong, Shupeng Li, Zhengyang Wu, Yong
Tang and Ronghua Lin
Multi-modal Bipartite Graph Structure Learning with Information Bottleneck for Micro-video Recommendation
Ying He, Desheng Cai, Shengsheng Qian, Quan Fang, Yinwei
Wei and Changsheng Xu
</v>
      </c>
      <c r="L41" s="18" t="str">
        <f>IFERROR(__xludf.DUMMYFUNCTION("TEXTJOIN(CHAR(10), TRUE,FILTER('Industry assignment'!$D:$D,'Industry assignment'!$F:$F=L39))"),"Self-Evolving LLMs via Continual Instruction Tuning
Jiazheng Kang, Le Huang, Cheng Hou, Zhe Zhao, ZhenXiang Yan and Ting Bai
Large Reasoning Embedding Models: Towards Next-Generation Dense Retrieval Paradigm
Jianting Tang, Dongshuai Li, Tao Wen, Fuyu Lv,"&amp;" Dan Ou and Linli Xu
Probe-and-Fetch: Dynamic KV Cache Pruning for Accelerated Long-Context Inference in Web-Scale AI Search
Yuchen Li, Rui Kong, Xinran Chen, Chengzhe Zhang, Jiamin Chen, Cheng Deng, Xinyu Ma, Haojie Zhang, Tianhao Peng, Hengyi Cai, Shua"&amp;"iqiang Wang, Jiashu Zhao, Yongqi Zhang, Haoyi Xiong, Jimmy Xiangji Huang, Lei Chen, Jun Wang and Dawei Yin
DG-MCTS: Dual-Guidance Monte Carlo Tree Search for Adaptive Emotional Support Dialogue Planning
Benshuo Lin, Jiayu Ding, Yuelei Li, Peng Wu, Yun Xu"&amp;"e and Yiping Song
LaV-CoT: Language-Aware Visual CoT with Multi-Aspect Reward Optimization for Multilingual Text-Centric VQA
Jing Huang, Zhiya Tan, Shutao Gong, Fanwei Zeng, Joey Tianyi Zhou, Changtao Miao, Huazhe Tan, Weibin Yao and Jianshu Li
")</f>
        <v>Self-Evolving LLMs via Continual Instruction Tuning
Jiazheng Kang, Le Huang, Cheng Hou, Zhe Zhao, ZhenXiang Yan and Ting Bai
Large Reasoning Embedding Models: Towards Next-Generation Dense Retrieval Paradigm
Jianting Tang, Dongshuai Li, Tao Wen, Fuyu Lv, Dan Ou and Linli Xu
Probe-and-Fetch: Dynamic KV Cache Pruning for Accelerated Long-Context Inference in Web-Scale AI Search
Yuchen Li, Rui Kong, Xinran Chen, Chengzhe Zhang, Jiamin Chen, Cheng Deng, Xinyu Ma, Haojie Zhang, Tianhao Peng, Hengyi Cai, Shuaiqiang Wang, Jiashu Zhao, Yongqi Zhang, Haoyi Xiong, Jimmy Xiangji Huang, Lei Chen, Jun Wang and Dawei Yin
DG-MCTS: Dual-Guidance Monte Carlo Tree Search for Adaptive Emotional Support Dialogue Planning
Benshuo Lin, Jiayu Ding, Yuelei Li, Peng Wu, Yun Xue and Yiping Song
LaV-CoT: Language-Aware Visual CoT with Multi-Aspect Reward Optimization for Multilingual Text-Centric VQA
Jing Huang, Zhiya Tan, Shutao Gong, Fanwei Zeng, Joey Tianyi Zhou, Changtao Miao, Huazhe Tan, Weibin Yao and Jianshu Li
</v>
      </c>
      <c r="M41" s="18" t="str">
        <f>IFERROR(__xludf.DUMMYFUNCTION("TEXTJOIN(CHAR(10), TRUE,FILTER('Industry assignment'!$D:$D,'Industry assignment'!$F:$F=M39))"),"A Generative Contextual Comprehension Paradigm for Takeout Ranking Model
Ziheng Ni, Congcong Liu, Cai Shang, Yiming Sun, Junjie Li, Zhiwei Fang, Guangpeng Chen, Li Jian, Zehua Zhang, Changping Peng, Zhangang Lin, Ching Law and Jingping Shao
ARADD: An Aut"&amp;"omatic Real-World API Discovery and Deployment Framework for AI Guide Service in Baidu Map
Fuling Wang, Le Zhang, Jingbo Zhou, Jindong Han, Ying Sun, Chuan Qin, Hengshu Zhu and Hui Xiong
TRABL: A Unified Framework for Travel Domain Aspect-Based Sentiment"&amp;" Analysis Applications of Large Language Models
Omer Madmon, Shiran Golan, Eran Fainman, Ofri Kleinfeld and Moran Beladev
From Sold-Out to Sales Uplift: Causal Inference for Intelligent Inventory Management on Online Travel Platforms
Fanwei Zhu, Zhuoran "&amp;"Zhuang, Detao Lv, Manwei Li and Yao Yu
Enhancing Ride-Hailing Forecasting at DiDi with Multi-View Geospatial Representation Learning from the Web
Xixuan Hao, Guicheng Li, Daiqiang Wu, Xusen Guo, Yumeng Zhu, Zhichao Zou, Peng Zhen, Yao Yao and Yuxuan Lian"&amp;"g
")</f>
        <v>A Generative Contextual Comprehension Paradigm for Takeout Ranking Model
Ziheng Ni, Congcong Liu, Cai Shang, Yiming Sun, Junjie Li, Zhiwei Fang, Guangpeng Chen, Li Jian, Zehua Zhang, Changping Peng, Zhangang Lin, Ching Law and Jingping Shao
ARADD: An Automatic Real-World API Discovery and Deployment Framework for AI Guide Service in Baidu Map
Fuling Wang, Le Zhang, Jingbo Zhou, Jindong Han, Ying Sun, Chuan Qin, Hengshu Zhu and Hui Xiong
TRABL: A Unified Framework for Travel Domain Aspect-Based Sentiment Analysis Applications of Large Language Models
Omer Madmon, Shiran Golan, Eran Fainman, Ofri Kleinfeld and Moran Beladev
From Sold-Out to Sales Uplift: Causal Inference for Intelligent Inventory Management on Online Travel Platforms
Fanwei Zhu, Zhuoran Zhuang, Detao Lv, Manwei Li and Yao Yu
Enhancing Ride-Hailing Forecasting at DiDi with Multi-View Geospatial Representation Learning from the Web
Xixuan Hao, Guicheng Li, Daiqiang Wu, Xusen Guo, Yumeng Zhu, Zhichao Zou, Peng Zhen, Yao Yao and Yuxuan Liang
</v>
      </c>
      <c r="N41" s="18" t="str">
        <f>IFERROR(__xludf.DUMMYFUNCTION("TEXTJOIN(CHAR(10), TRUE,FILTER('Web4Good assignment'!$D:$D,'Web4Good assignment'!$F:$F=N39))"),"When to Invoke: Refining LLM Fairness with Toxicity Assessment
Jing Ren, Bowen Li, Ziqi Xu, Renqiang Luo, Shuo Yu, Xin Ye, Haytham Fayek, Xiaodong Li and Feng Xia
Trust in One Round: Confidence Estimation for Large Language Models via Structural Signals
"&amp;"Pengyue Yang, Jiawen Wen, Haolin Jin, Linghan Huang, Huaming Chen and Ling Chen
BalDRO: A Distributionally Robust Optimization based Framework for Large Language Model Unlearning
Pengyang Shao, Naixin Zhai, Lei Chen, Yonghui Yang, Fengbin Zhu, Xun Yang a"&amp;"nd Meng Wang
SEP-Attack: A Simple and Effective Paradigm for Transfer-Based Textual Adversarial Attack
Han Liu, Zhi Xu, Xiaotong Zhang, Feng Zhang, Xiaoming Xu, Wei Wang, Fenglong Ma and Hong Yu
Fine-Grained Traceability for Transparent ML Pipelines
Lip"&amp;"ing Chen, Mujie Liu and Haytham Fayek
")</f>
        <v>When to Invoke: Refining LLM Fairness with Toxicity Assessment
Jing Ren, Bowen Li, Ziqi Xu, Renqiang Luo, Shuo Yu, Xin Ye, Haytham Fayek, Xiaodong Li and Feng Xia
Trust in One Round: Confidence Estimation for Large Language Models via Structural Signals
Pengyue Yang, Jiawen Wen, Haolin Jin, Linghan Huang, Huaming Chen and Ling Chen
BalDRO: A Distributionally Robust Optimization based Framework for Large Language Model Unlearning
Pengyang Shao, Naixin Zhai, Lei Chen, Yonghui Yang, Fengbin Zhu, Xun Yang and Meng Wang
SEP-Attack: A Simple and Effective Paradigm for Transfer-Based Textual Adversarial Attack
Han Liu, Zhi Xu, Xiaotong Zhang, Feng Zhang, Xiaoming Xu, Wei Wang, Fenglong Ma and Hong Yu
Fine-Grained Traceability for Transparent ML Pipelines
Liping Chen, Mujie Liu and Haytham Fayek
</v>
      </c>
      <c r="O41" s="20"/>
      <c r="P41" s="20"/>
      <c r="Q41" s="20"/>
      <c r="R41" s="20"/>
      <c r="S41" s="20"/>
      <c r="T41" s="5"/>
      <c r="U41" s="5"/>
      <c r="V41" s="5"/>
      <c r="W41" s="5"/>
      <c r="X41" s="5"/>
      <c r="Y41" s="5"/>
      <c r="Z41" s="5"/>
      <c r="AA41" s="5"/>
    </row>
    <row r="42" collapsed="1">
      <c r="A42" s="68" t="s">
        <v>30</v>
      </c>
      <c r="B42" s="69" t="s">
        <v>139</v>
      </c>
      <c r="O42" s="90"/>
      <c r="P42" s="59"/>
      <c r="Q42" s="59"/>
      <c r="R42" s="59"/>
      <c r="S42" s="59"/>
      <c r="T42" s="5"/>
      <c r="U42" s="5"/>
      <c r="V42" s="5"/>
      <c r="W42" s="5"/>
      <c r="X42" s="5"/>
      <c r="Y42" s="5"/>
      <c r="Z42" s="5"/>
      <c r="AA42" s="5"/>
    </row>
    <row r="43" hidden="1" outlineLevel="1">
      <c r="A43" s="73"/>
      <c r="B43" s="91" t="s">
        <v>140</v>
      </c>
      <c r="C43" s="91" t="s">
        <v>141</v>
      </c>
      <c r="D43" s="91" t="str">
        <f>IFERROR(__xludf.DUMMYFUNCTION("TRANSPOSE(FILTER('All Counts'!B:B, RIGHT('All Counts'!B:B, 1)=""3""))"),"EconPoster3")</f>
        <v>EconPoster3</v>
      </c>
      <c r="E43" s="73" t="str">
        <f>IFERROR(__xludf.DUMMYFUNCTION("""COMPUTED_VALUE"""),"GraphPoster3")</f>
        <v>GraphPoster3</v>
      </c>
      <c r="F43" s="73" t="str">
        <f>IFERROR(__xludf.DUMMYFUNCTION("""COMPUTED_VALUE"""),"SearchPoster3")</f>
        <v>SearchPoster3</v>
      </c>
      <c r="G43" s="73" t="str">
        <f>IFERROR(__xludf.DUMMYFUNCTION("""COMPUTED_VALUE"""),"SemanticsPoster3")</f>
        <v>SemanticsPoster3</v>
      </c>
      <c r="H43" s="73" t="str">
        <f>IFERROR(__xludf.DUMMYFUNCTION("""COMPUTED_VALUE"""),"SecurityPoster3")</f>
        <v>SecurityPoster3</v>
      </c>
      <c r="I43" s="73" t="str">
        <f>IFERROR(__xludf.DUMMYFUNCTION("""COMPUTED_VALUE"""),"SocialPoster3")</f>
        <v>SocialPoster3</v>
      </c>
      <c r="J43" s="73" t="str">
        <f>IFERROR(__xludf.DUMMYFUNCTION("""COMPUTED_VALUE"""),"SystemsPoster3")</f>
        <v>SystemsPoster3</v>
      </c>
      <c r="K43" s="73" t="str">
        <f>IFERROR(__xludf.DUMMYFUNCTION("""COMPUTED_VALUE"""),"RecSysPoster3")</f>
        <v>RecSysPoster3</v>
      </c>
      <c r="L43" s="73" t="str">
        <f>IFERROR(__xludf.DUMMYFUNCTION("""COMPUTED_VALUE"""),"MiningPoster3")</f>
        <v>MiningPoster3</v>
      </c>
      <c r="M43" s="73" t="str">
        <f>IFERROR(__xludf.DUMMYFUNCTION("""COMPUTED_VALUE"""),"IndustryPoster3")</f>
        <v>IndustryPoster3</v>
      </c>
      <c r="N43" s="73" t="str">
        <f>IFERROR(__xludf.DUMMYFUNCTION("""COMPUTED_VALUE"""),"Web4GoodPoster3")</f>
        <v>Web4GoodPoster3</v>
      </c>
      <c r="O43" s="73"/>
      <c r="P43" s="92"/>
      <c r="Q43" s="92"/>
      <c r="R43" s="92"/>
      <c r="S43" s="92"/>
      <c r="T43" s="25"/>
      <c r="U43" s="25"/>
      <c r="V43" s="25"/>
      <c r="W43" s="25"/>
      <c r="X43" s="25"/>
      <c r="Y43" s="25"/>
      <c r="Z43" s="25"/>
      <c r="AA43" s="25"/>
    </row>
    <row r="44" hidden="1" outlineLevel="1">
      <c r="A44" s="71"/>
      <c r="B44" s="71" t="str">
        <f>IFERROR(__xludf.DUMMYFUNCTION("TEXTJOIN(CHAR(10), TRUE,FILTER(Demos!$D:$D,Demos!$E:$E=B43))"),"CiteLLM: An Agentic Platform for Trustworthy Scientific Reference Discovery
Mengze Hong, Di Jiang, Chen Jason Zhang, Zichang Guo, Yawen Li, Jun Chen, Shaobo Cui and Zhiyang Su
A Framework for Continual Knowledge Graph Embedding
Gerard Pons, Besim Bilalli"&amp;" and Anna Queralt
Roamify: An Interactive Browser Extension for Real-Time LLM-Based Travel Itinerary Generation
Vikranth Udandarao, Muthuraj Vairamuthu, Noel Abraham Tiju, Harsh Mistry, Armaan Singh and Dhruv Kumar
PaperDebugger: A Plugin-Based Multi-Ag"&amp;"ent System for In-Editor Academic Writing, Review, and Editing
Junyi Hou, Andre Lin, Nuo Chen, Yiwei Gong and Bingsheng He
DriftNavi: Talk through Your Data Drift with LLMs
Zixin Wang, Junliang Yu, Tong Chen, Yadan Luo and Shazia Sadiq
Implementation of"&amp;" a Metacognition Framework for Self-Awareness and Self-Regulation in Ensembles of LLMs
Charles Courchaine, Ricky J. Sethi and Hefei Qiu
BaiJia: An Open Role-Playing Platform of Chinese Historical Characters
Ting Bai, Jiazheng Kang, Jiayang Fan, Hengzhi L"&amp;"an and Yutian Zhong
LegalKit: A Modular Toolkit for Efficient Legal AI Evaluation
Shuo Miao, Haitao Li, Yueyue Wu, Qingyao Ai and Yiqun Liu
")</f>
        <v>CiteLLM: An Agentic Platform for Trustworthy Scientific Reference Discovery
Mengze Hong, Di Jiang, Chen Jason Zhang, Zichang Guo, Yawen Li, Jun Chen, Shaobo Cui and Zhiyang Su
A Framework for Continual Knowledge Graph Embedding
Gerard Pons, Besim Bilalli and Anna Queralt
Roamify: An Interactive Browser Extension for Real-Time LLM-Based Travel Itinerary Generation
Vikranth Udandarao, Muthuraj Vairamuthu, Noel Abraham Tiju, Harsh Mistry, Armaan Singh and Dhruv Kumar
PaperDebugger: A Plugin-Based Multi-Agent System for In-Editor Academic Writing, Review, and Editing
Junyi Hou, Andre Lin, Nuo Chen, Yiwei Gong and Bingsheng He
DriftNavi: Talk through Your Data Drift with LLMs
Zixin Wang, Junliang Yu, Tong Chen, Yadan Luo and Shazia Sadiq
Implementation of a Metacognition Framework for Self-Awareness and Self-Regulation in Ensembles of LLMs
Charles Courchaine, Ricky J. Sethi and Hefei Qiu
BaiJia: An Open Role-Playing Platform of Chinese Historical Characters
Ting Bai, Jiazheng Kang, Jiayang Fan, Hengzhi Lan and Yutian Zhong
LegalKit: A Modular Toolkit for Efficient Legal AI Evaluation
Shuo Miao, Haitao Li, Yueyue Wu, Qingyao Ai and Yiqun Liu
</v>
      </c>
      <c r="C44" s="71" t="str">
        <f>IFERROR(__xludf.DUMMYFUNCTION("TEXTJOIN(CHAR(10), TRUE,FILTER('ShortPapers assignment'!$D:$D,'ShortPapers assignment'!$E:$E=C43))"),"ReFuGe: Feature Generation for Prediction Tasks on Relational Databases with LLM Agents
Kyungho Kim, Geon Lee, Juyeon Kim, Dongwon Choi, Shinhwan Kang and Kijung Shin
Suppression or Deletion: A Restoration-Based Representation-Level Analysis of Machine U"&amp;"nlearning
Yurim Jang, Jaeung Lee, Dohyun Kim, Jaemin Jo and Simon S Woo
C^2-SFL:Class-Balanced and Cost-Aware Split Federated Learning for Mobile Edge Computing
Kai Cheng, Zhengyu Zhang, Tong Wu, Huan Zhou and Xinggang Fan
SAGE-Prompt: Structured Attrib"&amp;"ution Guarded Explanation for Explainable Deepfake Question Answering
Jong-Chan Park, Myeongjun Kim, So-Hee Lim, Sang-Min Choi and Gun-Woo Kim
Multi-source Multi-level Multi-token Ethereum Dataset and Benchmark Platform
Haoyuan Li, Mengxiao Zhang, Maoyua"&amp;"n Li, Jianzheng Li, Zijian Zhang, Junyi Yang, Shuangyan Deng and Jiamou Liu
Is More Context Always Better? Examining LLM Reasoning Capability for Time Interval Prediction
Yanan Cao, Farnaz Fallahi, Murali Mohana Krishna Dandu, Lalitesh Morishetti, Kai Zh"&amp;"ao, Luyi Ma, Sinduja Subramaniam, Jianpeng Xu, Evren Korpeoglu, Kaushiki Nag, Sushant Kumar and Kannan Achan
Beyond Playtesting: A Generative Multi-Agent Simulation System for Massively Multiplayer Online Games
Zhang Ran, Kun Ouyang, Tiancheng Ma, Yida Y"&amp;"ang and Dong Fang
COINS: Semantic Ids Enhanced Cold Item Representation for Click-through Rate Prediction in E-commerce Search
Qihang Zhao, Zhongbo Sun, Xiaoyang Zheng, Xian Guo, Siyuan Wang, Zihan Liang, Mingcan Peng, Ben Chen and Chenyi Lei
AWMA-MoE: "&amp;"Attention-Guided Watermark Adapter with MoE for Latent Diffusion Models
Yicheng Huang, Xinyu Xiao, Jian Zhang, Shuhan Qi, Yulin Wu and Xuan Wang
Towards Responsible Recommendations: A Daily Updated Ranking Model for Content Issue Detection
Haoze Wu, Chen"&amp;"ghui Yu, Bingfeng Deng and Daniel Chen
ThinkTank-ME: A Multi-Expert Framework for Middle East Event Forecasting
Haoxuan Li, He Chang, Yunshan Ma, Yi Bin, Yang Yang, See-Kiong Ng and Tat-Seng Chua
An 8-Way Taxonomy for Multimodal Disinformation and Detec"&amp;"tion Benchmark
Shuhan Cui, Ruimin Chu, Hanrui Wang, Patrick H. Chen, Ching-Chun Chang and Isao Echizen
DTRec: Learning Dynamic Reasoning Trajectories for Sequential Recommendation
Yifan Shao, Peilin Zhou, Shoujin Wang, Weizhi Zhang, Sunghun Kim and Xu Ca"&amp;"i
Machine Learning as a Service (MLaaS) Dataset Generator Framework for IoT Environments
Deepak Kanneganti, Sajib Mistry, Sheik Mohammad Mostakim Fattah, Joshua Boland and Aneesh Krishna
Explainable Graph Sparsification with Shapley Values
Selahattin Ak"&amp;"kas and Ariful Azad
Coarse-Fine: A Novel VPA Strategy for Boosting Resource Utilization of Transient Offline Tasks
Yingying Wen, Yingzhi Chu, Zhongyu Wang, Zhecheng Lin, Fan Jiang, Wu Xiang and Rui Shi
PAOSC: Plug-and-play Attention Optimization for Sem"&amp;"antic Consistency in LLMs
Chang Li, Yawei Liu, Chun Long, Jing Zhao and Guanyao Du
Breaking Semantic-Aware Watermarks via LLM-Guided Coherence-Preserving Semantic Injection
Zheng Gao, Xiaoyu Li, Zhicheng Bao, Xiaoyan Feng and Jiaojiao Jiang
Anonymous Li"&amp;"near Bandits for Multi-User Systems
Mohammad Reza Badri, Hossein Esfandiari, Samira Hossein Ghorban and Alireza Rezaeimoghadam
Efficient Learning of Sparse Representations from Interactions
Vojtech Vancura, Martin Spišák, Rodrigo Alves and Ladislav Peska"&amp;"
Back to the Future: Look-ahead Augmentation and Parallel Self-Refinement for Time Series Forecasting
Sunho Kim and Susik Yoon
CGPT: Cluster-Guided Partial Tables with LLM-Generated Supervision for Table Retrieval
Tsung-Hsiang Chou, Chen-Jui Yu, Shui-Hs"&amp;"iang Hsu and Yao-Chung Fan
EDTF: A Plug-and-Play Learning Framework for Estimated Delivery Time Task
Yichen Song, Jianfeng Zhou, Renhao Cao and Jian-Ya Ding
Understanding Post-Exploit Laundering Behavior on Ethereum
Xihan Xiong and Junliang Luo
HAUTE: "&amp;"Harmonizing Action Units with Temporal-contextual Embeddings for Deepfake Detection
Chaewon Kang, Youjin Lee and Jinyoung Han
")</f>
        <v>ReFuGe: Feature Generation for Prediction Tasks on Relational Databases with LLM Agents
Kyungho Kim, Geon Lee, Juyeon Kim, Dongwon Choi, Shinhwan Kang and Kijung Shin
Suppression or Deletion: A Restoration-Based Representation-Level Analysis of Machine Unlearning
Yurim Jang, Jaeung Lee, Dohyun Kim, Jaemin Jo and Simon S Woo
C^2-SFL:Class-Balanced and Cost-Aware Split Federated Learning for Mobile Edge Computing
Kai Cheng, Zhengyu Zhang, Tong Wu, Huan Zhou and Xinggang Fan
SAGE-Prompt: Structured Attribution Guarded Explanation for Explainable Deepfake Question Answering
Jong-Chan Park, Myeongjun Kim, So-Hee Lim, Sang-Min Choi and Gun-Woo Kim
Multi-source Multi-level Multi-token Ethereum Dataset and Benchmark Platform
Haoyuan Li, Mengxiao Zhang, Maoyuan Li, Jianzheng Li, Zijian Zhang, Junyi Yang, Shuangyan Deng and Jiamou Liu
Is More Context Always Better? Examining LLM Reasoning Capability for Time Interval Prediction
Yanan Cao, Farnaz Fallahi, Murali Mohana Krishna Dandu, Lalitesh Morishetti, Kai Zhao, Luyi Ma, Sinduja Subramaniam, Jianpeng Xu, Evren Korpeoglu, Kaushiki Nag, Sushant Kumar and Kannan Achan
Beyond Playtesting: A Generative Multi-Agent Simulation System for Massively Multiplayer Online Games
Zhang Ran, Kun Ouyang, Tiancheng Ma, Yida Yang and Dong Fang
COINS: Semantic Ids Enhanced Cold Item Representation for Click-through Rate Prediction in E-commerce Search
Qihang Zhao, Zhongbo Sun, Xiaoyang Zheng, Xian Guo, Siyuan Wang, Zihan Liang, Mingcan Peng, Ben Chen and Chenyi Lei
AWMA-MoE: Attention-Guided Watermark Adapter with MoE for Latent Diffusion Models
Yicheng Huang, Xinyu Xiao, Jian Zhang, Shuhan Qi, Yulin Wu and Xuan Wang
Towards Responsible Recommendations: A Daily Updated Ranking Model for Content Issue Detection
Haoze Wu, Chenghui Yu, Bingfeng Deng and Daniel Chen
ThinkTank-ME: A Multi-Expert Framework for Middle East Event Forecasting
Haoxuan Li, He Chang, Yunshan Ma, Yi Bin, Yang Yang, See-Kiong Ng and Tat-Seng Chua
An 8-Way Taxonomy for Multimodal Disinformation and Detection Benchmark
Shuhan Cui, Ruimin Chu, Hanrui Wang, Patrick H. Chen, Ching-Chun Chang and Isao Echizen
DTRec: Learning Dynamic Reasoning Trajectories for Sequential Recommendation
Yifan Shao, Peilin Zhou, Shoujin Wang, Weizhi Zhang, Sunghun Kim and Xu Cai
Machine Learning as a Service (MLaaS) Dataset Generator Framework for IoT Environments
Deepak Kanneganti, Sajib Mistry, Sheik Mohammad Mostakim Fattah, Joshua Boland and Aneesh Krishna
Explainable Graph Sparsification with Shapley Values
Selahattin Akkas and Ariful Azad
Coarse-Fine: A Novel VPA Strategy for Boosting Resource Utilization of Transient Offline Tasks
Yingying Wen, Yingzhi Chu, Zhongyu Wang, Zhecheng Lin, Fan Jiang, Wu Xiang and Rui Shi
PAOSC: Plug-and-play Attention Optimization for Semantic Consistency in LLMs
Chang Li, Yawei Liu, Chun Long, Jing Zhao and Guanyao Du
Breaking Semantic-Aware Watermarks via LLM-Guided Coherence-Preserving Semantic Injection
Zheng Gao, Xiaoyu Li, Zhicheng Bao, Xiaoyan Feng and Jiaojiao Jiang
Anonymous Linear Bandits for Multi-User Systems
Mohammad Reza Badri, Hossein Esfandiari, Samira Hossein Ghorban and Alireza Rezaeimoghadam
Efficient Learning of Sparse Representations from Interactions
Vojtech Vancura, Martin Spišák, Rodrigo Alves and Ladislav Peska
Back to the Future: Look-ahead Augmentation and Parallel Self-Refinement for Time Series Forecasting
Sunho Kim and Susik Yoon
CGPT: Cluster-Guided Partial Tables with LLM-Generated Supervision for Table Retrieval
Tsung-Hsiang Chou, Chen-Jui Yu, Shui-Hsiang Hsu and Yao-Chung Fan
EDTF: A Plug-and-Play Learning Framework for Estimated Delivery Time Task
Yichen Song, Jianfeng Zhou, Renhao Cao and Jian-Ya Ding
Understanding Post-Exploit Laundering Behavior on Ethereum
Xihan Xiong and Junliang Luo
HAUTE: Harmonizing Action Units with Temporal-contextual Embeddings for Deepfake Detection
Chaewon Kang, Youjin Lee and Jinyoung Han
</v>
      </c>
      <c r="D44" s="71" t="str">
        <f>IFERROR(__xludf.DUMMYFUNCTION("TEXTJOIN(CHAR(10), TRUE,FILTER('Research assignment'!$D:$D,'Research assignment'!$G:$G=D43))"),"Marketing Hosting: From Fixed to Endogenous Budgets
Bingzhe Wang, Tianyu Wang, Qi Qi, Xiaoxuan Deng, Zhilin
Zhang and Chuan Yu
Efficient and Fair Allocation on Graphs: From Orientation to Position-Aware Valuations
Bo Li, Ankang Sun and Shiji Xing
Data P"&amp;"ricing via Competitive Equilibrium
Bhaskar Chaudhury, Jugal Garg, Aniket Murhekar and Jiaxin
Song
Single-Sample Bilateral Trade with a Broker
Mohammadtaghi Hajiaghayi, Gary Peng and Suho Shin
Differentially Private Anonymous Bandits for Multi-User Syste"&amp;"ms
Mohammad Reza Badri, Hossein Esfandiari, Samira
Hosseinghorban and Alireza Rezaeimoghadam
Understanding Strategic Platform Entry and Seller Exploration: A Stackelberg Model
Garrett Seo, Xintong Wang and David Parkes
Stochastic Wage Suppression on Gig"&amp;" Platforms and How to Organize Against It
Ana-Andreea Stoica, Celestine Mendler-Duenner and Moritz
Hardt
")</f>
        <v>Marketing Hosting: From Fixed to Endogenous Budgets
Bingzhe Wang, Tianyu Wang, Qi Qi, Xiaoxuan Deng, Zhilin
Zhang and Chuan Yu
Efficient and Fair Allocation on Graphs: From Orientation to Position-Aware Valuations
Bo Li, Ankang Sun and Shiji Xing
Data Pricing via Competitive Equilibrium
Bhaskar Chaudhury, Jugal Garg, Aniket Murhekar and Jiaxin
Song
Single-Sample Bilateral Trade with a Broker
Mohammadtaghi Hajiaghayi, Gary Peng and Suho Shin
Differentially Private Anonymous Bandits for Multi-User Systems
Mohammad Reza Badri, Hossein Esfandiari, Samira
Hosseinghorban and Alireza Rezaeimoghadam
Understanding Strategic Platform Entry and Seller Exploration: A Stackelberg Model
Garrett Seo, Xintong Wang and David Parkes
Stochastic Wage Suppression on Gig Platforms and How to Organize Against It
Ana-Andreea Stoica, Celestine Mendler-Duenner and Moritz
Hardt
</v>
      </c>
      <c r="E44" s="71" t="str">
        <f>IFERROR(__xludf.DUMMYFUNCTION("TEXTJOIN(CHAR(10), TRUE,FILTER('Research assignment'!$D:$D,'Research assignment'!$G:$G=E43))"),"A Unified Graph Clustering Network
Renda Han, Xiaobao Wang, Longbiao Wang, Wenxin Zhang,
Ronghao Fu, Kaiming Wang, Zeyu Zhang and Kuntharrgyal Khysru
E$^2$SGNN: Reconciling Expression and Efficiency in Spiking Graph Neural Network
Han Zhao, Xu Yang, Chen"&amp;"g Deng and Fan Liu
Graph-to-Tree: Topological Decomposition for Self-Supervised Learning
Yejiang Wang, Yuhai Zhao, Fangting Li, Jiapu Wang, Meixia
Wang, Ling Li, Miaomiao Huang, Zhengkui Wang and Shirui Pan
Revisiting Graph-Level Anomaly Detection: From"&amp;" Partially to Fully Unsupervised Learning
Zhenyu Yang, Ge Zhang, Shan Xue, Xiaoxiao Ma, Jian Yang,
Hao Peng, Amin Beheshti and Jia Wu
FedCND: Federated Graph-Level Clustering under Inter-Client Cluster Number Discrepancy
Junlong Wu, Renda Han, Wenxuan Tu"&amp;", Jingxin Liu, Haotian
Wang and Jieren Cheng
SCOUT: Structure-Aware Aspect and Anchor-Count Selection for Node Attribute Augmentation via Positional Information
Dong-Hyuk Seo, Sein Kim, Taeri Kim, Won-Yong Shin and
Sang-Wook Kim
Breaking the Scalability"&amp;" Barrier in Constrained Graph-Based Networked Control via Decision-Focused Learning
Zhaoxing Yang, Yuchen Guo, Wenlong Li, Guiyun Fan, Haiming
Jin and Linghe Kong
Invariant Learning on Heterogeneous Graphs via Subgraph Environment Inference
Yanghui Fu, Y"&amp;"unfei Wang, Hao Zou, Yue He, Haotian Wang,
Qing Cheng, Guangquan Cheng and Shixuan Liu
ScaleGNN: Towards Scalable Graph Neural Networks via Adaptive High-order Neighboring Feature Fusion
Xiang Li, Jianpeng Qi, Haobing Liu, Yuan Cao, Guoqing Chao,
Zhongyi"&amp;"ng Zhao, Junyu Dong, Xinwang Liu and Yanwei Yu
Weighted Graph Clustering via Scale Contraction and Graph Structure Learning
Haobing Liu, Yinuo Zhang, Tingting Wang, Ruobing Jiang and
Yanwei Yu
")</f>
        <v>A Unified Graph Clustering Network
Renda Han, Xiaobao Wang, Longbiao Wang, Wenxin Zhang,
Ronghao Fu, Kaiming Wang, Zeyu Zhang and Kuntharrgyal Khysru
E$^2$SGNN: Reconciling Expression and Efficiency in Spiking Graph Neural Network
Han Zhao, Xu Yang, Cheng Deng and Fan Liu
Graph-to-Tree: Topological Decomposition for Self-Supervised Learning
Yejiang Wang, Yuhai Zhao, Fangting Li, Jiapu Wang, Meixia
Wang, Ling Li, Miaomiao Huang, Zhengkui Wang and Shirui Pan
Revisiting Graph-Level Anomaly Detection: From Partially to Fully Unsupervised Learning
Zhenyu Yang, Ge Zhang, Shan Xue, Xiaoxiao Ma, Jian Yang,
Hao Peng, Amin Beheshti and Jia Wu
FedCND: Federated Graph-Level Clustering under Inter-Client Cluster Number Discrepancy
Junlong Wu, Renda Han, Wenxuan Tu, Jingxin Liu, Haotian
Wang and Jieren Cheng
SCOUT: Structure-Aware Aspect and Anchor-Count Selection for Node Attribute Augmentation via Positional Information
Dong-Hyuk Seo, Sein Kim, Taeri Kim, Won-Yong Shin and
Sang-Wook Kim
Breaking the Scalability Barrier in Constrained Graph-Based Networked Control via Decision-Focused Learning
Zhaoxing Yang, Yuchen Guo, Wenlong Li, Guiyun Fan, Haiming
Jin and Linghe Kong
Invariant Learning on Heterogeneous Graphs via Subgraph Environment Inference
Yanghui Fu, Yunfei Wang, Hao Zou, Yue He, Haotian Wang,
Qing Cheng, Guangquan Cheng and Shixuan Liu
ScaleGNN: Towards Scalable Graph Neural Networks via Adaptive High-order Neighboring Feature Fusion
Xiang Li, Jianpeng Qi, Haobing Liu, Yuan Cao, Guoqing Chao,
Zhongying Zhao, Junyu Dong, Xinwang Liu and Yanwei Yu
Weighted Graph Clustering via Scale Contraction and Graph Structure Learning
Haobing Liu, Yinuo Zhang, Tingting Wang, Ruobing Jiang and
Yanwei Yu
</v>
      </c>
      <c r="F44" s="71" t="str">
        <f>IFERROR(__xludf.DUMMYFUNCTION("TEXTJOIN(CHAR(10), TRUE,FILTER('Research assignment'!$D:$D,'Research assignment'!$G:$G=F43))"),"Are LLM Web Search Engines Sustainable? A Web-Measurement Study of Real-Time Fetching
Abdur-Rahman Ibrahim Sayyid-Ali, Daanish Uddin Khan and
Naveed Bhatti
A Fact-Checking Framework with Denoising Evidence Retrieval and LLM-Based Debate Verification
Jun "&amp;"Yang, Bai Yuhan, Dandan Song, Zhijing Wu and Yuhang Tian
Conflict-Aware RAG: Multi-Stage Learning with Conflict Signals for Robust Retrieval-Augmented Generation
Haiyan Wu, Chenchen Wang, Chaoqun Sun, Chengxiong Lu,
Zhiqiang Zhang and Yanhong Chen
IRAG:"&amp;" Robust Multimodal Retrieval-Augmented Generation via Hazard Separation
Ruikun Luo, Zixiao Feng, Lin Gu and Xiaoyu Xia
Towards Open-World Retrieval-Augmented Generation on Knowledge Graph: A Multi-Agent Collaboration Framework
Jiasheng Xu, Mingda Li, Yon"&amp;"gqiang Tang, Peijie Wang and
Wensheng Zhang
HL-CMR: Hypergraph Learning for Cross-Modal Retrieval
Guohui Ding, Jing Li, Yimin Xu and Rui Zhou
")</f>
        <v>Are LLM Web Search Engines Sustainable? A Web-Measurement Study of Real-Time Fetching
Abdur-Rahman Ibrahim Sayyid-Ali, Daanish Uddin Khan and
Naveed Bhatti
A Fact-Checking Framework with Denoising Evidence Retrieval and LLM-Based Debate Verification
Jun Yang, Bai Yuhan, Dandan Song, Zhijing Wu and Yuhang Tian
Conflict-Aware RAG: Multi-Stage Learning with Conflict Signals for Robust Retrieval-Augmented Generation
Haiyan Wu, Chenchen Wang, Chaoqun Sun, Chengxiong Lu,
Zhiqiang Zhang and Yanhong Chen
IRAG: Robust Multimodal Retrieval-Augmented Generation via Hazard Separation
Ruikun Luo, Zixiao Feng, Lin Gu and Xiaoyu Xia
Towards Open-World Retrieval-Augmented Generation on Knowledge Graph: A Multi-Agent Collaboration Framework
Jiasheng Xu, Mingda Li, Yongqiang Tang, Peijie Wang and
Wensheng Zhang
HL-CMR: Hypergraph Learning for Cross-Modal Retrieval
Guohui Ding, Jing Li, Yimin Xu and Rui Zhou
</v>
      </c>
      <c r="G44" s="71" t="str">
        <f>IFERROR(__xludf.DUMMYFUNCTION("TEXTJOIN(CHAR(10), TRUE,FILTER('Research assignment'!$D:$D,'Research assignment'!$G:$G=G43))"),"MARCH: Multi-Teacher Contrastive Hypergraph Distillation
Rongwei Xu, Zitai Qiu, Pengfei Ding, Jia Wu, Yan Wang, Amin
Beheshti and Guanfeng Liu
Missingness-aware Federated Contrastive Learning on Semantic Graphs
Shuo Yu, Zhuoyang Han, Guoqing Han, Tao Tan"&amp;"g, Feng Ding and
Qiang Zhang
Adaptive Multi-Interaction Web Semantic Graph Representation
Feng Ding, Tingting Wang, Ruolin Li, Ying Jin, Junxiang
Zhang, Shan Jin, Yicong Li and Xin Ye
Counterfactual Augmented Causal Reasoning for Aspect-Based Sentiment "&amp;"Analysis
Yiming Wu, Liang Hu, Mingzhu Zhou, Tangwei Ye, Xuejie Yang,
Xun Yang, Zhongyuan Lai, Qi Zhang and Usman Naseem
S-Path-RAG: Semantic-Aware Shortest-Path Retrieval Augmented Generation for Multi-Hop Knowledge Graph Question Answering
Rong Fu, Yemi"&amp;"n Wang, Tianxiang Xu, Yongtai Liu, Weizhi
Tang, Wangyu Wu, Xiaowen Ma and Simon Fong
Harnessing LLM for Noise-Robust Cognitive Diagnosis in Web-Based Intelligent Education Systems
Guixian Zhang, Guan Yuan, Ziqi Xu, Yanmei Zhang, Jing Ren,
Zhenyun Deng an"&amp;"d Debo Cheng
DTransKT: A Dual Transferable Knowledge Tracing Framework for Cross-Disciplinary Self-Adaptation
Kun Liang, Jiake Ge, Xin Wang and Yiying Zhang
DRMD: Explainable Depression Detection Based on Metaphorical Conceptual Mapping
Dongyu Zhang, Wa"&amp;"nqiu Liao, Weichen Hu and Hongfei Lin
")</f>
        <v>MARCH: Multi-Teacher Contrastive Hypergraph Distillation
Rongwei Xu, Zitai Qiu, Pengfei Ding, Jia Wu, Yan Wang, Amin
Beheshti and Guanfeng Liu
Missingness-aware Federated Contrastive Learning on Semantic Graphs
Shuo Yu, Zhuoyang Han, Guoqing Han, Tao Tang, Feng Ding and
Qiang Zhang
Adaptive Multi-Interaction Web Semantic Graph Representation
Feng Ding, Tingting Wang, Ruolin Li, Ying Jin, Junxiang
Zhang, Shan Jin, Yicong Li and Xin Ye
Counterfactual Augmented Causal Reasoning for Aspect-Based Sentiment Analysis
Yiming Wu, Liang Hu, Mingzhu Zhou, Tangwei Ye, Xuejie Yang,
Xun Yang, Zhongyuan Lai, Qi Zhang and Usman Naseem
S-Path-RAG: Semantic-Aware Shortest-Path Retrieval Augmented Generation for Multi-Hop Knowledge Graph Question Answering
Rong Fu, Yemin Wang, Tianxiang Xu, Yongtai Liu, Weizhi
Tang, Wangyu Wu, Xiaowen Ma and Simon Fong
Harnessing LLM for Noise-Robust Cognitive Diagnosis in Web-Based Intelligent Education Systems
Guixian Zhang, Guan Yuan, Ziqi Xu, Yanmei Zhang, Jing Ren,
Zhenyun Deng and Debo Cheng
DTransKT: A Dual Transferable Knowledge Tracing Framework for Cross-Disciplinary Self-Adaptation
Kun Liang, Jiake Ge, Xin Wang and Yiying Zhang
DRMD: Explainable Depression Detection Based on Metaphorical Conceptual Mapping
Dongyu Zhang, Wanqiu Liao, Weichen Hu and Hongfei Lin
</v>
      </c>
      <c r="H44" s="71" t="str">
        <f>IFERROR(__xludf.DUMMYFUNCTION("TEXTJOIN(CHAR(10), TRUE,FILTER('Research assignment'!$D:$D,'Research assignment'!$G:$G=H43))"),"Unveiling the Resilience of LLM-Enhanced Search Engines against Black-Hat SEO Manipulation
Pei Chen, Geng Hong, Xinyi Wu, Mengying Wu, Zixuan Zhu,
Mingxuan Liu, Baojun Liu, Mi Zhang and Min Yang
Beyond Detection: Autonomous Anomaly Remediation for MCP Ag"&amp;"ainst Tool Poisoning Attacks
Zhiqiang Wang, Guanquan Shi, Yanting Wang, Yichao Gao,
Hongsen Lang, Yunhao Yao, Haohua Du and Xiang-Yang Li
On the Effectiveness of Mempool-based Transaction Auditing
Jannik Albrecht and Ghassan Karame
Too Much Sharing, Too"&amp;" Little Security: Authentication Cookie Theft At Scale
Tobias Gattermayer and Haya Schulmann
DIARY: Differentially Private Recovery with Adaptive Privacy Budgets in Federated Unlearning
Hengzhi Wang, Lu Dai, Xianliang Zhang, Haoran Chen,
Juncheng Hu and "&amp;"Kun Yang
ShadowClone: Scalable Decentralized Identity with Cross-Domain Anonymity and Accountable Traceability
Yizhong Liu, Zedan Zhao, Boyu Zhao, Na Wang, Haojun Tan and
Jianwei Liu
DeepUL: Deep Unlearning via Model Sparsity
Zhigao Zheng, Kai Yin, Yaow"&amp;"en Kuang, Tao Wang, Yahong Chen,
Shihong Yao and Hao Huang
DSSmoothing: Toward Certified Dataset Ownership Verification for Pre-trained Language Models via Dual-Space Smoothing
Ting Qiao, Xing Liu, Wenke Huang, Jianbin Li, Zhaoxin Fan
and Yiming Li
ARul"&amp;"eCon: Agentic Security Rule Conversion
Ming Xu, Hongtai Wang, Yanpei Guo, Zhengmin Yu, Weili Han,
Hoon Wei Lim, Jin Song Dong and Jiaheng Zhang
")</f>
        <v>Unveiling the Resilience of LLM-Enhanced Search Engines against Black-Hat SEO Manipulation
Pei Chen, Geng Hong, Xinyi Wu, Mengying Wu, Zixuan Zhu,
Mingxuan Liu, Baojun Liu, Mi Zhang and Min Yang
Beyond Detection: Autonomous Anomaly Remediation for MCP Against Tool Poisoning Attacks
Zhiqiang Wang, Guanquan Shi, Yanting Wang, Yichao Gao,
Hongsen Lang, Yunhao Yao, Haohua Du and Xiang-Yang Li
On the Effectiveness of Mempool-based Transaction Auditing
Jannik Albrecht and Ghassan Karame
Too Much Sharing, Too Little Security: Authentication Cookie Theft At Scale
Tobias Gattermayer and Haya Schulmann
DIARY: Differentially Private Recovery with Adaptive Privacy Budgets in Federated Unlearning
Hengzhi Wang, Lu Dai, Xianliang Zhang, Haoran Chen,
Juncheng Hu and Kun Yang
ShadowClone: Scalable Decentralized Identity with Cross-Domain Anonymity and Accountable Traceability
Yizhong Liu, Zedan Zhao, Boyu Zhao, Na Wang, Haojun Tan and
Jianwei Liu
DeepUL: Deep Unlearning via Model Sparsity
Zhigao Zheng, Kai Yin, Yaowen Kuang, Tao Wang, Yahong Chen,
Shihong Yao and Hao Huang
DSSmoothing: Toward Certified Dataset Ownership Verification for Pre-trained Language Models via Dual-Space Smoothing
Ting Qiao, Xing Liu, Wenke Huang, Jianbin Li, Zhaoxin Fan
and Yiming Li
ARuleCon: Agentic Security Rule Conversion
Ming Xu, Hongtai Wang, Yanpei Guo, Zhengmin Yu, Weili Han,
Hoon Wei Lim, Jin Song Dong and Jiaheng Zhang
</v>
      </c>
      <c r="I44" s="71" t="str">
        <f>IFERROR(__xludf.DUMMYFUNCTION("TEXTJOIN(CHAR(10), TRUE,FILTER('Research assignment'!$D:$D,'Research assignment'!$G:$G=I43))"),"Unicoon: Hypergraph-based Multi-Agent Simulation of Information Cocoons
Chunyu Wei, Tu Yongsiqi and Yunhai Wang
Prism: Towards Lowering User Cognitive Load in LLMs via Complex Intent Understanding
Zenghua Liao, Jinzhi Liao and Xiang Zhao
TGSBM: Transfor"&amp;"mer-Guided Stochastic Block Model for Link Prediction
Zhejian Yang, Songwei Zhao, Zilin Zhao and Hechang Chen
LAPS: A Lightweight Privilege-Allocation Prompting Framework for Source Localization
Hengrui Cui, Yang Fang, Yuehang Cao and Xiang Zhao
Securin"&amp;"g Your Place in the Review Network: A Dynamic Embeddedness-aware Graph Neural Network for Restaurant Survival Prediction
Yilong Zang, Hengyun Li, Xinbo Yu and Liangfei Qiu
")</f>
        <v>Unicoon: Hypergraph-based Multi-Agent Simulation of Information Cocoons
Chunyu Wei, Tu Yongsiqi and Yunhai Wang
Prism: Towards Lowering User Cognitive Load in LLMs via Complex Intent Understanding
Zenghua Liao, Jinzhi Liao and Xiang Zhao
TGSBM: Transformer-Guided Stochastic Block Model for Link Prediction
Zhejian Yang, Songwei Zhao, Zilin Zhao and Hechang Chen
LAPS: A Lightweight Privilege-Allocation Prompting Framework for Source Localization
Hengrui Cui, Yang Fang, Yuehang Cao and Xiang Zhao
Securing Your Place in the Review Network: A Dynamic Embeddedness-aware Graph Neural Network for Restaurant Survival Prediction
Yilong Zang, Hengyun Li, Xinbo Yu and Liangfei Qiu
</v>
      </c>
      <c r="J44" s="71" t="str">
        <f>IFERROR(__xludf.DUMMYFUNCTION("TEXTJOIN(CHAR(10), TRUE,FILTER('Research assignment'!$D:$D,'Research assignment'!$G:$G=J43))"),"ViTs: Teaching Machines to See Time Series Anomalies Like Human Experts
Zexin Wang, Changhua Pei, Yang Liu, Hengyue Jiang, Quan
Zhou, Haotian Si, Hang Cui, Jianhui Li, Gaogang Xie,
Jingjing Li and Dan Pei
FSDI: Frequency-Shaped Diffusion For Time-Series "&amp;"Imputation
Wangmeng Shen, Hongfan Gao, Qingsong Zhong, Dingli Xu and
Jilin Hu
Automated Model Selection for Multivariate Time Series Forecasting
Xiaoxuan Fan, Jiaqi Sun, Xianjun Deng, Qiankun Zhang, Wei
Xiang, Shenghao Liu and Lingzhi Yi
Energy-Efficien"&amp;"t and Dequantization-Free Quantization of LLMs: A Spiking Neural Network Approach to Salient Value Mitigation
Chenyu Wang, Zhanglu Yan, Zhi Zhou, Xu Chen and Weng-Fai
Wong
Enhancing Federated Class-Incremental Learning via Spatial-Temporal Statistics Agg"&amp;"regation
Zenghao Guan, Guojun Zhu, Yucan Zhou, Wu Liu, Weiping Wang,
Jiebo Luo and Xiaoyan Gu
Starlink in the Wild: Multi-Perspective Measurements via DNS
Ruoxuan Xia, Bingyu Li, Zhenyu Chen, Pengyu Yuan, Yunjia
Wang, Xiaofeng Zheng and Jingqiang Lin
")</f>
        <v>ViTs: Teaching Machines to See Time Series Anomalies Like Human Experts
Zexin Wang, Changhua Pei, Yang Liu, Hengyue Jiang, Quan
Zhou, Haotian Si, Hang Cui, Jianhui Li, Gaogang Xie,
Jingjing Li and Dan Pei
FSDI: Frequency-Shaped Diffusion For Time-Series Imputation
Wangmeng Shen, Hongfan Gao, Qingsong Zhong, Dingli Xu and
Jilin Hu
Automated Model Selection for Multivariate Time Series Forecasting
Xiaoxuan Fan, Jiaqi Sun, Xianjun Deng, Qiankun Zhang, Wei
Xiang, Shenghao Liu and Lingzhi Yi
Energy-Efficient and Dequantization-Free Quantization of LLMs: A Spiking Neural Network Approach to Salient Value Mitigation
Chenyu Wang, Zhanglu Yan, Zhi Zhou, Xu Chen and Weng-Fai
Wong
Enhancing Federated Class-Incremental Learning via Spatial-Temporal Statistics Aggregation
Zenghao Guan, Guojun Zhu, Yucan Zhou, Wu Liu, Weiping Wang,
Jiebo Luo and Xiaoyan Gu
Starlink in the Wild: Multi-Perspective Measurements via DNS
Ruoxuan Xia, Bingyu Li, Zhenyu Chen, Pengyu Yuan, Yunjia
Wang, Xiaofeng Zheng and Jingqiang Lin
</v>
      </c>
      <c r="K44" s="71" t="str">
        <f>IFERROR(__xludf.DUMMYFUNCTION("TEXTJOIN(CHAR(10), TRUE,FILTER('Research assignment'!$D:$D,'Research assignment'!$G:$G=K43))"),"From Prediction to Understanding: Leveraging Reasoning in Large Language Model-based Recommendations
Zhi-Yuan Chen, Siyu Lu, Qiang Liu, Xingxing Wang and Yankai
Lin
Generative Regression Based Watch Time Prediction for Short-Video Recommendation
Hongxu M"&amp;"a, Kai Tian, Tao Zhang, Xuefeng Zhang, Han Zhou,
Chenghou Jin, Chunjie Chen, Han Li, Jihong Guan and
Shuigeng Zhou
FeDecider: An LLM-Based Framework for Federated Cross-Domain Recommendation
Xinrui He, Ting-Wei Li, Tianxin Wei, Xuying Ning, Xinyu He,
Wen"&amp;"xuan Bao, Hanghang Tong and Jingrui He
Joint Similar User Exploration and Informative Behavior Guidance for Multi-Modal New Item Recommendation
Jianye Xie, Lianyong Qi, Weiming Liu, Anqi Wang, Xiaolong
Xu, Haolong Xiang, Xuyun Zhang, Wenwen Gong, Yang Zh"&amp;"ang,
Amin Beheshti and Wanchun Dou
ScotRec: Social Chain-of-Thought LLM Reasoning for Recommendation
Kaibei Li, Jie Zou, Qika Lin, Weikang Guo, Qinyang He and
Yang Yang
Modeling Cascaded Delay Feedback for Online Net Conversion Rate Prediction: Benchmar"&amp;"k, Insights and Solutions
Mingxuan Luo, Guipeng Xv, Sishuo Chen, Xinyu Li, Li Zhang,
Zhangming Chan, Xiang-Rong Sheng, Han Zhu, Jian Xu, Bo
Zheng and Chen Lin
Diversity-Augmented Negative Sampling for Implicit Collaborative Filtering
Yueqing Xuan, Kacper"&amp;" Sokol, Mark Sanderson and Jeffrey Chan
Delayed Feedback Modeling for Post-Click Gross Merchandise Volume Prediction: Benchmark, Insights and Approaches
Xinyu Li, Sishuo Chen, Guipeng Xv, Li Zhang, Mingxuan Luo,
Zhangming Chan, Xiang-Rong Sheng, Han Zhu,"&amp;" Jian Xu and Chen
Lin
AlphaFree: Recommendation Free from Users, IDs, and GNNs
Minseo Jeon, Junwoo Jung, Daewon Gwak and Jinhong Jung
Same Last-Item Confusion Unveiled: A Unified Mitigation Framework for Graph Learning in Session-Based Recommendation
Ji"&amp;"npeng Chen, Jianxiang He, Yuan Cao, Huan Li, Zhenye Yang,
Kaimin Wei, Xiongnan Jin, Senzhang Wang and Weiping Tu
R2NS: Recall and Re-ranking of Negative Samples for Sequential Recommendation
Yuanzi Li, Xuri Ge, Jingyu Zhao, Yidan Wang, Jiyuan Yang,
Zhumi"&amp;"n Chen, Zhaochun Ren and Xin Xin
DynaMoLTV: A Cross-Game Dynamic Mixture Model with Weighted Sub-Distributions for Player Lifetime Value Prediction
Furen Xu, Jie Zhang, Kai Jiang, Chengxiang Zhuo and Zang Li
")</f>
        <v>From Prediction to Understanding: Leveraging Reasoning in Large Language Model-based Recommendations
Zhi-Yuan Chen, Siyu Lu, Qiang Liu, Xingxing Wang and Yankai
Lin
Generative Regression Based Watch Time Prediction for Short-Video Recommendation
Hongxu Ma, Kai Tian, Tao Zhang, Xuefeng Zhang, Han Zhou,
Chenghou Jin, Chunjie Chen, Han Li, Jihong Guan and
Shuigeng Zhou
FeDecider: An LLM-Based Framework for Federated Cross-Domain Recommendation
Xinrui He, Ting-Wei Li, Tianxin Wei, Xuying Ning, Xinyu He,
Wenxuan Bao, Hanghang Tong and Jingrui He
Joint Similar User Exploration and Informative Behavior Guidance for Multi-Modal New Item Recommendation
Jianye Xie, Lianyong Qi, Weiming Liu, Anqi Wang, Xiaolong
Xu, Haolong Xiang, Xuyun Zhang, Wenwen Gong, Yang Zhang,
Amin Beheshti and Wanchun Dou
ScotRec: Social Chain-of-Thought LLM Reasoning for Recommendation
Kaibei Li, Jie Zou, Qika Lin, Weikang Guo, Qinyang He and
Yang Yang
Modeling Cascaded Delay Feedback for Online Net Conversion Rate Prediction: Benchmark, Insights and Solutions
Mingxuan Luo, Guipeng Xv, Sishuo Chen, Xinyu Li, Li Zhang,
Zhangming Chan, Xiang-Rong Sheng, Han Zhu, Jian Xu, Bo
Zheng and Chen Lin
Diversity-Augmented Negative Sampling for Implicit Collaborative Filtering
Yueqing Xuan, Kacper Sokol, Mark Sanderson and Jeffrey Chan
Delayed Feedback Modeling for Post-Click Gross Merchandise Volume Prediction: Benchmark, Insights and Approaches
Xinyu Li, Sishuo Chen, Guipeng Xv, Li Zhang, Mingxuan Luo,
Zhangming Chan, Xiang-Rong Sheng, Han Zhu, Jian Xu and Chen
Lin
AlphaFree: Recommendation Free from Users, IDs, and GNNs
Minseo Jeon, Junwoo Jung, Daewon Gwak and Jinhong Jung
Same Last-Item Confusion Unveiled: A Unified Mitigation Framework for Graph Learning in Session-Based Recommendation
Jinpeng Chen, Jianxiang He, Yuan Cao, Huan Li, Zhenye Yang,
Kaimin Wei, Xiongnan Jin, Senzhang Wang and Weiping Tu
R2NS: Recall and Re-ranking of Negative Samples for Sequential Recommendation
Yuanzi Li, Xuri Ge, Jingyu Zhao, Yidan Wang, Jiyuan Yang,
Zhumin Chen, Zhaochun Ren and Xin Xin
DynaMoLTV: A Cross-Game Dynamic Mixture Model with Weighted Sub-Distributions for Player Lifetime Value Prediction
Furen Xu, Jie Zhang, Kai Jiang, Chengxiang Zhuo and Zang Li
</v>
      </c>
      <c r="L44" s="71" t="str">
        <f>IFERROR(__xludf.DUMMYFUNCTION("TEXTJOIN(CHAR(10), TRUE,FILTER('Research assignment'!$D:$D,'Research assignment'!$G:$G=L43))"),"Fusion Is Not A Simple Ensemble! Towards The Evolving Views in Insider Threat Detection
Chengyu Song, Lin Yang, Jianming Zheng, Jingjing Zhang,
Hongyu Kuang, Jinzhi Liao and Mengchun Zhao
Diffusion Generative Recommendation with Continuous Tokens
Haohao "&amp;"Qu, Shanru Lin, Yujuan Ding, Yiqi Wang and Wenqi Fan
EEO-TFV: Escape-Explore Optimizer for Web-Scale Time-Series Forecasting and Vision Analysis
Hua Wang, Jinghao Lu and Fan Zhang
Towards Multi-Label Text Interpretation with Chain-of-Thought Prompting a"&amp;"nd Contextualized Knowledge
Rui Wang, Ziang Li, Haiping Huang, Jialin Yu, Yuxiang Zhou
and Guozi Sun
Evolving Proxy Kills Drift: Data-Efficient Streaming Time Series Anomaly Detection
Qing Wei, Hao Miao, Yan Zhao, Kai Zheng, Bin Yang, Volker
Markl and Ch"&amp;"ristian S. Jensen
Shift-Resilient Diffusive Imputation for Variable Subset Forecasting
Haihua Xu, Qi Hao, He Zhang, Jianpeng Zhao, Ziyue Qiao, Lu
Jiang, Pengfei Wang, Yingjie Zhou and Pengyang Wang
Leveraging LLM and Multiscale Knowledge States to Impro"&amp;"ve Knowledge Tracing in Programming Tasks
Mingxing Shao, Tiancheng Zhang, Yifang Yin, Wenhui Wu,
Zikai Li, Minghe Yu, Fangling Leng and Ge Yu
Re-Diffusion: Modeling Latent Residuals with Diffusion for Time-Series Forecasting
Boning Zhang, Haishuai Wang, "&amp;"Zehong Hu, Jiajun Wang, Hongyi
Zhang and Jia Jia
")</f>
        <v>Fusion Is Not A Simple Ensemble! Towards The Evolving Views in Insider Threat Detection
Chengyu Song, Lin Yang, Jianming Zheng, Jingjing Zhang,
Hongyu Kuang, Jinzhi Liao and Mengchun Zhao
Diffusion Generative Recommendation with Continuous Tokens
Haohao Qu, Shanru Lin, Yujuan Ding, Yiqi Wang and Wenqi Fan
EEO-TFV: Escape-Explore Optimizer for Web-Scale Time-Series Forecasting and Vision Analysis
Hua Wang, Jinghao Lu and Fan Zhang
Towards Multi-Label Text Interpretation with Chain-of-Thought Prompting and Contextualized Knowledge
Rui Wang, Ziang Li, Haiping Huang, Jialin Yu, Yuxiang Zhou
and Guozi Sun
Evolving Proxy Kills Drift: Data-Efficient Streaming Time Series Anomaly Detection
Qing Wei, Hao Miao, Yan Zhao, Kai Zheng, Bin Yang, Volker
Markl and Christian S. Jensen
Shift-Resilient Diffusive Imputation for Variable Subset Forecasting
Haihua Xu, Qi Hao, He Zhang, Jianpeng Zhao, Ziyue Qiao, Lu
Jiang, Pengfei Wang, Yingjie Zhou and Pengyang Wang
Leveraging LLM and Multiscale Knowledge States to Improve Knowledge Tracing in Programming Tasks
Mingxing Shao, Tiancheng Zhang, Yifang Yin, Wenhui Wu,
Zikai Li, Minghe Yu, Fangling Leng and Ge Yu
Re-Diffusion: Modeling Latent Residuals with Diffusion for Time-Series Forecasting
Boning Zhang, Haishuai Wang, Zehong Hu, Jiajun Wang, Hongyi
Zhang and Jia Jia
</v>
      </c>
      <c r="M44" s="71" t="str">
        <f>IFERROR(__xludf.DUMMYFUNCTION("TEXTJOIN(CHAR(10), TRUE,FILTER('Industry assignment'!$D:$D,'Industry assignment'!$G:$G=M43))"),"LSIG: Long Semantic IDs for Generative Recommendation
Zhao Li, FengYang Qi, Chuanyu Xu, Tao Zhang, Chengfu Huo and Peng Zhang
iQ-Guard: An Effective and Noise-Resistant Framework for Graph Fraud Detection on iQIYI Platform
Yuting Huang, Ziquan Fang, Zhen"&amp;"gjie Zhou, Tinghui Luo, Lu Chen, Surun Ji, Huimei Zheng, Mingfan Lu, Fangshu Chen and Yunjun Gao
Warmer for Less: A Cost-Efficient Strategy for Cold-Start Recommendations at Pinterest
Saeed Ebrahimi, Weijie Jiang, Jaewon Yang, Olafur Gudmundsson, Yucheng"&amp;" Tu and Huizhong Duan
")</f>
        <v>LSIG: Long Semantic IDs for Generative Recommendation
Zhao Li, FengYang Qi, Chuanyu Xu, Tao Zhang, Chengfu Huo and Peng Zhang
iQ-Guard: An Effective and Noise-Resistant Framework for Graph Fraud Detection on iQIYI Platform
Yuting Huang, Ziquan Fang, Zhengjie Zhou, Tinghui Luo, Lu Chen, Surun Ji, Huimei Zheng, Mingfan Lu, Fangshu Chen and Yunjun Gao
Warmer for Less: A Cost-Efficient Strategy for Cold-Start Recommendations at Pinterest
Saeed Ebrahimi, Weijie Jiang, Jaewon Yang, Olafur Gudmundsson, Yucheng Tu and Huizhong Duan
</v>
      </c>
      <c r="N44" s="71" t="str">
        <f>IFERROR(__xludf.DUMMYFUNCTION("TEXTJOIN(CHAR(10), TRUE,FILTER('Web4Good assignment'!$D:$D,'Web4Good assignment'!$G:$G=N43))"),"STPWR: A Spatiotemporal Prediction-based Worker Pre-Recruitment Framework for Mobile Crowd Sensing
Guisong Yang, Yuchen Yang, Yunbo Shen, Xingyu He, Jianheng Tang, Yunhuai Liu and Chengji Xu
SAGE: Sustainable Agent-Guided Expert-tuning for Culturally Att"&amp;"uned Translation in Low-Resource Southeast Asia
Zhixiang Lu, Chong Zhang, Yulong Li, Angelos Stefanidis, Anh Nguyen, Imran Razzak, Jionglong Su and Zhengyong Jiang
Genomic-Informed Heterogeneous Graph Learning for Spatiotemporal Avian Influenza Outbreak "&amp;"Forecasting
Jing Du, Haley Stone, Yang Yang, Ashna Desai, Hao Xue, Andreas Züfle, C. Raina MacIntyre and Flora D. Salim
LEAP: LLM-Enhanced E-commerce Demand Prediction under Emergent Events
Shuxin Zhong, Hongyu Lin, Yan Fang, Jun Chen and Kaishun Wu
Fro"&amp;"m Native Memes to Global Moderation: Cross-Cultural Evaluation of Vision–Language Models for Hateful Meme Detection
Mo Wang, Kaixuan Ren, Pratik Jalan, Ahmed Ashraf, Tuong Vy Vu, Rahul Seetharaman, Shah Nawaz and Usman Naseem
Kardia-R1: Unleashing LLMs t"&amp;"o Reason toward Understanding and Empathy for Emotional Support via Rubric-as-Judge Reinforcement Learning
Jiahao Yuan, Zhiqing Cui, Hanqing Wang, Yuansheng Gao, Yucheng Zhou and Usman Naseem
AgriGPT-Omni: A Unified Speech–Vision–Text Framework for Multi"&amp;"lingual Agricultural Intelligence
Bo Yang, Lanfei Feng, Yunkui Chen, Yu Zhang, Jianyu Zhang, Xiao Xu, Nueraili Aierken and Shijian Li
S²KT:Modeling Uncertainty in Knowledge Tracing via Semantic-aware Structured Gaussian Distributions
Wenhui Wu, Tiancheng"&amp;" Zhang, Hengyu Liu, Lun Du, Zikai Li, Mingxing Shao, Minghe Yu, Yifang Yin and Ge Yu
WED-Net: A Weather-Effect Disentanglement Network with Causal Augmentation for Urban Flow Prediction
Qian Hong, Siyuan Chang and Xiao Zhou
Enhancing Content Moderation "&amp;"with LLMs: A Reddit Case Study on Evaluating and Refining Human Decisions
Jiahui He, Yiluo Wei and Gareth Tyson
Mitigating Fine-tuning Bias: A Parameter-Efficient Debiasing Framework for Large Language Models
Qiuyu Li, Kun Zhang, Le Wu, Hao Liu, Hefei Xu"&amp;", Xin Li and Si Wei
AlignCP: Noise-Aware Preference Alignment for LLMs via Confidence and Polarity Reweighting
Chen Cheng, Hefei Xu and Le Wu
Bringing Reasoning to Generative Recommendation Through the Lens of Cascaded Ranking
Xinyu Lin, Pengyuan Liu, W"&amp;"enjie Wang, Yicheng Hu, Chen Xu, Fuli Feng, Qifan Wang and Tat-Seng Chua
AMID: Model-Agnostic Dataset Distillation by Adversarial Mutual Information Minimization
Aoqi Wu, Junming Liu, Yuwei Zhang, Weiquan Huang, Liang Hu, Yifan Yang, Qi Zhang, Jiaxing Mi"&amp;"ao, Yuhan Tang and Zhongyuan Lai
From Insight to Intervention: Interpretable Neuron Steering for Controlling Popularity Bias in Recommender Systems
Parviz Ahmadov and Masoud Mansoury
")</f>
        <v>STPWR: A Spatiotemporal Prediction-based Worker Pre-Recruitment Framework for Mobile Crowd Sensing
Guisong Yang, Yuchen Yang, Yunbo Shen, Xingyu He, Jianheng Tang, Yunhuai Liu and Chengji Xu
SAGE: Sustainable Agent-Guided Expert-tuning for Culturally Attuned Translation in Low-Resource Southeast Asia
Zhixiang Lu, Chong Zhang, Yulong Li, Angelos Stefanidis, Anh Nguyen, Imran Razzak, Jionglong Su and Zhengyong Jiang
Genomic-Informed Heterogeneous Graph Learning for Spatiotemporal Avian Influenza Outbreak Forecasting
Jing Du, Haley Stone, Yang Yang, Ashna Desai, Hao Xue, Andreas Züfle, C. Raina MacIntyre and Flora D. Salim
LEAP: LLM-Enhanced E-commerce Demand Prediction under Emergent Events
Shuxin Zhong, Hongyu Lin, Yan Fang, Jun Chen and Kaishun Wu
From Native Memes to Global Moderation: Cross-Cultural Evaluation of Vision–Language Models for Hateful Meme Detection
Mo Wang, Kaixuan Ren, Pratik Jalan, Ahmed Ashraf, Tuong Vy Vu, Rahul Seetharaman, Shah Nawaz and Usman Naseem
Kardia-R1: Unleashing LLMs to Reason toward Understanding and Empathy for Emotional Support via Rubric-as-Judge Reinforcement Learning
Jiahao Yuan, Zhiqing Cui, Hanqing Wang, Yuansheng Gao, Yucheng Zhou and Usman Naseem
AgriGPT-Omni: A Unified Speech–Vision–Text Framework for Multilingual Agricultural Intelligence
Bo Yang, Lanfei Feng, Yunkui Chen, Yu Zhang, Jianyu Zhang, Xiao Xu, Nueraili Aierken and Shijian Li
S²KT:Modeling Uncertainty in Knowledge Tracing via Semantic-aware Structured Gaussian Distributions
Wenhui Wu, Tiancheng Zhang, Hengyu Liu, Lun Du, Zikai Li, Mingxing Shao, Minghe Yu, Yifang Yin and Ge Yu
WED-Net: A Weather-Effect Disentanglement Network with Causal Augmentation for Urban Flow Prediction
Qian Hong, Siyuan Chang and Xiao Zhou
Enhancing Content Moderation with LLMs: A Reddit Case Study on Evaluating and Refining Human Decisions
Jiahui He, Yiluo Wei and Gareth Tyson
Mitigating Fine-tuning Bias: A Parameter-Efficient Debiasing Framework for Large Language Models
Qiuyu Li, Kun Zhang, Le Wu, Hao Liu, Hefei Xu, Xin Li and Si Wei
AlignCP: Noise-Aware Preference Alignment for LLMs via Confidence and Polarity Reweighting
Chen Cheng, Hefei Xu and Le Wu
Bringing Reasoning to Generative Recommendation Through the Lens of Cascaded Ranking
Xinyu Lin, Pengyuan Liu, Wenjie Wang, Yicheng Hu, Chen Xu, Fuli Feng, Qifan Wang and Tat-Seng Chua
AMID: Model-Agnostic Dataset Distillation by Adversarial Mutual Information Minimization
Aoqi Wu, Junming Liu, Yuwei Zhang, Weiquan Huang, Liang Hu, Yifan Yang, Qi Zhang, Jiaxing Miao, Yuhan Tang and Zhongyuan Lai
From Insight to Intervention: Interpretable Neuron Steering for Controlling Popularity Bias in Recommender Systems
Parviz Ahmadov and Masoud Mansoury
</v>
      </c>
      <c r="O44" s="23"/>
      <c r="P44" s="23"/>
      <c r="Q44" s="23"/>
      <c r="R44" s="23"/>
      <c r="S44" s="23"/>
      <c r="T44" s="5"/>
      <c r="U44" s="5"/>
      <c r="V44" s="5"/>
      <c r="W44" s="5"/>
      <c r="X44" s="5"/>
      <c r="Y44" s="5"/>
      <c r="Z44" s="5"/>
      <c r="AA44" s="5"/>
    </row>
    <row r="45">
      <c r="A45" s="93" t="s">
        <v>142</v>
      </c>
      <c r="B45" s="80" t="s">
        <v>143</v>
      </c>
      <c r="O45" s="20"/>
      <c r="P45" s="20"/>
      <c r="Q45" s="20"/>
      <c r="R45" s="20"/>
      <c r="S45" s="20"/>
      <c r="T45" s="5"/>
      <c r="U45" s="5"/>
      <c r="V45" s="5"/>
      <c r="W45" s="5"/>
      <c r="X45" s="5"/>
      <c r="Y45" s="5"/>
      <c r="Z45" s="5"/>
      <c r="AA45" s="5"/>
    </row>
    <row r="46">
      <c r="A46" s="26" t="s">
        <v>144</v>
      </c>
      <c r="B46" s="27" t="s">
        <v>31</v>
      </c>
      <c r="O46" s="28"/>
      <c r="P46" s="32"/>
      <c r="Q46" s="32"/>
      <c r="R46" s="32"/>
      <c r="S46" s="32"/>
      <c r="T46" s="5"/>
      <c r="U46" s="5"/>
      <c r="V46" s="5"/>
      <c r="W46" s="5"/>
      <c r="X46" s="5"/>
      <c r="Y46" s="5"/>
      <c r="Z46" s="5"/>
      <c r="AA46" s="5"/>
    </row>
    <row r="47">
      <c r="A47" s="47" t="s">
        <v>145</v>
      </c>
      <c r="B47" s="83" t="s">
        <v>146</v>
      </c>
      <c r="C47" s="83" t="s">
        <v>147</v>
      </c>
      <c r="D47" s="83" t="s">
        <v>148</v>
      </c>
      <c r="E47" s="82" t="s">
        <v>149</v>
      </c>
      <c r="F47" s="82" t="s">
        <v>150</v>
      </c>
      <c r="G47" s="82" t="s">
        <v>151</v>
      </c>
      <c r="H47" s="82" t="s">
        <v>152</v>
      </c>
      <c r="I47" s="82" t="s">
        <v>153</v>
      </c>
      <c r="J47" s="82" t="s">
        <v>154</v>
      </c>
      <c r="K47" s="82" t="s">
        <v>155</v>
      </c>
      <c r="L47" s="84" t="s">
        <v>156</v>
      </c>
      <c r="M47" s="84" t="s">
        <v>157</v>
      </c>
      <c r="N47" s="83" t="s">
        <v>158</v>
      </c>
      <c r="O47" s="20"/>
      <c r="P47" s="20"/>
      <c r="Q47" s="20"/>
      <c r="R47" s="20"/>
      <c r="S47" s="20"/>
      <c r="T47" s="5"/>
      <c r="U47" s="5"/>
      <c r="V47" s="5"/>
      <c r="W47" s="5"/>
      <c r="X47" s="5"/>
      <c r="Y47" s="5"/>
      <c r="Z47" s="5"/>
      <c r="AA47" s="5"/>
    </row>
    <row r="48" collapsed="1">
      <c r="A48" s="85"/>
      <c r="B48" s="86" t="str">
        <f>IFERROR(__xludf.DUMMYFUNCTION("TEXTJOIN(CHAR(10), TRUE,FILTER('Sessions Counts'!$B:$B,'Sessions Counts'!$A:$A=B47))"),"Bias Detection, Auditing, and Monitoring")</f>
        <v>Bias Detection, Auditing, and Monitoring</v>
      </c>
      <c r="C48" s="86" t="str">
        <f>IFERROR(__xludf.DUMMYFUNCTION("TEXTJOIN(CHAR(10), TRUE,FILTER('Sessions Counts'!$B:$B,'Sessions Counts'!$A:$A=C47))"),"Contrastive Learning 1")</f>
        <v>Contrastive Learning 1</v>
      </c>
      <c r="D48" s="86" t="str">
        <f>IFERROR(__xludf.DUMMYFUNCTION("TEXTJOIN(CHAR(10), TRUE,FILTER('Sessions Counts'!$B:$B,'Sessions Counts'!$A:$A=D47))"),"Graphs - Miscellanea")</f>
        <v>Graphs - Miscellanea</v>
      </c>
      <c r="E48" s="86" t="str">
        <f>IFERROR(__xludf.DUMMYFUNCTION("TEXTJOIN(CHAR(10), TRUE,FILTER('Sessions Counts'!$B:$B,'Sessions Counts'!$A:$A=E47))"),"Efficient &amp; Multimodal Retrieval")</f>
        <v>Efficient &amp; Multimodal Retrieval</v>
      </c>
      <c r="F48" s="86" t="str">
        <f>IFERROR(__xludf.DUMMYFUNCTION("TEXTJOIN(CHAR(10), TRUE,FILTER('Sessions Counts'!$B:$B,'Sessions Counts'!$A:$A=F47))"),"Knowledge Integration &amp; Transfer")</f>
        <v>Knowledge Integration &amp; Transfer</v>
      </c>
      <c r="G48" s="86" t="str">
        <f>IFERROR(__xludf.DUMMYFUNCTION("TEXTJOIN(CHAR(10), TRUE,FILTER('Sessions Counts'!$B:$B,'Sessions Counts'!$A:$A=G47))"),"Social Events and User-Centric Analysis")</f>
        <v>Social Events and User-Centric Analysis</v>
      </c>
      <c r="H48" s="86" t="str">
        <f>IFERROR(__xludf.DUMMYFUNCTION("TEXTJOIN(CHAR(10), TRUE,FILTER('Sessions Counts'!$B:$B,'Sessions Counts'!$A:$A=H47))"),"AI Systems for Time Series and Vision")</f>
        <v>AI Systems for Time Series and Vision</v>
      </c>
      <c r="I48" s="86" t="str">
        <f>IFERROR(__xludf.DUMMYFUNCTION("TEXTJOIN(CHAR(10), TRUE,FILTER('Sessions Counts'!$B:$B,'Sessions Counts'!$A:$A=I47))"),"Security &amp; Privacy for LLM II")</f>
        <v>Security &amp; Privacy for LLM II</v>
      </c>
      <c r="J48" s="86" t="str">
        <f>IFERROR(__xludf.DUMMYFUNCTION("TEXTJOIN(CHAR(10), TRUE,FILTER('Sessions Counts'!$B:$B,'Sessions Counts'!$A:$A=J47))"),"Robustness, Anomaly Detection, and Web Data Quality")</f>
        <v>Robustness, Anomaly Detection, and Web Data Quality</v>
      </c>
      <c r="K48" s="86" t="str">
        <f>IFERROR(__xludf.DUMMYFUNCTION("TEXTJOIN(CHAR(10), TRUE,FILTER('Sessions Counts'!$B:$B,'Sessions Counts'!$A:$A=K47))"),"Advanced Sequential Recommendation")</f>
        <v>Advanced Sequential Recommendation</v>
      </c>
      <c r="L48" s="86" t="str">
        <f>IFERROR(__xludf.DUMMYFUNCTION("TEXTJOIN(CHAR(10), TRUE,FILTER('Sessions Counts'!$B:$B,'Sessions Counts'!$A:$A=L47))"),"Intent Modeling &amp; CTR Prediction")</f>
        <v>Intent Modeling &amp; CTR Prediction</v>
      </c>
      <c r="M48" s="86" t="str">
        <f>IFERROR(__xludf.DUMMYFUNCTION("TEXTJOIN(CHAR(10), TRUE,FILTER('Sessions Counts'!$B:$B,'Sessions Counts'!$A:$A=M47))"),"E-Commerce Search &amp; Semantic Relevance")</f>
        <v>E-Commerce Search &amp; Semantic Relevance</v>
      </c>
      <c r="N48" s="88" t="str">
        <f>IFERROR(__xludf.DUMMYFUNCTION("TEXTJOIN(CHAR(10), TRUE,FILTER('Sessions Counts'!$B:$B,'Sessions Counts'!$A:$A=N47))"),"AI for Social Good: Health &amp; Vulnerable Populations")</f>
        <v>AI for Social Good: Health &amp; Vulnerable Populations</v>
      </c>
      <c r="O48" s="89"/>
      <c r="P48" s="89"/>
      <c r="Q48" s="89"/>
      <c r="R48" s="89"/>
      <c r="S48" s="89"/>
      <c r="T48" s="66"/>
      <c r="U48" s="66"/>
      <c r="V48" s="66"/>
      <c r="W48" s="66"/>
      <c r="X48" s="66"/>
      <c r="Y48" s="66"/>
      <c r="Z48" s="66"/>
      <c r="AA48" s="66"/>
    </row>
    <row r="49" hidden="1" outlineLevel="1">
      <c r="A49" s="47"/>
      <c r="B49" s="18" t="str">
        <f>IFERROR(__xludf.DUMMYFUNCTION("TEXTJOIN(CHAR(10), TRUE,FILTER('Research assignment'!$D:$D,'Research assignment'!$F:$F=B47))"),"Trireme: A Tripartite Regulation Scheme for Diffusion Models
Hengtong Zhang, Chen Ye and Hongzhi Wang
BiasEdit: A Training-Free Bias-Detect-and-Edit Framework for Learning Fair Visual Classifiers
Jungwook Seo, Yoonsik Park, Changmin Lee and Sungyong Baik"&amp;"
Question the Questions: Auditing Representation in Online Deliberative Processes
Soham De, Lodewijk Gelauff, Ashish Goel, Smitha Milli,
Ariel Procaccia and Alice Siu
Digital Skin, Digital Bias: Uncovering Tone-Based Biases in LLMs and Emoji Embeddings
"&amp;"Mingchen Li, Wajdi Aljedaani, Yingjie Liu, Navyasri Meka,
Xuan Lu, Xinyue Ye, Junhua Ding and Yunhe Feng
Be Responsible in Your Answers! Monitoring Out-of-Domain Behaviors in Domain-Specific LLMs
Boquan Li, Chenzhe Lou, Zhe Ren, Peixin Zhang, Zirui Fu,
J"&amp;"un Sun and Yaowen Zheng
")</f>
        <v>Trireme: A Tripartite Regulation Scheme for Diffusion Models
Hengtong Zhang, Chen Ye and Hongzhi Wang
BiasEdit: A Training-Free Bias-Detect-and-Edit Framework for Learning Fair Visual Classifiers
Jungwook Seo, Yoonsik Park, Changmin Lee and Sungyong Baik
Question the Questions: Auditing Representation in Online Deliberative Processes
Soham De, Lodewijk Gelauff, Ashish Goel, Smitha Milli,
Ariel Procaccia and Alice Siu
Digital Skin, Digital Bias: Uncovering Tone-Based Biases in LLMs and Emoji Embeddings
Mingchen Li, Wajdi Aljedaani, Yingjie Liu, Navyasri Meka,
Xuan Lu, Xinyue Ye, Junhua Ding and Yunhe Feng
Be Responsible in Your Answers! Monitoring Out-of-Domain Behaviors in Domain-Specific LLMs
Boquan Li, Chenzhe Lou, Zhe Ren, Peixin Zhang, Zirui Fu,
Jun Sun and Yaowen Zheng
</v>
      </c>
      <c r="C49" s="18" t="str">
        <f>IFERROR(__xludf.DUMMYFUNCTION("TEXTJOIN(CHAR(10), TRUE,FILTER('Research assignment'!$D:$D,'Research assignment'!$F:$F=C47))"),"Graph Cross-Domain Continual Fine-Tuning via Orthogonal LoRA Routing with Contrastive Expert Specialization
Qianyi Cai, Ziyue Qiao, Minghao Yang, Xiao Luo and Hui Xiong
Multi-view Hierarchical Graph Contrastive Learning based on Asynchronous Asymmetric S"&amp;"tructure
Chuangui Cao, Shifei Ding, Jian Zhang, Lili Guo and Xuan Li
SPGCL: Subgraph Pattern-Aware Graph Contrastive Learning for High-Order Structural Representation
Zhe Zhan, Xiangshi Li, Tingting Wang, Shuo Yu and Henan Lei
Unifying Graph Out-of-Dist"&amp;"ribution Generalization and Detection through Spectral Contrastive Invariant learning
Tianyin Liao, Ge Lan, Rui Chen, Ran Zhang, Zhiming Chen,
Xiao Wang and Ziwei Zhang
CLGNN: A Contrastive Learning-based GNN for Temporal Betweenness Prediction under Ext"&amp;"reme Value Imbalance
Tianming Zhang, Renbo Zhang, Zhengyi Yang, Yunjun Gao, Bin
Cao and Jing Fan
")</f>
        <v>Graph Cross-Domain Continual Fine-Tuning via Orthogonal LoRA Routing with Contrastive Expert Specialization
Qianyi Cai, Ziyue Qiao, Minghao Yang, Xiao Luo and Hui Xiong
Multi-view Hierarchical Graph Contrastive Learning based on Asynchronous Asymmetric Structure
Chuangui Cao, Shifei Ding, Jian Zhang, Lili Guo and Xuan Li
SPGCL: Subgraph Pattern-Aware Graph Contrastive Learning for High-Order Structural Representation
Zhe Zhan, Xiangshi Li, Tingting Wang, Shuo Yu and Henan Lei
Unifying Graph Out-of-Distribution Generalization and Detection through Spectral Contrastive Invariant learning
Tianyin Liao, Ge Lan, Rui Chen, Ran Zhang, Zhiming Chen,
Xiao Wang and Ziwei Zhang
CLGNN: A Contrastive Learning-based GNN for Temporal Betweenness Prediction under Extreme Value Imbalance
Tianming Zhang, Renbo Zhang, Zhengyi Yang, Yunjun Gao, Bin
Cao and Jing Fan
</v>
      </c>
      <c r="D49" s="18" t="str">
        <f>IFERROR(__xludf.DUMMYFUNCTION("TEXTJOIN(CHAR(10), TRUE,FILTER('Research assignment'!$D:$D,'Research assignment'!$F:$F=D47))"),"Multi-Source Information Driven Spatio-Temporal Hypergraph Learning for Traffic Forecasting
Ping Zhang, Jiayu Leng, Liang Yang, Anchen Li, Xiaochun Cao
and Riting Xia
SGExplainer: Balanced Path-based Signed Graph Neural Network Explanation for Link Sign "&amp;"Prediction
Jie Gao, Jia Hu, Geyong Min and Fei Hao
Dir-GD: Directed Graph Distillation
Ce Yang, Fei Hao, Jie Gao, Jianrui Chen, Jia Hu and Geyong
Min
STG-DGR: Fraud Detection on Streaming Transaction Graphs with Diffusion-based Generative Replay
Rui Ou,"&amp;" Kun Zhu, Nana Zhang, Jiangtong Li, Chaochao Chen
and Changjun Jiang
Controllable Graph Generation with Diffusion Models via Inference-Time Tree Search Guidance
Jiachi Zhao, Zehong Wang, Yamei Liao, Chuxu Zhang and
Yanfang Ye
")</f>
        <v>Multi-Source Information Driven Spatio-Temporal Hypergraph Learning for Traffic Forecasting
Ping Zhang, Jiayu Leng, Liang Yang, Anchen Li, Xiaochun Cao
and Riting Xia
SGExplainer: Balanced Path-based Signed Graph Neural Network Explanation for Link Sign Prediction
Jie Gao, Jia Hu, Geyong Min and Fei Hao
Dir-GD: Directed Graph Distillation
Ce Yang, Fei Hao, Jie Gao, Jianrui Chen, Jia Hu and Geyong
Min
STG-DGR: Fraud Detection on Streaming Transaction Graphs with Diffusion-based Generative Replay
Rui Ou, Kun Zhu, Nana Zhang, Jiangtong Li, Chaochao Chen
and Changjun Jiang
Controllable Graph Generation with Diffusion Models via Inference-Time Tree Search Guidance
Jiachi Zhao, Zehong Wang, Yamei Liao, Chuxu Zhang and
Yanfang Ye
</v>
      </c>
      <c r="E49" s="18" t="str">
        <f>IFERROR(__xludf.DUMMYFUNCTION("TEXTJOIN(CHAR(10), TRUE,FILTER('Research assignment'!$D:$D,'Research assignment'!$F:$F=E47))"),"PruneRAG: Confidence-Guided Query Decomposition Trees for Efficient Retrieval-Augmented Generation
Shuguang Jiao, Xinyu Xiao, Yunfan Wei, Shuhan Qi, Chengkai
Huang, Quan Z. Michael Sheng and Lina Yao
Model Editing for New Document Integration in Generati"&amp;"ve Information Retrieval
Zhen Zhang, Zihan Wang, Xinyu Ma, Shuaiqiang Wang, Dawei
Yin, Xin Xin, Pengjie Ren, Maarten de Rijke and Zhaochun Ren
DMAP: Human-Aligned Structural Document Map for Multimodal Document Understanding
Shunliang Fu, Yanxin Zhang, Y"&amp;"ixin Xiang, Xiaoyu Du and
Jinhui Tang
Evidential Matching, Uncertainty Calibration: Towards Robust Composed Video Retrieval with Noisy Triplets
Zhangtao Cheng, Bozhu Zheng, Ting Zhong and Fan Zhou
PairSem: LLM-Guided Pairwise Semantic Matching for Scien"&amp;"tific Document Retrieval
Wonbin Kweon, Runchu Tian, Seongku Kang, Pengcheng Jiang,
Zhiyong Lu, Jiawei Han and Hwanjo Yu
")</f>
        <v>PruneRAG: Confidence-Guided Query Decomposition Trees for Efficient Retrieval-Augmented Generation
Shuguang Jiao, Xinyu Xiao, Yunfan Wei, Shuhan Qi, Chengkai
Huang, Quan Z. Michael Sheng and Lina Yao
Model Editing for New Document Integration in Generative Information Retrieval
Zhen Zhang, Zihan Wang, Xinyu Ma, Shuaiqiang Wang, Dawei
Yin, Xin Xin, Pengjie Ren, Maarten de Rijke and Zhaochun Ren
DMAP: Human-Aligned Structural Document Map for Multimodal Document Understanding
Shunliang Fu, Yanxin Zhang, Yixin Xiang, Xiaoyu Du and
Jinhui Tang
Evidential Matching, Uncertainty Calibration: Towards Robust Composed Video Retrieval with Noisy Triplets
Zhangtao Cheng, Bozhu Zheng, Ting Zhong and Fan Zhou
PairSem: LLM-Guided Pairwise Semantic Matching for Scientific Document Retrieval
Wonbin Kweon, Runchu Tian, Seongku Kang, Pengcheng Jiang,
Zhiyong Lu, Jiawei Han and Hwanjo Yu
</v>
      </c>
      <c r="F49" s="18" t="str">
        <f>IFERROR(__xludf.DUMMYFUNCTION("TEXTJOIN(CHAR(10), TRUE,FILTER('Research assignment'!$D:$D,'Research assignment'!$F:$F=F47))"),"Aligning Multiple Knowledge Graphs in A Single Pass
Yaming Yang, Zhe Wang, Ziyu Guan, Wei Zhao, Weigang Lu,
Xinyan Huang, Jiangtao Cui and Xiaofei He
CausalSKyHop: Knowledge-Aware Causal Explanation of Dynamic GNNs via Higher-Order Semantic Reasoning
Jix"&amp;"uan Wu, Limei Lin, Xiaoding Wang, Kunpeng Xu and Jie Wu
Conditional Diffusion Guided Knowledge Transfer for Multi-Domain Knowledge Graph Completion
Jiawei Sheng, Taoyu Su, Xixun Lin, Xiaodong Li and Tingwen
Liu
How Human Experts Educate Specialized LLMs"&amp;": Filling Knowledge Gaps in KG-Augmented Generation through Hallucination Detection
Chaofan Li, Lixing Chen, Junhua Tang, Yang Bai, Yutong
Zhang, Zhi Zheng, Pan Zhou and Zhe Qu
A Unified Framework for Rule Learning: Integrating Commonsense Knowledge from"&amp;" LLMs with Structured Knowledge from Knowledge Graphs
Qirui Hao, Kewei Cheng, Tongze Zhang, Hongyuan Liu, Junming
Shao and Carl Yang
")</f>
        <v>Aligning Multiple Knowledge Graphs in A Single Pass
Yaming Yang, Zhe Wang, Ziyu Guan, Wei Zhao, Weigang Lu,
Xinyan Huang, Jiangtao Cui and Xiaofei He
CausalSKyHop: Knowledge-Aware Causal Explanation of Dynamic GNNs via Higher-Order Semantic Reasoning
Jixuan Wu, Limei Lin, Xiaoding Wang, Kunpeng Xu and Jie Wu
Conditional Diffusion Guided Knowledge Transfer for Multi-Domain Knowledge Graph Completion
Jiawei Sheng, Taoyu Su, Xixun Lin, Xiaodong Li and Tingwen
Liu
How Human Experts Educate Specialized LLMs: Filling Knowledge Gaps in KG-Augmented Generation through Hallucination Detection
Chaofan Li, Lixing Chen, Junhua Tang, Yang Bai, Yutong
Zhang, Zhi Zheng, Pan Zhou and Zhe Qu
A Unified Framework for Rule Learning: Integrating Commonsense Knowledge from LLMs with Structured Knowledge from Knowledge Graphs
Qirui Hao, Kewei Cheng, Tongze Zhang, Hongyuan Liu, Junming
Shao and Carl Yang
</v>
      </c>
      <c r="G49" s="18" t="str">
        <f>IFERROR(__xludf.DUMMYFUNCTION("TEXTJOIN(CHAR(10), TRUE,FILTER('Research assignment'!$D:$D,'Research assignment'!$F:$F=G47))"),"Effective and Unsupervised Social Event Detection and Evolution via RAG and Structural Entropy
Qitong Liu, Hao Peng, Zuchen Li, Xihang Meng, Ziyu Yang,
Jiting Li, Li Sun and Philip Yu
Towards Rare Social Event Prediction via Mediator Learning
Mingjie Qiu"&amp;", Zhiyi Tan and Bing-Kun Bao
Beyond Words: Enhancing Desire, Emotion, and Sentiment Recognition with Non-Verbal Cues
Wei Chen, Tongguan Wang, Feiyue Xue, Junkai Li, Hui Liu and
Ying Sha
How Social Media Peer Comments Influence Privacy Decisions in Photo"&amp;" Sharing: Context and Individual Differences Cause Comments to Backfire
Tangila Islam Tanni, Renita Washburn, Yan Solihin and Mary
Jean Amon
From Social Media to Psychological Scale: An Adaptive Framework with Two-Hop Retrieval for Depression Screening
Y"&amp;"angyang Xu, Jinpeng Hu, Peipei Song, Zhangling Duan and
Xun Yang
")</f>
        <v>Effective and Unsupervised Social Event Detection and Evolution via RAG and Structural Entropy
Qitong Liu, Hao Peng, Zuchen Li, Xihang Meng, Ziyu Yang,
Jiting Li, Li Sun and Philip Yu
Towards Rare Social Event Prediction via Mediator Learning
Mingjie Qiu, Zhiyi Tan and Bing-Kun Bao
Beyond Words: Enhancing Desire, Emotion, and Sentiment Recognition with Non-Verbal Cues
Wei Chen, Tongguan Wang, Feiyue Xue, Junkai Li, Hui Liu and
Ying Sha
How Social Media Peer Comments Influence Privacy Decisions in Photo Sharing: Context and Individual Differences Cause Comments to Backfire
Tangila Islam Tanni, Renita Washburn, Yan Solihin and Mary
Jean Amon
From Social Media to Psychological Scale: An Adaptive Framework with Two-Hop Retrieval for Depression Screening
Yangyang Xu, Jinpeng Hu, Peipei Song, Zhangling Duan and
Xun Yang
</v>
      </c>
      <c r="H49" s="18" t="str">
        <f>IFERROR(__xludf.DUMMYFUNCTION("TEXTJOIN(CHAR(10), TRUE,FILTER('Research assignment'!$D:$D,'Research assignment'!$F:$F=H47))"),"Cross-city Time Series Forecasting with Retrieval-Augmented Large Language Models
Yue Jiang, Chenxi Liu, Yile Chen, Qin Chao, Shuai Liu,
Cheng Long and Gao Cong
Glasses: Enabling Fast Environment-aware Few-Shot Learning via Device-Cloud Collaboration
Qia"&amp;"ng He, Sheng Zhong, Jiazhen Yang, Feifei Chen, Hai Jin
and Yun Yang
TimeMar: Multi-Scale Autoregressive Modeling for Unconditional Time Series Generation
Xiangyu Xu, Qingsong Zhong and Jilin Hu
Augmenting Cross-View Geo-Localization with Spatial Semanti"&amp;"cs from Vision Foundation Models
Ji Shen, Lixing Chen, Yang Bai, Zhongqi Miao, Zhe Qu, Pan
Zhou and Jianhua Li
SEMixer: Semantics Enhanced MLP-Mixer for Multiscale Mixing and Long-term Time Series Forecasting
Xu Zhang, Qitong Wang, Peng Wang and Wei Wang"&amp;"
")</f>
        <v>Cross-city Time Series Forecasting with Retrieval-Augmented Large Language Models
Yue Jiang, Chenxi Liu, Yile Chen, Qin Chao, Shuai Liu,
Cheng Long and Gao Cong
Glasses: Enabling Fast Environment-aware Few-Shot Learning via Device-Cloud Collaboration
Qiang He, Sheng Zhong, Jiazhen Yang, Feifei Chen, Hai Jin
and Yun Yang
TimeMar: Multi-Scale Autoregressive Modeling for Unconditional Time Series Generation
Xiangyu Xu, Qingsong Zhong and Jilin Hu
Augmenting Cross-View Geo-Localization with Spatial Semantics from Vision Foundation Models
Ji Shen, Lixing Chen, Yang Bai, Zhongqi Miao, Zhe Qu, Pan
Zhou and Jianhua Li
SEMixer: Semantics Enhanced MLP-Mixer for Multiscale Mixing and Long-term Time Series Forecasting
Xu Zhang, Qitong Wang, Peng Wang and Wei Wang
</v>
      </c>
      <c r="I49" s="18" t="str">
        <f>IFERROR(__xludf.DUMMYFUNCTION("TEXTJOIN(CHAR(10), TRUE,FILTER('Research assignment'!$D:$D,'Research assignment'!$F:$F=I47))"),"Has the Two-Decade-Old Prophecy Come True? Artificial Bad Intelligence Triggered by Merely a Single-Bit Flip in Large Language Models
Yu Yan, Siqi Lu, Yang Gao, Zhaoxuan Li, Ziming Zhao,
Qingjun Yuan and Yongjuan Wang
Combating Knowledge Corruption in Ag"&amp;"ent Systems: A Byzantine-Tolerant Secure Collaborative RAG Framework
Zhaoqi Wang, Daqing He, Zijian Zhang, Ye Liu, Jiamou Liu,
Zhirui Zeng, Zhan Qin, Zhen Li, Xin Li, Hongwei Yao,
Jincheng An, Yong Liu, Yi Li, Qi Sun, Xiulei Liu and
Liehuang Zhu
ICL-EVAD"&amp;"ER: Zero-Query Black-Box Evasion Attacks on In-Context Learning and Their Defenses
Ningyuan He, Ronghong Huang, Qianqian Tang, Hongyu Wang,
Xianghang Mi and Shanqing Guo
Resisting Manipulative Bots in Meme Coin Copy Trading: A Multi-Agent Approach with C"&amp;"hain-of-Thought Reasoning
Yichen Luo, Yebo Feng, Jiahua Xu and Yang Liu
The Algorithmic Self-Portrait:Deconstructing Memory in ChatGPT
Abhisek Dash, Soumi Das, Elisabeth Kirsten, Qinyuan Wu, Sai
Keerthana Karnam, Krishna P. Gummadi, Thorsten Holz,
Muhamm"&amp;"ad Bilal Zafar and Savvas Zannettou
")</f>
        <v>Has the Two-Decade-Old Prophecy Come True? Artificial Bad Intelligence Triggered by Merely a Single-Bit Flip in Large Language Models
Yu Yan, Siqi Lu, Yang Gao, Zhaoxuan Li, Ziming Zhao,
Qingjun Yuan and Yongjuan Wang
Combating Knowledge Corruption in Agent Systems: A Byzantine-Tolerant Secure Collaborative RAG Framework
Zhaoqi Wang, Daqing He, Zijian Zhang, Ye Liu, Jiamou Liu,
Zhirui Zeng, Zhan Qin, Zhen Li, Xin Li, Hongwei Yao,
Jincheng An, Yong Liu, Yi Li, Qi Sun, Xiulei Liu and
Liehuang Zhu
ICL-EVADER: Zero-Query Black-Box Evasion Attacks on In-Context Learning and Their Defenses
Ningyuan He, Ronghong Huang, Qianqian Tang, Hongyu Wang,
Xianghang Mi and Shanqing Guo
Resisting Manipulative Bots in Meme Coin Copy Trading: A Multi-Agent Approach with Chain-of-Thought Reasoning
Yichen Luo, Yebo Feng, Jiahua Xu and Yang Liu
The Algorithmic Self-Portrait:Deconstructing Memory in ChatGPT
Abhisek Dash, Soumi Das, Elisabeth Kirsten, Qinyuan Wu, Sai
Keerthana Karnam, Krishna P. Gummadi, Thorsten Holz,
Muhammad Bilal Zafar and Savvas Zannettou
</v>
      </c>
      <c r="J49" s="18" t="str">
        <f>IFERROR(__xludf.DUMMYFUNCTION("TEXTJOIN(CHAR(10), TRUE,FILTER('Research assignment'!$D:$D,'Research assignment'!$F:$F=J47))"),"Multi-Aspect Mining and Anomaly Detection for Heterogeneous Tensor Streams
Soshi Kakio, Yasuko Matsubara, Ren Fujiwara and Yasushi
Sakurai
EIAN: Explicit Interaction-aware Attention Network for Interpretable Event Modeling
Jiping Zhang, Hua Zhu, Hong Hua"&amp;"ng, Yongkang Zhou, Kehan Yin
and Bang Liu
JitterSketch: Finding Jittery Flows in Network Streams
Zhongxian Liang, Qilong Shi, Xiyan Liang, Zihan Li, Wenjun
Li, Tong Yang, Yangyang Wang, Mingwei Xu and Weizhe Zhang
We Need a More Robust Classifier: Dual "&amp;"Causal Learning Empowers Domain-Incremental Time Series Classification
Zhipeng Liu, Peibo Duan, Xuan Tang, Haodong Jing, Mingyang
Geng, Yongsheng Huang, Jialu Xu, Bin Zhang and Binwu Wang
An In-depth Analysis of the Linguistic Characteristics of Science "&amp;"Claims on the Web and their Impact on Fact-checking 
Salim Hafid, Sebastian Schellhammer, Yavuz Selim Kartal, Thomas Papastergiou, Stefan Dietze, Sandra Bringay and Konstantin Todorov
")</f>
        <v>Multi-Aspect Mining and Anomaly Detection for Heterogeneous Tensor Streams
Soshi Kakio, Yasuko Matsubara, Ren Fujiwara and Yasushi
Sakurai
EIAN: Explicit Interaction-aware Attention Network for Interpretable Event Modeling
Jiping Zhang, Hua Zhu, Hong Huang, Yongkang Zhou, Kehan Yin
and Bang Liu
JitterSketch: Finding Jittery Flows in Network Streams
Zhongxian Liang, Qilong Shi, Xiyan Liang, Zihan Li, Wenjun
Li, Tong Yang, Yangyang Wang, Mingwei Xu and Weizhe Zhang
We Need a More Robust Classifier: Dual Causal Learning Empowers Domain-Incremental Time Series Classification
Zhipeng Liu, Peibo Duan, Xuan Tang, Haodong Jing, Mingyang
Geng, Yongsheng Huang, Jialu Xu, Bin Zhang and Binwu Wang
An In-depth Analysis of the Linguistic Characteristics of Science Claims on the Web and their Impact on Fact-checking 
Salim Hafid, Sebastian Schellhammer, Yavuz Selim Kartal, Thomas Papastergiou, Stefan Dietze, Sandra Bringay and Konstantin Todorov
</v>
      </c>
      <c r="K49" s="18" t="str">
        <f>IFERROR(__xludf.DUMMYFUNCTION("TEXTJOIN(CHAR(10), TRUE,FILTER('Research assignment'!$D:$D,'Research assignment'!$F:$F=K47))"),"Lifelong Sequential Recommendation with Adaptive Subsequence Compression and Contextual Fusion
Fei Li, Xiaoming Liu, Jiayi Luo, Guibing Guo, Jianzhe Zhao
and Xingwei Wang
Temporal-Series-Aware Adaptive Positional Encoding for Transformer-based Sequential"&amp;" Recommendation
Rongbo Qi, Yaqi Zhang, Chunyao Song and Tingjian Ge
BlossomRec: Block-level Fused Sparse Attention Mechanism for Sequential Recommendations
Mengyang Ma, Xiaopeng Li, Wanyu Wang, Zhaocheng Du,
Jingtong Gao, Pengyue Jia, Yuyang Ye, Yiqi Wan"&amp;"g, Yunpeng
Weng, Weihong Luo, Xiao Han and Xiangyu Zhao
Mixture of Sequence: Theme-Aware Mixture-of-Experts for Long-Sequence Recommendation
Xiao Lin, Zhicheng Tang, Weilin Cong, Mengyue Hang, Kai
Wang, Yajuan Wang, Zhichen Zeng, Ting-Wei Li, Hyunsik Yoo"&amp;",
Zhining Liu, Xuying Ning, Ruizhong Qiu, Wen-Yen Chen, Shuo
Chang, Rong Jin, Huayu Li and Hanghang Tong
Hyena Operator for Fast Sequential Recommendation
Jiahao Liu, Lin Li, Zhiyuan Li, Kaixi Hu, Kaize Shi and
Jingling Yuan
")</f>
        <v>Lifelong Sequential Recommendation with Adaptive Subsequence Compression and Contextual Fusion
Fei Li, Xiaoming Liu, Jiayi Luo, Guibing Guo, Jianzhe Zhao
and Xingwei Wang
Temporal-Series-Aware Adaptive Positional Encoding for Transformer-based Sequential Recommendation
Rongbo Qi, Yaqi Zhang, Chunyao Song and Tingjian Ge
BlossomRec: Block-level Fused Sparse Attention Mechanism for Sequential Recommendations
Mengyang Ma, Xiaopeng Li, Wanyu Wang, Zhaocheng Du,
Jingtong Gao, Pengyue Jia, Yuyang Ye, Yiqi Wang, Yunpeng
Weng, Weihong Luo, Xiao Han and Xiangyu Zhao
Mixture of Sequence: Theme-Aware Mixture-of-Experts for Long-Sequence Recommendation
Xiao Lin, Zhicheng Tang, Weilin Cong, Mengyue Hang, Kai
Wang, Yajuan Wang, Zhichen Zeng, Ting-Wei Li, Hyunsik Yoo,
Zhining Liu, Xuying Ning, Ruizhong Qiu, Wen-Yen Chen, Shuo
Chang, Rong Jin, Huayu Li and Hanghang Tong
Hyena Operator for Fast Sequential Recommendation
Jiahao Liu, Lin Li, Zhiyuan Li, Kaixi Hu, Kaize Shi and
Jingling Yuan
</v>
      </c>
      <c r="L49" s="18" t="str">
        <f>IFERROR(__xludf.DUMMYFUNCTION("TEXTJOIN(CHAR(10), TRUE,FILTER('Research assignment'!$D:$D,'Research assignment'!$F:$F=L47))"),"Guiding Generative Recommender Systems with Structured Human Priors via Multi-head Decoding
Yunkai Zhang, Qiang Zhang, Diji Yang, Ryan Lin, Ruizhong
Qiu, Benyu Zhang, Hanchao Yu, Jason Liu, Yinglong Xia,
Zhuokai Zhao, Lizhu Zhang, Xiangjun Fan, Zhuoran Yu"&amp;",
Abhishek Kumar and Zeyu Zheng
Bridging Explicit and Implicit Intent: Unified Interest Generative Method for Joint Search-Recommendation Modeling
Dongliang Liao, Chenxing Wang and Yawen Zeng
Field Matters: A Lightweight LLM-enhanced Method for CTR Pred"&amp;"iction
Yu Cui, Feng Liu, Jiawei Chen, Xingyu Lou, Changwang Zhang,
Jun Wang, Yuegang Sun, Xiaohu Yang and Can Wang
Towards Context-aware Reasoning-enhanced Generative Searching in E-commerce
Zhiding Liu, Ben Chen, Mingyue Cheng, Enhong Chen, Li Li,
Cheny"&amp;"i Lei, Wenwu Ou, Han Li and Kun Gai
GenCI: Generative Modeling of User Interest Shift via Cohort-based Intent Learning for CTR Prediction
Kesha Ou, Zhen Tian, Wayne Xin Zhao, Hongyu Lu and Ji-Rong
Wen
")</f>
        <v>Guiding Generative Recommender Systems with Structured Human Priors via Multi-head Decoding
Yunkai Zhang, Qiang Zhang, Diji Yang, Ryan Lin, Ruizhong
Qiu, Benyu Zhang, Hanchao Yu, Jason Liu, Yinglong Xia,
Zhuokai Zhao, Lizhu Zhang, Xiangjun Fan, Zhuoran Yu,
Abhishek Kumar and Zeyu Zheng
Bridging Explicit and Implicit Intent: Unified Interest Generative Method for Joint Search-Recommendation Modeling
Dongliang Liao, Chenxing Wang and Yawen Zeng
Field Matters: A Lightweight LLM-enhanced Method for CTR Prediction
Yu Cui, Feng Liu, Jiawei Chen, Xingyu Lou, Changwang Zhang,
Jun Wang, Yuegang Sun, Xiaohu Yang and Can Wang
Towards Context-aware Reasoning-enhanced Generative Searching in E-commerce
Zhiding Liu, Ben Chen, Mingyue Cheng, Enhong Chen, Li Li,
Chenyi Lei, Wenwu Ou, Han Li and Kun Gai
GenCI: Generative Modeling of User Interest Shift via Cohort-based Intent Learning for CTR Prediction
Kesha Ou, Zhen Tian, Wayne Xin Zhao, Hongyu Lu and Ji-Rong
Wen
</v>
      </c>
      <c r="M49" s="18" t="str">
        <f>IFERROR(__xludf.DUMMYFUNCTION("TEXTJOIN(CHAR(10), TRUE,FILTER('Industry assignment'!$D:$D,'Industry assignment'!$F:$F=M47))"),"ARCHER: Shooting Straight in Multimodal E-Commerce Search at Alibaba with Progressive Alignment
Maolin Wang, Lang Fu, Jun Chu, Kai Guo, Chenjie Qin, Xinxin Wang, Siyu Wu, Wen Jiang and Xiangyu Zhao
Aligning Query Rewriting with Human Cognition and Prefer"&amp;"ence in E-Commerce Search
Ruize Ou, Kai Wang, Jianzhi Shao, Tao Zhang and Chengfu Huo
TaoSR-AGRL: Adaptive Guided Reinforcement Learning Framework for E-commerce Search Relevance
Jianhui Yang, Yiming Jin, Pengkun Jiao, Chenhe Dong, Zerui Huang, Shaowei Y"&amp;"ao, Xiaojiang Zhou, Dan Ou and Haihong Tang
Thinking Broad, Acting Fast: Latent Reasoning Distillation from Multi-Perspective Chain-of-Thought for E-Commerce Relevance
Baopu Qiu, Hao Chen, Yuanrong Wu, Changtong Zan, Chao Wei, Weiru Zhang and Xiaoyi Zeng"&amp;"
From Reasoning LLMs to BERT: A Two-Stage Distillation Framework for Search Relevance
Runze Xia, Yupeng Ji, Yuxi Zhou, Haodong Liu, Teng Zhang and Piji Li
")</f>
        <v>ARCHER: Shooting Straight in Multimodal E-Commerce Search at Alibaba with Progressive Alignment
Maolin Wang, Lang Fu, Jun Chu, Kai Guo, Chenjie Qin, Xinxin Wang, Siyu Wu, Wen Jiang and Xiangyu Zhao
Aligning Query Rewriting with Human Cognition and Preference in E-Commerce Search
Ruize Ou, Kai Wang, Jianzhi Shao, Tao Zhang and Chengfu Huo
TaoSR-AGRL: Adaptive Guided Reinforcement Learning Framework for E-commerce Search Relevance
Jianhui Yang, Yiming Jin, Pengkun Jiao, Chenhe Dong, Zerui Huang, Shaowei Yao, Xiaojiang Zhou, Dan Ou and Haihong Tang
Thinking Broad, Acting Fast: Latent Reasoning Distillation from Multi-Perspective Chain-of-Thought for E-Commerce Relevance
Baopu Qiu, Hao Chen, Yuanrong Wu, Changtong Zan, Chao Wei, Weiru Zhang and Xiaoyi Zeng
From Reasoning LLMs to BERT: A Two-Stage Distillation Framework for Search Relevance
Runze Xia, Yupeng Ji, Yuxi Zhou, Haodong Liu, Teng Zhang and Piji Li
</v>
      </c>
      <c r="N49" s="18" t="str">
        <f>IFERROR(__xludf.DUMMYFUNCTION("TEXTJOIN(CHAR(10), TRUE,FILTER('Web4Good assignment'!$D:$D,'Web4Good assignment'!$F:$F=N47))"),"Concept Relationship Embedding-Based Interactive Web Application for Explainable Medical Diagnosis
Lei Zhao, Xingguo Lv, Qika Lin, Kaize Shi, Xiaoming Qi, Bin Pu and Kenli Li
Towards Glaucoma Screening in Decentralized Clinics: A Dynamic Expert-Assisted "&amp;"Domain-Incremental Approach
Chenglong Fu, Jian Yao, Pengjiang Qian, Weiwei Fu, Chuang Wang and Guisong Yang
XInsight: Integrative Stage-Consistent Psychological Counseling Support Agents for Digital Well-Being
Fei Wang, Jiangnan Yang, Junjie Chen, Yuxin "&amp;"Liu, Kun Li, Yanyan Wei, Dan Guo and Meng Wang
(Mis-)Informed Consent: Predatory Apps and the Exploitation of Populations with Limited Literacy
Muhammad Muneeb Pervez, Muhammad Qasim Atiq Ullah, Ibrahim Ahmed Khan, Roshnik Rahat, Muhammad Fareed Zaffar, "&amp;"Rashid Tahir, Talal Rahwan and Yasir Zaki
LLM Use for Mental Health: Crowdsourcing Users’ Sentiment-based Perspectives and Values from Social Discussions
Lingyao Li, Xiaoshan Huang, Renkai Ma, Ben Zefeng Zhang, Haolun Wu, Fan Yang and Chen Chen
")</f>
        <v>Concept Relationship Embedding-Based Interactive Web Application for Explainable Medical Diagnosis
Lei Zhao, Xingguo Lv, Qika Lin, Kaize Shi, Xiaoming Qi, Bin Pu and Kenli Li
Towards Glaucoma Screening in Decentralized Clinics: A Dynamic Expert-Assisted Domain-Incremental Approach
Chenglong Fu, Jian Yao, Pengjiang Qian, Weiwei Fu, Chuang Wang and Guisong Yang
XInsight: Integrative Stage-Consistent Psychological Counseling Support Agents for Digital Well-Being
Fei Wang, Jiangnan Yang, Junjie Chen, Yuxin Liu, Kun Li, Yanyan Wei, Dan Guo and Meng Wang
(Mis-)Informed Consent: Predatory Apps and the Exploitation of Populations with Limited Literacy
Muhammad Muneeb Pervez, Muhammad Qasim Atiq Ullah, Ibrahim Ahmed Khan, Roshnik Rahat, Muhammad Fareed Zaffar, Rashid Tahir, Talal Rahwan and Yasir Zaki
LLM Use for Mental Health: Crowdsourcing Users’ Sentiment-based Perspectives and Values from Social Discussions
Lingyao Li, Xiaoshan Huang, Renkai Ma, Ben Zefeng Zhang, Haolun Wu, Fan Yang and Chen Chen
</v>
      </c>
      <c r="O49" s="20"/>
      <c r="P49" s="20"/>
      <c r="Q49" s="20"/>
      <c r="R49" s="20"/>
      <c r="S49" s="20"/>
      <c r="T49" s="5"/>
      <c r="U49" s="5"/>
      <c r="V49" s="5"/>
      <c r="W49" s="5"/>
      <c r="X49" s="5"/>
      <c r="Y49" s="5"/>
      <c r="Z49" s="5"/>
      <c r="AA49" s="5"/>
    </row>
    <row r="50" collapsed="1">
      <c r="A50" s="68" t="s">
        <v>159</v>
      </c>
      <c r="B50" s="69" t="s">
        <v>160</v>
      </c>
      <c r="O50" s="32"/>
      <c r="P50" s="32"/>
      <c r="Q50" s="32"/>
      <c r="R50" s="32"/>
      <c r="S50" s="32"/>
      <c r="T50" s="5"/>
      <c r="U50" s="5"/>
      <c r="V50" s="5"/>
      <c r="W50" s="5"/>
      <c r="X50" s="5"/>
      <c r="Y50" s="5"/>
      <c r="Z50" s="5"/>
      <c r="AA50" s="5"/>
    </row>
    <row r="51" hidden="1" outlineLevel="1">
      <c r="A51" s="15"/>
      <c r="B51" s="83" t="s">
        <v>161</v>
      </c>
      <c r="C51" s="83" t="s">
        <v>162</v>
      </c>
      <c r="D51" s="94" t="str">
        <f>IFERROR(__xludf.DUMMYFUNCTION("TRANSPOSE(FILTER('All Counts'!B:B, RIGHT('All Counts'!B:B, 1)=""4""))"),"GraphPoster4")</f>
        <v>GraphPoster4</v>
      </c>
      <c r="E51" s="95" t="str">
        <f>IFERROR(__xludf.DUMMYFUNCTION("""COMPUTED_VALUE"""),"RespWebPoster4")</f>
        <v>RespWebPoster4</v>
      </c>
      <c r="F51" s="95" t="str">
        <f>IFERROR(__xludf.DUMMYFUNCTION("""COMPUTED_VALUE"""),"SearchPoster4")</f>
        <v>SearchPoster4</v>
      </c>
      <c r="G51" s="95" t="str">
        <f>IFERROR(__xludf.DUMMYFUNCTION("""COMPUTED_VALUE"""),"SemanticsPoster4")</f>
        <v>SemanticsPoster4</v>
      </c>
      <c r="H51" s="95" t="str">
        <f>IFERROR(__xludf.DUMMYFUNCTION("""COMPUTED_VALUE"""),"SecurityPoster4")</f>
        <v>SecurityPoster4</v>
      </c>
      <c r="I51" s="95" t="str">
        <f>IFERROR(__xludf.DUMMYFUNCTION("""COMPUTED_VALUE"""),"SocialPoster4")</f>
        <v>SocialPoster4</v>
      </c>
      <c r="J51" s="95" t="str">
        <f>IFERROR(__xludf.DUMMYFUNCTION("""COMPUTED_VALUE"""),"SystemsPoster4")</f>
        <v>SystemsPoster4</v>
      </c>
      <c r="K51" s="95" t="str">
        <f>IFERROR(__xludf.DUMMYFUNCTION("""COMPUTED_VALUE"""),"RecSysPoster4")</f>
        <v>RecSysPoster4</v>
      </c>
      <c r="L51" s="96" t="str">
        <f>IFERROR(__xludf.DUMMYFUNCTION("""COMPUTED_VALUE"""),"MiningPoster4")</f>
        <v>MiningPoster4</v>
      </c>
      <c r="M51" s="20" t="str">
        <f>IFERROR(__xludf.DUMMYFUNCTION("""COMPUTED_VALUE"""),"IndustryPoster4")</f>
        <v>IndustryPoster4</v>
      </c>
      <c r="N51" s="20" t="str">
        <f>IFERROR(__xludf.DUMMYFUNCTION("""COMPUTED_VALUE"""),"Web4GoodPoster4")</f>
        <v>Web4GoodPoster4</v>
      </c>
      <c r="O51" s="19">
        <f>IFERROR(__xludf.DUMMYFUNCTION("""COMPUTED_VALUE"""),114.0)</f>
        <v>114</v>
      </c>
      <c r="P51" s="97">
        <f>IFERROR(__xludf.DUMMYFUNCTION("""COMPUTED_VALUE"""),114.0)</f>
        <v>114</v>
      </c>
      <c r="Q51" s="97">
        <f>IFERROR(__xludf.DUMMYFUNCTION("""COMPUTED_VALUE"""),114.0)</f>
        <v>114</v>
      </c>
      <c r="R51" s="97"/>
      <c r="S51" s="97"/>
      <c r="T51" s="5"/>
      <c r="U51" s="5"/>
      <c r="V51" s="5"/>
      <c r="W51" s="5"/>
      <c r="X51" s="5"/>
      <c r="Y51" s="5"/>
      <c r="Z51" s="5"/>
      <c r="AA51" s="5"/>
    </row>
    <row r="52" hidden="1" outlineLevel="1">
      <c r="A52" s="38"/>
      <c r="B52" s="32" t="str">
        <f>IFERROR(__xludf.DUMMYFUNCTION("TEXTJOIN(CHAR(10), TRUE,FILTER(Demos!$D:$D,Demos!$E:$E=B51))"),"ECLAD: An Edge-Cloud Collaborative Agentic Framework for Interpretable Anomaly Detection in Predictive Maintenance
Songyuan Sui, Zhanqi Deng, Yamin Zhuang, Serena Liu, Leisheng Yu, Alfredo Costilla Reyes and Xia Hu
PeeriScope: A Multi-Faceted Framework f"&amp;"or Evaluating Peer Review Quality
Sajad Ebrahimi, Soroush Sadeghian, Ali Ghorbanpour, Negar Arabzadeh, Sara Salamat, Seyed Mohammad Hosseini, Hai Son Le, Mahdi Bashari and Ebrahim Bagheri
ARC: A Tool to Rate AI Models for Robustness Through a Causal Lens"&amp;" for Enabling Trustworthy Model Selection
Kausik Lakkaraju, Siva Likitha Valluru, Biplav Srivastava and Marco Valtorta
IntraAI: Bridging Human-AI Understanding Through Intelligent Interface Design
Han Bao, Yue Huang, Xiangliang Zhang and Yanfang Ye
Sumo"&amp;" x PyPSA: Interactive Web Demo of Real-Time Urban Power-Traffic Co-Simulation with Vehicle-to-Grid
Marouane Benbrahim, Xin Fang and Zhiqian Chen
GreenWebInspector: A Tool for Real-Time Web Energy Efficiency Assessment
Muhammad Sohaib Ayub, Umair ul Hassa"&amp;"n, Imdad Ullah Khan and Edward Curry
Swen: A Cross‑Platform Desktop Assistant for Instant and Personalized Large‑Language‑Model Interaction
Wenjun Feng, Rui Li, Zheng Zhang, Zhenya Huang and Qi Liu
Click-to-Ask: An AI Live Streaming Assistant with Offli"&amp;"ne Copywriting and Online Interactive Q&amp;A
Ruizhi Yu, Keyang Zhong, Peng Liu, Qi Wu, Haoran Zhang, Yanhao Zhang, Chen Chen and Haonan Lu
")</f>
        <v>ECLAD: An Edge-Cloud Collaborative Agentic Framework for Interpretable Anomaly Detection in Predictive Maintenance
Songyuan Sui, Zhanqi Deng, Yamin Zhuang, Serena Liu, Leisheng Yu, Alfredo Costilla Reyes and Xia Hu
PeeriScope: A Multi-Faceted Framework for Evaluating Peer Review Quality
Sajad Ebrahimi, Soroush Sadeghian, Ali Ghorbanpour, Negar Arabzadeh, Sara Salamat, Seyed Mohammad Hosseini, Hai Son Le, Mahdi Bashari and Ebrahim Bagheri
ARC: A Tool to Rate AI Models for Robustness Through a Causal Lens for Enabling Trustworthy Model Selection
Kausik Lakkaraju, Siva Likitha Valluru, Biplav Srivastava and Marco Valtorta
IntraAI: Bridging Human-AI Understanding Through Intelligent Interface Design
Han Bao, Yue Huang, Xiangliang Zhang and Yanfang Ye
Sumo x PyPSA: Interactive Web Demo of Real-Time Urban Power-Traffic Co-Simulation with Vehicle-to-Grid
Marouane Benbrahim, Xin Fang and Zhiqian Chen
GreenWebInspector: A Tool for Real-Time Web Energy Efficiency Assessment
Muhammad Sohaib Ayub, Umair ul Hassan, Imdad Ullah Khan and Edward Curry
Swen: A Cross‑Platform Desktop Assistant for Instant and Personalized Large‑Language‑Model Interaction
Wenjun Feng, Rui Li, Zheng Zhang, Zhenya Huang and Qi Liu
Click-to-Ask: An AI Live Streaming Assistant with Offline Copywriting and Online Interactive Q&amp;A
Ruizhi Yu, Keyang Zhong, Peng Liu, Qi Wu, Haoran Zhang, Yanhao Zhang, Chen Chen and Haonan Lu
</v>
      </c>
      <c r="C52" s="32" t="str">
        <f>IFERROR(__xludf.DUMMYFUNCTION("TEXTJOIN(CHAR(10), TRUE,FILTER('ShortPapers assignment'!$D:$D,'ShortPapers assignment'!$E:$E=C51))"),"Auditing Textual Context in Sequence-Aware Explainable Recommendation
Alejandro Ariza-Casabona, Maria Salamó and Ludovico Boratto
MACA: A Multi-Agent Cognitive Adaptation Framework for Human–Agent Collaborative Decision Making
Youn Jun Seong and Ha Young"&amp;" Oh
Rethinking MoE with Retrieval-Memory Synergy: Towards Efficient Expert Coordination
Wanjie Tao, Qun Dai, Yantong Lv, Quan Lu, Ning Jiang and Zulong Chen
Exploring Fine-Tuning for Tabular Foundation Models
Aditya Tanna, Pratinav Seth, Mohamed Bouadi "&amp;"and Vinay Kumar Sankarapu
MGK-RAG: Multi-Granularity Knowledge Guided Retrieval-Augmented Generation for Radiology Report
Jiaqing Ma, Xiaodong Yue, Yufei Chen, Jie Shi, Zhipeng Wei and Zeyu Jia
Do You Trust Me? Cognitive–Affective Signatures of Trustwor"&amp;"thiness in Large Language Models
Gerard C. Yeo, Svetlana Churina and Kokil Jaidka
Active Retrieval-Augmented Generation with Conflict-Fused Uncertainty Quantification
Tao Tang, Xiaodong Yue, Yufei Chen, Jie Shi and Shijie Ding
Fact-Checking Strategies i"&amp;"n Web: Lateral Navigation in the Browser Boosts Health Misinformation Detection Even Under Confirmation Bias
Elena Artemenko, Olessia Koltsova, Maksim Terpilovskii and Natalia Khazova
Revisiting IPS-based Algorithms for Off-Policy Evaluation of Contextua"&amp;"l Bandits
Daria Korovaitceva, Marina Sheshukova, Evgeny Frolov and Sergey Samsonov
SAGE-RAI: Design Patterns for Transparent RAG Systems
Joseph Kwarteng, Aisling Third, Alexander Mikroyannidis, David Tarrant and John Domingue
Towards Efficient and Inter"&amp;"pretable Medical Concept Representation via Ontology-driven Residual Vector Quantization
Hang Lv, Kaisong Zhang, Yanchao Tan and Xing Chen
Multi-Agent Collaborative Filtering: Orchestrating Users and Items for Agentic Recommendations
Yu Xia, Sungchul Kim"&amp;", Tong Yu, Ryan A. Rossi and Julian McAuley
Tuning Qwen2.5-VL to Improve Its Web Interaction Skills
Alexandra Yakovleva, Henrik Pärssinen, Harri Valpola, Juho Kannala and Alexander Ilin
VK-LSVD: A Large-Scale Industrial Dataset for Short-Video Recommend"&amp;"ation
Aleksandr Poslavsky, Alexander D'yakonov, Yuriy Dorn and Andrey Zimovnov
NERdME: A Named Entity Recognition Dataset for Indexing Research Artifacts in Code Repositories
Genet Asefa Gesese, Zongxiong Chen, Shufan Jiang, Mary Ann Tan, Zhaotai Liu, So"&amp;"nja Schimmler and Harald Sack
Beyond Item-Level Prediction: Fine-Grained CVR Modeling with Price SKU in E-Commerce Recommendation
Huiling Wu, Ao Zhang, Junwei Xu, Boya Du, Jialin Zhu, Yuning Jiang and Dakai Zhai
Enhancing Trusted Multi-View Classificati"&amp;"on via Adaptive Regularization Guided by View-Specific Biases
Zhiyuan Liu, Xiaodong Yue, Yufei Chen, Shijie Ding and Jie Shi
Orion-Bix: Bi-Axial Attention for Tabular In-Context Learning
Mohamed Bouadi, Pratinav Seth, Aditya Tanna and Vinay Kumar Sankara"&amp;"pu
Truth with a Twist: The Rhetoric of Persuasion in Professional vs. Community-Authored Fact-Checks
Olesya Razuvayevskaya and Kalina Bontcheva
Multi-Behavior Sequential Modeling with Transition-Aware Graph Attention Network for E-Commerce Recommendatio"&amp;"n
Hanqi Jin, Gaoming Yang, Zhangming Chan, Yapeng Yuan, Longbin Li, Fei Sun, Yeqiu Yang, Jian Wu, Yuning Jiang and Bo Zheng
Vertical Semi-Federated Learning for Efficient Online Advertising
Wenjie Li, Shu-Tao Xia, Jiangke Fan, Teng Zhang and Xingxing Wan"&amp;"g
MiniAMIE: Quick and Dirty Rule Mining on Knowledge Graphs
Luis Galárraga, Julianne Guerbette, Isseïnie Sinouvassane and Paul Viallard
How Graphs Can Help You Stay Informed in an Evolving World
MohammadHossein Bateni, Lin Chen, Hossein Esfandiari and S"&amp;"asan Tavakkol
What Is Your AI Agent Buying? Evaluation, Biases, Model Dependence, &amp; Emerging Implications of Agentic E-Commerce
Amine Allouah, Omar Besbes, Josué D. Figueroa, Yash Kanoria and Akshit Kumar
")</f>
        <v>Auditing Textual Context in Sequence-Aware Explainable Recommendation
Alejandro Ariza-Casabona, Maria Salamó and Ludovico Boratto
MACA: A Multi-Agent Cognitive Adaptation Framework for Human–Agent Collaborative Decision Making
Youn Jun Seong and Ha Young Oh
Rethinking MoE with Retrieval-Memory Synergy: Towards Efficient Expert Coordination
Wanjie Tao, Qun Dai, Yantong Lv, Quan Lu, Ning Jiang and Zulong Chen
Exploring Fine-Tuning for Tabular Foundation Models
Aditya Tanna, Pratinav Seth, Mohamed Bouadi and Vinay Kumar Sankarapu
MGK-RAG: Multi-Granularity Knowledge Guided Retrieval-Augmented Generation for Radiology Report
Jiaqing Ma, Xiaodong Yue, Yufei Chen, Jie Shi, Zhipeng Wei and Zeyu Jia
Do You Trust Me? Cognitive–Affective Signatures of Trustworthiness in Large Language Models
Gerard C. Yeo, Svetlana Churina and Kokil Jaidka
Active Retrieval-Augmented Generation with Conflict-Fused Uncertainty Quantification
Tao Tang, Xiaodong Yue, Yufei Chen, Jie Shi and Shijie Ding
Fact-Checking Strategies in Web: Lateral Navigation in the Browser Boosts Health Misinformation Detection Even Under Confirmation Bias
Elena Artemenko, Olessia Koltsova, Maksim Terpilovskii and Natalia Khazova
Revisiting IPS-based Algorithms for Off-Policy Evaluation of Contextual Bandits
Daria Korovaitceva, Marina Sheshukova, Evgeny Frolov and Sergey Samsonov
SAGE-RAI: Design Patterns for Transparent RAG Systems
Joseph Kwarteng, Aisling Third, Alexander Mikroyannidis, David Tarrant and John Domingue
Towards Efficient and Interpretable Medical Concept Representation via Ontology-driven Residual Vector Quantization
Hang Lv, Kaisong Zhang, Yanchao Tan and Xing Chen
Multi-Agent Collaborative Filtering: Orchestrating Users and Items for Agentic Recommendations
Yu Xia, Sungchul Kim, Tong Yu, Ryan A. Rossi and Julian McAuley
Tuning Qwen2.5-VL to Improve Its Web Interaction Skills
Alexandra Yakovleva, Henrik Pärssinen, Harri Valpola, Juho Kannala and Alexander Ilin
VK-LSVD: A Large-Scale Industrial Dataset for Short-Video Recommendation
Aleksandr Poslavsky, Alexander D'yakonov, Yuriy Dorn and Andrey Zimovnov
NERdME: A Named Entity Recognition Dataset for Indexing Research Artifacts in Code Repositories
Genet Asefa Gesese, Zongxiong Chen, Shufan Jiang, Mary Ann Tan, Zhaotai Liu, Sonja Schimmler and Harald Sack
Beyond Item-Level Prediction: Fine-Grained CVR Modeling with Price SKU in E-Commerce Recommendation
Huiling Wu, Ao Zhang, Junwei Xu, Boya Du, Jialin Zhu, Yuning Jiang and Dakai Zhai
Enhancing Trusted Multi-View Classification via Adaptive Regularization Guided by View-Specific Biases
Zhiyuan Liu, Xiaodong Yue, Yufei Chen, Shijie Ding and Jie Shi
Orion-Bix: Bi-Axial Attention for Tabular In-Context Learning
Mohamed Bouadi, Pratinav Seth, Aditya Tanna and Vinay Kumar Sankarapu
Truth with a Twist: The Rhetoric of Persuasion in Professional vs. Community-Authored Fact-Checks
Olesya Razuvayevskaya and Kalina Bontcheva
Multi-Behavior Sequential Modeling with Transition-Aware Graph Attention Network for E-Commerce Recommendation
Hanqi Jin, Gaoming Yang, Zhangming Chan, Yapeng Yuan, Longbin Li, Fei Sun, Yeqiu Yang, Jian Wu, Yuning Jiang and Bo Zheng
Vertical Semi-Federated Learning for Efficient Online Advertising
Wenjie Li, Shu-Tao Xia, Jiangke Fan, Teng Zhang and Xingxing Wang
MiniAMIE: Quick and Dirty Rule Mining on Knowledge Graphs
Luis Galárraga, Julianne Guerbette, Isseïnie Sinouvassane and Paul Viallard
How Graphs Can Help You Stay Informed in an Evolving World
MohammadHossein Bateni, Lin Chen, Hossein Esfandiari and Sasan Tavakkol
What Is Your AI Agent Buying? Evaluation, Biases, Model Dependence, &amp; Emerging Implications of Agentic E-Commerce
Amine Allouah, Omar Besbes, Josué D. Figueroa, Yash Kanoria and Akshit Kumar
</v>
      </c>
      <c r="D52" s="71" t="str">
        <f>IFERROR(__xludf.DUMMYFUNCTION("TEXTJOIN(CHAR(10), TRUE,FILTER('Research assignment'!$D:$D,'Research assignment'!$G:$G=D51))"),"Generalizable Graph-level Anomaly Detection via Prompted Anomaly Expansion and Normality Extraction
Ge Zhang, Jiapei Chen, Guohao Sun, Xiu Fang, Zhenyu Yang,
Xixun Lin and Liang Yang
Meta-Learning Driven Few-Shot Knowledge Transfer with Dual-Stage Adapti"&amp;"ve Data Replay for Cross-Domain Recommendation
Yilei Qiu, Fei Xiong, Jun Hu, Shirui Pan and Liang Wang
VecFormer: Towards Efficient and Generalizable Graph Transformer with Graph Token Attention
Jingbo Zhou, Jun Xia, Siyuan Li, Yunfan Liu, Wenjun Wang,
Y"&amp;"ufei Huang, Changxi Chi, Mutian Hong, Zhuoli Ouyang, Shu
Wang, Zhongqi Wang, Xingyu Wu, Chang Yu and Stan Z. Li
Mitigating Homophily Disparity in Graph Anomaly Detection: A Scalable and Adaptive Approach
Yunhui Liu, Qizhuo Xie, Yinfeng Chen, Xudong Jin, "&amp;"Tao
Zheng, Bin Chong and Tieke He
Disentangled Graph LLM for Molecule Graph Editing under Distribution Shifts
Yang Yao, Xin Wang, Yuan Meng, Zeyang Zhang, Hong Mei and
Wenwu Zhu
KEGOD: Kernel-enhanced Latent Substructure Learning for Graph Out-Of-Distri"&amp;"bution Detection
Yifan Wang, Haodong Zhang, Zhiping Xiao, Yusheng Zhao, Siyu
Yi, Nan Yin, Xinwang Liu, Ming Zhang and Wei Ju
Hi-GMAE: Hierarchical Graph Masked Autoencoders
Chuang Liu, Zelin Yao, Xueqi Ma, Mukun Chen, Luzhi Wang,
Jia Wu and Wenbin Hu
Lo"&amp;"ng-Tailed Recognition of Evidential Experts for Graph-level Classification
Wei Ju, Siyu Yi, Zhengyang Mao, Yifang Qin, Yifan Wang,
Zhiping Xiao, Yiwei Fu, Ziyue Qiao and Ming Zhang
OFA-MAS: One-for-All Multi-Agent System Topology Design based on Mixture-"&amp;"of-Experts Graph Generative Models
Shiyuan Li, Yixin Liu, Yu Zheng, Mei Li, Quoc Viet Hung
Nguyen and Shirui Pan
LLM-enhanced Federated Graph Learning with Geometry-aware Graph Projection and Shared Subspace Aggregation
Pengyang Zhou, Zhihao Huang, Jiahe"&amp;" Xu, Wu Wen, Xiaolin
Zheng, Chaochao Chen and Jianwei Yin
")</f>
        <v>Generalizable Graph-level Anomaly Detection via Prompted Anomaly Expansion and Normality Extraction
Ge Zhang, Jiapei Chen, Guohao Sun, Xiu Fang, Zhenyu Yang,
Xixun Lin and Liang Yang
Meta-Learning Driven Few-Shot Knowledge Transfer with Dual-Stage Adaptive Data Replay for Cross-Domain Recommendation
Yilei Qiu, Fei Xiong, Jun Hu, Shirui Pan and Liang Wang
VecFormer: Towards Efficient and Generalizable Graph Transformer with Graph Token Attention
Jingbo Zhou, Jun Xia, Siyuan Li, Yunfan Liu, Wenjun Wang,
Yufei Huang, Changxi Chi, Mutian Hong, Zhuoli Ouyang, Shu
Wang, Zhongqi Wang, Xingyu Wu, Chang Yu and Stan Z. Li
Mitigating Homophily Disparity in Graph Anomaly Detection: A Scalable and Adaptive Approach
Yunhui Liu, Qizhuo Xie, Yinfeng Chen, Xudong Jin, Tao
Zheng, Bin Chong and Tieke He
Disentangled Graph LLM for Molecule Graph Editing under Distribution Shifts
Yang Yao, Xin Wang, Yuan Meng, Zeyang Zhang, Hong Mei and
Wenwu Zhu
KEGOD: Kernel-enhanced Latent Substructure Learning for Graph Out-Of-Distribution Detection
Yifan Wang, Haodong Zhang, Zhiping Xiao, Yusheng Zhao, Siyu
Yi, Nan Yin, Xinwang Liu, Ming Zhang and Wei Ju
Hi-GMAE: Hierarchical Graph Masked Autoencoders
Chuang Liu, Zelin Yao, Xueqi Ma, Mukun Chen, Luzhi Wang,
Jia Wu and Wenbin Hu
Long-Tailed Recognition of Evidential Experts for Graph-level Classification
Wei Ju, Siyu Yi, Zhengyang Mao, Yifang Qin, Yifan Wang,
Zhiping Xiao, Yiwei Fu, Ziyue Qiao and Ming Zhang
OFA-MAS: One-for-All Multi-Agent System Topology Design based on Mixture-of-Experts Graph Generative Models
Shiyuan Li, Yixin Liu, Yu Zheng, Mei Li, Quoc Viet Hung
Nguyen and Shirui Pan
LLM-enhanced Federated Graph Learning with Geometry-aware Graph Projection and Shared Subspace Aggregation
Pengyang Zhou, Zhihao Huang, Jiahe Xu, Wu Wen, Xiaolin
Zheng, Chaochao Chen and Jianwei Yin
</v>
      </c>
      <c r="E52" s="71" t="str">
        <f>IFERROR(__xludf.DUMMYFUNCTION("TEXTJOIN(CHAR(10), TRUE,FILTER('Research assignment'!$D:$D,'Research assignment'!$G:$G=E51))"),"Rethinking Implicit Hate Speech Detection: Focusing on Latent Hate Components via Dual-Process Argumentation
Shiqi Sun, Du Su, Wei Chen and Xueqi Cheng
PIXEL: Adaptive Steering Via Position-wise Injection with eXact Estimated Levels under a Subspace Cali"&amp;"bration
Manjiang Yu, Hongji Li, Priyanka Singh, Xue Li, Di Wang and
Lijie Hu
Doxing-as-a-Service: Demystifying the Chinese Online Doxing Ecosystem
Yiran Gao, Pengcheng Xia, Liu Wang, Tianming Liu and Haoyu
Wang
From Navigation to Intention: Reframing th"&amp;"e Web Experience through Goal-Driven Interfaces
Luca Cordioli and Maristella Matera
Read as You See: Guiding Unimodal LLMs for Low-Resource Explainable Harmful Meme Detection
Fengjun Pan, Xiaobao Wu, Tho Quan and Anh Tuan Luu
BIND: A Bidirectionally Ali"&amp;"gned Next-token Denoising Framework for Fast and Lightweight Deobfuscation of Harmful Web Text
Jinwoo Jung and Misuk Kim
")</f>
        <v>Rethinking Implicit Hate Speech Detection: Focusing on Latent Hate Components via Dual-Process Argumentation
Shiqi Sun, Du Su, Wei Chen and Xueqi Cheng
PIXEL: Adaptive Steering Via Position-wise Injection with eXact Estimated Levels under a Subspace Calibration
Manjiang Yu, Hongji Li, Priyanka Singh, Xue Li, Di Wang and
Lijie Hu
Doxing-as-a-Service: Demystifying the Chinese Online Doxing Ecosystem
Yiran Gao, Pengcheng Xia, Liu Wang, Tianming Liu and Haoyu
Wang
From Navigation to Intention: Reframing the Web Experience through Goal-Driven Interfaces
Luca Cordioli and Maristella Matera
Read as You See: Guiding Unimodal LLMs for Low-Resource Explainable Harmful Meme Detection
Fengjun Pan, Xiaobao Wu, Tho Quan and Anh Tuan Luu
BIND: A Bidirectionally Aligned Next-token Denoising Framework for Fast and Lightweight Deobfuscation of Harmful Web Text
Jinwoo Jung and Misuk Kim
</v>
      </c>
      <c r="F52" s="71" t="str">
        <f>IFERROR(__xludf.DUMMYFUNCTION("TEXTJOIN(CHAR(10), TRUE,FILTER('Research assignment'!$D:$D,'Research assignment'!$G:$G=F51))"),"ToolBox-RL: Learning to Generalize Tool Use Across Massive Repositories
Xinyan Shi, Renzhi Wang, Haodong Liu and Piji Li
Facilitating Generative Retrieval with Logical Denoising for Interpretable Conversational Search
Qichuan Liu, Chentao Zhang, Yuxuan H"&amp;"u, Chenfeng Zheng,
Qinggang Zhang and Zhihong Zhang
Beyond More Context: Retrieval Diversity Boosts Multi-Turn Intent Understanding
Zhiming Lin, Canran Xiao and Kai Zhao
PaperAsk: A Benchmark for Reliability Evaluation of LLMs in Paper Search and Readin"&amp;"g
Yutao Wu, Xiao Liu, Yunhao Feng, Jiale Ding and Xingjun Ma
SeaRAG: Reducing Hallucination in Retrieval-Augmented Generation via Statement-Entity Adaptive Ranking
Xiaosong Yuan, Xiaofeng Zhang, Di Zhao, Yijia Zhang and
Ying Wang
Experience is the Best "&amp;"Teacher: Augmenting LLM Reasoning with Knowledge Learned from the Past
Mingjun Zhou, Weixin Zeng and Xiang Zhao
")</f>
        <v>ToolBox-RL: Learning to Generalize Tool Use Across Massive Repositories
Xinyan Shi, Renzhi Wang, Haodong Liu and Piji Li
Facilitating Generative Retrieval with Logical Denoising for Interpretable Conversational Search
Qichuan Liu, Chentao Zhang, Yuxuan Hu, Chenfeng Zheng,
Qinggang Zhang and Zhihong Zhang
Beyond More Context: Retrieval Diversity Boosts Multi-Turn Intent Understanding
Zhiming Lin, Canran Xiao and Kai Zhao
PaperAsk: A Benchmark for Reliability Evaluation of LLMs in Paper Search and Reading
Yutao Wu, Xiao Liu, Yunhao Feng, Jiale Ding and Xingjun Ma
SeaRAG: Reducing Hallucination in Retrieval-Augmented Generation via Statement-Entity Adaptive Ranking
Xiaosong Yuan, Xiaofeng Zhang, Di Zhao, Yijia Zhang and
Ying Wang
Experience is the Best Teacher: Augmenting LLM Reasoning with Knowledge Learned from the Past
Mingjun Zhou, Weixin Zeng and Xiang Zhao
</v>
      </c>
      <c r="G52" s="71" t="str">
        <f>IFERROR(__xludf.DUMMYFUNCTION("TEXTJOIN(CHAR(10), TRUE,FILTER('Research assignment'!$D:$D,'Research assignment'!$G:$G=G51))"),"Spectral Disentanglement and Enhancement: A Dual-domain Contrastive Framework for Representation Learning
Jinjin Guo, Yexin Li, Zhichao Huang, Jun Fang, Zhiyuan Liu,
Chao Liu, Pengzhang Liu and Qixia Jiang
Verifiable Federated Representation Learning for"&amp;" Cross-domain Sequential Recommendation
Tao Tang, Botao Liu, Ciyuan Peng, Ivan Lee and Xiangjie Kong
Kleene Closure Property Path Query Optimization  Based on Node Clustered Index
Tenglong Ren, Lulu Yang, Xiaowang Zhang and Zhiyong Feng
AgentPRM: Proces"&amp;"s Reward Models for LLM Agents via Step-Wise Promise and Progress
Zhiheng Xi, Chenyang Liao, Guanyu Li, Zhihao Zhang,
Wenxiang Chen, Binghai Wang, Senjie Jin, Yuhao Zhou, Jian
Guan, Wei Wu, Tao Ji, Tao Gui, Qi Zhang and Xuanjing Huang
A Simplex Approach "&amp;"to Synthetic Knowledge Graph Generation
Ana Alexandra Morim da Silva, Atul Bhopalsing Pundir,
Michael Röder and Axel-Cyrille Ngonga Ngomo
Detecting Miscitation on the Scholarly Web through LLM-Augmented Text-Rich Graph Learning
Huidong Wu, Haojia Xiang, "&amp;"Jingtong Gao, Xiangyu Zhao,
Dengsheng Wu and Jianping Li
Empowering LLMs for Structure-Based Drug Design via Exploration-Augmented Latent Inference
Xuanning Hu, Anchen Li, Qianli Xing, Jinglong Ji, Hao Tuo
and Bo Yang
A Unified and Time-Efficient Multi-"&amp;"Agent Framework for Data Discovery
Yunhao Xiao, Ying Wang, Michael Bewong, Selasi Kwashie,
Xiaoxia Li and Zaiwen Feng
")</f>
        <v>Spectral Disentanglement and Enhancement: A Dual-domain Contrastive Framework for Representation Learning
Jinjin Guo, Yexin Li, Zhichao Huang, Jun Fang, Zhiyuan Liu,
Chao Liu, Pengzhang Liu and Qixia Jiang
Verifiable Federated Representation Learning for Cross-domain Sequential Recommendation
Tao Tang, Botao Liu, Ciyuan Peng, Ivan Lee and Xiangjie Kong
Kleene Closure Property Path Query Optimization  Based on Node Clustered Index
Tenglong Ren, Lulu Yang, Xiaowang Zhang and Zhiyong Feng
AgentPRM: Process Reward Models for LLM Agents via Step-Wise Promise and Progress
Zhiheng Xi, Chenyang Liao, Guanyu Li, Zhihao Zhang,
Wenxiang Chen, Binghai Wang, Senjie Jin, Yuhao Zhou, Jian
Guan, Wei Wu, Tao Ji, Tao Gui, Qi Zhang and Xuanjing Huang
A Simplex Approach to Synthetic Knowledge Graph Generation
Ana Alexandra Morim da Silva, Atul Bhopalsing Pundir,
Michael Röder and Axel-Cyrille Ngonga Ngomo
Detecting Miscitation on the Scholarly Web through LLM-Augmented Text-Rich Graph Learning
Huidong Wu, Haojia Xiang, Jingtong Gao, Xiangyu Zhao,
Dengsheng Wu and Jianping Li
Empowering LLMs for Structure-Based Drug Design via Exploration-Augmented Latent Inference
Xuanning Hu, Anchen Li, Qianli Xing, Jinglong Ji, Hao Tuo
and Bo Yang
A Unified and Time-Efficient Multi-Agent Framework for Data Discovery
Yunhao Xiao, Ying Wang, Michael Bewong, Selasi Kwashie,
Xiaoxia Li and Zaiwen Feng
</v>
      </c>
      <c r="H52" s="71" t="str">
        <f>IFERROR(__xludf.DUMMYFUNCTION("TEXTJOIN(CHAR(10), TRUE,FILTER('Research assignment'!$D:$D,'Research assignment'!$G:$G=H51))"),"SentinelNet: Safeguarding Multi-Agent Collaboration Through Credit-Based Dynamic Threat Detection
Yang Feng and Xudong Pan
Anti-Phishing Training (Still) Does Not Work: A Reproduction of Phishing Training Inefficacy Grounded in the NIST Phish Scale
Andre"&amp;"w Rozema and James Davis
Real or Rogue? Detecting Malicious Miniapps with Deceptive Reporting Interface
Yuqing Yang and Zhiqiang Lin
Reliable Non-Leveled Homomorphic Encryption for Web Services
Baigang Chen and Dongfang Zhao
Acting Flatterers via LLMs "&amp;"Sycophancy: Combating Clickbait with LLMs Opposing-Stance Reasoning
Chaowei Zhang, Xiansheng Luo, Zewei Zhang, Yi Zhu, Jipeng
Qiang and Longwei Wang
DeepSVU: Towards In-depth Security-oriented Video Understanding via Unified Physical-world Regularized Mo"&amp;"E
Yujie Jin, Wenxin Zhang, Jingjing Wang and Guodong Zhou
SPCA: Stream Parser Confusion Attack for Web Application Firewall Evasion in HTTP/2
Kyungrok Choi, Woonghee Lee and Junbeom Hur
SemFuzz: A Semantics-Aware Fuzzing Framework for Network Protocol I"&amp;"mplementations
Yanbang Sun, Quan Luo, Yuelin Wang, Qian Chen, Benjin Liu,
Ruiqi Chen, Qing Huang, Xiaohong Li and Junjie Wang
DRGW: Learning Disentangled Representations for Robust Graph Watermarking
Jiasen Li, Yanwei Liu, Zhuoyi Shang, Xiaoyan Gu and We"&amp;"iping
Wang
PrivSniffer: Graph-based Contextual Privacy Leakage Detection for User-Generated Texts
Hangyu Ye, Liyao Xiang, Naixuan Huang, Dongyue Yu, Lijun
Zhang and Gang Wang
")</f>
        <v>SentinelNet: Safeguarding Multi-Agent Collaboration Through Credit-Based Dynamic Threat Detection
Yang Feng and Xudong Pan
Anti-Phishing Training (Still) Does Not Work: A Reproduction of Phishing Training Inefficacy Grounded in the NIST Phish Scale
Andrew Rozema and James Davis
Real or Rogue? Detecting Malicious Miniapps with Deceptive Reporting Interface
Yuqing Yang and Zhiqiang Lin
Reliable Non-Leveled Homomorphic Encryption for Web Services
Baigang Chen and Dongfang Zhao
Acting Flatterers via LLMs Sycophancy: Combating Clickbait with LLMs Opposing-Stance Reasoning
Chaowei Zhang, Xiansheng Luo, Zewei Zhang, Yi Zhu, Jipeng
Qiang and Longwei Wang
DeepSVU: Towards In-depth Security-oriented Video Understanding via Unified Physical-world Regularized MoE
Yujie Jin, Wenxin Zhang, Jingjing Wang and Guodong Zhou
SPCA: Stream Parser Confusion Attack for Web Application Firewall Evasion in HTTP/2
Kyungrok Choi, Woonghee Lee and Junbeom Hur
SemFuzz: A Semantics-Aware Fuzzing Framework for Network Protocol Implementations
Yanbang Sun, Quan Luo, Yuelin Wang, Qian Chen, Benjin Liu,
Ruiqi Chen, Qing Huang, Xiaohong Li and Junjie Wang
DRGW: Learning Disentangled Representations for Robust Graph Watermarking
Jiasen Li, Yanwei Liu, Zhuoyi Shang, Xiaoyan Gu and Weiping
Wang
PrivSniffer: Graph-based Contextual Privacy Leakage Detection for User-Generated Texts
Hangyu Ye, Liyao Xiang, Naixuan Huang, Dongyue Yu, Lijun
Zhang and Gang Wang
</v>
      </c>
      <c r="I52" s="71" t="str">
        <f>IFERROR(__xludf.DUMMYFUNCTION("TEXTJOIN(CHAR(10), TRUE,FILTER('Research assignment'!$D:$D,'Research assignment'!$G:$G=I51))"),"Emergent Coordinated Behaviors in Networked LLM Agents: Modeling the Strategic Dynamics of Information Operations
Gian Marco Orlando, Jinyi Ye, Valerio La Gatta, Mahdi
Saeedi, Vincenzo Moscato, Emilio Ferrara and Luca Luceri
Fairness in Opinion-Formation"&amp;" Dynamics
Nikos Theologis, Evaggelia Pitoura, Evimaria Terzi and
Panayiotis Tsaparas
SoftHateBench: Evaluating Moderation Models Against Reasoning-Driven, Policy-Compliant Hostility
Xuanyu Su, Diana Inkpen and Nathalie Japkowicz
Relational Database Dist"&amp;"illation: From Structured Tables to Condensed Graph Data
Xinyi Gao, Jingxi Zhang, Lijian Chen, Tong Chen, Lizhen Cui
and Hongzhi Yin
LLMs Killed Q&amp;A Stars? Analyzing the Impact of LLM-Generated Answers on an Online Q&amp;A Platform
Dongwon Shin and Sooel Son"&amp;"
")</f>
        <v>Emergent Coordinated Behaviors in Networked LLM Agents: Modeling the Strategic Dynamics of Information Operations
Gian Marco Orlando, Jinyi Ye, Valerio La Gatta, Mahdi
Saeedi, Vincenzo Moscato, Emilio Ferrara and Luca Luceri
Fairness in Opinion-Formation Dynamics
Nikos Theologis, Evaggelia Pitoura, Evimaria Terzi and
Panayiotis Tsaparas
SoftHateBench: Evaluating Moderation Models Against Reasoning-Driven, Policy-Compliant Hostility
Xuanyu Su, Diana Inkpen and Nathalie Japkowicz
Relational Database Distillation: From Structured Tables to Condensed Graph Data
Xinyi Gao, Jingxi Zhang, Lijian Chen, Tong Chen, Lizhen Cui
and Hongzhi Yin
LLMs Killed Q&amp;A Stars? Analyzing the Impact of LLM-Generated Answers on an Online Q&amp;A Platform
Dongwon Shin and Sooel Son
</v>
      </c>
      <c r="J52" s="71" t="str">
        <f>IFERROR(__xludf.DUMMYFUNCTION("TEXTJOIN(CHAR(10), TRUE,FILTER('Research assignment'!$D:$D,'Research assignment'!$G:$G=J51))"),"Can Multimodal LLMs Perform Time Series Anomaly Detection?
Xiongxiao Xu, Haoran Wang, Yueqing Liang, Philip S. Yu, Yue
Zhao and Kai Shu
MF^3: Multimodal Federated Learning with Dual-Path Mamba-Transformer for Metro Flow Prediction
Bingjie Wang, Chao Zhan"&amp;"g, Wentao Li and Deyu Li
An LLM-Powered Cooperative Framework for Large-Scale Multi-Vehicle Navigation
Yuping Zhou, Siqi Lai, Jindong Han and Hao Liu
Alzo: Auto-Tuning with Reinforcement Learning for DAG-based Blockchains
Qiuyu Ding, Rongkai Zhang, Qinn"&amp;"an Zhang, Zhen Xiao, Jieyi
Long, Mingchao Wan, Sen Liu and Jin Dong
Concordia: Enabling Low-Conflict Distributed Transaction Scheduling in Sharding Blockchain via Cooperative Perception
Yanxiu Liu, Linpeng Jia, Xiaohu Yang, Zhongcheng Li and Yi
Sun
Secu"&amp;"reSplit: Mitigating Backdoor Attacks in Split Learning
Zhihao Dou, Dongfei Cui, Weida Wang, Anjun Gao, Yueyang
Quan, Mengyao Ma, Viet Vo, Guangdong Bai, Zhuqing Liu and
Minghong Fang
Predictability-Aware Compression and Decompression Framework for Multic"&amp;"hannel Time Series Data with Latent Seasonality
Ziqi Liu, Pei Zeng and Yi Ding
")</f>
        <v>Can Multimodal LLMs Perform Time Series Anomaly Detection?
Xiongxiao Xu, Haoran Wang, Yueqing Liang, Philip S. Yu, Yue
Zhao and Kai Shu
MF^3: Multimodal Federated Learning with Dual-Path Mamba-Transformer for Metro Flow Prediction
Bingjie Wang, Chao Zhang, Wentao Li and Deyu Li
An LLM-Powered Cooperative Framework for Large-Scale Multi-Vehicle Navigation
Yuping Zhou, Siqi Lai, Jindong Han and Hao Liu
Alzo: Auto-Tuning with Reinforcement Learning for DAG-based Blockchains
Qiuyu Ding, Rongkai Zhang, Qinnan Zhang, Zhen Xiao, Jieyi
Long, Mingchao Wan, Sen Liu and Jin Dong
Concordia: Enabling Low-Conflict Distributed Transaction Scheduling in Sharding Blockchain via Cooperative Perception
Yanxiu Liu, Linpeng Jia, Xiaohu Yang, Zhongcheng Li and Yi
Sun
SecureSplit: Mitigating Backdoor Attacks in Split Learning
Zhihao Dou, Dongfei Cui, Weida Wang, Anjun Gao, Yueyang
Quan, Mengyao Ma, Viet Vo, Guangdong Bai, Zhuqing Liu and
Minghong Fang
Predictability-Aware Compression and Decompression Framework for Multichannel Time Series Data with Latent Seasonality
Ziqi Liu, Pei Zeng and Yi Ding
</v>
      </c>
      <c r="K52" s="71" t="str">
        <f>IFERROR(__xludf.DUMMYFUNCTION("TEXTJOIN(CHAR(10), TRUE,FILTER('Research assignment'!$D:$D,'Research assignment'!$G:$G=K51))"),"From Criteria to Ranking: Targeting-Aware Tripartite Graph Learning for Multi-Criteria Recommendation
Zhenhua Meng and Fanshen Meng
SAGE: Global Semantic Alignment with LLMs for Long-Tail Sequential Recommendation
Maolin Wang, Tongshu Bian, Ziyan Wang, X"&amp;"iaotong Jiang,
Binhao Wang, Derong Xu, Wanyu Wang, Ruocheng Guo and
Xiangyu Zhao
Relation-aware Diffusion-Asymmetric Graph Contrastive Learning for Recommendation
Yixuan Huang, Jiawei Chen, Shengfan Zhang and Zane Cao
Adaptive Location Hierarchy Learnin"&amp;"g for Long-Tailed Mobility Prediction
Yu Wang, Junshu Dai, Yuchen Ying, Hanyang Yuan, Zunlei
Feng, Tongya Zheng and Mingli Song
Scaling Collaborative Filtering with Multimodal Contrastive Fine-tuning
Liwei Jin, Dan Luo, Lixin Zou, Chenliang Li, Xiangyang"&amp;" Luo,
Xixun Lin, Liming Dong and Yifan Zhang
Embedding Enhancement via Fine-Tuned Language Models for Learner-Item Cognitive Modeling
Yuanhao Liu, Zihan Zhou, Kaiying Wu, Shuo Liu, Yiyang
Huang, Jiajun Guo, Aimin Zhou and Hong Qian
Spattack: Subgroup Po"&amp;"isoning Attacks on Federated Recommender Systems
Bo Yan, Yurong Hao, Dingqi Liu, Huabin Sun, Pengpeng Qiao,
Wei Yang Bryan Lim, Yang Cao and Chuan Shi
Quantifying User Coherence: A Unified Framework for Analyzing Recommender Systems Across Domains
Michae"&amp;"l Soumm, Alexandre Fournier-Montgieux, Adrian Popescu
and Bertrand Delezoide
ONeRec: Towards Openness-Aware and Adaptive Proactive News Recommendation
Jie Li, Zhen Cui and Linmei Hu
Sharpness-Consistent Cross-Domain Recommendation for Cold-Start Items
K"&amp;"e Fei, Jingjing Li, Zhekai Du and Hongbo Chen
Sharpness-Aware Minimization for Generalized Embedding Learning in Federated Recommendation
Fengyuan Yu, Xiaohua Feng, Yuyuan Li, Changwang Zhang, Jun
Wang and Chaochao Chen
Dynamic Experts Synergy for Multi"&amp;"-Task Recommendation
Haotian Wu, Yingpeng Du, Zhu Sun, Jie Zhang and Puay Siew
Tan
")</f>
        <v>From Criteria to Ranking: Targeting-Aware Tripartite Graph Learning for Multi-Criteria Recommendation
Zhenhua Meng and Fanshen Meng
SAGE: Global Semantic Alignment with LLMs for Long-Tail Sequential Recommendation
Maolin Wang, Tongshu Bian, Ziyan Wang, Xiaotong Jiang,
Binhao Wang, Derong Xu, Wanyu Wang, Ruocheng Guo and
Xiangyu Zhao
Relation-aware Diffusion-Asymmetric Graph Contrastive Learning for Recommendation
Yixuan Huang, Jiawei Chen, Shengfan Zhang and Zane Cao
Adaptive Location Hierarchy Learning for Long-Tailed Mobility Prediction
Yu Wang, Junshu Dai, Yuchen Ying, Hanyang Yuan, Zunlei
Feng, Tongya Zheng and Mingli Song
Scaling Collaborative Filtering with Multimodal Contrastive Fine-tuning
Liwei Jin, Dan Luo, Lixin Zou, Chenliang Li, Xiangyang Luo,
Xixun Lin, Liming Dong and Yifan Zhang
Embedding Enhancement via Fine-Tuned Language Models for Learner-Item Cognitive Modeling
Yuanhao Liu, Zihan Zhou, Kaiying Wu, Shuo Liu, Yiyang
Huang, Jiajun Guo, Aimin Zhou and Hong Qian
Spattack: Subgroup Poisoning Attacks on Federated Recommender Systems
Bo Yan, Yurong Hao, Dingqi Liu, Huabin Sun, Pengpeng Qiao,
Wei Yang Bryan Lim, Yang Cao and Chuan Shi
Quantifying User Coherence: A Unified Framework for Analyzing Recommender Systems Across Domains
Michael Soumm, Alexandre Fournier-Montgieux, Adrian Popescu
and Bertrand Delezoide
ONeRec: Towards Openness-Aware and Adaptive Proactive News Recommendation
Jie Li, Zhen Cui and Linmei Hu
Sharpness-Consistent Cross-Domain Recommendation for Cold-Start Items
Ke Fei, Jingjing Li, Zhekai Du and Hongbo Chen
Sharpness-Aware Minimization for Generalized Embedding Learning in Federated Recommendation
Fengyuan Yu, Xiaohua Feng, Yuyuan Li, Changwang Zhang, Jun
Wang and Chaochao Chen
Dynamic Experts Synergy for Multi-Task Recommendation
Haotian Wu, Yingpeng Du, Zhu Sun, Jie Zhang and Puay Siew
Tan
</v>
      </c>
      <c r="L52" s="71" t="str">
        <f>IFERROR(__xludf.DUMMYFUNCTION("TEXTJOIN(CHAR(10), TRUE,FILTER('Research assignment'!$D:$D,'Research assignment'!$G:$G=L51))"),"Mitigating Cognitive Vulnerabilities in Code Generation via Multi-Agent Adversarial Debate
Shuofu Liu, Quanjiang Guo, Xiao Liu and Ying Liu
E2PL: Effective and Efficient Prompt Learning for Incomplete Multi-view Multi-Label Class Incremental Learning
Jia"&amp;"jun Chen, Yue Wu, Kai Huang, Wenxi Zhao, Wu Yangyang,
Xiaoye Miao, Mengying Zhu, Meng Xi and Guanjie Cheng
CIDC: Cluster Identification-Guided Dual Correction for Robust Short Text Clustering
Yuhua Zhao, Zhixin Han, Xuan Li, Peiyu Xu, Hang Gao,
Mengting "&amp;"Hu and Tiegang Gao
Mamba Hawkes Process for Event Sequence Modeling
Shan Dai, Yuyang Shen, Yuyang Liang, Chenhao Ma and
Anningzhe Gao
StreamFP: Fingerprint-guided Data Selection for Efficient Stream Learning
Changwu Li, Tongjun Shi, Shuhao Zhang, Binbin"&amp;" Chen,
Bingsheng He, Xiaofei Liao and Hai Jin
Interpretable Dynamic Network Modeling of Tensor Time Series via Kronecker Time-Varying Graphical Lasso
Shingo Higashiguchi, Koki Kawabata, Yasuko Matsubara and
Yasushi Sakurai
Bias Mitigation for Harmful Me"&amp;"me Detection using Front-door Adjustment
Jiangfeng Zeng, Cheng Xiong, Xiao Ma and Jialin Qin
VL-KGE: Vision–Language Models Meet Knowledge Graph Embeddings
Athanasios Efthymiou, Stevan Rudinac, Monika Kackovic,
Nachoem Wijnberg and Marcel Worring
")</f>
        <v>Mitigating Cognitive Vulnerabilities in Code Generation via Multi-Agent Adversarial Debate
Shuofu Liu, Quanjiang Guo, Xiao Liu and Ying Liu
E2PL: Effective and Efficient Prompt Learning for Incomplete Multi-view Multi-Label Class Incremental Learning
Jiajun Chen, Yue Wu, Kai Huang, Wenxi Zhao, Wu Yangyang,
Xiaoye Miao, Mengying Zhu, Meng Xi and Guanjie Cheng
CIDC: Cluster Identification-Guided Dual Correction for Robust Short Text Clustering
Yuhua Zhao, Zhixin Han, Xuan Li, Peiyu Xu, Hang Gao,
Mengting Hu and Tiegang Gao
Mamba Hawkes Process for Event Sequence Modeling
Shan Dai, Yuyang Shen, Yuyang Liang, Chenhao Ma and
Anningzhe Gao
StreamFP: Fingerprint-guided Data Selection for Efficient Stream Learning
Changwu Li, Tongjun Shi, Shuhao Zhang, Binbin Chen,
Bingsheng He, Xiaofei Liao and Hai Jin
Interpretable Dynamic Network Modeling of Tensor Time Series via Kronecker Time-Varying Graphical Lasso
Shingo Higashiguchi, Koki Kawabata, Yasuko Matsubara and
Yasushi Sakurai
Bias Mitigation for Harmful Meme Detection using Front-door Adjustment
Jiangfeng Zeng, Cheng Xiong, Xiao Ma and Jialin Qin
VL-KGE: Vision–Language Models Meet Knowledge Graph Embeddings
Athanasios Efthymiou, Stevan Rudinac, Monika Kackovic,
Nachoem Wijnberg and Marcel Worring
</v>
      </c>
      <c r="M52" s="71" t="str">
        <f>IFERROR(__xludf.DUMMYFUNCTION("TEXTJOIN(CHAR(10), TRUE,FILTER('Industry assignment'!$D:$D,'Industry assignment'!$G:$G=M51))"),"GRank: Towards Target-Aware and Streamlined Industrial Retrieval with a Generate-Rank Framework
Yijia Sun, Shanshan Huang, Zhiyuan Guan, Qiang Luo, Ruiming Tang, Kun Gai and Guorui Zhou
Delay-Aware Graph Neural Stochastic Differential Equations for Finan"&amp;"cial Time Series Modeling and Forecasting
Mingjie You, Dawei Cheng, Meilin Zhang, Peng Zhu and Yuqi Liang
AFE-Master: Enhancing LLM-Driven Autonomous Feature Engineering with Domain-Specific Language Parsing and Guided Local Search
Hebin Liang, Jianye Ha"&amp;"o, Jinyi Liu, Yi Ma, Zilin Cao, Jing Liang, Kun Shao, Zhaocheng Du, Fei Ni, Yifu Yuan and Yan Zheng
")</f>
        <v>GRank: Towards Target-Aware and Streamlined Industrial Retrieval with a Generate-Rank Framework
Yijia Sun, Shanshan Huang, Zhiyuan Guan, Qiang Luo, Ruiming Tang, Kun Gai and Guorui Zhou
Delay-Aware Graph Neural Stochastic Differential Equations for Financial Time Series Modeling and Forecasting
Mingjie You, Dawei Cheng, Meilin Zhang, Peng Zhu and Yuqi Liang
AFE-Master: Enhancing LLM-Driven Autonomous Feature Engineering with Domain-Specific Language Parsing and Guided Local Search
Hebin Liang, Jianye Hao, Jinyi Liu, Yi Ma, Zilin Cao, Jing Liang, Kun Shao, Zhaocheng Du, Fei Ni, Yifu Yuan and Yan Zheng
</v>
      </c>
      <c r="N52" s="71" t="str">
        <f>IFERROR(__xludf.DUMMYFUNCTION("TEXTJOIN(CHAR(10), TRUE,FILTER('Web4Good assignment'!$D:$D,'Web4Good assignment'!$G:$G=N51))"),"StreamSense: Streaming Social Task Detection with Selective Vision–Language Model Routing
Han Wang, Deyi Ji, Lanyun Zhu, Jiebo Luo and Roy Ka-Wei Lee
FairFRL: Fairness-aware Federated Representation Learning for Cross-domain Sequential Recommendation
Tao"&amp;" Tang, Mujie Liu, Botao Liu, Wei Du, Liping Chen, Xinrui Cheng, Jiaxin Du and Xiangjie Kong
CEAT: Context-Emotion Adversarial Training Framework for Robust Emotion-Driven Fraud Detection
Chaoqun Li, Si Wu, Yijun Lu, Yuyin Ma, Jinyao Liu, Dingyi Jia, Ming"&amp;"da Han, Feng Li and Pengfei Hu
HCSL: Rumor Detection by Integrating Intra-Sample Curriculum Learning and Hierarchical Semantic Learning
Ping Liu, Hui Song, Shufeng Hao, Xiaoning Hao, Zexu Zhang and Usman Naseem
Physics-Aware Multimodal Urban Heat Mappin"&amp;"g with Open Web Imagery and Mobility Data
Yuanyi You, Yunke Zhang and Yong Li
Safeguarding Children at Scale: Cost-Effective Multimodal LLM Detection of Inappropriate YouTube Advertising
Eman Nabeel, Haleema Jamil, Shizza Asher, Zaeem Mohtashim Khan, Nid"&amp;"a Tanveer, Ihsan Ayyub Qazi and Zafar Ayyub Qazi
Credit and Power Co-evolution Modeling with Dynamic Graph Learning
Wenhao Ying, Peng Zhu, Mingzhe Li, Ziyan Wang and Dawei Cheng
Mind the Ambiguity: Aleatoric Uncertainty Quantification in LLMs for Safe M"&amp;"edical Question Answering
Yaokun Liu, Yifan Liu, Phoebe Mbuvi, Zelin Li, Ruichen Yao, Gawon Lim and Dong Wang
SMART: A Social Movement Analysis &amp; Reasoning Tool with Case Studies on #MeToo and #BlackLivesMatter
Valerio La Gatta, Marco Postiglione, Jeremy"&amp;" Gilbert, Daniel W. Linna Jr., Morgan Manella Greenfield, Aaron Shaw and V.S. Subrahmanian
FUSED: Toward Federated Multimodal Retrieval across Sovereign Data Domains
Chi Xu, Jiaxing Li, Mengdi Jin, William I. Atlas, Mark A. Spoljaric, Edith C.H. Ngai and"&amp;" Jiangchuan Liu
Cross-Domain Fake News Detection on Unseen Domains via LLM-Based Domain-Aware User Modeling
Xuankai Yang, Yan Wang, Jiajie Zhu, Pengfei Ding, Hongyang Liu, Xiuzhen Zhang and Huan Liu
COMA: A Collaborative Multi-Role Agent Framework for A"&amp;"utomated Lesson Plan Generation
Xiaoli Zeng, Ying Zheng, Shuyan Huang, Zitao Liu, Mi Tian, Mingliang Hou, Jiaqi Zheng and Wenzhou Dou
From Words to Worlds: Measuring Cultural Narrative Bias in LLMs via a Structural–Value Pipeline
Fangjian Shen, Yifan Zen"&amp;"g, Dechen Lyu and Wushao Wen
CompTox Ontology: Leveraging Knowledge Graphs for PFAS Monitoring and Decision-Making
Yinglun Zhang, Sonia Moavenzadeh, Jarrar Amjad, Onur Apul, Adrita Barua, Fatih Evrendilek, Torsten Hahmann, Ganga Hettiarachchi, Pascal Hit"&amp;"zler, David Kedrowski, Vasu Kilaru, Prayas Lashkari, Katrina Schweikert, Antony Williams and Hande McGinty
RegimeGuard: Continual Learning Queue Scheduling for Socially Critical Web Services
Zhipeng Liu, Ziming Zhao and Fan Zhang
")</f>
        <v>StreamSense: Streaming Social Task Detection with Selective Vision–Language Model Routing
Han Wang, Deyi Ji, Lanyun Zhu, Jiebo Luo and Roy Ka-Wei Lee
FairFRL: Fairness-aware Federated Representation Learning for Cross-domain Sequential Recommendation
Tao Tang, Mujie Liu, Botao Liu, Wei Du, Liping Chen, Xinrui Cheng, Jiaxin Du and Xiangjie Kong
CEAT: Context-Emotion Adversarial Training Framework for Robust Emotion-Driven Fraud Detection
Chaoqun Li, Si Wu, Yijun Lu, Yuyin Ma, Jinyao Liu, Dingyi Jia, Mingda Han, Feng Li and Pengfei Hu
HCSL: Rumor Detection by Integrating Intra-Sample Curriculum Learning and Hierarchical Semantic Learning
Ping Liu, Hui Song, Shufeng Hao, Xiaoning Hao, Zexu Zhang and Usman Naseem
Physics-Aware Multimodal Urban Heat Mapping with Open Web Imagery and Mobility Data
Yuanyi You, Yunke Zhang and Yong Li
Safeguarding Children at Scale: Cost-Effective Multimodal LLM Detection of Inappropriate YouTube Advertising
Eman Nabeel, Haleema Jamil, Shizza Asher, Zaeem Mohtashim Khan, Nida Tanveer, Ihsan Ayyub Qazi and Zafar Ayyub Qazi
Credit and Power Co-evolution Modeling with Dynamic Graph Learning
Wenhao Ying, Peng Zhu, Mingzhe Li, Ziyan Wang and Dawei Cheng
Mind the Ambiguity: Aleatoric Uncertainty Quantification in LLMs for Safe Medical Question Answering
Yaokun Liu, Yifan Liu, Phoebe Mbuvi, Zelin Li, Ruichen Yao, Gawon Lim and Dong Wang
SMART: A Social Movement Analysis &amp; Reasoning Tool with Case Studies on #MeToo and #BlackLivesMatter
Valerio La Gatta, Marco Postiglione, Jeremy Gilbert, Daniel W. Linna Jr., Morgan Manella Greenfield, Aaron Shaw and V.S. Subrahmanian
FUSED: Toward Federated Multimodal Retrieval across Sovereign Data Domains
Chi Xu, Jiaxing Li, Mengdi Jin, William I. Atlas, Mark A. Spoljaric, Edith C.H. Ngai and Jiangchuan Liu
Cross-Domain Fake News Detection on Unseen Domains via LLM-Based Domain-Aware User Modeling
Xuankai Yang, Yan Wang, Jiajie Zhu, Pengfei Ding, Hongyang Liu, Xiuzhen Zhang and Huan Liu
COMA: A Collaborative Multi-Role Agent Framework for Automated Lesson Plan Generation
Xiaoli Zeng, Ying Zheng, Shuyan Huang, Zitao Liu, Mi Tian, Mingliang Hou, Jiaqi Zheng and Wenzhou Dou
From Words to Worlds: Measuring Cultural Narrative Bias in LLMs via a Structural–Value Pipeline
Fangjian Shen, Yifan Zeng, Dechen Lyu and Wushao Wen
CompTox Ontology: Leveraging Knowledge Graphs for PFAS Monitoring and Decision-Making
Yinglun Zhang, Sonia Moavenzadeh, Jarrar Amjad, Onur Apul, Adrita Barua, Fatih Evrendilek, Torsten Hahmann, Ganga Hettiarachchi, Pascal Hitzler, David Kedrowski, Vasu Kilaru, Prayas Lashkari, Katrina Schweikert, Antony Williams and Hande McGinty
RegimeGuard: Continual Learning Queue Scheduling for Socially Critical Web Services
Zhipeng Liu, Ziming Zhao and Fan Zhang
</v>
      </c>
      <c r="O52" s="71"/>
      <c r="P52" s="71" t="str">
        <f>IFERROR(__xludf.DUMMYFUNCTION("TEXTJOIN(CHAR(10), TRUE,FILTER('Research assignment'!$D:$D,'Research assignment'!$G:$G=P51))"),"#N/A")</f>
        <v>#N/A</v>
      </c>
      <c r="Q52" s="71" t="str">
        <f>IFERROR(__xludf.DUMMYFUNCTION("TEXTJOIN(CHAR(10), TRUE,FILTER('Research assignment'!$D:$D,'Research assignment'!$G:$G=Q51))"),"#N/A")</f>
        <v>#N/A</v>
      </c>
      <c r="R52" s="71" t="str">
        <f>IFERROR(__xludf.DUMMYFUNCTION("TEXTJOIN(CHAR(10), TRUE,FILTER('Research assignment'!$D:$D,'Research assignment'!$G:$G=R51))"),"#VALUE!")</f>
        <v>#VALUE!</v>
      </c>
      <c r="S52" s="71" t="str">
        <f>IFERROR(__xludf.DUMMYFUNCTION("TEXTJOIN(CHAR(10), TRUE,FILTER('Research assignment'!$D:$D,'Research assignment'!$G:$G=S51))"),"#VALUE!")</f>
        <v>#VALUE!</v>
      </c>
      <c r="T52" s="5"/>
      <c r="U52" s="5"/>
      <c r="V52" s="5"/>
      <c r="W52" s="5"/>
      <c r="X52" s="5"/>
      <c r="Y52" s="5"/>
      <c r="Z52" s="5"/>
      <c r="AA52" s="5"/>
    </row>
    <row r="53">
      <c r="A53" s="47"/>
      <c r="B53" s="98"/>
      <c r="C53" s="98"/>
      <c r="D53" s="98"/>
      <c r="E53" s="98"/>
      <c r="F53" s="98"/>
      <c r="G53" s="98"/>
      <c r="H53" s="98"/>
      <c r="I53" s="98"/>
      <c r="J53" s="98"/>
      <c r="K53" s="98"/>
      <c r="L53" s="98"/>
      <c r="M53" s="98"/>
      <c r="N53" s="98"/>
      <c r="O53" s="20"/>
      <c r="P53" s="20"/>
      <c r="Q53" s="20"/>
      <c r="R53" s="20"/>
      <c r="S53" s="20"/>
      <c r="T53" s="5"/>
      <c r="U53" s="5"/>
      <c r="V53" s="5"/>
      <c r="W53" s="5"/>
      <c r="X53" s="5"/>
      <c r="Y53" s="5"/>
      <c r="Z53" s="5"/>
      <c r="AA53" s="5"/>
    </row>
    <row r="54">
      <c r="A54" s="99">
        <v>46206.0</v>
      </c>
      <c r="B54" s="100"/>
      <c r="C54" s="100"/>
      <c r="D54" s="100"/>
      <c r="E54" s="100"/>
      <c r="F54" s="100"/>
      <c r="G54" s="100"/>
      <c r="H54" s="100"/>
      <c r="I54" s="100"/>
      <c r="J54" s="100"/>
      <c r="K54" s="100"/>
      <c r="L54" s="101"/>
      <c r="M54" s="101"/>
      <c r="N54" s="100"/>
      <c r="O54" s="100"/>
      <c r="P54" s="5"/>
      <c r="Q54" s="5"/>
      <c r="R54" s="5"/>
      <c r="S54" s="5"/>
      <c r="T54" s="5"/>
      <c r="U54" s="5"/>
      <c r="V54" s="5"/>
      <c r="W54" s="5"/>
      <c r="X54" s="5"/>
      <c r="Y54" s="5"/>
      <c r="Z54" s="5"/>
      <c r="AA54" s="5"/>
    </row>
    <row r="55">
      <c r="A55" s="93" t="s">
        <v>122</v>
      </c>
      <c r="B55" s="80" t="s">
        <v>163</v>
      </c>
      <c r="O55" s="102"/>
      <c r="P55" s="60"/>
      <c r="Q55" s="60"/>
      <c r="R55" s="60"/>
      <c r="S55" s="5"/>
      <c r="T55" s="5"/>
      <c r="U55" s="5"/>
      <c r="V55" s="5"/>
      <c r="W55" s="5"/>
      <c r="X55" s="5"/>
      <c r="Y55" s="5"/>
      <c r="Z55" s="5"/>
      <c r="AA55" s="5"/>
    </row>
    <row r="56">
      <c r="A56" s="26" t="s">
        <v>124</v>
      </c>
      <c r="B56" s="27" t="s">
        <v>31</v>
      </c>
      <c r="O56" s="32"/>
      <c r="P56" s="5"/>
      <c r="Q56" s="5"/>
      <c r="R56" s="5"/>
      <c r="S56" s="5"/>
      <c r="T56" s="5"/>
      <c r="U56" s="5"/>
      <c r="V56" s="5"/>
      <c r="W56" s="5"/>
      <c r="X56" s="5"/>
      <c r="Y56" s="5"/>
      <c r="Z56" s="5"/>
      <c r="AA56" s="5"/>
    </row>
    <row r="57">
      <c r="A57" s="103" t="s">
        <v>125</v>
      </c>
      <c r="B57" s="83" t="s">
        <v>164</v>
      </c>
      <c r="C57" s="83" t="s">
        <v>165</v>
      </c>
      <c r="D57" s="82" t="s">
        <v>166</v>
      </c>
      <c r="E57" s="82" t="s">
        <v>167</v>
      </c>
      <c r="F57" s="82" t="s">
        <v>168</v>
      </c>
      <c r="G57" s="82" t="s">
        <v>169</v>
      </c>
      <c r="H57" s="82" t="s">
        <v>170</v>
      </c>
      <c r="I57" s="82" t="s">
        <v>171</v>
      </c>
      <c r="J57" s="82" t="s">
        <v>172</v>
      </c>
      <c r="K57" s="82" t="s">
        <v>173</v>
      </c>
      <c r="L57" s="84" t="s">
        <v>174</v>
      </c>
      <c r="M57" s="104" t="s">
        <v>175</v>
      </c>
      <c r="N57" s="83" t="s">
        <v>176</v>
      </c>
      <c r="O57" s="102"/>
      <c r="P57" s="60"/>
      <c r="Q57" s="60"/>
      <c r="R57" s="60"/>
      <c r="S57" s="5"/>
      <c r="T57" s="5"/>
      <c r="U57" s="5"/>
      <c r="V57" s="5"/>
      <c r="W57" s="5"/>
      <c r="X57" s="5"/>
      <c r="Y57" s="5"/>
      <c r="Z57" s="5"/>
      <c r="AA57" s="5"/>
    </row>
    <row r="58" collapsed="1">
      <c r="A58" s="85"/>
      <c r="B58" s="86" t="str">
        <f>IFERROR(__xludf.DUMMYFUNCTION("TEXTJOIN(CHAR(10), TRUE,FILTER('Sessions Counts'!$B:$B,'Sessions Counts'!$A:$A=B57))"),"Privacy, Consent, and User Control")</f>
        <v>Privacy, Consent, and User Control</v>
      </c>
      <c r="C58" s="86" t="str">
        <f>IFERROR(__xludf.DUMMYFUNCTION("TEXTJOIN(CHAR(10), TRUE,FILTER('Sessions Counts'!$B:$B,'Sessions Counts'!$A:$A=C57))"),"Contrastive Learning 2")</f>
        <v>Contrastive Learning 2</v>
      </c>
      <c r="D58" s="86" t="str">
        <f>IFERROR(__xludf.DUMMYFUNCTION("TEXTJOIN(CHAR(10), TRUE,FILTER('Sessions Counts'!$B:$B,'Sessions Counts'!$A:$A=D57))"),"Multimodal Semantic Understanding")</f>
        <v>Multimodal Semantic Understanding</v>
      </c>
      <c r="E58" s="86" t="str">
        <f>IFERROR(__xludf.DUMMYFUNCTION("TEXTJOIN(CHAR(10), TRUE,FILTER('Sessions Counts'!$B:$B,'Sessions Counts'!$A:$A=E57))"),"Long-Context &amp; Document Understanding")</f>
        <v>Long-Context &amp; Document Understanding</v>
      </c>
      <c r="F58" s="86" t="str">
        <f>IFERROR(__xludf.DUMMYFUNCTION("TEXTJOIN(CHAR(10), TRUE,FILTER('Sessions Counts'!$B:$B,'Sessions Counts'!$A:$A=F57))"),"Continual &amp; Dynamic Knowledge")</f>
        <v>Continual &amp; Dynamic Knowledge</v>
      </c>
      <c r="G58" s="86" t="str">
        <f>IFERROR(__xludf.DUMMYFUNCTION("TEXTJOIN(CHAR(10), TRUE,FILTER('Sessions Counts'!$B:$B,'Sessions Counts'!$A:$A=G57))"),"Security and Network Intrusion")</f>
        <v>Security and Network Intrusion</v>
      </c>
      <c r="H58" s="86" t="str">
        <f>IFERROR(__xludf.DUMMYFUNCTION("TEXTJOIN(CHAR(10), TRUE,FILTER('Sessions Counts'!$B:$B,'Sessions Counts'!$A:$A=H57))"),"Real-Time Web and Mobile Systems")</f>
        <v>Real-Time Web and Mobile Systems</v>
      </c>
      <c r="I58" s="86" t="str">
        <f>IFERROR(__xludf.DUMMYFUNCTION("TEXTJOIN(CHAR(10), TRUE,FILTER('Sessions Counts'!$B:$B,'Sessions Counts'!$A:$A=I57))"),"Web Platform and Device Vulnerability")</f>
        <v>Web Platform and Device Vulnerability</v>
      </c>
      <c r="J58" s="86" t="str">
        <f>IFERROR(__xludf.DUMMYFUNCTION("TEXTJOIN(CHAR(10), TRUE,FILTER('Sessions Counts'!$B:$B,'Sessions Counts'!$A:$A=J57))"),"Learning, Representation, and Model Augmentation for Web Data")</f>
        <v>Learning, Representation, and Model Augmentation for Web Data</v>
      </c>
      <c r="K58" s="86" t="str">
        <f>IFERROR(__xludf.DUMMYFUNCTION("TEXTJOIN(CHAR(10), TRUE,FILTER('Sessions Counts'!$B:$B,'Sessions Counts'!$A:$A=K57))"),"Long-Term Preferences &amp; Continual Personalization")</f>
        <v>Long-Term Preferences &amp; Continual Personalization</v>
      </c>
      <c r="L58" s="86" t="str">
        <f>IFERROR(__xludf.DUMMYFUNCTION("TEXTJOIN(CHAR(10), TRUE,FILTER('Sessions Counts'!$B:$B,'Sessions Counts'!$A:$A=L57))"),"Multimodal Recommendation Methods")</f>
        <v>Multimodal Recommendation Methods</v>
      </c>
      <c r="M58" s="86" t="str">
        <f>IFERROR(__xludf.DUMMYFUNCTION("TEXTJOIN(CHAR(10), TRUE,FILTER('Sessions Counts'!$B:$B,'Sessions Counts'!$A:$A=M57))"),"Content Platforms, Video &amp; Moderation")</f>
        <v>Content Platforms, Video &amp; Moderation</v>
      </c>
      <c r="N58" s="88" t="str">
        <f>IFERROR(__xludf.DUMMYFUNCTION("TEXTJOIN(CHAR(10), TRUE,FILTER('Sessions Counts'!$B:$B,'Sessions Counts'!$A:$A=N57))"),"Sustainable &amp; Energy-Efficient Web/AI Systems")</f>
        <v>Sustainable &amp; Energy-Efficient Web/AI Systems</v>
      </c>
      <c r="O58" s="89"/>
      <c r="P58" s="66"/>
      <c r="Q58" s="66"/>
      <c r="R58" s="66"/>
      <c r="S58" s="66"/>
      <c r="T58" s="66"/>
      <c r="U58" s="66"/>
      <c r="V58" s="66"/>
      <c r="W58" s="66"/>
      <c r="X58" s="66"/>
      <c r="Y58" s="66"/>
      <c r="Z58" s="66"/>
      <c r="AA58" s="66"/>
    </row>
    <row r="59" hidden="1" outlineLevel="1">
      <c r="A59" s="47"/>
      <c r="B59" s="18" t="str">
        <f>IFERROR(__xludf.DUMMYFUNCTION("TEXTJOIN(CHAR(10), TRUE,FILTER('Research assignment'!$D:$D,'Research assignment'!$F:$F=B57))"),"Does This Button Work? Investigating YouTube's Ineffective User Controls
Jesse McCrosky, Ranadheer Malla, Aapo Tanskanen and Chico
Camargo
Users Pay Twice: The Hidden Energy Cost of Web Advertising
Samuel Pélissier, Naif Mehanna, Sterenn Roux, Quentin
Pe"&amp;"rez, Walter Rudametkin, Johann Bourcier and Pierre
Laperdrix
Towards LLM-centric Affective Visual Customization via Efficient and Precise Emotion Manipulating
Jiamin Luo, Xuqian Gu, Jingjing Wang and Jiahong Lu
D-Models and E-Models: Diversity-Stability"&amp;" Trade-offs in the Sampling Behavior of Large Language Models
Jia Gu, Liang Pang, Huawei Shen and Xueqi Cheng
Dynamics of Human-AI Collective Knowledge on the Web: A Scalable Model and Insights for Sustainable Growth
Buddhika Nettasinghe and Kang Zhao
")</f>
        <v>Does This Button Work? Investigating YouTube's Ineffective User Controls
Jesse McCrosky, Ranadheer Malla, Aapo Tanskanen and Chico
Camargo
Users Pay Twice: The Hidden Energy Cost of Web Advertising
Samuel Pélissier, Naif Mehanna, Sterenn Roux, Quentin
Perez, Walter Rudametkin, Johann Bourcier and Pierre
Laperdrix
Towards LLM-centric Affective Visual Customization via Efficient and Precise Emotion Manipulating
Jiamin Luo, Xuqian Gu, Jingjing Wang and Jiahong Lu
D-Models and E-Models: Diversity-Stability Trade-offs in the Sampling Behavior of Large Language Models
Jia Gu, Liang Pang, Huawei Shen and Xueqi Cheng
Dynamics of Human-AI Collective Knowledge on the Web: A Scalable Model and Insights for Sustainable Growth
Buddhika Nettasinghe and Kang Zhao
</v>
      </c>
      <c r="C59" s="18" t="str">
        <f>IFERROR(__xludf.DUMMYFUNCTION("TEXTJOIN(CHAR(10), TRUE,FILTER('Research assignment'!$D:$D,'Research assignment'!$F:$F=C57))"),"Hierarchical Graph-Bag-Network for Self-Supervised Multi-Graph Learning
Meixia Wang, Yuhai Zhao, Zhengkui Wang, Fenglong Ma,
Yejiang Wang, Miaomiao Huang, Fazal Wahab, Wen Shan and
Xingwei Wang
From Representation to Clusters: A Contrastive Learning Appr"&amp;"oach for Attributed Hypergraph Clustering
Li Ni, Shuaikang Zeng, Lin Mu and Longlong Lin
AC$^2$L-GAD: Active Counterfactual Contrastive Learning for Graph Anomaly Detection
Kamal Berahmand, Saman Forouzandeh, Mehrnoush Mohammadi,
Parham Moradi and Mahdi "&amp;"Jalili
A Dual-Channel Contrastive Learning Framework for Anomaly Detection in Dynamic Graph Structures
Runshuo Liu, Chao Li, Zhongying Zhao, Hui Zhou and Qingtian
Zeng
Structure-Semantic Synergized Deep Contrastive Graph Clustering
Shifei Ding, Zhe Li, "&amp;"Xiao Xu and Chao Li
")</f>
        <v>Hierarchical Graph-Bag-Network for Self-Supervised Multi-Graph Learning
Meixia Wang, Yuhai Zhao, Zhengkui Wang, Fenglong Ma,
Yejiang Wang, Miaomiao Huang, Fazal Wahab, Wen Shan and
Xingwei Wang
From Representation to Clusters: A Contrastive Learning Approach for Attributed Hypergraph Clustering
Li Ni, Shuaikang Zeng, Lin Mu and Longlong Lin
AC$^2$L-GAD: Active Counterfactual Contrastive Learning for Graph Anomaly Detection
Kamal Berahmand, Saman Forouzandeh, Mehrnoush Mohammadi,
Parham Moradi and Mahdi Jalili
A Dual-Channel Contrastive Learning Framework for Anomaly Detection in Dynamic Graph Structures
Runshuo Liu, Chao Li, Zhongying Zhao, Hui Zhou and Qingtian
Zeng
Structure-Semantic Synergized Deep Contrastive Graph Clustering
Shifei Ding, Zhe Li, Xiao Xu and Chao Li
</v>
      </c>
      <c r="D59" s="18" t="str">
        <f>IFERROR(__xludf.DUMMYFUNCTION("TEXTJOIN(CHAR(10), TRUE,FILTER('Research assignment'!$D:$D,'Research assignment'!$F:$F=D57))"),"Multimodal Graph Conditioned Diffusion Model for Video Captioning
Benhui Zhang, Junyu Gao and Yuan Yuan
MMTableBench: A Multi-level Multimodal Benchmark for Reasoning and Layout Complexity in Table QA
Xianjie Wu, Xiaohang Xu, Tingyu Jiang, Jian Yang, Di "&amp;"Liang,
Xianfu Cheng, Zhenhe Wu, Linzheng Chai, Wei Zhang, Jiaheng
Liu, Ge Zhang, Bob Simons, Tongliang Li and Zhoujun Li
Adaptive Task Balancing for Visual Instruction Tuning via Inter-Task Contribution and Intra-Task Difficulty
Yanqi Dai, Yong Wang, Zeb"&amp;"in You, Dong Jing, Xiangxiang Chu
and Zhiwu Lu
Multimodal Trajectory Representation Learning for Travel Time Estimation
Zhi Liu, Xuyuan Hu, Xiao Han, Zhehao Dai, Zhaolin Deng,
Guojiang Shen and Xiangjie Kong
Towards Foundation Models for MMKG: Multi-Tas"&amp;"k Inductive Generalization via Task-Aware Routing
Shundong Yang, Jing Yang, Xiaowen Jiang, Xiaofen Wang,
Laurence T. Yang, Yuan Gao, Xinfa Jiang, Jie Chen and
Chaojun Zhang
")</f>
        <v>Multimodal Graph Conditioned Diffusion Model for Video Captioning
Benhui Zhang, Junyu Gao and Yuan Yuan
MMTableBench: A Multi-level Multimodal Benchmark for Reasoning and Layout Complexity in Table QA
Xianjie Wu, Xiaohang Xu, Tingyu Jiang, Jian Yang, Di Liang,
Xianfu Cheng, Zhenhe Wu, Linzheng Chai, Wei Zhang, Jiaheng
Liu, Ge Zhang, Bob Simons, Tongliang Li and Zhoujun Li
Adaptive Task Balancing for Visual Instruction Tuning via Inter-Task Contribution and Intra-Task Difficulty
Yanqi Dai, Yong Wang, Zebin You, Dong Jing, Xiangxiang Chu
and Zhiwu Lu
Multimodal Trajectory Representation Learning for Travel Time Estimation
Zhi Liu, Xuyuan Hu, Xiao Han, Zhehao Dai, Zhaolin Deng,
Guojiang Shen and Xiangjie Kong
Towards Foundation Models for MMKG: Multi-Task Inductive Generalization via Task-Aware Routing
Shundong Yang, Jing Yang, Xiaowen Jiang, Xiaofen Wang,
Laurence T. Yang, Yuan Gao, Xinfa Jiang, Jie Chen and
Chaojun Zhang
</v>
      </c>
      <c r="E59" s="18" t="str">
        <f>IFERROR(__xludf.DUMMYFUNCTION("TEXTJOIN(CHAR(10), TRUE,FILTER('Research assignment'!$D:$D,'Research assignment'!$F:$F=E57))"),"LoVR: A Benchmark for Long Video Retrieval in Multimodal Contexts
Hao Liang, Qifeng Cai, Zhaoyang Han, Hejun Dong, Meiyi
Qiang, Ruichuan An, Quanqing Xu, Bin Cui and Wentao Zhang
LongRanker: Efficient One-Pass Document Reranking with Long-Context Large L"&amp;"anguage Models
Changjiang Zhou, Ruqing Zhang, Jiafeng Guo, Maarten de
Rijke, Fan Yixing and Xueqi Cheng
Breaking the Single-Reference-Vector Barrier in Approximate Nearest Neighbor Search
Jiadong Xie, Jeffrey Liang, Siyi Teng, Jeffrey Xu Yu and
Yingfan L"&amp;"iu
OpenDecoder: Open Large Language Model Decoding to Incorporate Document Quality in RAG
Fengran Mo, Zhan Su, Yuchen Hui, Jinghan Zhang, Jia Ao Sun,
Zheyuan Liu, Chao Zhang, Tetsuya Sakai and Jian-Yun Nie
DocResearcher: A Unified System for Multimodal "&amp;"Document Parsing and Deep Research
Kuicai Dong, Shurui Huang, Fangda Ye, Wei Han, Zhi Zhang,
Dexun Li, Wenjun Li, Qu Yang, Gang Wang, Yichao Wang, Chen
Zhang and Yong Liu
")</f>
        <v>LoVR: A Benchmark for Long Video Retrieval in Multimodal Contexts
Hao Liang, Qifeng Cai, Zhaoyang Han, Hejun Dong, Meiyi
Qiang, Ruichuan An, Quanqing Xu, Bin Cui and Wentao Zhang
LongRanker: Efficient One-Pass Document Reranking with Long-Context Large Language Models
Changjiang Zhou, Ruqing Zhang, Jiafeng Guo, Maarten de
Rijke, Fan Yixing and Xueqi Cheng
Breaking the Single-Reference-Vector Barrier in Approximate Nearest Neighbor Search
Jiadong Xie, Jeffrey Liang, Siyi Teng, Jeffrey Xu Yu and
Yingfan Liu
OpenDecoder: Open Large Language Model Decoding to Incorporate Document Quality in RAG
Fengran Mo, Zhan Su, Yuchen Hui, Jinghan Zhang, Jia Ao Sun,
Zheyuan Liu, Chao Zhang, Tetsuya Sakai and Jian-Yun Nie
DocResearcher: A Unified System for Multimodal Document Parsing and Deep Research
Kuicai Dong, Shurui Huang, Fangda Ye, Wei Han, Zhi Zhang,
Dexun Li, Wenjun Li, Qu Yang, Gang Wang, Yichao Wang, Chen
Zhang and Yong Liu
</v>
      </c>
      <c r="F59" s="18" t="str">
        <f>IFERROR(__xludf.DUMMYFUNCTION("TEXTJOIN(CHAR(10), TRUE,FILTER('Research assignment'!$D:$D,'Research assignment'!$F:$F=F57))"),"Dual History Enhancement with Hybrid Hypergraph-Graph Networks for Temporal Knowledge Graph Reasoning
Kailun Ye, Xiangjie Kong, Yuchao Zhang, Xuan Wang, Linan
Zhu, Jiaxin Du, Guojiang Shen and Jianxin Li
STARK: Structure-Aware and Adaptive Representation"&amp;" Learning for Continual Knowledge Graph Embedding
Kyunghwan Lee and Dong-Wan Choi
Unlearning of Knowledge Graph Embedding via Preference Optimization
Jiajun Liu, Wenjun Ke, Peng Wang, Yao He, Ziyu Shang,
Guozheng Li, Zijie Xu and Ke Ji
Conditional Infor"&amp;"mation Extraction with Diffusion Model on Fact-Condition Star Graph
Yunxiao Yang, Jianting Chen, Xiaoying Gao, Zaiyuan Di and
Yang Xiang
Learning to Evolve: Bayesian-Guided Continual Knowledge Graph Embedding
Linyu Li, Zhi Jin, Yuanpeng He, Dongming Jin,"&amp;" Yichi Zhang,
Haoran Duan, Xuan Zhang, Zhengwei Tao and Tashi Nyima
")</f>
        <v>Dual History Enhancement with Hybrid Hypergraph-Graph Networks for Temporal Knowledge Graph Reasoning
Kailun Ye, Xiangjie Kong, Yuchao Zhang, Xuan Wang, Linan
Zhu, Jiaxin Du, Guojiang Shen and Jianxin Li
STARK: Structure-Aware and Adaptive Representation Learning for Continual Knowledge Graph Embedding
Kyunghwan Lee and Dong-Wan Choi
Unlearning of Knowledge Graph Embedding via Preference Optimization
Jiajun Liu, Wenjun Ke, Peng Wang, Yao He, Ziyu Shang,
Guozheng Li, Zijie Xu and Ke Ji
Conditional Information Extraction with Diffusion Model on Fact-Condition Star Graph
Yunxiao Yang, Jianting Chen, Xiaoying Gao, Zaiyuan Di and
Yang Xiang
Learning to Evolve: Bayesian-Guided Continual Knowledge Graph Embedding
Linyu Li, Zhi Jin, Yuanpeng He, Dongming Jin, Yichi Zhang,
Haoran Duan, Xuan Zhang, Zhengwei Tao and Tashi Nyima
</v>
      </c>
      <c r="G59" s="18" t="str">
        <f>IFERROR(__xludf.DUMMYFUNCTION("TEXTJOIN(CHAR(10), TRUE,FILTER('Research assignment'!$D:$D,'Research assignment'!$F:$F=G57))"),"Eclipse Attacks on Ethereum’s Peer-to-Peer Network
Ruisheng Shi, Yuxuan Liang, Zijun Guo, Qin Wang, Lina Lan,
Chenfeng Wang and Zhuoyi Zheng
Proteus: Towards Accurate and Low-overhead In-Network Malicious Traffic Detection
Longlong Zhu, Linying Zheng, Qi"&amp;"ng Shu, Zedi Chen, Jiashuo
Yu, Yuhan Wu, Shaopeng Zhou, Hongyan Liu, Dong Zhang,
Chunming Wu and Xiang Chen
Tracking the Stray Sheep: Understanding DNS Response Manipulation in the Wild
Wenhao Wu, Zhaohua Wang, Zihan Li, Qinxin Li, Yiming Xia,
Chuan Gao,"&amp;" Guangxing Zhang and Zhenyu Li
Sybil Attacks on Centrality Measures
Marcin Waniek
GIANT: Structure-Agnostic Practical Adversarial Attacks for Graph-based Network Intrusion Detection Systems
Jianjin Zhao, Dongqi Han, Chao Ma, Qi Li, Zhiwei Cui,
Hongliang"&amp;" Zhu, Hua Zhang, Mingshu He, Yijun Lu, Jiong Dong,
Yuyin Ma and Meng Shen
")</f>
        <v>Eclipse Attacks on Ethereum’s Peer-to-Peer Network
Ruisheng Shi, Yuxuan Liang, Zijun Guo, Qin Wang, Lina Lan,
Chenfeng Wang and Zhuoyi Zheng
Proteus: Towards Accurate and Low-overhead In-Network Malicious Traffic Detection
Longlong Zhu, Linying Zheng, Qing Shu, Zedi Chen, Jiashuo
Yu, Yuhan Wu, Shaopeng Zhou, Hongyan Liu, Dong Zhang,
Chunming Wu and Xiang Chen
Tracking the Stray Sheep: Understanding DNS Response Manipulation in the Wild
Wenhao Wu, Zhaohua Wang, Zihan Li, Qinxin Li, Yiming Xia,
Chuan Gao, Guangxing Zhang and Zhenyu Li
Sybil Attacks on Centrality Measures
Marcin Waniek
GIANT: Structure-Agnostic Practical Adversarial Attacks for Graph-based Network Intrusion Detection Systems
Jianjin Zhao, Dongqi Han, Chao Ma, Qi Li, Zhiwei Cui,
Hongliang Zhu, Hua Zhang, Mingshu He, Yijun Lu, Jiong Dong,
Yuyin Ma and Meng Shen
</v>
      </c>
      <c r="H59" s="18" t="str">
        <f>IFERROR(__xludf.DUMMYFUNCTION("TEXTJOIN(CHAR(10), TRUE,FILTER('Research assignment'!$D:$D,'Research assignment'!$F:$F=H57))"),"Investigating Web Content Delivery Performance over Starlink
Rohan Bose, Jinwei Zhao, Tanya Shreedhar, Jianping Pan and
Nitinder Mohan
Breath: Adaptive Protection Boundary in FEC Encoding for Mobile Real-Time Video Streaming
Shiyang Huang, Gerui Lv, Yuan"&amp;"kang Zhao, Jiaxing Zhang,
Qingyue Tan, Congkai An, Huanhuan Zhang, Xinyi Zhang,
Qinghua Wu and Zhenyu Li
Camel: Frame-Level Bandwidth Estimation for Low-Latency Live Streaming under Video Bitrate Undershooting
Liming Liu, Zhidong Jia, Li Jiang, Wei Zhang"&amp;", Lan Xie, Feng
Qian, Leju Yan, Bing Yan, Qiang Ma, Zhou Sha, Wei Yang,
Yixuan Ban and Xinggong Zhang
DualDis: A Dual Disentanglement Network for Vehicle Re-identification
Wenying He, Feiyu Wang, Guangquan Xu, Yude Bai and Fei Guo
FediScan: Collaborativ"&amp;"e Social Bot Detection in the Fediverse
Min Gao, Wen Wen, Haoran Du, Qiang Duan, Yu Xiao, Yupeng
Li, Xin Wang, Pan Hui and Yang Chen
")</f>
        <v>Investigating Web Content Delivery Performance over Starlink
Rohan Bose, Jinwei Zhao, Tanya Shreedhar, Jianping Pan and
Nitinder Mohan
Breath: Adaptive Protection Boundary in FEC Encoding for Mobile Real-Time Video Streaming
Shiyang Huang, Gerui Lv, Yuankang Zhao, Jiaxing Zhang,
Qingyue Tan, Congkai An, Huanhuan Zhang, Xinyi Zhang,
Qinghua Wu and Zhenyu Li
Camel: Frame-Level Bandwidth Estimation for Low-Latency Live Streaming under Video Bitrate Undershooting
Liming Liu, Zhidong Jia, Li Jiang, Wei Zhang, Lan Xie, Feng
Qian, Leju Yan, Bing Yan, Qiang Ma, Zhou Sha, Wei Yang,
Yixuan Ban and Xinggong Zhang
DualDis: A Dual Disentanglement Network for Vehicle Re-identification
Wenying He, Feiyu Wang, Guangquan Xu, Yude Bai and Fei Guo
FediScan: Collaborative Social Bot Detection in the Fediverse
Min Gao, Wen Wen, Haoran Du, Qiang Duan, Yu Xiao, Yupeng
Li, Xin Wang, Pan Hui and Yang Chen
</v>
      </c>
      <c r="I59" s="18" t="str">
        <f>IFERROR(__xludf.DUMMYFUNCTION("TEXTJOIN(CHAR(10), TRUE,FILTER('Research assignment'!$D:$D,'Research assignment'!$F:$F=I57))"),"WAMO: Toward Secure Browser Inference via Web Model Obfuscation in WebAssembly
Yitong Wang, Pengfei Yu, Hao Han, Jingjing Gu, Fengyuan Xu
and Xinyi Huang
WebGeoInfer: Structure-Free Multi-Stage Framework for Geolocation Inference from Exposed Device Web "&amp;"Interfaces
Huipeng Yang, Li Yang, Lu Zhou, Lichuan Ma, Xinyue Wang,
Junbo Jia and Anyuan Sang
FalconScope: Effective and Efficient Detection of Hidden Web Interfaces in IoT Devices
Jiaming Guo, Haoran Yang, Kuihao Yan, Jiekang Hu, Xiaoqi
Jia, Haichao Du "&amp;"and Qihang Zhou
Bento: Fine-Grained Memory Isolation for COTS WebAssembly Binaries
Oussama Draissi and Lucas Davi
Risk-free Selfish Mining in Hybrid Predictability Model. A Case Study on Polkadot’s NPoS
Mingfei Zhang, Rujia Li, Xinyu Lei and Sisi Duan
")</f>
        <v>WAMO: Toward Secure Browser Inference via Web Model Obfuscation in WebAssembly
Yitong Wang, Pengfei Yu, Hao Han, Jingjing Gu, Fengyuan Xu
and Xinyi Huang
WebGeoInfer: Structure-Free Multi-Stage Framework for Geolocation Inference from Exposed Device Web Interfaces
Huipeng Yang, Li Yang, Lu Zhou, Lichuan Ma, Xinyue Wang,
Junbo Jia and Anyuan Sang
FalconScope: Effective and Efficient Detection of Hidden Web Interfaces in IoT Devices
Jiaming Guo, Haoran Yang, Kuihao Yan, Jiekang Hu, Xiaoqi
Jia, Haichao Du and Qihang Zhou
Bento: Fine-Grained Memory Isolation for COTS WebAssembly Binaries
Oussama Draissi and Lucas Davi
Risk-free Selfish Mining in Hybrid Predictability Model. A Case Study on Polkadot’s NPoS
Mingfei Zhang, Rujia Li, Xinyu Lei and Sisi Duan
</v>
      </c>
      <c r="J59" s="18" t="str">
        <f>IFERROR(__xludf.DUMMYFUNCTION("TEXTJOIN(CHAR(10), TRUE,FILTER('Research assignment'!$D:$D,'Research assignment'!$F:$F=J57))"),"Anchor Drift No More: Hierarchical Consistency-Guided Prompt Distillation for Incomplete Multimodal Learning
Ruiting Dai, Zesen Cai, Lisi Mo, Guiduo Duan, Keren Shi and
Tao He
LoRA-E^2: Effective and Efficient Low-rank Adaptation
Shengkun Zhu, Jinshan Ze"&amp;"ng, Yiming Wang, Sheng Wang, Yuan
Sun, Shangfeng Chen, Yuan Yao and Qiang Yang
Reinforcement Learning with Verbalized Probabilities for LLM Classification
Liyao Li, Hao Chen, Jiaming Tian, Wentao Ye, Lirong Gao,
Chao Ye, Ningtao Wang, Xing Fu, Yu Cheng, "&amp;"Haobo Wang, Gang
Chen and Junbo Zhao
Multistage Feedback-Driven Causal Discovery from Textual Data with Large Language Models
Juntao Yang, Dayuan Cao, Kui Yu, Xiang Wang, Jing Yang, Lin
Liu and Jiuyong Li
Inference Cost Attacks for Retrieval-Augmented L"&amp;"arge Language Models
Chengliang Liu, Liangbo Ning, Yujuan Ding and Wenqi Fan
")</f>
        <v>Anchor Drift No More: Hierarchical Consistency-Guided Prompt Distillation for Incomplete Multimodal Learning
Ruiting Dai, Zesen Cai, Lisi Mo, Guiduo Duan, Keren Shi and
Tao He
LoRA-E^2: Effective and Efficient Low-rank Adaptation
Shengkun Zhu, Jinshan Zeng, Yiming Wang, Sheng Wang, Yuan
Sun, Shangfeng Chen, Yuan Yao and Qiang Yang
Reinforcement Learning with Verbalized Probabilities for LLM Classification
Liyao Li, Hao Chen, Jiaming Tian, Wentao Ye, Lirong Gao,
Chao Ye, Ningtao Wang, Xing Fu, Yu Cheng, Haobo Wang, Gang
Chen and Junbo Zhao
Multistage Feedback-Driven Causal Discovery from Textual Data with Large Language Models
Juntao Yang, Dayuan Cao, Kui Yu, Xiang Wang, Jing Yang, Lin
Liu and Jiuyong Li
Inference Cost Attacks for Retrieval-Augmented Large Language Models
Chengliang Liu, Liangbo Ning, Yujuan Ding and Wenqi Fan
</v>
      </c>
      <c r="K59" s="18" t="str">
        <f>IFERROR(__xludf.DUMMYFUNCTION("TEXTJOIN(CHAR(10), TRUE,FILTER('Research assignment'!$D:$D,'Research assignment'!$F:$F=K57))"),"ES-MemEval: Benchmarking Conversational Agents on Personalized Long-Term Emotional Support
Tiantian Chen, Jiaqi Lu, Ying Shen and Lin Zhang
Learning Evolving Preferences: A Federated Continual Framework for User-Centric Recommendation
Chunxu Zhang, Zhihe"&amp;"ng Xue, Guodong Long, Weipeng Zhang and
Bo Yang
Prototype-Aligned Federated Soft-Prompts for Continual Web Personalization
Canran Xiao and Liwei Hou
Modeling Stage-wise Evolution of User Interests for News Recommendation
Zhiyong Cheng, Yike Jin, Zhijie "&amp;"Zhang, Huilin Chen,
Zhangling Duan and Meng Wang
MemWeaver: A Hierarchical Memory from Textual Interactive Behaviors for Personalized Generation
Shuo Yu, Mingyue Cheng, Daoyu Wang, Qi Liu, Zirui Liu, Ze
Guo and Xiaoyu Tao
")</f>
        <v>ES-MemEval: Benchmarking Conversational Agents on Personalized Long-Term Emotional Support
Tiantian Chen, Jiaqi Lu, Ying Shen and Lin Zhang
Learning Evolving Preferences: A Federated Continual Framework for User-Centric Recommendation
Chunxu Zhang, Zhiheng Xue, Guodong Long, Weipeng Zhang and
Bo Yang
Prototype-Aligned Federated Soft-Prompts for Continual Web Personalization
Canran Xiao and Liwei Hou
Modeling Stage-wise Evolution of User Interests for News Recommendation
Zhiyong Cheng, Yike Jin, Zhijie Zhang, Huilin Chen,
Zhangling Duan and Meng Wang
MemWeaver: A Hierarchical Memory from Textual Interactive Behaviors for Personalized Generation
Shuo Yu, Mingyue Cheng, Daoyu Wang, Qi Liu, Zirui Liu, Ze
Guo and Xiaoyu Tao
</v>
      </c>
      <c r="L59" s="18" t="str">
        <f>IFERROR(__xludf.DUMMYFUNCTION("TEXTJOIN(CHAR(10), TRUE,FILTER('Research assignment'!$D:$D,'Research assignment'!$F:$F=L57))"),"Personalized Parameter-Efficient Fine-Tuning of Foundation Models for Multimodal Recommendation
Sunwoo Kim, Hyunjin Hwang and Kijung Shin
MCRec: Few-Shot Multimodal Cover Recommendation via User Interest Profiles
Weixin Zheng, Chunyao Song and Tingjian G"&amp;"e
Drifting with Intent: Generative Interest Trajectories for Multimodal Web Recommendation
Weilin Zhou, Hao Zhang and Guangxin Wu
TargetMR: Learning Modality Target for Multimodal Recommendation
Gu Tang, Jinghe Wang, Jiang Bo, Ze Zhao, Jianping Zhou,
Xi"&amp;"aoying Gan, Luoyi Fu, Xinbing Wang and Chenghu Zhou
Multimodal-enhanced Federated Recommendation: A Group-wise Fusion Approach
Chunxu Zhang, Weipeng Zhang, Guodong Long, Zhiheng Xue,
Riting Xia and Bo Yang
")</f>
        <v>Personalized Parameter-Efficient Fine-Tuning of Foundation Models for Multimodal Recommendation
Sunwoo Kim, Hyunjin Hwang and Kijung Shin
MCRec: Few-Shot Multimodal Cover Recommendation via User Interest Profiles
Weixin Zheng, Chunyao Song and Tingjian Ge
Drifting with Intent: Generative Interest Trajectories for Multimodal Web Recommendation
Weilin Zhou, Hao Zhang and Guangxin Wu
TargetMR: Learning Modality Target for Multimodal Recommendation
Gu Tang, Jinghe Wang, Jiang Bo, Ze Zhao, Jianping Zhou,
Xiaoying Gan, Luoyi Fu, Xinbing Wang and Chenghu Zhou
Multimodal-enhanced Federated Recommendation: A Group-wise Fusion Approach
Chunxu Zhang, Weipeng Zhang, Guodong Long, Zhiheng Xue,
Riting Xia and Bo Yang
</v>
      </c>
      <c r="M59" s="18" t="str">
        <f>IFERROR(__xludf.DUMMYFUNCTION("TEXTJOIN(CHAR(10), TRUE,FILTER('Industry assignment'!$D:$D,'Industry assignment'!$F:$F=M57))"),"A Long-term Value Prediction Framework In Video Ranking
Huabin Chen, Xinao Wang, Huiping Chu, Keqin Xu, Chenhao Zhai, Chenyi Wang, Kai Meng and Yuning Jiang
GAM: A Generative Auto-Marketing Framework in Online E-commerce Platforms
Yuejia Dou, Shuai Dou, "&amp;"Yuchao Ma, Bingzhe Wang, Tianyu Wang, Zhilin Zhang, Chuan Yu, Jian Xu and Qi Qi
Make It Long, Keep It Fast: End-to-End 10k-Sequence Modeling at Billion Scale on Douyin
Lin Guan, Jia-Qi Yang, Zhishan Zhao, Beichuan Zhang, Bo Sun, Xuanyuan Luo, Jinan Ni, X"&amp;"iaowen Li, Yuhang Qi, Zhifang Fan, Hangyu Wang, Qiwei Chen, Yi Cheng, Feng Zhang and Xiao Yang
When Rules Fall Short: Agent-Driven Discovery of Emerging Content Issues in Short Video Platforms
Chenghui Yu, Hongwei Wang, Junwen Chen, Zixuan Wang, Bingfeng"&amp;" Deng, Zhuolin Hao, Hongyu Xiong and Yang Song
Visual Content Moderation in Messaging Systems
Maria Ljubičić, Emanuel Lacić and Denis Helić
")</f>
        <v>A Long-term Value Prediction Framework In Video Ranking
Huabin Chen, Xinao Wang, Huiping Chu, Keqin Xu, Chenhao Zhai, Chenyi Wang, Kai Meng and Yuning Jiang
GAM: A Generative Auto-Marketing Framework in Online E-commerce Platforms
Yuejia Dou, Shuai Dou, Yuchao Ma, Bingzhe Wang, Tianyu Wang, Zhilin Zhang, Chuan Yu, Jian Xu and Qi Qi
Make It Long, Keep It Fast: End-to-End 10k-Sequence Modeling at Billion Scale on Douyin
Lin Guan, Jia-Qi Yang, Zhishan Zhao, Beichuan Zhang, Bo Sun, Xuanyuan Luo, Jinan Ni, Xiaowen Li, Yuhang Qi, Zhifang Fan, Hangyu Wang, Qiwei Chen, Yi Cheng, Feng Zhang and Xiao Yang
When Rules Fall Short: Agent-Driven Discovery of Emerging Content Issues in Short Video Platforms
Chenghui Yu, Hongwei Wang, Junwen Chen, Zixuan Wang, Bingfeng Deng, Zhuolin Hao, Hongyu Xiong and Yang Song
Visual Content Moderation in Messaging Systems
Maria Ljubičić, Emanuel Lacić and Denis Helić
</v>
      </c>
      <c r="N59" s="18" t="str">
        <f>IFERROR(__xludf.DUMMYFUNCTION("TEXTJOIN(CHAR(10), TRUE,FILTER('Web4Good assignment'!$D:$D,'Web4Good assignment'!$F:$F=N57))"),"Fairer AI Carbon Accounting: Incorporating Market-based Attribution and Uncertainty in Embodied and Operational Carbon Footprint
Xiaoyang Zhang, Yang Deng, Fang He and Dan Wang
EcoThink: A Green Adaptive Inference Framework for Sustainable and Accessible"&amp;" Agents
Linxiao Li and Zhixiang Lu
GreenTune: Energy-Efficient Low-Rank Tuning of LLMs with ThreeE Evaluation under 4-/8-bit Quantization
Xingrao Ma, Zongxi Li, Chengzu Dong, Kai Fang and Shao Di
Route-and-Reason: Energy-Efficient Scaling of LLM Reasoni"&amp;"ng via Reinforced Model Routing
Chenyang Shao, Xinyang Liu, Yutang Lin, Fengli Xu and Yong Li
Online GPU Energy Optimization with Switching-Aware Bandits
Xiongxiao Xu, Solomon Abera Bekele, Brice Videau and Kai Shu
")</f>
        <v>Fairer AI Carbon Accounting: Incorporating Market-based Attribution and Uncertainty in Embodied and Operational Carbon Footprint
Xiaoyang Zhang, Yang Deng, Fang He and Dan Wang
EcoThink: A Green Adaptive Inference Framework for Sustainable and Accessible Agents
Linxiao Li and Zhixiang Lu
GreenTune: Energy-Efficient Low-Rank Tuning of LLMs with ThreeE Evaluation under 4-/8-bit Quantization
Xingrao Ma, Zongxi Li, Chengzu Dong, Kai Fang and Shao Di
Route-and-Reason: Energy-Efficient Scaling of LLM Reasoning via Reinforced Model Routing
Chenyang Shao, Xinyang Liu, Yutang Lin, Fengli Xu and Yong Li
Online GPU Energy Optimization with Switching-Aware Bandits
Xiongxiao Xu, Solomon Abera Bekele, Brice Videau and Kai Shu
</v>
      </c>
      <c r="O59" s="20"/>
      <c r="P59" s="5"/>
      <c r="Q59" s="5"/>
      <c r="R59" s="5"/>
      <c r="S59" s="5"/>
      <c r="T59" s="5"/>
      <c r="U59" s="5"/>
      <c r="V59" s="5"/>
      <c r="W59" s="5"/>
      <c r="X59" s="5"/>
      <c r="Y59" s="5"/>
      <c r="Z59" s="5"/>
      <c r="AA59" s="5"/>
    </row>
    <row r="60" collapsed="1">
      <c r="A60" s="68" t="s">
        <v>30</v>
      </c>
      <c r="B60" s="69" t="s">
        <v>177</v>
      </c>
      <c r="O60" s="32"/>
      <c r="P60" s="5"/>
      <c r="Q60" s="5"/>
      <c r="R60" s="5"/>
      <c r="S60" s="5"/>
      <c r="T60" s="5"/>
      <c r="U60" s="5"/>
      <c r="V60" s="5"/>
      <c r="W60" s="5"/>
      <c r="X60" s="5"/>
      <c r="Y60" s="5"/>
      <c r="Z60" s="5"/>
      <c r="AA60" s="5"/>
    </row>
    <row r="61" hidden="1" outlineLevel="1">
      <c r="A61" s="73"/>
      <c r="B61" s="73" t="s">
        <v>178</v>
      </c>
      <c r="C61" s="73" t="s">
        <v>179</v>
      </c>
      <c r="D61" s="73" t="s">
        <v>180</v>
      </c>
      <c r="E61" s="73" t="s">
        <v>181</v>
      </c>
      <c r="F61" s="73" t="s">
        <v>182</v>
      </c>
      <c r="G61" s="73" t="s">
        <v>183</v>
      </c>
      <c r="H61" s="73" t="s">
        <v>184</v>
      </c>
      <c r="I61" s="73" t="s">
        <v>185</v>
      </c>
      <c r="J61" s="73" t="s">
        <v>186</v>
      </c>
      <c r="K61" s="73" t="s">
        <v>187</v>
      </c>
      <c r="L61" s="19" t="s">
        <v>188</v>
      </c>
      <c r="M61" s="19" t="s">
        <v>189</v>
      </c>
      <c r="N61" s="73"/>
      <c r="O61" s="36"/>
      <c r="P61" s="25"/>
      <c r="Q61" s="25"/>
      <c r="R61" s="25"/>
      <c r="S61" s="25"/>
      <c r="T61" s="25"/>
      <c r="U61" s="25"/>
      <c r="V61" s="25"/>
      <c r="W61" s="25"/>
      <c r="X61" s="25"/>
      <c r="Y61" s="25"/>
      <c r="Z61" s="25"/>
      <c r="AA61" s="25"/>
    </row>
    <row r="62" hidden="1" outlineLevel="1">
      <c r="A62" s="71"/>
      <c r="B62" s="71" t="str">
        <f>IFERROR(__xludf.DUMMYFUNCTION("TEXTJOIN(CHAR(10), TRUE,FILTER(Demos!$D:$D,Demos!$E:$E=B61))"),"QueryGym: A Toolkit for Reproducible LLM-Based Query Reformulation
Amin Bigdeli, Radin Hamidi Rad, Mert Incesu, Negar Arabzadeh, Charles Clarke and Ebrahim Bagheri
MetriKG: Profiling Static and Evolving Knowledge Graphs
Hasan Hüseyin Günes, Milos Jovanov"&amp;"ik and Katja Hose
TabTune: A Unified Library for Inference and Fine-Tuning Tabular Foundation Models
Aditya Tanna, Pratinav Seth, Mohamed Bouadi and Vinay Kumar Kumar Sankarapu
RobustReviewAI: A Robustness Evaluation System for AI-Powered Peer Review
Si"&amp;"ming Yuan, Yuchen Liu, Qinan Zheng, Wangze Ni, Shimin Di, Lei Chen and Kui Ren
LLM-Powered Structurer: Normalizing Natural Language to Information Delivery Specification for Industrial Data Exchange
Jiqian Yang, Sujie Yan, Zhi Li, Mingyu Liu, Yousheng Wa"&amp;"ng and Wei He
OwlerLite: Scope- and Freshness-Aware Web Retrieval for LLM Assistants
Saber Zerhoudi, Michael Dinzinger, Michael Granitzer and Jelena Mitrovic
Weakly Supervised Multimodal Claim Verification with Entity-Graph Inference
Kiana Bagheri-Lotfa"&amp;"bad, Amin Beheshti, Milad Mosharraf, Min Li, Pooyan Asgari and Guanfeng Liu
BLURR: A Boosted Low-Resource Inference for Vision-Language-Action Model
Xiaoyu Ma, Zhengqing Yuan, Zheyuan Zhang, Kaiwen Shi, Lichao Sun and Yanfang Ye
")</f>
        <v>QueryGym: A Toolkit for Reproducible LLM-Based Query Reformulation
Amin Bigdeli, Radin Hamidi Rad, Mert Incesu, Negar Arabzadeh, Charles Clarke and Ebrahim Bagheri
MetriKG: Profiling Static and Evolving Knowledge Graphs
Hasan Hüseyin Günes, Milos Jovanovik and Katja Hose
TabTune: A Unified Library for Inference and Fine-Tuning Tabular Foundation Models
Aditya Tanna, Pratinav Seth, Mohamed Bouadi and Vinay Kumar Kumar Sankarapu
RobustReviewAI: A Robustness Evaluation System for AI-Powered Peer Review
Siming Yuan, Yuchen Liu, Qinan Zheng, Wangze Ni, Shimin Di, Lei Chen and Kui Ren
LLM-Powered Structurer: Normalizing Natural Language to Information Delivery Specification for Industrial Data Exchange
Jiqian Yang, Sujie Yan, Zhi Li, Mingyu Liu, Yousheng Wang and Wei He
OwlerLite: Scope- and Freshness-Aware Web Retrieval for LLM Assistants
Saber Zerhoudi, Michael Dinzinger, Michael Granitzer and Jelena Mitrovic
Weakly Supervised Multimodal Claim Verification with Entity-Graph Inference
Kiana Bagheri-Lotfabad, Amin Beheshti, Milad Mosharraf, Min Li, Pooyan Asgari and Guanfeng Liu
BLURR: A Boosted Low-Resource Inference for Vision-Language-Action Model
Xiaoyu Ma, Zhengqing Yuan, Zheyuan Zhang, Kaiwen Shi, Lichao Sun and Yanfang Ye
</v>
      </c>
      <c r="C62" s="32" t="str">
        <f>IFERROR(__xludf.DUMMYFUNCTION("TEXTJOIN(CHAR(10), TRUE,FILTER('ShortPapers assignment'!$D:$D,'ShortPapers assignment'!$E:$E=C61))"),"PRISM: LLM-Guided Semantic Clustering for High-Precision Topics
Connor Douglas, Utkucan Balci and Joseph Aylett-Bullock
CitiLink-Summ: A Dataset of Discussion Subjects Summaries in European Portuguese Municipal Meeting Minutes
Miguel Marques, Ana Luísa F"&amp;"ernandes, Ana Filipa Pacheco, Rute Rebouças, Inês Cantante, José Isidro, Luís Filipe Cunha, Alípio Jorge, Nuno Guimarães, Sérgio Nunes, António Leal, Purificação Silvano and Ricardo Campos
Multi-Modal Enhanced Graph Transfer Learning for Digital Finance "&amp;"Fraud Detection
Yuxin Liu, Stephen Chan, Jeffrey Chu, Yuanyuan Zhang, Chenguang Yang, Zihao Wang, Yulia R. Gel and Yuzhou Chen
Designing for the Next Click: Bandits for Real-Time Page Layout
Bhavtosh Rath, Harshith Narasimhamurthy, Bob Eisinger, Cole Sti"&amp;"egler, Adnan Awow and Amit Pande
Deepfakes in the 2025 Canadian Election: Prevalence, Partisanship, and Platform Dynamics
Victor Livernoche, Andreea Musulan, Zachary Yang, Jean-François Godbout and Reihaneh Rabbany
Edit-Level Tracking of Narrative Chang"&amp;"es in 10-K Filings
Xiao Li, Changhong Jin, Yingjie Niu, Jingyi Wang and Ruihai Dong
Real-Time Trend Prediction via Continually-Aligned LLM Query Generation
Zijing Hui, Wenhan Lyu, Shusen Wang, Li Chen and Chu Wang
Uncertainty-Aware Web-Conditioned Scien"&amp;"tific Fact-Checking
Ashwin Vinod and Katrin Erk
Towards Token-Level Text Anomaly Detection
Yang Cao, Bicheng Yu, Sikun Yang, Ming Liu and Yujiu Yang
llm-tuna - Hyperparameter Optimization for LLM Inference
Thameem Abbas Ibrahim Bathusha, Aanya Sharma, A"&amp;"ndy Huynh, Rehan Samaratunga and Ashish Kamra
From Random Forget-Sets to Realistic Natural-Language Deletion Requests
Imran Ahsan, Jinsung Kim and Mucheol Kim
Retrieval Collapses When AI Pollutes the Web
Hongyeon Yu, Dongchan Kim and Young-Bum Kim
Mult"&amp;"imodal Topic Discovery in Web Media via von Mises-Fisher Mixture Neural Topic Models
Dayu Guo, Zhiwen Luo, Nizar Bouguila and Wentao Fan
Predicting Expectancy Violations Using Eye-Tracking Features: A Machine Learning Approach
Sakrapee Paisalnan and Yash"&amp;"ar Moshfeghi
SEER: Set Encoding for Efficient Representation in Large-Scale E-commerce
Yining Lin, Yuming Shen, Yipeng Zhang and Canran Xu
ReSuMe: Retriever-Summarizer Mutual Enhancement via Reinforcement Learning
Owais Makroo, Nikhil Pattisapu, Karan G"&amp;"upta, Ankit Gandhi, Vijay Huddar and Atul Saroop
Agent-Enhanced Heterogeneous Graph RAG for Academic Question Answering
Runsong Jia, Mengjia Wu, Ying Ding, Jie Lu and Yi Zhang
Causal Pre-training Under the Fairness Lens: An Empirical Study of TabPFN
Qin"&amp;"yi Liu, Mohammad Khalil and Naman Goel
STAR: Semantic Table Representation with Header-Aware Clustering and Adaptive Weighted Fusion
Shui-Hsiang Hsu, Tsung-Hsiang Chou, Chen-Jui Yu and Yao-Chung Fan
ULoR: Uncertainty-Aware Leave-One-Out Refinement Frame"&amp;"work for Diagnosis Prediction
Jie Zhang, Wanzi Shao and Tan Yanchao
Lurkers, Interactors, Creators: Modeling Behavioral and Ideological Diversity on X
Cai Yang, Kokil Jaidka, Yphtach Lelkes and Subhayan Mukerjee
Tabular Foundation Models are Strong Grap"&amp;"h Anomaly Detectors
Yunhui Liu, Tieke He, Yongchao Liu, Can Yi, Hong Jin and Chuntao Hong
Weighted Reservoir Sampling with Replacement from Data Streams
Adriano Meligrana and Adriano Fazzone
Multi-field Balance-aware Calibration of Predictions in Online"&amp;" Advertising
Zi-Kang Wang, Lei Gong, Shu-Ting Shi, Lan-Zhe Guo and Mu-Yu Zhang
")</f>
        <v>PRISM: LLM-Guided Semantic Clustering for High-Precision Topics
Connor Douglas, Utkucan Balci and Joseph Aylett-Bullock
CitiLink-Summ: A Dataset of Discussion Subjects Summaries in European Portuguese Municipal Meeting Minutes
Miguel Marques, Ana Luísa Fernandes, Ana Filipa Pacheco, Rute Rebouças, Inês Cantante, José Isidro, Luís Filipe Cunha, Alípio Jorge, Nuno Guimarães, Sérgio Nunes, António Leal, Purificação Silvano and Ricardo Campos
Multi-Modal Enhanced Graph Transfer Learning for Digital Finance Fraud Detection
Yuxin Liu, Stephen Chan, Jeffrey Chu, Yuanyuan Zhang, Chenguang Yang, Zihao Wang, Yulia R. Gel and Yuzhou Chen
Designing for the Next Click: Bandits for Real-Time Page Layout
Bhavtosh Rath, Harshith Narasimhamurthy, Bob Eisinger, Cole Stiegler, Adnan Awow and Amit Pande
Deepfakes in the 2025 Canadian Election: Prevalence, Partisanship, and Platform Dynamics
Victor Livernoche, Andreea Musulan, Zachary Yang, Jean-François Godbout and Reihaneh Rabbany
Edit-Level Tracking of Narrative Changes in 10-K Filings
Xiao Li, Changhong Jin, Yingjie Niu, Jingyi Wang and Ruihai Dong
Real-Time Trend Prediction via Continually-Aligned LLM Query Generation
Zijing Hui, Wenhan Lyu, Shusen Wang, Li Chen and Chu Wang
Uncertainty-Aware Web-Conditioned Scientific Fact-Checking
Ashwin Vinod and Katrin Erk
Towards Token-Level Text Anomaly Detection
Yang Cao, Bicheng Yu, Sikun Yang, Ming Liu and Yujiu Yang
llm-tuna - Hyperparameter Optimization for LLM Inference
Thameem Abbas Ibrahim Bathusha, Aanya Sharma, Andy Huynh, Rehan Samaratunga and Ashish Kamra
From Random Forget-Sets to Realistic Natural-Language Deletion Requests
Imran Ahsan, Jinsung Kim and Mucheol Kim
Retrieval Collapses When AI Pollutes the Web
Hongyeon Yu, Dongchan Kim and Young-Bum Kim
Multimodal Topic Discovery in Web Media via von Mises-Fisher Mixture Neural Topic Models
Dayu Guo, Zhiwen Luo, Nizar Bouguila and Wentao Fan
Predicting Expectancy Violations Using Eye-Tracking Features: A Machine Learning Approach
Sakrapee Paisalnan and Yashar Moshfeghi
SEER: Set Encoding for Efficient Representation in Large-Scale E-commerce
Yining Lin, Yuming Shen, Yipeng Zhang and Canran Xu
ReSuMe: Retriever-Summarizer Mutual Enhancement via Reinforcement Learning
Owais Makroo, Nikhil Pattisapu, Karan Gupta, Ankit Gandhi, Vijay Huddar and Atul Saroop
Agent-Enhanced Heterogeneous Graph RAG for Academic Question Answering
Runsong Jia, Mengjia Wu, Ying Ding, Jie Lu and Yi Zhang
Causal Pre-training Under the Fairness Lens: An Empirical Study of TabPFN
Qinyi Liu, Mohammad Khalil and Naman Goel
STAR: Semantic Table Representation with Header-Aware Clustering and Adaptive Weighted Fusion
Shui-Hsiang Hsu, Tsung-Hsiang Chou, Chen-Jui Yu and Yao-Chung Fan
ULoR: Uncertainty-Aware Leave-One-Out Refinement Framework for Diagnosis Prediction
Jie Zhang, Wanzi Shao and Tan Yanchao
Lurkers, Interactors, Creators: Modeling Behavioral and Ideological Diversity on X
Cai Yang, Kokil Jaidka, Yphtach Lelkes and Subhayan Mukerjee
Tabular Foundation Models are Strong Graph Anomaly Detectors
Yunhui Liu, Tieke He, Yongchao Liu, Can Yi, Hong Jin and Chuntao Hong
Weighted Reservoir Sampling with Replacement from Data Streams
Adriano Meligrana and Adriano Fazzone
Multi-field Balance-aware Calibration of Predictions in Online Advertising
Zi-Kang Wang, Lei Gong, Shu-Ting Shi, Lan-Zhe Guo and Mu-Yu Zhang
</v>
      </c>
      <c r="D62" s="71" t="str">
        <f>IFERROR(__xludf.DUMMYFUNCTION("TEXTJOIN(CHAR(10), TRUE,FILTER('Research assignment'!$D:$D,'Research assignment'!$G:$G=D61))"),"SLFM: Semi-Supervised Local Community Detection Based on Hyperbolic Flow Matching
Haixu Xiong, Li Sun, Yun Xiong, Suyang Zhou, Hongrun Ren
and Yangyong Zhu
Contextual Structure-Enhanced Selective Graph Convolutional Network
Shifei Ding, Fangchen Li, Lili"&amp;" Guo and Jian Zhang
WPIS: From In-the-Wild Web Images to Physics-Aware 3D Scene Graphs for Physical Reasoning
Ke Ma, Cong Fu, Jianing Wang, Yifei Wang, Wenyuan Li,
Xinggang Wang, Meng Wang and Tian Xia
Revisiting and Enhancing Graph Neural Networks thro"&amp;"ugh the Lens of Amortized Flows
Minjie Cheng, Bokai Yan, Dixin Luo and Hongteng Xu
STELA: Spatiotemporal Forecasting via Graph Learning and Entropy-Guided LLM Adaptation
Tiantian Huang, Yue Li, Wei Shao, Ziqi Xu, Qipeng Song and
Hui Li
Towards Geometry-"&amp;"Consistent Federated Graph Learning
Yuecen Wei, Zhiyu Zhuang, Yisen Gao, Xingcheng Fu, Qingyun
Sun, Ziwei Zhang, Tianyu Wo and Chunming Hu
Stuart-Landau Oscillatory Graph Neural Network
Kaicheng Zhang, David N Reynolds, Piero Deidda and
Francesco Tudisco"&amp;"
Rethinking Graph Generalization through the Lens of Sharpness-Aware Minimization
Yang Qiu, Yixiong Zou and Jun Wang
RARD: Rationale-First Blockwise Autoregressive Diffusion in Rationale‑Dominated Graph Generation
Xu Fan, Zhang Yijun, Zhang Sibo, Ding J"&amp;"iaxin, Fu Luoyi and
Wang Xinbing
Space-based Parameter Evolving with Lightweight Optimization for Graph Adaptation to Evolving Shifts
Junyu Luo, Zixuan Ouyang, Xiao Luo, Hourun Li, Zhiping
Xiao, Yifan Wang and Ming Zhang
")</f>
        <v>SLFM: Semi-Supervised Local Community Detection Based on Hyperbolic Flow Matching
Haixu Xiong, Li Sun, Yun Xiong, Suyang Zhou, Hongrun Ren
and Yangyong Zhu
Contextual Structure-Enhanced Selective Graph Convolutional Network
Shifei Ding, Fangchen Li, Lili Guo and Jian Zhang
WPIS: From In-the-Wild Web Images to Physics-Aware 3D Scene Graphs for Physical Reasoning
Ke Ma, Cong Fu, Jianing Wang, Yifei Wang, Wenyuan Li,
Xinggang Wang, Meng Wang and Tian Xia
Revisiting and Enhancing Graph Neural Networks through the Lens of Amortized Flows
Minjie Cheng, Bokai Yan, Dixin Luo and Hongteng Xu
STELA: Spatiotemporal Forecasting via Graph Learning and Entropy-Guided LLM Adaptation
Tiantian Huang, Yue Li, Wei Shao, Ziqi Xu, Qipeng Song and
Hui Li
Towards Geometry-Consistent Federated Graph Learning
Yuecen Wei, Zhiyu Zhuang, Yisen Gao, Xingcheng Fu, Qingyun
Sun, Ziwei Zhang, Tianyu Wo and Chunming Hu
Stuart-Landau Oscillatory Graph Neural Network
Kaicheng Zhang, David N Reynolds, Piero Deidda and
Francesco Tudisco
Rethinking Graph Generalization through the Lens of Sharpness-Aware Minimization
Yang Qiu, Yixiong Zou and Jun Wang
RARD: Rationale-First Blockwise Autoregressive Diffusion in Rationale‑Dominated Graph Generation
Xu Fan, Zhang Yijun, Zhang Sibo, Ding Jiaxin, Fu Luoyi and
Wang Xinbing
Space-based Parameter Evolving with Lightweight Optimization for Graph Adaptation to Evolving Shifts
Junyu Luo, Zixuan Ouyang, Xiao Luo, Hourun Li, Zhiping
Xiao, Yifan Wang and Ming Zhang
</v>
      </c>
      <c r="E62" s="71" t="str">
        <f>IFERROR(__xludf.DUMMYFUNCTION("TEXTJOIN(CHAR(10), TRUE,FILTER('Research assignment'!$D:$D,'Research assignment'!$G:$G=E61))"),"Robust Fake News Detection using Large Language Models under Adversarial Sentiment Attacks
Sahar Tahmasebi, Eric Müller-Budack and Ralph Ewerth
MultiFPT: Towards Multi-Attribute Fairness in Pre-Trained Graph Neural Networks via Prompt Tuning
Meng Cao, Mi"&amp;"ngcai Chen, Shuangjie Li, Hualei Yu, Shuai Feng
and Demin Gao
Is Contextual Advertising Safe? Analyzing Systemic Risks with Ads on YouTube
Asmaa El Fraihi, Ines Abdelaziz and Oana Goga
Unifying Diversity and Fairness in Re-ranking via Economic Growth Th"&amp;"eory
Zhaofeng Li, Chen Xu, Xinyu Lin, Wenjie Wang and Xiaokui
Xiao
Emergence of Structural Disparities in the Web of Scientific Citations
Buddhika Nettasinghe, Nazanin Alipourfard, Vikram
Krishnamurthy and Kristina Lerman
IO-X: Detecting and Attributing"&amp;" Content-Duplicating Influence Operations on X (Twitter)
Ashfaq Ali Shafin, Md Nahid Siddique and Bogdan Carbunar
Characterizing Iran's Phased National Internet Shutdown in 2025: A Progressive and Distributed Action
Shibo Cui, Mingxuan Liu, Baojun Liu, H"&amp;"aixin Duan, Ruixuan
Li, Chaoyi Lu, Jin Zhang, Zhicheng Wang and Jinghua Bai
")</f>
        <v>Robust Fake News Detection using Large Language Models under Adversarial Sentiment Attacks
Sahar Tahmasebi, Eric Müller-Budack and Ralph Ewerth
MultiFPT: Towards Multi-Attribute Fairness in Pre-Trained Graph Neural Networks via Prompt Tuning
Meng Cao, Mingcai Chen, Shuangjie Li, Hualei Yu, Shuai Feng
and Demin Gao
Is Contextual Advertising Safe? Analyzing Systemic Risks with Ads on YouTube
Asmaa El Fraihi, Ines Abdelaziz and Oana Goga
Unifying Diversity and Fairness in Re-ranking via Economic Growth Theory
Zhaofeng Li, Chen Xu, Xinyu Lin, Wenjie Wang and Xiaokui
Xiao
Emergence of Structural Disparities in the Web of Scientific Citations
Buddhika Nettasinghe, Nazanin Alipourfard, Vikram
Krishnamurthy and Kristina Lerman
IO-X: Detecting and Attributing Content-Duplicating Influence Operations on X (Twitter)
Ashfaq Ali Shafin, Md Nahid Siddique and Bogdan Carbunar
Characterizing Iran's Phased National Internet Shutdown in 2025: A Progressive and Distributed Action
Shibo Cui, Mingxuan Liu, Baojun Liu, Haixin Duan, Ruixuan
Li, Chaoyi Lu, Jin Zhang, Zhicheng Wang and Jinghua Bai
</v>
      </c>
      <c r="F62" s="71" t="str">
        <f>IFERROR(__xludf.DUMMYFUNCTION("TEXTJOIN(CHAR(10), TRUE,FILTER('Research assignment'!$D:$D,'Research assignment'!$G:$G=F61))"),"Rethinking Soft Compression in Retrieval-Augmented Generation: A Query-Conditioned Selector Perspective
Yunhao Liu, Zian Jia, Xinyu Gao, Kanjun Xu and Yun Xiong
SketchMind: Understanding Abstract Sketches with MLLMs for Fine-Grained Sketch-Based Image Re"&amp;"trieval
Li Changxing, Donglin Zhang, Zhikai Hu, Xiao-Jun Wu and
Josef Kittler
A Unified Framework for Context-Aware and Relation-Aware Graph Retrieval-Augmented Generation
Haoyang Zhong, Yifei Sun, Antong Zhang, Chunping Wang, Lei
Chen and Yang Yang
Age"&amp;"nticShop: Benchmarking Agentic Product Curation for Personalized Web Shopping
Sunghwan Kim, Ryang Heo, Yongsik Seo, Jinyoung Yeo and
Dongha Lee
CFVBench: A Comprehensive Video Benchmark for Fine-grained Multimodal Retrieval-Augmented Generation
Kaiwen We"&amp;"i, Xiao Liu, Jie Zhang, Zijian Wang, Ruida Liu,
Yuming Yang, Xin Xiao, Xiao Sun, Haoyang Zeng, Changzai
Pan, Yidan Zhang, Jiang Zhong, Peijin Wang and Yingchao Feng
TRACE: Trajectory-Aware Comprehensive Evaluation for Deep Research Agents
Yanyu Chen, Jiy"&amp;"ue Jiang, Jiahong Liu, Yifei Zhang, Xiao Guo
and Irwin King
")</f>
        <v>Rethinking Soft Compression in Retrieval-Augmented Generation: A Query-Conditioned Selector Perspective
Yunhao Liu, Zian Jia, Xinyu Gao, Kanjun Xu and Yun Xiong
SketchMind: Understanding Abstract Sketches with MLLMs for Fine-Grained Sketch-Based Image Retrieval
Li Changxing, Donglin Zhang, Zhikai Hu, Xiao-Jun Wu and
Josef Kittler
A Unified Framework for Context-Aware and Relation-Aware Graph Retrieval-Augmented Generation
Haoyang Zhong, Yifei Sun, Antong Zhang, Chunping Wang, Lei
Chen and Yang Yang
AgenticShop: Benchmarking Agentic Product Curation for Personalized Web Shopping
Sunghwan Kim, Ryang Heo, Yongsik Seo, Jinyoung Yeo and
Dongha Lee
CFVBench: A Comprehensive Video Benchmark for Fine-grained Multimodal Retrieval-Augmented Generation
Kaiwen Wei, Xiao Liu, Jie Zhang, Zijian Wang, Ruida Liu,
Yuming Yang, Xin Xiao, Xiao Sun, Haoyang Zeng, Changzai
Pan, Yidan Zhang, Jiang Zhong, Peijin Wang and Yingchao Feng
TRACE: Trajectory-Aware Comprehensive Evaluation for Deep Research Agents
Yanyu Chen, Jiyue Jiang, Jiahong Liu, Yifei Zhang, Xiao Guo
and Irwin King
</v>
      </c>
      <c r="G62" s="71" t="str">
        <f>IFERROR(__xludf.DUMMYFUNCTION("TEXTJOIN(CHAR(10), TRUE,FILTER('Research assignment'!$D:$D,'Research assignment'!$G:$G=G61))"),"Expectation-Guided Self-Verification for Aligning Large Reasoning Models with Domain Knowledge
Han Zhang, Chen Zhao, Shasha Wang, Gang Chen and Chenghong
Zhang
Incentivizing Agentic Reasoning Capability with Outcome Supervision for Knowledge Base Questio"&amp;"n Answering
Zhuo Chen, Fei Wang, Zixuan Li, Zhao Zhang, Weiwei Ding,
Chuanguang Yang, Yongjun Xu and Xiaolong Jin
Learning to Route: A Rule-Driven Agent Framework for Hybrid-Source Retrieval-Augmented Generation
Haoyue Bai, Haoyu Wang, Shengyu Chen, Zhen"&amp;"gzhang Chen,
Lu-An Tang, Wei Cheng, Yanjie Fu and Haifeng Chen
MixRAG : Mixture-of-Experts Retrieval-Augmented Generation for Textual Graph Understanding and Question Answering
Lihui Liu, Jiayuan Ding, Subhabrata Mukherjee and Carl Yang
AdaQE-CG: Adapti"&amp;"ve Query Expansion for Web-Scale Generative AI Model and Data Card Generation
Haoxuan Zhang, Ruochi Li, Zhenni Liang, Sattari Mehri, Phat
Vo, Collin Qu, Ting Xiao, Junhua Ding, Yang Zhang and
Haihua Chen
Dual-View Hypercube Alignment Framework for Open-W"&amp;"orld Entity Typing
Hu Chen, Yu Zhu and Wei Shen
Counterfactual Meta-task Augmentation for Few-shot Graph Node Classification
Zhiqiang Wang, Jiaxin Zhang, Chenchao Zhang, Shiying Cheng,
Jianqing Liang and Peng Song
Knowledge-Enhanced Multimodal Fake News"&amp;" Detection: Semantic Visual and Priority Fusion
Qin Zhang, Jiaying Liu, Qian Tao, Zhiwei Guo, Qiyue Zhong,
Yifan Zhang and Ziyan Huang
BLEND: Balanced and Leaf-Enhanced Dual Fine-Tuning for Taxonomy Completion
Pankaj Iiitd, Dhruv Kumar, Vinayak Abrol and"&amp;" Vikram Goyal
")</f>
        <v>Expectation-Guided Self-Verification for Aligning Large Reasoning Models with Domain Knowledge
Han Zhang, Chen Zhao, Shasha Wang, Gang Chen and Chenghong
Zhang
Incentivizing Agentic Reasoning Capability with Outcome Supervision for Knowledge Base Question Answering
Zhuo Chen, Fei Wang, Zixuan Li, Zhao Zhang, Weiwei Ding,
Chuanguang Yang, Yongjun Xu and Xiaolong Jin
Learning to Route: A Rule-Driven Agent Framework for Hybrid-Source Retrieval-Augmented Generation
Haoyue Bai, Haoyu Wang, Shengyu Chen, Zhengzhang Chen,
Lu-An Tang, Wei Cheng, Yanjie Fu and Haifeng Chen
MixRAG : Mixture-of-Experts Retrieval-Augmented Generation for Textual Graph Understanding and Question Answering
Lihui Liu, Jiayuan Ding, Subhabrata Mukherjee and Carl Yang
AdaQE-CG: Adaptive Query Expansion for Web-Scale Generative AI Model and Data Card Generation
Haoxuan Zhang, Ruochi Li, Zhenni Liang, Sattari Mehri, Phat
Vo, Collin Qu, Ting Xiao, Junhua Ding, Yang Zhang and
Haihua Chen
Dual-View Hypercube Alignment Framework for Open-World Entity Typing
Hu Chen, Yu Zhu and Wei Shen
Counterfactual Meta-task Augmentation for Few-shot Graph Node Classification
Zhiqiang Wang, Jiaxin Zhang, Chenchao Zhang, Shiying Cheng,
Jianqing Liang and Peng Song
Knowledge-Enhanced Multimodal Fake News Detection: Semantic Visual and Priority Fusion
Qin Zhang, Jiaying Liu, Qian Tao, Zhiwei Guo, Qiyue Zhong,
Yifan Zhang and Ziyan Huang
BLEND: Balanced and Leaf-Enhanced Dual Fine-Tuning for Taxonomy Completion
Pankaj Iiitd, Dhruv Kumar, Vinayak Abrol and Vikram Goyal
</v>
      </c>
      <c r="H62" s="71" t="str">
        <f>IFERROR(__xludf.DUMMYFUNCTION("TEXTJOIN(CHAR(10), TRUE,FILTER('Research assignment'!$D:$D,'Research assignment'!$G:$G=H61))"),"Does Ad-Free Mean Less Data Collection? An Empirical Study of Platform Data Practices and User Expectations
Sepehr Mousavi, Abhisek Dash, Savvas Zannettou and Krishna
P. Gummadi
Balancing Privacy and Security of QNAME Minimisation
Qinxin Li, Zhaohua Wang"&amp;", Wenhao Wu, Zihan Li, Yiming Xia,
Chuan Gao and Zhenyu Li
Do You Really Know What I Am Doing? Backdoor Attacks on Provenance-Based Intrusion Detection Systems
Shaodi Xie, Wei Yuan, Haoyu Jiang, Zhu Gong, Haoran Wang,
Heng Li and Tiejun Wu
Trust on Relo"&amp;"ad: Securing Browser-Based End-to-End Encryption
Simon Schwarz, Florian Bauckholt and Leon Trampert
Fast or Secure? Push the Limit of Privacy Leakage Threat via Charging Side-Channel Attacks
Jiaxin Jiang, Xutong Zhang, Jiahao Li, Leqi Zhao, Zhengxin
Guo,"&amp;" Kaiyan Cui, Ming Gao, Jinsong Han and Fu Xiao
PeriNet: Periodic Deep Learning Framework for Modality-Agnostic Privacy Preserving
Yan Zhang, Yihong Song, Manzhou Li, Qiushi Li, Qi Li and Ju
Ren
CogAgent: Self-Evolving Cognitive Agents for Multi-Source F"&amp;"raud Detection in Heterogeneous Financial Networks
Qianyu Wang, Weiyou Tian, Rong Wang, Wei-Tek Tsai, Tianyu
Shi, Zhuang Liu and Tianze Xia
Evasion Under Blockchain Sanctions
Endong Liu, Mark Ryan, Liyi Zhou and Pascal Berrang
Unveiling the Underground "&amp;"Phishing Ecosystem: A 12-Year Longitudinal Study of Deep and Dark Web Forums
Dohee Kim, Zhao Hui, Doowon Kim and Sungjae Hwang
YouChoose: A Lightweight Anonymous Proof of Account Ownership
Aarav Varshney, Prashant Agrawal and Mahabir Prasad Jhanwar
")</f>
        <v>Does Ad-Free Mean Less Data Collection? An Empirical Study of Platform Data Practices and User Expectations
Sepehr Mousavi, Abhisek Dash, Savvas Zannettou and Krishna
P. Gummadi
Balancing Privacy and Security of QNAME Minimisation
Qinxin Li, Zhaohua Wang, Wenhao Wu, Zihan Li, Yiming Xia,
Chuan Gao and Zhenyu Li
Do You Really Know What I Am Doing? Backdoor Attacks on Provenance-Based Intrusion Detection Systems
Shaodi Xie, Wei Yuan, Haoyu Jiang, Zhu Gong, Haoran Wang,
Heng Li and Tiejun Wu
Trust on Reload: Securing Browser-Based End-to-End Encryption
Simon Schwarz, Florian Bauckholt and Leon Trampert
Fast or Secure? Push the Limit of Privacy Leakage Threat via Charging Side-Channel Attacks
Jiaxin Jiang, Xutong Zhang, Jiahao Li, Leqi Zhao, Zhengxin
Guo, Kaiyan Cui, Ming Gao, Jinsong Han and Fu Xiao
PeriNet: Periodic Deep Learning Framework for Modality-Agnostic Privacy Preserving
Yan Zhang, Yihong Song, Manzhou Li, Qiushi Li, Qi Li and Ju
Ren
CogAgent: Self-Evolving Cognitive Agents for Multi-Source Fraud Detection in Heterogeneous Financial Networks
Qianyu Wang, Weiyou Tian, Rong Wang, Wei-Tek Tsai, Tianyu
Shi, Zhuang Liu and Tianze Xia
Evasion Under Blockchain Sanctions
Endong Liu, Mark Ryan, Liyi Zhou and Pascal Berrang
Unveiling the Underground Phishing Ecosystem: A 12-Year Longitudinal Study of Deep and Dark Web Forums
Dohee Kim, Zhao Hui, Doowon Kim and Sungjae Hwang
YouChoose: A Lightweight Anonymous Proof of Account Ownership
Aarav Varshney, Prashant Agrawal and Mahabir Prasad Jhanwar
</v>
      </c>
      <c r="I62" s="71" t="str">
        <f>IFERROR(__xludf.DUMMYFUNCTION("TEXTJOIN(CHAR(10), TRUE,FILTER('Research assignment'!$D:$D,'Research assignment'!$G:$G=I61))"),"RAFed: Responsive Augmentation and Approximate Update Method for Federated Learning with Non-IID Data
Yicheng Di and Zhanjie Zhang
Fate: Fast Edge Inference of Mixture-of-Experts Models via Cross-Layer Gate
Zhiyuan Fang, Xingfan Yu, Yuegui Huang, Zicong "&amp;"Hong, Yufeng
Lyu, Wuhui Chen, Yue Yu and Fan Yu
BIND: Enabling Continuous Transaction Processing During Account Migration in Sharded Blockchains
Jiahao Qi, Dian Ding, Jie Li, Jiannong Cao, Yi-Chao Chen,
Guangtao Xue and Shengyun Liu
Adaptive Model and S"&amp;"trategy Routing for Cost-Efficient LLM Services
Zhihong Pan, Kai Zhang, Yuze Zhao and Yupeng Han
MetaKube: An Experience-Aware LLM Framework for Kubernetes Failure Diagnosis
Wei Sun, Ting Wang, Xinran Tian, Wanshun Lan, Xuhan Feng,
Haoyue Li and Fangxin "&amp;"Wang
Amortized Predictability-aware Training Framework for Time Series Forecasting and Classification
Xu Zhang, Peng Wang, Yichen Li and Wei Wang
FovRL: Joint Foveation and Quality Control for Immersive VR Streaming Using Reinforcement Learning
Yuk Hang"&amp;" Tsui, Ze Wu, Ahmad Alhilal, Matti Siekkinen and
Pan Hui
SuperEar: Eavesdropping on Mobile Voice Calls via Stealthy Acoustic Metamaterials
Zhiyuan Ning, Zhanyong Tang, Juan He, Weizhi Meng, Yuntian
Chen, Jie Zhang and Zheng Wang
FedMHO: Heterogeneous On"&amp;"e-Shot Federated Learning Towards Resource-Constrained Clients
Dezhong Yao, Tongtong Liu, Yuexin Shi and Zhiqiang Xu
")</f>
        <v>RAFed: Responsive Augmentation and Approximate Update Method for Federated Learning with Non-IID Data
Yicheng Di and Zhanjie Zhang
Fate: Fast Edge Inference of Mixture-of-Experts Models via Cross-Layer Gate
Zhiyuan Fang, Xingfan Yu, Yuegui Huang, Zicong Hong, Yufeng
Lyu, Wuhui Chen, Yue Yu and Fan Yu
BIND: Enabling Continuous Transaction Processing During Account Migration in Sharded Blockchains
Jiahao Qi, Dian Ding, Jie Li, Jiannong Cao, Yi-Chao Chen,
Guangtao Xue and Shengyun Liu
Adaptive Model and Strategy Routing for Cost-Efficient LLM Services
Zhihong Pan, Kai Zhang, Yuze Zhao and Yupeng Han
MetaKube: An Experience-Aware LLM Framework for Kubernetes Failure Diagnosis
Wei Sun, Ting Wang, Xinran Tian, Wanshun Lan, Xuhan Feng,
Haoyue Li and Fangxin Wang
Amortized Predictability-aware Training Framework for Time Series Forecasting and Classification
Xu Zhang, Peng Wang, Yichen Li and Wei Wang
FovRL: Joint Foveation and Quality Control for Immersive VR Streaming Using Reinforcement Learning
Yuk Hang Tsui, Ze Wu, Ahmad Alhilal, Matti Siekkinen and
Pan Hui
SuperEar: Eavesdropping on Mobile Voice Calls via Stealthy Acoustic Metamaterials
Zhiyuan Ning, Zhanyong Tang, Juan He, Weizhi Meng, Yuntian
Chen, Jie Zhang and Zheng Wang
FedMHO: Heterogeneous One-Shot Federated Learning Towards Resource-Constrained Clients
Dezhong Yao, Tongtong Liu, Yuexin Shi and Zhiqiang Xu
</v>
      </c>
      <c r="J62" s="71" t="str">
        <f>IFERROR(__xludf.DUMMYFUNCTION("TEXTJOIN(CHAR(10), TRUE,FILTER('Research assignment'!$D:$D,'Research assignment'!$G:$G=J61))"),"Talos: Optimizing Top-K Accuracy in Recommender Systems
Shengjia Zhang, Weiqin Yang, Jiawei Chen, Peng Wu, Yuegang
Sun, Gang Wang, Qihao Shi and Can Wang
From Token to Item: Enhancing Large Language Models for Recommendation via Item-aware Attention Mech"&amp;"anism
Xiaokun Zhang, Bowei He, Jiamin Chen, Ziqiang Cui and Chen
Ma
Following the TRAIL: Predicting and Explaining Tomorrow’s Hits with a Fine-Tuned LLM
Yinan Zhang, Zhixi Chen, Jiazheng Jing and Zhiqi Shen
QDDR: Quality-Driven Intent Disentanglement wi"&amp;"th Dual-Path Modeling for Recommendation
Nengjun Zhu, Yixun Lu and Qi Zhang
IMPerSumm: Information-Modulated User Preference Modeling for Personalized Text Summarization
Parthiv Chatterjee, Dhara Jhaveri, Sourish Dasgupta and
Tanmoy Chakraborty
CCL-Diff"&amp;": Representation-Consistent Diffusion with Intrinsic Contrastive Learning for Recommender Systems
Lingyan Zhang, Wanyu Ling, Shuwen Daizhou, Li Kuang and
Kehua Guo
Exploration Sizing via Model-Predictive Control
Ethan Che, Hakan Ceylan, James McInerney a"&amp;"nd Nathan Kallus
Post-hoc Popularity Bias Correction in GNN-based Collaborative Filtering
Md Aminul Islam, Elena Zheleva and Ren Wang
Identifying and Upweighting Power-Niche Users to Mitigate Popularity Bias in Recommendations
David Liu, Erik Weis, Mori"&amp;"tz Laber, Tina Eliassi-Rad and
Brennan Klein
Efficient Content-based Recommendation Model Training via Noise-aware Coreset Selection
Hung V. Tran, Tong Chen, Hechuan Wen, Quoc Viet Hung
Nguyen, Bin Cui and Hongzhi Yin
DrunkAgent: Stealthy Memory Corrupt"&amp;"ion in LLM-Powered Recommender Agents
Shiyi Yang, Zhibo Hu, Xinshu Li, Chen Wang, Tong Yu, Xiwei
Xu, Liming Zhu and Lina Yao
TopKGAT: A Top-K Objective-Driven Architecture for Recommendation
Sirui Chen, Jiawei Chen, Canghong Jin, Sheng Zhou, Jingbang
Che"&amp;"n, Wujie Sun and Can Wang
Taming the Long Tail: Efficient Item-wise Sharpness-Aware Minimization for LLM-based Recommender Systems
Jiaming Zhang, Yuyuan Li, Xiaohua Feng, Li Zhang, Longfei
Li, Jun Zhou and Chaochao Chen
")</f>
        <v>Talos: Optimizing Top-K Accuracy in Recommender Systems
Shengjia Zhang, Weiqin Yang, Jiawei Chen, Peng Wu, Yuegang
Sun, Gang Wang, Qihao Shi and Can Wang
From Token to Item: Enhancing Large Language Models for Recommendation via Item-aware Attention Mechanism
Xiaokun Zhang, Bowei He, Jiamin Chen, Ziqiang Cui and Chen
Ma
Following the TRAIL: Predicting and Explaining Tomorrow’s Hits with a Fine-Tuned LLM
Yinan Zhang, Zhixi Chen, Jiazheng Jing and Zhiqi Shen
QDDR: Quality-Driven Intent Disentanglement with Dual-Path Modeling for Recommendation
Nengjun Zhu, Yixun Lu and Qi Zhang
IMPerSumm: Information-Modulated User Preference Modeling for Personalized Text Summarization
Parthiv Chatterjee, Dhara Jhaveri, Sourish Dasgupta and
Tanmoy Chakraborty
CCL-Diff: Representation-Consistent Diffusion with Intrinsic Contrastive Learning for Recommender Systems
Lingyan Zhang, Wanyu Ling, Shuwen Daizhou, Li Kuang and
Kehua Guo
Exploration Sizing via Model-Predictive Control
Ethan Che, Hakan Ceylan, James McInerney and Nathan Kallus
Post-hoc Popularity Bias Correction in GNN-based Collaborative Filtering
Md Aminul Islam, Elena Zheleva and Ren Wang
Identifying and Upweighting Power-Niche Users to Mitigate Popularity Bias in Recommendations
David Liu, Erik Weis, Moritz Laber, Tina Eliassi-Rad and
Brennan Klein
Efficient Content-based Recommendation Model Training via Noise-aware Coreset Selection
Hung V. Tran, Tong Chen, Hechuan Wen, Quoc Viet Hung
Nguyen, Bin Cui and Hongzhi Yin
DrunkAgent: Stealthy Memory Corruption in LLM-Powered Recommender Agents
Shiyi Yang, Zhibo Hu, Xinshu Li, Chen Wang, Tong Yu, Xiwei
Xu, Liming Zhu and Lina Yao
TopKGAT: A Top-K Objective-Driven Architecture for Recommendation
Sirui Chen, Jiawei Chen, Canghong Jin, Sheng Zhou, Jingbang
Chen, Wujie Sun and Can Wang
Taming the Long Tail: Efficient Item-wise Sharpness-Aware Minimization for LLM-based Recommender Systems
Jiaming Zhang, Yuyuan Li, Xiaohua Feng, Li Zhang, Longfei
Li, Jun Zhou and Chaochao Chen
</v>
      </c>
      <c r="K62" s="71" t="str">
        <f>IFERROR(__xludf.DUMMYFUNCTION("TEXTJOIN(CHAR(10), TRUE,FILTER('Research assignment'!$D:$D,'Research assignment'!$G:$G=K61))"),"GlassMiner: Mining Looking Glass Services via Structure-Semantics Fusion for Web Observability
Yunze Wei, Xingang Shi, Han Zhang, Tianyu Zhang, Yahui Li
and Xia Yin
From Newborn to Impact: Bias-Aware Citation Prediction
Mingfei Lu, Mengjia Wu, Jiawei Xu,"&amp;" Weikai Li, Feng Liu,
Ying Ding, Yizhou Sun, Jie Lu and Yi Zhang
FedRMamba: Federated Residual Mamba for Multivariate Time-Series Forecasting
Zhiwei Hu, Liang Zhang and Guangxu Zhu
Prompt-Induced Linguistic Fingerprints for LLM-Generated Fake News Detec"&amp;"tion
Chi Wang, Min Gao, Zongwei Wang, Junwei Yin, Kai Shu and
Chenghua Lin
BARouter: A Budget-adaptive Online Large Language Model Router Framework
Lingkai Zu, Xiyue Peng and Xin Liu
Moral Outrage Shapes Commitments Beyond Attention: Multimodal Moral Em"&amp;"otions on YouTube in Korea and the US
Seongchan Park, Jaehong Kim, Hyeonseung Kim, Heejin Bin,
Sue Moon and Wonjae Lee
Dynamic Multi-period Experts for Online Time Series Forecasting
Seungha Hong, Sukang Chae, Suyeon Kim, Sanghwan Jang and
Hwanjo Yu
Unl"&amp;"ocking the Multilingual Long-Tail Web: A Fused Macro-Micro Framework for Scalable Content Analysis
Jiarui Zhang, Yifan Deng and Qihao Wang
")</f>
        <v>GlassMiner: Mining Looking Glass Services via Structure-Semantics Fusion for Web Observability
Yunze Wei, Xingang Shi, Han Zhang, Tianyu Zhang, Yahui Li
and Xia Yin
From Newborn to Impact: Bias-Aware Citation Prediction
Mingfei Lu, Mengjia Wu, Jiawei Xu, Weikai Li, Feng Liu,
Ying Ding, Yizhou Sun, Jie Lu and Yi Zhang
FedRMamba: Federated Residual Mamba for Multivariate Time-Series Forecasting
Zhiwei Hu, Liang Zhang and Guangxu Zhu
Prompt-Induced Linguistic Fingerprints for LLM-Generated Fake News Detection
Chi Wang, Min Gao, Zongwei Wang, Junwei Yin, Kai Shu and
Chenghua Lin
BARouter: A Budget-adaptive Online Large Language Model Router Framework
Lingkai Zu, Xiyue Peng and Xin Liu
Moral Outrage Shapes Commitments Beyond Attention: Multimodal Moral Emotions on YouTube in Korea and the US
Seongchan Park, Jaehong Kim, Hyeonseung Kim, Heejin Bin,
Sue Moon and Wonjae Lee
Dynamic Multi-period Experts for Online Time Series Forecasting
Seungha Hong, Sukang Chae, Suyeon Kim, Sanghwan Jang and
Hwanjo Yu
Unlocking the Multilingual Long-Tail Web: A Fused Macro-Micro Framework for Scalable Content Analysis
Jiarui Zhang, Yifan Deng and Qihao Wang
</v>
      </c>
      <c r="L62" s="71" t="str">
        <f>IFERROR(__xludf.DUMMYFUNCTION("TEXTJOIN(CHAR(10), TRUE,FILTER('Industry assignment'!$D:$D,'Industry assignment'!$G:$G=L61))"),"Data-Driven Function Calling Improvements in Large Language Model for Online Financial QA
Xing Tang, Hao Chen, Shiwei Li, Fuyuan Lyu, Weijie Shi, Lingjie Li, Dugang Liu, Weihong Luo, Xiku Du and Xiuqiang He
CardRewriter: Leveraging Knowledge Cards for Lo"&amp;"ng-Tail Query Rewriting on Short-Video Platforms
Peiyuan Gong, Feiran Zhu, Yaqi Yin, ChengLei Dai, Chao Zhang, Kai Zheng, Wentian Bao, Jiaxin Mao and Yi Zhang
From Modularity to Unity: Towards Industrial-Scale Generative Recommendation
Xiaofeng Liu, Wenl"&amp;"iang Li, Tao Yu, Guanliang Song, Zhen Chen, Jing Zhou, Dongyue Wang, Xiwei Zhao and Sulong Xu
")</f>
        <v>Data-Driven Function Calling Improvements in Large Language Model for Online Financial QA
Xing Tang, Hao Chen, Shiwei Li, Fuyuan Lyu, Weijie Shi, Lingjie Li, Dugang Liu, Weihong Luo, Xiku Du and Xiuqiang He
CardRewriter: Leveraging Knowledge Cards for Long-Tail Query Rewriting on Short-Video Platforms
Peiyuan Gong, Feiran Zhu, Yaqi Yin, ChengLei Dai, Chao Zhang, Kai Zheng, Wentian Bao, Jiaxin Mao and Yi Zhang
From Modularity to Unity: Towards Industrial-Scale Generative Recommendation
Xiaofeng Liu, Wenliang Li, Tao Yu, Guanliang Song, Zhen Chen, Jing Zhou, Dongyue Wang, Xiwei Zhao and Sulong Xu
</v>
      </c>
      <c r="M62" s="71" t="str">
        <f>IFERROR(__xludf.DUMMYFUNCTION("TEXTJOIN(CHAR(10), TRUE,FILTER('Web4Good assignment'!$D:$D,'Web4Good assignment'!$G:$G=M61))"),"Bridging Cognitive Neuroscience and Graph Intelligence: Hippocampus-Inspired Multi-View Hypergraph Learning for Web Finance Fraud
Rongkun Cui, Nana Zhang, Kun Zhu and Qi Zhang
Energy-Efficient Training-Free Zero-Inflation Correction for Rainfall Forecast"&amp;"ing with Time-Series Foundation Models
Wentao Gao, Xiaojing Du, Xiongren Chen, Yifan Guo, Andres Mauricio Cifuentes-Bernal, Renqiang Luo and Ziqi Xu
HAAF: Hierarchical Adaptation and Alignment of Foundation Models for Few-Shot Pathology Anomaly Detection"&amp;"
Chunze Yang, Wenjie Zhao, Yue Tang, Junbo Lu, Jiusong Ge, Qidong Liu, Zeyu Gao and Chen Li
Language-Guided Game-Theoretic Fairness in Web-Enabled Energy Networks
Hao Wu, Yuhua Li, Yuntao Zou, Qianqi Zhang, Ruixuan Li, Zeling Xu and Wei Wang
Audit‑of‑Au"&amp;"dits for the Web: Bayesian Meta‑Evaluation that Yields Interval‑Valued, Threshold‑Aligned Fairness Claims
Dandan Liu, Aznul Qalid Md Sabri, Pan Lihu and Guangrui Fan
VC-Soup: Value-Consistency Guided Multi-Value Alignment for Large Language Models
Hefei "&amp;"Xu, Le Wu, Yu Wang, Min Hou, Han Wu, Zhen Zhang and Meng Wang
Communication-Efficient Federated Learning for Post-Flood Risk Assessment using UAV Swarms
Yongkang Zhao, Hailin Feng, Tingting Wang, Thippa Reddy Gadekallu, Kai Fang and Wei Wang
DAPWeb: Con"&amp;"struct-Aligned Evaluation of MLLMs for Web-Based Child Mental Screening
Rui Guo, Fengyi Wang, Ling-Yu Lin and Guolong Wang
Multimodal Spatiotemporal Forecasting of Deepfake Propagation on Social Media
Seoyoon Jeong, JeeEun Kim, S. Shyam Sundar and Jinyou"&amp;"ng Han
Unleashing the Recommendation Power of Large Language Model via Progressive Best Subset Selection
Yicheng Di
K&amp;L: Penetrating Backdoor Defense with Key and Locks
Xinyi Wang, Jiayu Zhang, Zhiyu Zhu, Zhibo Jin, Dong Yuan and Huaming Chen
EmeraldMi"&amp;"nd: A Knowledge Graph–Augmented Framework for Greenwashing Detection
Georgios Kaoukis, Ioannis-Aris Koufopoulos, Eleni Psaroudaki, Danae Pla Karidi, Evaggelia Pitoura, George Papastefanatos and Panayiotis Tsaparas
Understanding the Consequences of VTuber"&amp;" Reincarnation
Yiluo Wei and Gareth Tyson
Intelli-Planner: Towards Customized Urban Planning via Large Language Model Empowered Reinforcement Learning
Xixian Yong, Peilin Sun, Zihe Wang and Xiao Zhou
Cross-Modal Rationale Transfer for Explainable Humani"&amp;"tarian Classification on Social Media
Thi Huyen Nguyen, Koustav Rudra and Wolfgang Nejdl
")</f>
        <v>Bridging Cognitive Neuroscience and Graph Intelligence: Hippocampus-Inspired Multi-View Hypergraph Learning for Web Finance Fraud
Rongkun Cui, Nana Zhang, Kun Zhu and Qi Zhang
Energy-Efficient Training-Free Zero-Inflation Correction for Rainfall Forecasting with Time-Series Foundation Models
Wentao Gao, Xiaojing Du, Xiongren Chen, Yifan Guo, Andres Mauricio Cifuentes-Bernal, Renqiang Luo and Ziqi Xu
HAAF: Hierarchical Adaptation and Alignment of Foundation Models for Few-Shot Pathology Anomaly Detection
Chunze Yang, Wenjie Zhao, Yue Tang, Junbo Lu, Jiusong Ge, Qidong Liu, Zeyu Gao and Chen Li
Language-Guided Game-Theoretic Fairness in Web-Enabled Energy Networks
Hao Wu, Yuhua Li, Yuntao Zou, Qianqi Zhang, Ruixuan Li, Zeling Xu and Wei Wang
Audit‑of‑Audits for the Web: Bayesian Meta‑Evaluation that Yields Interval‑Valued, Threshold‑Aligned Fairness Claims
Dandan Liu, Aznul Qalid Md Sabri, Pan Lihu and Guangrui Fan
VC-Soup: Value-Consistency Guided Multi-Value Alignment for Large Language Models
Hefei Xu, Le Wu, Yu Wang, Min Hou, Han Wu, Zhen Zhang and Meng Wang
Communication-Efficient Federated Learning for Post-Flood Risk Assessment using UAV Swarms
Yongkang Zhao, Hailin Feng, Tingting Wang, Thippa Reddy Gadekallu, Kai Fang and Wei Wang
DAPWeb: Construct-Aligned Evaluation of MLLMs for Web-Based Child Mental Screening
Rui Guo, Fengyi Wang, Ling-Yu Lin and Guolong Wang
Multimodal Spatiotemporal Forecasting of Deepfake Propagation on Social Media
Seoyoon Jeong, JeeEun Kim, S. Shyam Sundar and Jinyoung Han
Unleashing the Recommendation Power of Large Language Model via Progressive Best Subset Selection
Yicheng Di
K&amp;L: Penetrating Backdoor Defense with Key and Locks
Xinyi Wang, Jiayu Zhang, Zhiyu Zhu, Zhibo Jin, Dong Yuan and Huaming Chen
EmeraldMind: A Knowledge Graph–Augmented Framework for Greenwashing Detection
Georgios Kaoukis, Ioannis-Aris Koufopoulos, Eleni Psaroudaki, Danae Pla Karidi, Evaggelia Pitoura, George Papastefanatos and Panayiotis Tsaparas
Understanding the Consequences of VTuber Reincarnation
Yiluo Wei and Gareth Tyson
Intelli-Planner: Towards Customized Urban Planning via Large Language Model Empowered Reinforcement Learning
Xixian Yong, Peilin Sun, Zihe Wang and Xiao Zhou
Cross-Modal Rationale Transfer for Explainable Humanitarian Classification on Social Media
Thi Huyen Nguyen, Koustav Rudra and Wolfgang Nejdl
</v>
      </c>
      <c r="N62" s="105"/>
      <c r="O62" s="32"/>
      <c r="P62" s="5"/>
      <c r="Q62" s="5"/>
      <c r="R62" s="5"/>
      <c r="S62" s="5"/>
      <c r="T62" s="5"/>
      <c r="U62" s="5"/>
      <c r="V62" s="5"/>
      <c r="W62" s="5"/>
      <c r="X62" s="5"/>
      <c r="Y62" s="5"/>
      <c r="Z62" s="5"/>
      <c r="AA62" s="5"/>
    </row>
    <row r="63">
      <c r="A63" s="47" t="s">
        <v>190</v>
      </c>
      <c r="B63" s="83" t="s">
        <v>191</v>
      </c>
      <c r="C63" s="83" t="s">
        <v>192</v>
      </c>
      <c r="D63" s="106" t="s">
        <v>193</v>
      </c>
      <c r="E63" s="106" t="s">
        <v>194</v>
      </c>
      <c r="F63" s="106" t="s">
        <v>195</v>
      </c>
      <c r="G63" s="106" t="s">
        <v>196</v>
      </c>
      <c r="H63" s="106" t="s">
        <v>197</v>
      </c>
      <c r="I63" s="106" t="s">
        <v>198</v>
      </c>
      <c r="J63" s="106" t="s">
        <v>199</v>
      </c>
      <c r="K63" s="106" t="s">
        <v>200</v>
      </c>
      <c r="L63" s="104" t="s">
        <v>201</v>
      </c>
      <c r="M63" s="104" t="s">
        <v>202</v>
      </c>
      <c r="N63" s="83" t="s">
        <v>203</v>
      </c>
      <c r="O63" s="83" t="s">
        <v>204</v>
      </c>
      <c r="P63" s="107"/>
      <c r="Q63" s="107"/>
      <c r="R63" s="107"/>
      <c r="S63" s="107"/>
      <c r="T63" s="107"/>
      <c r="U63" s="107"/>
      <c r="V63" s="107"/>
      <c r="W63" s="107"/>
      <c r="X63" s="107"/>
      <c r="Y63" s="107"/>
      <c r="Z63" s="107"/>
      <c r="AA63" s="107"/>
    </row>
    <row r="64" collapsed="1">
      <c r="A64" s="85"/>
      <c r="B64" s="86" t="str">
        <f>IFERROR(__xludf.DUMMYFUNCTION("TEXTJOIN(CHAR(10), TRUE,FILTER('Sessions Counts'!$B:$B,'Sessions Counts'!$A:$A=B63))"),"Mitigating Online Harms and Misinformation")</f>
        <v>Mitigating Online Harms and Misinformation</v>
      </c>
      <c r="C64" s="86" t="str">
        <f>IFERROR(__xludf.DUMMYFUNCTION("TEXTJOIN(CHAR(10), TRUE,FILTER('Sessions Counts'!$B:$B,'Sessions Counts'!$A:$A=C63))"),"Graph Neural Networks 2")</f>
        <v>Graph Neural Networks 2</v>
      </c>
      <c r="D64" s="86" t="str">
        <f>IFERROR(__xludf.DUMMYFUNCTION("TEXTJOIN(CHAR(10), TRUE,FILTER('Sessions Counts'!$B:$B,'Sessions Counts'!$A:$A=D63))"),"Semantic Representation Learning")</f>
        <v>Semantic Representation Learning</v>
      </c>
      <c r="E64" s="86" t="str">
        <f>IFERROR(__xludf.DUMMYFUNCTION("TEXTJOIN(CHAR(10), TRUE,FILTER('Sessions Counts'!$B:$B,'Sessions Counts'!$A:$A=E63))"),"Adaptive &amp; Dynamic Retrieval")</f>
        <v>Adaptive &amp; Dynamic Retrieval</v>
      </c>
      <c r="F64" s="86" t="str">
        <f>IFERROR(__xludf.DUMMYFUNCTION("TEXTJOIN(CHAR(10), TRUE,FILTER('Sessions Counts'!$B:$B,'Sessions Counts'!$A:$A=F63))"),"Temporal Reasoning &amp; Planning")</f>
        <v>Temporal Reasoning &amp; Planning</v>
      </c>
      <c r="G64" s="86" t="str">
        <f>IFERROR(__xludf.DUMMYFUNCTION("TEXTJOIN(CHAR(10), TRUE,FILTER('Sessions Counts'!$B:$B,'Sessions Counts'!$A:$A=G63))"),"Privacy Awareness")</f>
        <v>Privacy Awareness</v>
      </c>
      <c r="H64" s="86" t="str">
        <f>IFERROR(__xludf.DUMMYFUNCTION("TEXTJOIN(CHAR(10), TRUE,FILTER('Sessions Counts'!$B:$B,'Sessions Counts'!$A:$A=H63))"),"Smart Urban and IoT Systems")</f>
        <v>Smart Urban and IoT Systems</v>
      </c>
      <c r="I64" s="86" t="str">
        <f>IFERROR(__xludf.DUMMYFUNCTION("TEXTJOIN(CHAR(10), TRUE,FILTER('Sessions Counts'!$B:$B,'Sessions Counts'!$A:$A=I63))"),"Attacks and Intrusion")</f>
        <v>Attacks and Intrusion</v>
      </c>
      <c r="J64" s="86" t="str">
        <f>IFERROR(__xludf.DUMMYFUNCTION("TEXTJOIN(CHAR(10), TRUE,FILTER('Sessions Counts'!$B:$B,'Sessions Counts'!$A:$A=J63))"),"Web Traffic, Logs, and Agent-Based Analytics")</f>
        <v>Web Traffic, Logs, and Agent-Based Analytics</v>
      </c>
      <c r="K64" s="86" t="str">
        <f>IFERROR(__xludf.DUMMYFUNCTION("TEXTJOIN(CHAR(10), TRUE,FILTER('Sessions Counts'!$B:$B,'Sessions Counts'!$A:$A=K63))"),"Generative &amp; Collaborative Alignment")</f>
        <v>Generative &amp; Collaborative Alignment</v>
      </c>
      <c r="L64" s="86" t="s">
        <v>205</v>
      </c>
      <c r="M64" s="86" t="str">
        <f>IFERROR(__xludf.DUMMYFUNCTION("TEXTJOIN(CHAR(10), TRUE,FILTER('Sessions Counts'!$B:$B,'Sessions Counts'!$A:$A=M63))"),"Automation, Security &amp; Knowledge Management")</f>
        <v>Automation, Security &amp; Knowledge Management</v>
      </c>
      <c r="N64" s="88" t="str">
        <f>IFERROR(__xludf.DUMMYFUNCTION("TEXTJOIN(CHAR(10), TRUE,FILTER('Sessions Counts'!$B:$B,'Sessions Counts'!$A:$A=N63))"),"Intelligent Web Systems &amp; Societal Dynamics")</f>
        <v>Intelligent Web Systems &amp; Societal Dynamics</v>
      </c>
      <c r="O64" s="88"/>
      <c r="P64" s="108"/>
      <c r="Q64" s="108"/>
      <c r="R64" s="108"/>
      <c r="S64" s="108"/>
      <c r="T64" s="108"/>
      <c r="U64" s="108"/>
      <c r="V64" s="108"/>
      <c r="W64" s="108"/>
      <c r="X64" s="108"/>
      <c r="Y64" s="108"/>
      <c r="Z64" s="108"/>
      <c r="AA64" s="108"/>
    </row>
    <row r="65" ht="182.25" hidden="1" customHeight="1" outlineLevel="1">
      <c r="A65" s="47"/>
      <c r="B65" s="18" t="str">
        <f>IFERROR(__xludf.DUMMYFUNCTION("TEXTJOIN(CHAR(10), TRUE,FILTER('Research assignment'!$D:$D,'Research assignment'!$F:$F=B63))"),"Semi-Supervised Fake News Detection with Mixture of Experts
Zhenyu Yang, Chaoyu Yang, Wenfeng Xu, Xiuxiu Hao, Huan
Wang, Ge Zhang, Xiaoxiao Ma and Jun Shen
IConMoE: Modeling Intents of Misinformation using Concept Activation Vector-based Mixture of Exper"&amp;"ts
Atul Kumar Singh and Rahul Mishra
Causality Guided Representation Learning for Cross-Style Hate Speech Detection
Chengshuai Zhao, Shu Wan, Paras Sheth, Karan Patwa, K.
Selçuk Candan and Huan Liu
Navigating Truth in Multimodal Fact-checking via Retrie"&amp;"val- and Reasoning-Enhanced Large Language Models
Fanrui Zhang, Qiang Zhang, Jianwen Sun, Chuanhao Li, Jiaxin
Ai, Yukang Feng, Zizhen Li, Kaipeng Zhang, Jiawei Liu and
Zheng-Jun Zha
It's not Easy: Applying Supervised Machine Learning to Detect Malicious "&amp;"Extensions in the Chrome Web Store 
Ben Rosenzweig, Valentino Dalla Valle, Giovanni Apruzzese and Aurore Fass
")</f>
        <v>Semi-Supervised Fake News Detection with Mixture of Experts
Zhenyu Yang, Chaoyu Yang, Wenfeng Xu, Xiuxiu Hao, Huan
Wang, Ge Zhang, Xiaoxiao Ma and Jun Shen
IConMoE: Modeling Intents of Misinformation using Concept Activation Vector-based Mixture of Experts
Atul Kumar Singh and Rahul Mishra
Causality Guided Representation Learning for Cross-Style Hate Speech Detection
Chengshuai Zhao, Shu Wan, Paras Sheth, Karan Patwa, K.
Selçuk Candan and Huan Liu
Navigating Truth in Multimodal Fact-checking via Retrieval- and Reasoning-Enhanced Large Language Models
Fanrui Zhang, Qiang Zhang, Jianwen Sun, Chuanhao Li, Jiaxin
Ai, Yukang Feng, Zizhen Li, Kaipeng Zhang, Jiawei Liu and
Zheng-Jun Zha
It's not Easy: Applying Supervised Machine Learning to Detect Malicious Extensions in the Chrome Web Store 
Ben Rosenzweig, Valentino Dalla Valle, Giovanni Apruzzese and Aurore Fass
</v>
      </c>
      <c r="C65" s="18" t="str">
        <f>IFERROR(__xludf.DUMMYFUNCTION("TEXTJOIN(CHAR(10), TRUE,FILTER('Research assignment'!$D:$D,'Research assignment'!$F:$F=C63))"),"Multi-Source Unsupervised Graph Domain Adaptation via Concise Propagation–Transformation Pipeline
Jiayi Wang, Yi Li, Xin Zheng, Junyang Chen, Yanqing Guo,
Alan Wee-Chung Liew and Shirui Pan
Graph Neural Network Model Transferability Estimation via Decomp"&amp;"osition-Augmented Discriminant Analysis
Huanchang Ma, Xin Zheng, Jianyu Li, Alan Wee-Chung Liew,
Wei Lan and Jian Gao
PIGCN: Physics-Inspired Graph Convolution Networks for Heterogeneous Social Event Detection
Yongsheng Yu, Congbo Ma, Zitai Qiu, Shan Xue"&amp;", Jian Yang and
Jia Wu
MessageShift: Fine-Grained Data Augmentation for Graph Neural Networks
Weigang Lu, Zheng Liang, Yaming Yang, Ziyu Zheng, Meng Yan,
Beilei Ling, Ziyu Guan and Wei Zhao
Collaborative Subgraph Learning based Spectrum Sensing under Pa"&amp;"rtial Observations
Zhaowei Liu, Chang Liu, Dong Yang, Weiqing Yan, Yongchao
Song and Anzuo Jiang
")</f>
        <v>Multi-Source Unsupervised Graph Domain Adaptation via Concise Propagation–Transformation Pipeline
Jiayi Wang, Yi Li, Xin Zheng, Junyang Chen, Yanqing Guo,
Alan Wee-Chung Liew and Shirui Pan
Graph Neural Network Model Transferability Estimation via Decomposition-Augmented Discriminant Analysis
Huanchang Ma, Xin Zheng, Jianyu Li, Alan Wee-Chung Liew,
Wei Lan and Jian Gao
PIGCN: Physics-Inspired Graph Convolution Networks for Heterogeneous Social Event Detection
Yongsheng Yu, Congbo Ma, Zitai Qiu, Shan Xue, Jian Yang and
Jia Wu
MessageShift: Fine-Grained Data Augmentation for Graph Neural Networks
Weigang Lu, Zheng Liang, Yaming Yang, Ziyu Zheng, Meng Yan,
Beilei Ling, Ziyu Guan and Wei Zhao
Collaborative Subgraph Learning based Spectrum Sensing under Partial Observations
Zhaowei Liu, Chang Liu, Dong Yang, Weiqing Yan, Yongchao
Song and Anzuo Jiang
</v>
      </c>
      <c r="D65" s="18" t="str">
        <f>IFERROR(__xludf.DUMMYFUNCTION("TEXTJOIN(CHAR(10), TRUE,FILTER('Research assignment'!$D:$D,'Research assignment'!$F:$F=D63))"),"ReaLM: Residual Quantization Bridges Knowledge Graph Embeddings and Large Language Models
Wenbin Guo, Xin Wang, Jiaoyan Chen, Lingbing Guo, Zhao Li
and Zirui Chen
Language Model Representations for Efficient Few-Shot Tabular Classification
Inwon Kang, Pa"&amp;"rikshit Ram, Yi Zhou, Horst Samulowitz and
Oshani Seneviratne
KG-BiLM: Knowledge Graph Embedding via Bidirectional Language Models
Zirui Chen, Xin Wang, Zhao Li, Wenbin Guo, Dongxiao He,
Yanbing Li and Wushour Silamu
TaxoBell: Gaussian Box Embeddings fo"&amp;"r Self-Supervised Taxonomy Expansion
Sahil Mishra, Srinitish Srinivasan, Srikanta Bedathur and
Tanmoy Chakraborty
Node Role-Guided LLMs for Dynamic Graph Clustering
Dongyuan Li, Ying Zhang, Yaozu Wu and Renhe Jiang
")</f>
        <v>ReaLM: Residual Quantization Bridges Knowledge Graph Embeddings and Large Language Models
Wenbin Guo, Xin Wang, Jiaoyan Chen, Lingbing Guo, Zhao Li
and Zirui Chen
Language Model Representations for Efficient Few-Shot Tabular Classification
Inwon Kang, Parikshit Ram, Yi Zhou, Horst Samulowitz and
Oshani Seneviratne
KG-BiLM: Knowledge Graph Embedding via Bidirectional Language Models
Zirui Chen, Xin Wang, Zhao Li, Wenbin Guo, Dongxiao He,
Yanbing Li and Wushour Silamu
TaxoBell: Gaussian Box Embeddings for Self-Supervised Taxonomy Expansion
Sahil Mishra, Srinitish Srinivasan, Srikanta Bedathur and
Tanmoy Chakraborty
Node Role-Guided LLMs for Dynamic Graph Clustering
Dongyuan Li, Ying Zhang, Yaozu Wu and Renhe Jiang
</v>
      </c>
      <c r="E65" s="18" t="str">
        <f>IFERROR(__xludf.DUMMYFUNCTION("TEXTJOIN(CHAR(10), TRUE,FILTER('Research assignment'!$D:$D,'Research assignment'!$F:$F=E63))"),"MCoT-MVS: Multi-level Vision Selection by Multi-modal Chain-of-Thought Reasoning for Composed Image Retrieval
Xuri Ge, Chunhao Wang, Xindi Wang, Zheyun Qin, Zhumin Chen
and Xin Xin
BANCO: Drift-Aware Batched Bandits for Adaptive Proximity Graph Pruning
J"&amp;"in Cheng, Xiangxiang Dai, Ningning Ding, John C.S. Lui and
Jianwei Huang
Enhancing Domain-Adaptive Hashing via Evidential Learning and Progressive Alignment
Junsheng Wang, Tiantian Gong, Yeyun Wu and Liyan Zhang
Diversifying Differentiable Graph Retriev"&amp;"al with Topic-Adaptive Multi-Intent Learning
Dongcheon Lee, Ji-Yeon Park, Hye-Yoon Baek, Jimyeung Seo,
Seyeong Kim and Byungkook Oh
Cost-Aware Retrieval-Augmentation Reasoning Models with Adaptive Retrieval Depth
Helia Hashemi, Victor Rühle and Saravan R"&amp;"ajmohan
")</f>
        <v>MCoT-MVS: Multi-level Vision Selection by Multi-modal Chain-of-Thought Reasoning for Composed Image Retrieval
Xuri Ge, Chunhao Wang, Xindi Wang, Zheyun Qin, Zhumin Chen
and Xin Xin
BANCO: Drift-Aware Batched Bandits for Adaptive Proximity Graph Pruning
Jin Cheng, Xiangxiang Dai, Ningning Ding, John C.S. Lui and
Jianwei Huang
Enhancing Domain-Adaptive Hashing via Evidential Learning and Progressive Alignment
Junsheng Wang, Tiantian Gong, Yeyun Wu and Liyan Zhang
Diversifying Differentiable Graph Retrieval with Topic-Adaptive Multi-Intent Learning
Dongcheon Lee, Ji-Yeon Park, Hye-Yoon Baek, Jimyeung Seo,
Seyeong Kim and Byungkook Oh
Cost-Aware Retrieval-Augmentation Reasoning Models with Adaptive Retrieval Depth
Helia Hashemi, Victor Rühle and Saravan Rajmohan
</v>
      </c>
      <c r="F65" s="18" t="str">
        <f>IFERROR(__xludf.DUMMYFUNCTION("TEXTJOIN(CHAR(10), TRUE,FILTER('Research assignment'!$D:$D,'Research assignment'!$F:$F=F63))"),"DSTAG: A Semantic Tag-Enhanced Dual-Graph Convolutional Network for Temporal Knowledge Graph Completion
Yuchao Zhang, Xiangjie Kong, Kailun Ye, Shangfei Zheng and
Guojiang Shen
Plan Then Retrieve: Reinforcement Learning-Guided Complex Reasoning over Know"&amp;"ledge Graphs
Yanlin Song, Ben Liu, Víctor Gutiérrez-Basulto, Zhiwei Hu,
Qianqian Xie, Min Peng, Sophia Ananiadou and Jeff Z. Pan
MemoTime: Memory-Augmented Temporal Knowledge Graph Enhanced Large Language Model Reasoning
Xingyu Tan, Xiaoyang Wang, Qing L"&amp;"iu, Xiwei Xu, Xin Yuan,
Liming Zhu and Wenjie Zhang
PRoH: Dynamic Planning and Reasoning over Knowledge Hypergraphs for Retrieval-Augmented Generation
Xiangjun Zai, Xingyu Tan, Xiaoyang Wang, Qing Liu, Xiwei Xu
and Wenjie Zhang
Beyond Single Pass, Loopi"&amp;"ng Through Time: KG-IRAG with Iterative Knowledge Retrieval
Ruiyi Yang, Hao Xue, Imran Razzak and Flora D. Salim
")</f>
        <v>DSTAG: A Semantic Tag-Enhanced Dual-Graph Convolutional Network for Temporal Knowledge Graph Completion
Yuchao Zhang, Xiangjie Kong, Kailun Ye, Shangfei Zheng and
Guojiang Shen
Plan Then Retrieve: Reinforcement Learning-Guided Complex Reasoning over Knowledge Graphs
Yanlin Song, Ben Liu, Víctor Gutiérrez-Basulto, Zhiwei Hu,
Qianqian Xie, Min Peng, Sophia Ananiadou and Jeff Z. Pan
MemoTime: Memory-Augmented Temporal Knowledge Graph Enhanced Large Language Model Reasoning
Xingyu Tan, Xiaoyang Wang, Qing Liu, Xiwei Xu, Xin Yuan,
Liming Zhu and Wenjie Zhang
PRoH: Dynamic Planning and Reasoning over Knowledge Hypergraphs for Retrieval-Augmented Generation
Xiangjun Zai, Xingyu Tan, Xiaoyang Wang, Qing Liu, Xiwei Xu
and Wenjie Zhang
Beyond Single Pass, Looping Through Time: KG-IRAG with Iterative Knowledge Retrieval
Ruiyi Yang, Hao Xue, Imran Razzak and Flora D. Salim
</v>
      </c>
      <c r="G65" s="18" t="str">
        <f>IFERROR(__xludf.DUMMYFUNCTION("TEXTJOIN(CHAR(10), TRUE,FILTER('Research assignment'!$D:$D,'Research assignment'!$F:$F=G63))"),"SaGD: A Node-Level Differentially Private Graph Learning Framework with Sensitivity-Aware Gradient Descent
Jianxin Wei, Ergute Bao, Xiaokui Xiao and Ting Yu
Mitigating Cumulative Privacy Risk in Continual Information Sharing: A Dynamic Stackelberg Game A"&amp;"pproach
Yuzi Yi, Weixuan Wang, Yehong Luo, Jinqiao Shi and Jiwei
Huang
Distribution-Aligned Synthetic Text Generation via Tail-Aware Enhancement
Yuan Fan, Xiaoyuan Liu, Bo Liu, Wubing Wang, Jia Sun,
Wenzhi Chen, Huaikang Fang, Lifeng Tao and Fan Mo
Infe"&amp;"rring Users’ Demographics and Sensitive Interests Using the Topics API
Athicha Srivirote, Muhammad Abu Bakar Aziz, Jeffrey
Gleason, Desheng Hu and Christo Wilson
AdVersa: Adversarially-Robust and Practical Ad and Tracker Blocking in the Wild
Chaejin Lim,"&amp;" Kiho Lee, Beomjin Jin, Heewon Baek and
Hyoungshick Kim
")</f>
        <v>SaGD: A Node-Level Differentially Private Graph Learning Framework with Sensitivity-Aware Gradient Descent
Jianxin Wei, Ergute Bao, Xiaokui Xiao and Ting Yu
Mitigating Cumulative Privacy Risk in Continual Information Sharing: A Dynamic Stackelberg Game Approach
Yuzi Yi, Weixuan Wang, Yehong Luo, Jinqiao Shi and Jiwei
Huang
Distribution-Aligned Synthetic Text Generation via Tail-Aware Enhancement
Yuan Fan, Xiaoyuan Liu, Bo Liu, Wubing Wang, Jia Sun,
Wenzhi Chen, Huaikang Fang, Lifeng Tao and Fan Mo
Inferring Users’ Demographics and Sensitive Interests Using the Topics API
Athicha Srivirote, Muhammad Abu Bakar Aziz, Jeffrey
Gleason, Desheng Hu and Christo Wilson
AdVersa: Adversarially-Robust and Practical Ad and Tracker Blocking in the Wild
Chaejin Lim, Kiho Lee, Beomjin Jin, Heewon Baek and
Hyoungshick Kim
</v>
      </c>
      <c r="H65" s="18" t="str">
        <f>IFERROR(__xludf.DUMMYFUNCTION("TEXTJOIN(CHAR(10), TRUE,FILTER('Research assignment'!$D:$D,'Research assignment'!$F:$F=H63))"),"Beyond Single view Decoding: Dual-view Map Inference from Trajectories via Primal-Dual Graphs Co-generation
Wenyu Wu, Jiafan Liu and Jiali Mao
ST-LEGO: Large Language Models as Modular Architects for Traffic Prediction
Shuhao Li, Weidong Yang, Yue Cui, L"&amp;"ipeng Ma, Yixuan Li,
Chaoteng Wu, Lu Qin and Fan Zhang
HALO: Hierarchical Reinforcement Learning for Large-Scale Adaptive Traffic Signal Control
Yaqiao Zhu, Hongkai Wen, Geyong Min and Man Luo
AgentSense: LLMs Empower Generalizable and Explainable Web-B"&amp;"ased Participatory Urban Sensing
Xusen Guo, Mingxing Peng, Xixuan Hao, Xingchen Zou,
Qiongyan Wang, Sijie Ruan and Yuxuan Liang
TRACE: Trajectory Recovery with State Propagation Diffusion for Urban Mobility
Jinming Wang, Hai Wang, Hongkai Wen, Geyong Min"&amp;" and Man Luo
")</f>
        <v>Beyond Single view Decoding: Dual-view Map Inference from Trajectories via Primal-Dual Graphs Co-generation
Wenyu Wu, Jiafan Liu and Jiali Mao
ST-LEGO: Large Language Models as Modular Architects for Traffic Prediction
Shuhao Li, Weidong Yang, Yue Cui, Lipeng Ma, Yixuan Li,
Chaoteng Wu, Lu Qin and Fan Zhang
HALO: Hierarchical Reinforcement Learning for Large-Scale Adaptive Traffic Signal Control
Yaqiao Zhu, Hongkai Wen, Geyong Min and Man Luo
AgentSense: LLMs Empower Generalizable and Explainable Web-Based Participatory Urban Sensing
Xusen Guo, Mingxing Peng, Xixuan Hao, Xingchen Zou,
Qiongyan Wang, Sijie Ruan and Yuxuan Liang
TRACE: Trajectory Recovery with State Propagation Diffusion for Urban Mobility
Jinming Wang, Hai Wang, Hongkai Wen, Geyong Min and Man Luo
</v>
      </c>
      <c r="I65" s="18" t="str">
        <f>IFERROR(__xludf.DUMMYFUNCTION("TEXTJOIN(CHAR(10), TRUE,FILTER('Research assignment'!$D:$D,'Research assignment'!$F:$F=I63))"),"Exploring and Exploiting Security Vulnerabilities in Self-Hosted LLM Services
Zhihuang Liu, Ling Hu, Yonghao Tang, Tongqing Zhou, Fang
Liu and Zhiping Cai
PADD: Prefix-based Attention Divergence Detector for LLM Jailbreaks
Ziqun Bao, Jiaqiang Niu, Yuchen"&amp;" Shao and Chengcheng Wan
The Asymmetric Vulnerability: Bypassing LLM Defenses via Guardrail-Model Mismatch
Junyi Wang, Zhibin Zhu and Chuanyi Liu
Greedy Attack: Breaking Finality against VeChain Proof-of-Authority Consensus Protocol
Rujia Li, Qin Wang, "&amp;"Haochen Wang, Xueqian Lu and Sisi Duan
JANUS: A Dual-Constraint Generative Framework for Stealthy Node Injection Attacks
Jiahao Zhang, Xiaobing Pei, Zhaokun Zhong, Wenqiang Hao and
Zhenghao Tang
")</f>
        <v>Exploring and Exploiting Security Vulnerabilities in Self-Hosted LLM Services
Zhihuang Liu, Ling Hu, Yonghao Tang, Tongqing Zhou, Fang
Liu and Zhiping Cai
PADD: Prefix-based Attention Divergence Detector for LLM Jailbreaks
Ziqun Bao, Jiaqiang Niu, Yuchen Shao and Chengcheng Wan
The Asymmetric Vulnerability: Bypassing LLM Defenses via Guardrail-Model Mismatch
Junyi Wang, Zhibin Zhu and Chuanyi Liu
Greedy Attack: Breaking Finality against VeChain Proof-of-Authority Consensus Protocol
Rujia Li, Qin Wang, Haochen Wang, Xueqian Lu and Sisi Duan
JANUS: A Dual-Constraint Generative Framework for Stealthy Node Injection Attacks
Jiahao Zhang, Xiaobing Pei, Zhaokun Zhong, Wenqiang Hao and
Zhenghao Tang
</v>
      </c>
      <c r="J65" s="18" t="str">
        <f>IFERROR(__xludf.DUMMYFUNCTION("TEXTJOIN(CHAR(10), TRUE,FILTER('Research assignment'!$D:$D,'Research assignment'!$F:$F=J63))"),"Beyond Patches: Superpixel Token-based Transformers for Attribute-Specific Fashion Retrieval
Shuili Zhang, Hongzhang Mu, Wenyuan Zhang, Duohe Ma and
Tingwen Liu
VarParser: Unleashing the Neglected Power of Variables for LLM-based Log Parsing
Jinrui Sun, "&amp;"Tong Jia, Minghua He and Ying Li
ColorBench: Benchmarking Mobile Agents with Graph-Structured Framework for Complex Long-Horizon Tasks
Yuanyi Song, Heyuan Huang, Qiqiang Lin, Yin Zhao, Xiangmou
Qu, Jun Wang, Xingyu Lou, Weiwen Liu, Zhuosheng Zhang, Jun
W"&amp;"ang, Zhaoxiang Wang, Yong Yu and Weinan Zhang
VisionST: Coordinating Cross-modal Traffic Prediction with Interactive Geo-image Encoding
Jinwen Chen, Hao Miao, Chenxi Liu, Yan Zhao and Kai Zheng
UrbanMoE: A Sparse Multi-Modal Mixture-of-Experts Framework"&amp;" for Multi-Task Urban Region Profiling
Pingping Liu, Jiamiao Liu, Zijian Zhang, Hao Miao, Qi
Jiang, Qingliang Li, Qiuzhan Zhou and Irwin King
")</f>
        <v>Beyond Patches: Superpixel Token-based Transformers for Attribute-Specific Fashion Retrieval
Shuili Zhang, Hongzhang Mu, Wenyuan Zhang, Duohe Ma and
Tingwen Liu
VarParser: Unleashing the Neglected Power of Variables for LLM-based Log Parsing
Jinrui Sun, Tong Jia, Minghua He and Ying Li
ColorBench: Benchmarking Mobile Agents with Graph-Structured Framework for Complex Long-Horizon Tasks
Yuanyi Song, Heyuan Huang, Qiqiang Lin, Yin Zhao, Xiangmou
Qu, Jun Wang, Xingyu Lou, Weiwen Liu, Zhuosheng Zhang, Jun
Wang, Zhaoxiang Wang, Yong Yu and Weinan Zhang
VisionST: Coordinating Cross-modal Traffic Prediction with Interactive Geo-image Encoding
Jinwen Chen, Hao Miao, Chenxi Liu, Yan Zhao and Kai Zheng
UrbanMoE: A Sparse Multi-Modal Mixture-of-Experts Framework for Multi-Task Urban Region Profiling
Pingping Liu, Jiamiao Liu, Zijian Zhang, Hao Miao, Qi
Jiang, Qingliang Li, Qiuzhan Zhou and Irwin King
</v>
      </c>
      <c r="K65" s="18" t="str">
        <f>IFERROR(__xludf.DUMMYFUNCTION("TEXTJOIN(CHAR(10), TRUE,FILTER('Research assignment'!$D:$D,'Research assignment'!$F:$F=K63))"),"SEAR: LLM-Powered Sequential Recommendation via Fusion of Collaborative, Semantic, and Rating Information
Wei Guan, Jian Cao, Qiqi Cai, Jianqi Gao, Jinyu Cai and
See-Kiong Ng
Retracing and Restoring: Chronological Context Preservation for Effective Dynam"&amp;"ic Recommendation
Min-Jeong Kim, Jiwon Son, Yeon-Chang Lee and Sang-Wook Kim
FCRLLM: Aligning LLM with Collaborative Filtering for Long-tailed Sequential Recommendation
Byungmoon Heo, Namjun Lee, Seonah Kim and Jaekwang Kim
Generative Archetype-Grounded"&amp;" Item Representations for Sequential Recommendation
Yifan Li, Jiahong Liu, Xinni Zhang, Hao Chen, Yankai Chen,
Wenhao Yu, Jianting Chen and Irwin King
Token-level Collaborative Alignment for LLM-based Generative Recommendation
Fake Lin, Binbin Hu, Zhi Zh"&amp;"eng, Xi Zhu, Ziqi Liu, Zhiqiang
Zhang, Jun Zhou and Tong Xu
")</f>
        <v>SEAR: LLM-Powered Sequential Recommendation via Fusion of Collaborative, Semantic, and Rating Information
Wei Guan, Jian Cao, Qiqi Cai, Jianqi Gao, Jinyu Cai and
See-Kiong Ng
Retracing and Restoring: Chronological Context Preservation for Effective Dynamic Recommendation
Min-Jeong Kim, Jiwon Son, Yeon-Chang Lee and Sang-Wook Kim
FCRLLM: Aligning LLM with Collaborative Filtering for Long-tailed Sequential Recommendation
Byungmoon Heo, Namjun Lee, Seonah Kim and Jaekwang Kim
Generative Archetype-Grounded Item Representations for Sequential Recommendation
Yifan Li, Jiahong Liu, Xinni Zhang, Hao Chen, Yankai Chen,
Wenhao Yu, Jianting Chen and Irwin King
Token-level Collaborative Alignment for LLM-based Generative Recommendation
Fake Lin, Binbin Hu, Zhi Zheng, Xi Zhu, Ziqi Liu, Zhiqiang
Zhang, Jun Zhou and Tong Xu
</v>
      </c>
      <c r="L65" s="18" t="str">
        <f>IFERROR(__xludf.DUMMYFUNCTION("TEXTJOIN(CHAR(10), TRUE,FILTER('Research assignment'!$D:$D,'Research assignment'!$F:$F=L63))"),"Pathways of Thoughts: Multi-Directional Thinking for Long-form Personalized Question Answering
Alireza Salemi, Cheng Li, Mingyang Zhang, Qiaozhu Mei,
Zhuowan Li, Spurthi Amba Hombaiah, Weize Kong, Tao Chen,
Hamed Zamani and Michael Bendersky
HyMiRec: A H"&amp;"ybrid Multi-interest Learning Framework for LLM-based Sequential Recommendation
Jingyi Zhou, Cheng Chen, Kai Zuo, Manjie Xu, Zhendong Fu,
Yibo Chen, Xu Tang and Yao Hu
Dynamic Routing-Based Adaptive Multi-LLM Collaboration: A Unified Recommendation Frame"&amp;"work with Decision Knowledge Complementation
Jiale Huang, Yingyuan Xiao, Likang Wu, Xu Cheng, Wengguang
Zheng, Qingbo Hao, Ming He and Hongke Zhao
AgentDR: Dynamic Recommendation with Implicit Item-Item Relations via LLM-based Agents
Mingdai Yang, Nurend"&amp;"ra Choudhary, Jiangshu Du, Edward W.
Huang, Philip Yu, Karthik Subbian and Danai Koutra
Does LLM Focus on the Right Words? Mitigating Context Bias in LLM-based Recommenders
Bohao Wang, Jiawei Chen, Feng Liu, Changwang Zhang, Jun
Wang, Canghong Jin, Chun "&amp;"Chen and Can Wang
")</f>
        <v>Pathways of Thoughts: Multi-Directional Thinking for Long-form Personalized Question Answering
Alireza Salemi, Cheng Li, Mingyang Zhang, Qiaozhu Mei,
Zhuowan Li, Spurthi Amba Hombaiah, Weize Kong, Tao Chen,
Hamed Zamani and Michael Bendersky
HyMiRec: A Hybrid Multi-interest Learning Framework for LLM-based Sequential Recommendation
Jingyi Zhou, Cheng Chen, Kai Zuo, Manjie Xu, Zhendong Fu,
Yibo Chen, Xu Tang and Yao Hu
Dynamic Routing-Based Adaptive Multi-LLM Collaboration: A Unified Recommendation Framework with Decision Knowledge Complementation
Jiale Huang, Yingyuan Xiao, Likang Wu, Xu Cheng, Wengguang
Zheng, Qingbo Hao, Ming He and Hongke Zhao
AgentDR: Dynamic Recommendation with Implicit Item-Item Relations via LLM-based Agents
Mingdai Yang, Nurendra Choudhary, Jiangshu Du, Edward W.
Huang, Philip Yu, Karthik Subbian and Danai Koutra
Does LLM Focus on the Right Words? Mitigating Context Bias in LLM-based Recommenders
Bohao Wang, Jiawei Chen, Feng Liu, Changwang Zhang, Jun
Wang, Canghong Jin, Chun Chen and Can Wang
</v>
      </c>
      <c r="M65" s="18" t="str">
        <f>IFERROR(__xludf.DUMMYFUNCTION("TEXTJOIN(CHAR(10), TRUE,FILTER('Industry assignment'!$D:$D,'Industry assignment'!$F:$F=M63))"),"Multi-Domain Marker Aggregation for Threat Detection in Cloud Environments
Junshen Xu, Jiayun Zhang and Yi Fan
Smart Eye: LLM-Guided Proposer-Verifier Framework for Industrial-Scale Log Anomaly Detection
Changhua Pei, Hang Cui, Jingjing Li, Yuxuan Li, Zi"&amp;"han Liu, Xinyuan Liao, Cenjie Hu, Jiabao Wang, Zheyuan Li, Zexin Wang, Haotian Si, Ke Xiang, Gaogang Xie and Dan Pei
URLBank: Data-Driven URL Discovery via Temporal Link Graphs
Felipe Marineli, Valerio Cetorelli, Valter Crescenzi, Tim Furche and Xiaonan "&amp;"Guo
Orchestration-Free Customer Service Automation: A Privacy-Preserving and Flowchart-Guided Framework
Mengze Hong, Chen Jason Zhang, Zichang Guo, Hanlin Gu, Di Jiang and Qing Li
Multilingual Reference Need Assessment System for Wikipedia
Aitolkyn Baig"&amp;"utanova, Francisco Navas, Pablo Aragon, Mykola Trokhymovych, Muniza Aslam, Ai-Jou Chou, Miriam Redi and Diego Saez Trumper
")</f>
        <v>Multi-Domain Marker Aggregation for Threat Detection in Cloud Environments
Junshen Xu, Jiayun Zhang and Yi Fan
Smart Eye: LLM-Guided Proposer-Verifier Framework for Industrial-Scale Log Anomaly Detection
Changhua Pei, Hang Cui, Jingjing Li, Yuxuan Li, Zihan Liu, Xinyuan Liao, Cenjie Hu, Jiabao Wang, Zheyuan Li, Zexin Wang, Haotian Si, Ke Xiang, Gaogang Xie and Dan Pei
URLBank: Data-Driven URL Discovery via Temporal Link Graphs
Felipe Marineli, Valerio Cetorelli, Valter Crescenzi, Tim Furche and Xiaonan Guo
Orchestration-Free Customer Service Automation: A Privacy-Preserving and Flowchart-Guided Framework
Mengze Hong, Chen Jason Zhang, Zichang Guo, Hanlin Gu, Di Jiang and Qing Li
Multilingual Reference Need Assessment System for Wikipedia
Aitolkyn Baigutanova, Francisco Navas, Pablo Aragon, Mykola Trokhymovych, Muniza Aslam, Ai-Jou Chou, Miriam Redi and Diego Saez Trumper
</v>
      </c>
      <c r="N65" s="18" t="str">
        <f>IFERROR(__xludf.DUMMYFUNCTION("TEXTJOIN(CHAR(10), TRUE,FILTER('Web4Good assignment'!$D:$D,'Web4Good assignment'!$F:$F=N63))"),"Belief-Driven Multi-Agent Collaboration via Approximate Perfect Bayesian Equilibrium for Social Simulation
Weiwei Fang, Lin Li, Kaize Shi, Yu Yang and Jianwei Zhang
Think Then Recommend: An LLM-Powered Multi-Agent Framework for Personalized Conversationa"&amp;"l Recommender System in E-Commerce
Yuankun Zu, Xiangyu Cai, Chuchu Yu, Hao Peng, Jia Duan, Long Chen, Kunyao Wang, Zehua Zhang, Changping Peng, Zhangang Lin and Ching Law
GORAG: Graph-based Online Retrieval Augmented Generation for Dynamic Few-shot Socia"&amp;"l Media Text Classification
Yubo Wang, Haoyang Li, Fei Teng and Lei Chen
Mining Citywide Dengue Spread Patterns in Singapore Through Hotspot Dynamics from Open Web Data
Liping Huang, Gaoxi Xiao, Stefan Ma, Hechang Chen, Shisong Tang and Flora D. Salim
C"&amp;"onsensus Stability of Community Notes on X
Yuwei Chuai, Gabriele Lenzini and Nicolas Pröllochs
")</f>
        <v>Belief-Driven Multi-Agent Collaboration via Approximate Perfect Bayesian Equilibrium for Social Simulation
Weiwei Fang, Lin Li, Kaize Shi, Yu Yang and Jianwei Zhang
Think Then Recommend: An LLM-Powered Multi-Agent Framework for Personalized Conversational Recommender System in E-Commerce
Yuankun Zu, Xiangyu Cai, Chuchu Yu, Hao Peng, Jia Duan, Long Chen, Kunyao Wang, Zehua Zhang, Changping Peng, Zhangang Lin and Ching Law
GORAG: Graph-based Online Retrieval Augmented Generation for Dynamic Few-shot Social Media Text Classification
Yubo Wang, Haoyang Li, Fei Teng and Lei Chen
Mining Citywide Dengue Spread Patterns in Singapore Through Hotspot Dynamics from Open Web Data
Liping Huang, Gaoxi Xiao, Stefan Ma, Hechang Chen, Shisong Tang and Flora D. Salim
Consensus Stability of Community Notes on X
Yuwei Chuai, Gabriele Lenzini and Nicolas Pröllochs
</v>
      </c>
      <c r="O65" s="18" t="str">
        <f>IFERROR(__xludf.DUMMYFUNCTION("TEXTJOIN(CHAR(10), TRUE,FILTER('Research assignment'!$D:$D,'Research assignment'!$G:$G=O63))"),"The Power of Penalties: Negativity-Aware Incentives for High-Quality Crowdsourced Data Labeling
Kai Wang, Runze Wu, Yu Xiong, Haifeng Sun, Anran Li,
Shaojie Tang, Changjie Fan and Xiang-Yang Li
From Retrieval to Generation: Unifying External and Parametr"&amp;"ic Knowledge for Medical Question Answering
Lei Li, Xiao Zhou, Yingying Zhang and Xian Wu
When to Trust: A Causality-Aware Calibration Framework for Accurate Knowledge Graph Retrieval-Augmented Generation
Jing Ren, Bowen Li, Ziqi Xu, Xikun Zhang, Haytham"&amp;" Fayek and
Xiaodong Li
")</f>
        <v>The Power of Penalties: Negativity-Aware Incentives for High-Quality Crowdsourced Data Labeling
Kai Wang, Runze Wu, Yu Xiong, Haifeng Sun, Anran Li,
Shaojie Tang, Changjie Fan and Xiang-Yang Li
From Retrieval to Generation: Unifying External and Parametric Knowledge for Medical Question Answering
Lei Li, Xiao Zhou, Yingying Zhang and Xian Wu
When to Trust: A Causality-Aware Calibration Framework for Accurate Knowledge Graph Retrieval-Augmented Generation
Jing Ren, Bowen Li, Ziqi Xu, Xikun Zhang, Haytham Fayek and
Xiaodong Li
</v>
      </c>
      <c r="P65" s="107"/>
      <c r="Q65" s="107"/>
      <c r="R65" s="107"/>
      <c r="S65" s="107"/>
      <c r="T65" s="107"/>
      <c r="U65" s="107"/>
      <c r="V65" s="107"/>
      <c r="W65" s="107"/>
      <c r="X65" s="107"/>
      <c r="Y65" s="107"/>
      <c r="Z65" s="107"/>
      <c r="AA65" s="107"/>
    </row>
    <row r="66">
      <c r="A66" s="49" t="s">
        <v>92</v>
      </c>
      <c r="B66" s="50" t="s">
        <v>206</v>
      </c>
      <c r="O66" s="51"/>
      <c r="P66" s="107"/>
      <c r="Q66" s="107"/>
      <c r="R66" s="107"/>
      <c r="S66" s="107"/>
      <c r="T66" s="107"/>
      <c r="U66" s="107"/>
      <c r="V66" s="107"/>
      <c r="W66" s="107"/>
      <c r="X66" s="107"/>
      <c r="Y66" s="107"/>
      <c r="Z66" s="107"/>
      <c r="AA66" s="107"/>
    </row>
    <row r="67">
      <c r="A67" s="109"/>
      <c r="B67" s="20"/>
      <c r="C67" s="20"/>
      <c r="D67" s="20"/>
      <c r="E67" s="20"/>
      <c r="F67" s="20"/>
      <c r="G67" s="20"/>
      <c r="H67" s="20"/>
      <c r="I67" s="20"/>
      <c r="J67" s="20"/>
      <c r="K67" s="20"/>
      <c r="L67" s="20"/>
      <c r="M67" s="20"/>
      <c r="N67" s="20"/>
      <c r="O67" s="20"/>
      <c r="P67" s="107"/>
      <c r="Q67" s="107"/>
      <c r="R67" s="107"/>
      <c r="S67" s="107"/>
      <c r="T67" s="107"/>
      <c r="U67" s="107"/>
      <c r="V67" s="107"/>
      <c r="W67" s="107"/>
      <c r="X67" s="107"/>
      <c r="Y67" s="107"/>
      <c r="Z67" s="107"/>
      <c r="AA67" s="107"/>
    </row>
    <row r="68">
      <c r="A68" s="110"/>
      <c r="B68" s="107"/>
      <c r="C68" s="107"/>
      <c r="D68" s="107"/>
      <c r="E68" s="107"/>
      <c r="F68" s="107"/>
      <c r="G68" s="107"/>
      <c r="H68" s="107"/>
      <c r="I68" s="107"/>
      <c r="J68" s="107"/>
      <c r="K68" s="107"/>
      <c r="L68" s="107"/>
      <c r="M68" s="107"/>
      <c r="N68" s="107"/>
      <c r="O68" s="107"/>
      <c r="P68" s="107"/>
      <c r="Q68" s="107"/>
      <c r="R68" s="107"/>
      <c r="S68" s="107"/>
      <c r="T68" s="107"/>
      <c r="U68" s="107"/>
      <c r="V68" s="107"/>
      <c r="W68" s="107"/>
      <c r="X68" s="107"/>
      <c r="Y68" s="107"/>
      <c r="Z68" s="107"/>
      <c r="AA68" s="107"/>
    </row>
    <row r="69">
      <c r="A69" s="110"/>
      <c r="B69" s="107"/>
      <c r="C69" s="107"/>
      <c r="D69" s="107"/>
      <c r="E69" s="107"/>
      <c r="F69" s="107"/>
      <c r="G69" s="107"/>
      <c r="H69" s="107"/>
      <c r="I69" s="107"/>
      <c r="J69" s="107"/>
      <c r="K69" s="107"/>
      <c r="L69" s="107"/>
      <c r="M69" s="107"/>
      <c r="N69" s="107"/>
      <c r="O69" s="107"/>
      <c r="P69" s="107"/>
      <c r="Q69" s="107"/>
      <c r="R69" s="107"/>
      <c r="S69" s="107"/>
      <c r="T69" s="107"/>
      <c r="U69" s="107"/>
      <c r="V69" s="107"/>
      <c r="W69" s="107"/>
      <c r="X69" s="107"/>
      <c r="Y69" s="107"/>
      <c r="Z69" s="107"/>
      <c r="AA69" s="107"/>
    </row>
    <row r="70">
      <c r="A70" s="110"/>
      <c r="B70" s="107"/>
      <c r="C70" s="107"/>
      <c r="D70" s="107"/>
      <c r="E70" s="107"/>
      <c r="F70" s="107"/>
      <c r="G70" s="107"/>
      <c r="H70" s="107"/>
      <c r="I70" s="107"/>
      <c r="J70" s="107"/>
      <c r="K70" s="107"/>
      <c r="L70" s="107"/>
      <c r="M70" s="107"/>
      <c r="N70" s="107"/>
      <c r="O70" s="107"/>
      <c r="P70" s="107"/>
      <c r="Q70" s="107"/>
      <c r="R70" s="107"/>
      <c r="S70" s="107"/>
      <c r="T70" s="107"/>
      <c r="U70" s="107"/>
      <c r="V70" s="107"/>
      <c r="W70" s="107"/>
      <c r="X70" s="107"/>
      <c r="Y70" s="107"/>
      <c r="Z70" s="107"/>
      <c r="AA70" s="107"/>
    </row>
    <row r="71">
      <c r="A71" s="110"/>
      <c r="B71" s="107"/>
      <c r="C71" s="107"/>
      <c r="D71" s="107"/>
      <c r="E71" s="107"/>
      <c r="F71" s="107"/>
      <c r="G71" s="107"/>
      <c r="H71" s="107"/>
      <c r="I71" s="107"/>
      <c r="J71" s="107"/>
      <c r="K71" s="107"/>
      <c r="L71" s="107"/>
      <c r="M71" s="107"/>
      <c r="N71" s="107"/>
      <c r="O71" s="107"/>
      <c r="P71" s="107"/>
      <c r="Q71" s="107"/>
      <c r="R71" s="107"/>
      <c r="S71" s="107"/>
      <c r="T71" s="107"/>
      <c r="U71" s="107"/>
      <c r="V71" s="107"/>
      <c r="W71" s="107"/>
      <c r="X71" s="107"/>
      <c r="Y71" s="107"/>
      <c r="Z71" s="107"/>
      <c r="AA71" s="107"/>
    </row>
    <row r="72">
      <c r="A72" s="110"/>
      <c r="B72" s="107"/>
      <c r="C72" s="107"/>
      <c r="D72" s="107"/>
      <c r="E72" s="107"/>
      <c r="F72" s="107"/>
      <c r="G72" s="107"/>
      <c r="H72" s="107"/>
      <c r="I72" s="107"/>
      <c r="J72" s="107"/>
      <c r="K72" s="107"/>
      <c r="L72" s="107"/>
      <c r="M72" s="107"/>
      <c r="N72" s="107"/>
      <c r="O72" s="107"/>
      <c r="P72" s="107"/>
      <c r="Q72" s="107"/>
      <c r="R72" s="107"/>
      <c r="S72" s="107"/>
      <c r="T72" s="107"/>
      <c r="U72" s="107"/>
      <c r="V72" s="107"/>
      <c r="W72" s="107"/>
      <c r="X72" s="107"/>
      <c r="Y72" s="107"/>
      <c r="Z72" s="107"/>
      <c r="AA72" s="107"/>
    </row>
    <row r="73">
      <c r="A73" s="110"/>
      <c r="B73" s="107"/>
      <c r="C73" s="107"/>
      <c r="D73" s="107"/>
      <c r="E73" s="107"/>
      <c r="F73" s="107"/>
      <c r="G73" s="107"/>
      <c r="H73" s="107"/>
      <c r="I73" s="107"/>
      <c r="J73" s="107"/>
      <c r="K73" s="107"/>
      <c r="L73" s="107"/>
      <c r="M73" s="107"/>
      <c r="N73" s="107"/>
      <c r="O73" s="107"/>
      <c r="P73" s="107"/>
      <c r="Q73" s="107"/>
      <c r="R73" s="107"/>
      <c r="S73" s="107"/>
      <c r="T73" s="107"/>
      <c r="U73" s="107"/>
      <c r="V73" s="107"/>
      <c r="W73" s="107"/>
      <c r="X73" s="107"/>
      <c r="Y73" s="107"/>
      <c r="Z73" s="107"/>
      <c r="AA73" s="107"/>
    </row>
    <row r="74">
      <c r="A74" s="110"/>
      <c r="B74" s="107"/>
      <c r="C74" s="107"/>
      <c r="D74" s="107"/>
      <c r="E74" s="107"/>
      <c r="F74" s="107"/>
      <c r="G74" s="107"/>
      <c r="H74" s="107"/>
      <c r="I74" s="107"/>
      <c r="J74" s="107"/>
      <c r="K74" s="107"/>
      <c r="L74" s="107"/>
      <c r="M74" s="107"/>
      <c r="N74" s="107"/>
      <c r="O74" s="107"/>
      <c r="P74" s="107"/>
      <c r="Q74" s="107"/>
      <c r="R74" s="107"/>
      <c r="S74" s="107"/>
      <c r="T74" s="107"/>
      <c r="U74" s="107"/>
      <c r="V74" s="107"/>
      <c r="W74" s="107"/>
      <c r="X74" s="107"/>
      <c r="Y74" s="107"/>
      <c r="Z74" s="107"/>
      <c r="AA74" s="107"/>
    </row>
    <row r="75">
      <c r="A75" s="110"/>
      <c r="B75" s="107"/>
      <c r="C75" s="107"/>
      <c r="D75" s="107"/>
      <c r="E75" s="107"/>
      <c r="F75" s="107"/>
      <c r="G75" s="107"/>
      <c r="H75" s="107"/>
      <c r="I75" s="107"/>
      <c r="J75" s="107"/>
      <c r="K75" s="107"/>
      <c r="L75" s="107"/>
      <c r="M75" s="107"/>
      <c r="N75" s="107"/>
      <c r="O75" s="107"/>
      <c r="P75" s="107"/>
      <c r="Q75" s="107"/>
      <c r="R75" s="107"/>
      <c r="S75" s="107"/>
      <c r="T75" s="107"/>
      <c r="U75" s="107"/>
      <c r="V75" s="107"/>
      <c r="W75" s="107"/>
      <c r="X75" s="107"/>
      <c r="Y75" s="107"/>
      <c r="Z75" s="107"/>
      <c r="AA75" s="107"/>
    </row>
    <row r="76">
      <c r="A76" s="110"/>
      <c r="B76" s="107"/>
      <c r="C76" s="107"/>
      <c r="D76" s="107"/>
      <c r="E76" s="107"/>
      <c r="F76" s="107"/>
      <c r="G76" s="107"/>
      <c r="H76" s="107"/>
      <c r="I76" s="107"/>
      <c r="J76" s="107"/>
      <c r="K76" s="107"/>
      <c r="L76" s="107"/>
      <c r="M76" s="107"/>
      <c r="N76" s="107"/>
      <c r="O76" s="107"/>
      <c r="P76" s="107"/>
      <c r="Q76" s="107"/>
      <c r="R76" s="107"/>
      <c r="S76" s="107"/>
      <c r="T76" s="107"/>
      <c r="U76" s="107"/>
      <c r="V76" s="107"/>
      <c r="W76" s="107"/>
      <c r="X76" s="107"/>
      <c r="Y76" s="107"/>
      <c r="Z76" s="107"/>
      <c r="AA76" s="107"/>
    </row>
    <row r="77">
      <c r="A77" s="110"/>
      <c r="B77" s="107"/>
      <c r="C77" s="107"/>
      <c r="D77" s="107"/>
      <c r="E77" s="107"/>
      <c r="F77" s="107"/>
      <c r="G77" s="107"/>
      <c r="H77" s="107"/>
      <c r="I77" s="107"/>
      <c r="J77" s="107"/>
      <c r="K77" s="107"/>
      <c r="L77" s="107"/>
      <c r="M77" s="107"/>
      <c r="N77" s="107"/>
      <c r="O77" s="107"/>
      <c r="P77" s="107"/>
      <c r="Q77" s="107"/>
      <c r="R77" s="107"/>
      <c r="S77" s="107"/>
      <c r="T77" s="107"/>
      <c r="U77" s="107"/>
      <c r="V77" s="107"/>
      <c r="W77" s="107"/>
      <c r="X77" s="107"/>
      <c r="Y77" s="107"/>
      <c r="Z77" s="107"/>
      <c r="AA77" s="107"/>
    </row>
    <row r="78">
      <c r="A78" s="110"/>
      <c r="B78" s="107"/>
      <c r="C78" s="107"/>
      <c r="D78" s="107"/>
      <c r="E78" s="107"/>
      <c r="F78" s="107"/>
      <c r="G78" s="107"/>
      <c r="H78" s="107"/>
      <c r="I78" s="107"/>
      <c r="J78" s="107"/>
      <c r="K78" s="107"/>
      <c r="L78" s="107"/>
      <c r="M78" s="107"/>
      <c r="N78" s="107"/>
      <c r="O78" s="107"/>
      <c r="P78" s="107"/>
      <c r="Q78" s="107"/>
      <c r="R78" s="107"/>
      <c r="S78" s="107"/>
      <c r="T78" s="107"/>
      <c r="U78" s="107"/>
      <c r="V78" s="107"/>
      <c r="W78" s="107"/>
      <c r="X78" s="107"/>
      <c r="Y78" s="107"/>
      <c r="Z78" s="107"/>
      <c r="AA78" s="107"/>
    </row>
    <row r="79">
      <c r="A79" s="110"/>
      <c r="B79" s="107"/>
      <c r="C79" s="107"/>
      <c r="D79" s="107"/>
      <c r="E79" s="107"/>
      <c r="F79" s="107"/>
      <c r="G79" s="107"/>
      <c r="H79" s="107"/>
      <c r="I79" s="107"/>
      <c r="J79" s="107"/>
      <c r="K79" s="107"/>
      <c r="L79" s="107"/>
      <c r="M79" s="107"/>
      <c r="N79" s="107"/>
      <c r="O79" s="107"/>
      <c r="P79" s="107"/>
      <c r="Q79" s="107"/>
      <c r="R79" s="107"/>
      <c r="S79" s="107"/>
      <c r="T79" s="107"/>
      <c r="U79" s="107"/>
      <c r="V79" s="107"/>
      <c r="W79" s="107"/>
      <c r="X79" s="107"/>
      <c r="Y79" s="107"/>
      <c r="Z79" s="107"/>
      <c r="AA79" s="107"/>
    </row>
    <row r="80">
      <c r="A80" s="110"/>
      <c r="B80" s="107"/>
      <c r="C80" s="107"/>
      <c r="D80" s="107"/>
      <c r="E80" s="107"/>
      <c r="F80" s="107"/>
      <c r="G80" s="107"/>
      <c r="H80" s="107"/>
      <c r="I80" s="107"/>
      <c r="J80" s="107"/>
      <c r="K80" s="107"/>
      <c r="L80" s="107"/>
      <c r="M80" s="107"/>
      <c r="N80" s="107"/>
      <c r="O80" s="107"/>
      <c r="P80" s="107"/>
      <c r="Q80" s="107"/>
      <c r="R80" s="107"/>
      <c r="S80" s="107"/>
      <c r="T80" s="107"/>
      <c r="U80" s="107"/>
      <c r="V80" s="107"/>
      <c r="W80" s="107"/>
      <c r="X80" s="107"/>
      <c r="Y80" s="107"/>
      <c r="Z80" s="107"/>
      <c r="AA80" s="107"/>
    </row>
    <row r="81">
      <c r="A81" s="110"/>
      <c r="B81" s="107"/>
      <c r="C81" s="107"/>
      <c r="D81" s="107"/>
      <c r="E81" s="107"/>
      <c r="F81" s="107"/>
      <c r="G81" s="107"/>
      <c r="H81" s="107"/>
      <c r="I81" s="107"/>
      <c r="J81" s="107"/>
      <c r="K81" s="107"/>
      <c r="L81" s="107"/>
      <c r="M81" s="107"/>
      <c r="N81" s="107"/>
      <c r="O81" s="107"/>
      <c r="P81" s="107"/>
      <c r="Q81" s="107"/>
      <c r="R81" s="107"/>
      <c r="S81" s="107"/>
      <c r="T81" s="107"/>
      <c r="U81" s="107"/>
      <c r="V81" s="107"/>
      <c r="W81" s="107"/>
      <c r="X81" s="107"/>
      <c r="Y81" s="107"/>
      <c r="Z81" s="107"/>
      <c r="AA81" s="107"/>
    </row>
    <row r="82">
      <c r="A82" s="110"/>
      <c r="B82" s="107"/>
      <c r="C82" s="107"/>
      <c r="D82" s="107"/>
      <c r="E82" s="107"/>
      <c r="F82" s="107"/>
      <c r="G82" s="107"/>
      <c r="H82" s="107"/>
      <c r="I82" s="107"/>
      <c r="J82" s="107"/>
      <c r="K82" s="107"/>
      <c r="L82" s="107"/>
      <c r="M82" s="107"/>
      <c r="N82" s="107"/>
      <c r="O82" s="107"/>
      <c r="P82" s="107"/>
      <c r="Q82" s="107"/>
      <c r="R82" s="107"/>
      <c r="S82" s="107"/>
      <c r="T82" s="107"/>
      <c r="U82" s="107"/>
      <c r="V82" s="107"/>
      <c r="W82" s="107"/>
      <c r="X82" s="107"/>
      <c r="Y82" s="107"/>
      <c r="Z82" s="107"/>
      <c r="AA82" s="107"/>
    </row>
    <row r="83">
      <c r="A83" s="110"/>
      <c r="B83" s="107"/>
      <c r="C83" s="107"/>
      <c r="D83" s="107"/>
      <c r="E83" s="107"/>
      <c r="F83" s="107"/>
      <c r="G83" s="107"/>
      <c r="H83" s="107"/>
      <c r="I83" s="107"/>
      <c r="J83" s="107"/>
      <c r="K83" s="107"/>
      <c r="L83" s="107"/>
      <c r="M83" s="107"/>
      <c r="N83" s="107"/>
      <c r="O83" s="107"/>
      <c r="P83" s="107"/>
      <c r="Q83" s="107"/>
      <c r="R83" s="107"/>
      <c r="S83" s="107"/>
      <c r="T83" s="107"/>
      <c r="U83" s="107"/>
      <c r="V83" s="107"/>
      <c r="W83" s="107"/>
      <c r="X83" s="107"/>
      <c r="Y83" s="107"/>
      <c r="Z83" s="107"/>
      <c r="AA83" s="107"/>
    </row>
    <row r="84">
      <c r="A84" s="110"/>
      <c r="B84" s="107"/>
      <c r="C84" s="107"/>
      <c r="D84" s="107"/>
      <c r="E84" s="107"/>
      <c r="F84" s="107"/>
      <c r="G84" s="107"/>
      <c r="H84" s="107"/>
      <c r="I84" s="107"/>
      <c r="J84" s="107"/>
      <c r="K84" s="107"/>
      <c r="L84" s="107"/>
      <c r="M84" s="107"/>
      <c r="N84" s="107"/>
      <c r="O84" s="107"/>
      <c r="P84" s="107"/>
      <c r="Q84" s="107"/>
      <c r="R84" s="107"/>
      <c r="S84" s="107"/>
      <c r="T84" s="107"/>
      <c r="U84" s="107"/>
      <c r="V84" s="107"/>
      <c r="W84" s="107"/>
      <c r="X84" s="107"/>
      <c r="Y84" s="107"/>
      <c r="Z84" s="107"/>
      <c r="AA84" s="107"/>
    </row>
    <row r="85">
      <c r="A85" s="110"/>
      <c r="B85" s="107"/>
      <c r="C85" s="107"/>
      <c r="D85" s="107"/>
      <c r="E85" s="107"/>
      <c r="F85" s="107"/>
      <c r="G85" s="107"/>
      <c r="H85" s="107"/>
      <c r="I85" s="107"/>
      <c r="J85" s="107"/>
      <c r="K85" s="107"/>
      <c r="L85" s="107"/>
      <c r="M85" s="107"/>
      <c r="N85" s="107"/>
      <c r="O85" s="107"/>
      <c r="P85" s="107"/>
      <c r="Q85" s="107"/>
      <c r="R85" s="107"/>
      <c r="S85" s="107"/>
      <c r="T85" s="107"/>
      <c r="U85" s="107"/>
      <c r="V85" s="107"/>
      <c r="W85" s="107"/>
      <c r="X85" s="107"/>
      <c r="Y85" s="107"/>
      <c r="Z85" s="107"/>
      <c r="AA85" s="107"/>
    </row>
    <row r="86">
      <c r="A86" s="110"/>
      <c r="B86" s="107"/>
      <c r="C86" s="107"/>
      <c r="D86" s="107"/>
      <c r="E86" s="107"/>
      <c r="F86" s="107"/>
      <c r="G86" s="107"/>
      <c r="H86" s="107"/>
      <c r="I86" s="107"/>
      <c r="J86" s="107"/>
      <c r="K86" s="107"/>
      <c r="L86" s="107"/>
      <c r="M86" s="107"/>
      <c r="N86" s="107"/>
      <c r="O86" s="107"/>
      <c r="P86" s="107"/>
      <c r="Q86" s="107"/>
      <c r="R86" s="107"/>
      <c r="S86" s="107"/>
      <c r="T86" s="107"/>
      <c r="U86" s="107"/>
      <c r="V86" s="107"/>
      <c r="W86" s="107"/>
      <c r="X86" s="107"/>
      <c r="Y86" s="107"/>
      <c r="Z86" s="107"/>
      <c r="AA86" s="107"/>
    </row>
    <row r="87">
      <c r="A87" s="110"/>
      <c r="B87" s="107"/>
      <c r="C87" s="107"/>
      <c r="D87" s="107"/>
      <c r="E87" s="107"/>
      <c r="F87" s="107"/>
      <c r="G87" s="107"/>
      <c r="H87" s="107"/>
      <c r="I87" s="107"/>
      <c r="J87" s="107"/>
      <c r="K87" s="107"/>
      <c r="L87" s="107"/>
      <c r="M87" s="107"/>
      <c r="N87" s="107"/>
      <c r="O87" s="107"/>
      <c r="P87" s="107"/>
      <c r="Q87" s="107"/>
      <c r="R87" s="107"/>
      <c r="S87" s="107"/>
      <c r="T87" s="107"/>
      <c r="U87" s="107"/>
      <c r="V87" s="107"/>
      <c r="W87" s="107"/>
      <c r="X87" s="107"/>
      <c r="Y87" s="107"/>
      <c r="Z87" s="107"/>
      <c r="AA87" s="107"/>
    </row>
    <row r="88">
      <c r="A88" s="110"/>
      <c r="B88" s="107"/>
      <c r="C88" s="107"/>
      <c r="D88" s="107"/>
      <c r="E88" s="107"/>
      <c r="F88" s="107"/>
      <c r="G88" s="107"/>
      <c r="H88" s="107"/>
      <c r="I88" s="107"/>
      <c r="J88" s="107"/>
      <c r="K88" s="107"/>
      <c r="L88" s="107"/>
      <c r="M88" s="107"/>
      <c r="N88" s="107"/>
      <c r="O88" s="107"/>
      <c r="P88" s="107"/>
      <c r="Q88" s="107"/>
      <c r="R88" s="107"/>
      <c r="S88" s="107"/>
      <c r="T88" s="107"/>
      <c r="U88" s="107"/>
      <c r="V88" s="107"/>
      <c r="W88" s="107"/>
      <c r="X88" s="107"/>
      <c r="Y88" s="107"/>
      <c r="Z88" s="107"/>
      <c r="AA88" s="107"/>
    </row>
    <row r="89">
      <c r="A89" s="110"/>
      <c r="B89" s="107"/>
      <c r="C89" s="107"/>
      <c r="D89" s="107"/>
      <c r="E89" s="107"/>
      <c r="F89" s="107"/>
      <c r="G89" s="107"/>
      <c r="H89" s="107"/>
      <c r="I89" s="107"/>
      <c r="J89" s="107"/>
      <c r="K89" s="107"/>
      <c r="L89" s="107"/>
      <c r="M89" s="107"/>
      <c r="N89" s="107"/>
      <c r="O89" s="107"/>
      <c r="P89" s="107"/>
      <c r="Q89" s="107"/>
      <c r="R89" s="107"/>
      <c r="S89" s="107"/>
      <c r="T89" s="107"/>
      <c r="U89" s="107"/>
      <c r="V89" s="107"/>
      <c r="W89" s="107"/>
      <c r="X89" s="107"/>
      <c r="Y89" s="107"/>
      <c r="Z89" s="107"/>
      <c r="AA89" s="107"/>
    </row>
    <row r="90">
      <c r="A90" s="110"/>
      <c r="B90" s="107"/>
      <c r="C90" s="107"/>
      <c r="D90" s="107"/>
      <c r="E90" s="107"/>
      <c r="F90" s="107"/>
      <c r="G90" s="107"/>
      <c r="H90" s="107"/>
      <c r="I90" s="107"/>
      <c r="J90" s="107"/>
      <c r="K90" s="107"/>
      <c r="L90" s="107"/>
      <c r="M90" s="107"/>
      <c r="N90" s="107"/>
      <c r="O90" s="107"/>
      <c r="P90" s="107"/>
      <c r="Q90" s="107"/>
      <c r="R90" s="107"/>
      <c r="S90" s="107"/>
      <c r="T90" s="107"/>
      <c r="U90" s="107"/>
      <c r="V90" s="107"/>
      <c r="W90" s="107"/>
      <c r="X90" s="107"/>
      <c r="Y90" s="107"/>
      <c r="Z90" s="107"/>
      <c r="AA90" s="107"/>
    </row>
    <row r="91">
      <c r="A91" s="110"/>
      <c r="B91" s="107"/>
      <c r="C91" s="107"/>
      <c r="D91" s="107"/>
      <c r="E91" s="107"/>
      <c r="F91" s="107"/>
      <c r="G91" s="107"/>
      <c r="H91" s="107"/>
      <c r="I91" s="107"/>
      <c r="J91" s="107"/>
      <c r="K91" s="107"/>
      <c r="L91" s="107"/>
      <c r="M91" s="107"/>
      <c r="N91" s="107"/>
      <c r="O91" s="107"/>
      <c r="P91" s="107"/>
      <c r="Q91" s="107"/>
      <c r="R91" s="107"/>
      <c r="S91" s="107"/>
      <c r="T91" s="107"/>
      <c r="U91" s="107"/>
      <c r="V91" s="107"/>
      <c r="W91" s="107"/>
      <c r="X91" s="107"/>
      <c r="Y91" s="107"/>
      <c r="Z91" s="107"/>
      <c r="AA91" s="107"/>
    </row>
    <row r="92">
      <c r="A92" s="110"/>
      <c r="B92" s="107"/>
      <c r="C92" s="107"/>
      <c r="D92" s="107"/>
      <c r="E92" s="107"/>
      <c r="F92" s="107"/>
      <c r="G92" s="107"/>
      <c r="H92" s="107"/>
      <c r="I92" s="107"/>
      <c r="J92" s="107"/>
      <c r="K92" s="107"/>
      <c r="L92" s="107"/>
      <c r="M92" s="107"/>
      <c r="N92" s="107"/>
      <c r="O92" s="107"/>
      <c r="P92" s="107"/>
      <c r="Q92" s="107"/>
      <c r="R92" s="107"/>
      <c r="S92" s="107"/>
      <c r="T92" s="107"/>
      <c r="U92" s="107"/>
      <c r="V92" s="107"/>
      <c r="W92" s="107"/>
      <c r="X92" s="107"/>
      <c r="Y92" s="107"/>
      <c r="Z92" s="107"/>
      <c r="AA92" s="107"/>
    </row>
    <row r="93">
      <c r="A93" s="110"/>
      <c r="B93" s="107"/>
      <c r="C93" s="107"/>
      <c r="D93" s="107"/>
      <c r="E93" s="107"/>
      <c r="F93" s="107"/>
      <c r="G93" s="107"/>
      <c r="H93" s="107"/>
      <c r="I93" s="107"/>
      <c r="J93" s="107"/>
      <c r="K93" s="107"/>
      <c r="L93" s="107"/>
      <c r="M93" s="107"/>
      <c r="N93" s="107"/>
      <c r="O93" s="107"/>
      <c r="P93" s="107"/>
      <c r="Q93" s="107"/>
      <c r="R93" s="107"/>
      <c r="S93" s="107"/>
      <c r="T93" s="107"/>
      <c r="U93" s="107"/>
      <c r="V93" s="107"/>
      <c r="W93" s="107"/>
      <c r="X93" s="107"/>
      <c r="Y93" s="107"/>
      <c r="Z93" s="107"/>
      <c r="AA93" s="107"/>
    </row>
    <row r="94">
      <c r="A94" s="110"/>
      <c r="B94" s="107"/>
      <c r="C94" s="107"/>
      <c r="D94" s="107"/>
      <c r="E94" s="107"/>
      <c r="F94" s="107"/>
      <c r="G94" s="107"/>
      <c r="H94" s="107"/>
      <c r="I94" s="107"/>
      <c r="J94" s="107"/>
      <c r="K94" s="107"/>
      <c r="L94" s="107"/>
      <c r="M94" s="107"/>
      <c r="N94" s="107"/>
      <c r="O94" s="107"/>
      <c r="P94" s="107"/>
      <c r="Q94" s="107"/>
      <c r="R94" s="107"/>
      <c r="S94" s="107"/>
      <c r="T94" s="107"/>
      <c r="U94" s="107"/>
      <c r="V94" s="107"/>
      <c r="W94" s="107"/>
      <c r="X94" s="107"/>
      <c r="Y94" s="107"/>
      <c r="Z94" s="107"/>
      <c r="AA94" s="107"/>
    </row>
    <row r="95">
      <c r="A95" s="110"/>
      <c r="B95" s="107"/>
      <c r="C95" s="107"/>
      <c r="D95" s="107"/>
      <c r="E95" s="107"/>
      <c r="F95" s="107"/>
      <c r="G95" s="107"/>
      <c r="H95" s="107"/>
      <c r="I95" s="107"/>
      <c r="J95" s="107"/>
      <c r="K95" s="107"/>
      <c r="L95" s="107"/>
      <c r="M95" s="107"/>
      <c r="N95" s="107"/>
      <c r="O95" s="107"/>
      <c r="P95" s="107"/>
      <c r="Q95" s="107"/>
      <c r="R95" s="107"/>
      <c r="S95" s="107"/>
      <c r="T95" s="107"/>
      <c r="U95" s="107"/>
      <c r="V95" s="107"/>
      <c r="W95" s="107"/>
      <c r="X95" s="107"/>
      <c r="Y95" s="107"/>
      <c r="Z95" s="107"/>
      <c r="AA95" s="107"/>
    </row>
    <row r="96">
      <c r="A96" s="110"/>
      <c r="B96" s="107"/>
      <c r="C96" s="107"/>
      <c r="D96" s="107"/>
      <c r="E96" s="107"/>
      <c r="F96" s="107"/>
      <c r="G96" s="107"/>
      <c r="H96" s="107"/>
      <c r="I96" s="107"/>
      <c r="J96" s="107"/>
      <c r="K96" s="107"/>
      <c r="L96" s="107"/>
      <c r="M96" s="107"/>
      <c r="N96" s="107"/>
      <c r="O96" s="107"/>
      <c r="P96" s="107"/>
      <c r="Q96" s="107"/>
      <c r="R96" s="107"/>
      <c r="S96" s="107"/>
      <c r="T96" s="107"/>
      <c r="U96" s="107"/>
      <c r="V96" s="107"/>
      <c r="W96" s="107"/>
      <c r="X96" s="107"/>
      <c r="Y96" s="107"/>
      <c r="Z96" s="107"/>
      <c r="AA96" s="107"/>
    </row>
    <row r="97">
      <c r="A97" s="110"/>
      <c r="B97" s="107"/>
      <c r="C97" s="107"/>
      <c r="D97" s="107"/>
      <c r="E97" s="107"/>
      <c r="F97" s="107"/>
      <c r="G97" s="107"/>
      <c r="H97" s="107"/>
      <c r="I97" s="107"/>
      <c r="J97" s="107"/>
      <c r="K97" s="107"/>
      <c r="L97" s="107"/>
      <c r="M97" s="107"/>
      <c r="N97" s="107"/>
      <c r="O97" s="107"/>
      <c r="P97" s="107"/>
      <c r="Q97" s="107"/>
      <c r="R97" s="107"/>
      <c r="S97" s="107"/>
      <c r="T97" s="107"/>
      <c r="U97" s="107"/>
      <c r="V97" s="107"/>
      <c r="W97" s="107"/>
      <c r="X97" s="107"/>
      <c r="Y97" s="107"/>
      <c r="Z97" s="107"/>
      <c r="AA97" s="107"/>
    </row>
    <row r="98">
      <c r="A98" s="110"/>
      <c r="B98" s="107"/>
      <c r="C98" s="107"/>
      <c r="D98" s="107"/>
      <c r="E98" s="107"/>
      <c r="F98" s="107"/>
      <c r="G98" s="107"/>
      <c r="H98" s="107"/>
      <c r="I98" s="107"/>
      <c r="J98" s="107"/>
      <c r="K98" s="107"/>
      <c r="L98" s="107"/>
      <c r="M98" s="107"/>
      <c r="N98" s="107"/>
      <c r="O98" s="107"/>
      <c r="P98" s="107"/>
      <c r="Q98" s="107"/>
      <c r="R98" s="107"/>
      <c r="S98" s="107"/>
      <c r="T98" s="107"/>
      <c r="U98" s="107"/>
      <c r="V98" s="107"/>
      <c r="W98" s="107"/>
      <c r="X98" s="107"/>
      <c r="Y98" s="107"/>
      <c r="Z98" s="107"/>
      <c r="AA98" s="107"/>
    </row>
    <row r="99">
      <c r="A99" s="110"/>
      <c r="B99" s="107"/>
      <c r="C99" s="107"/>
      <c r="D99" s="107"/>
      <c r="E99" s="107"/>
      <c r="F99" s="107"/>
      <c r="G99" s="107"/>
      <c r="H99" s="107"/>
      <c r="I99" s="107"/>
      <c r="J99" s="107"/>
      <c r="K99" s="107"/>
      <c r="L99" s="107"/>
      <c r="M99" s="107"/>
      <c r="N99" s="107"/>
      <c r="O99" s="107"/>
      <c r="P99" s="107"/>
      <c r="Q99" s="107"/>
      <c r="R99" s="107"/>
      <c r="S99" s="107"/>
      <c r="T99" s="107"/>
      <c r="U99" s="107"/>
      <c r="V99" s="107"/>
      <c r="W99" s="107"/>
      <c r="X99" s="107"/>
      <c r="Y99" s="107"/>
      <c r="Z99" s="107"/>
      <c r="AA99" s="107"/>
    </row>
    <row r="100">
      <c r="A100" s="110"/>
      <c r="B100" s="107"/>
      <c r="C100" s="107"/>
      <c r="D100" s="107"/>
      <c r="E100" s="107"/>
      <c r="F100" s="107"/>
      <c r="G100" s="107"/>
      <c r="H100" s="107"/>
      <c r="I100" s="107"/>
      <c r="J100" s="107"/>
      <c r="K100" s="107"/>
      <c r="L100" s="107"/>
      <c r="M100" s="107"/>
      <c r="N100" s="107"/>
      <c r="O100" s="107"/>
      <c r="P100" s="107"/>
      <c r="Q100" s="107"/>
      <c r="R100" s="107"/>
      <c r="S100" s="107"/>
      <c r="T100" s="107"/>
      <c r="U100" s="107"/>
      <c r="V100" s="107"/>
      <c r="W100" s="107"/>
      <c r="X100" s="107"/>
      <c r="Y100" s="107"/>
      <c r="Z100" s="107"/>
      <c r="AA100" s="107"/>
    </row>
    <row r="101">
      <c r="A101" s="110"/>
      <c r="B101" s="107"/>
      <c r="C101" s="107"/>
      <c r="D101" s="107"/>
      <c r="E101" s="107"/>
      <c r="F101" s="107"/>
      <c r="G101" s="107"/>
      <c r="H101" s="107"/>
      <c r="I101" s="107"/>
      <c r="J101" s="107"/>
      <c r="K101" s="107"/>
      <c r="L101" s="107"/>
      <c r="M101" s="107"/>
      <c r="N101" s="107"/>
      <c r="O101" s="107"/>
      <c r="P101" s="107"/>
      <c r="Q101" s="107"/>
      <c r="R101" s="107"/>
      <c r="S101" s="107"/>
      <c r="T101" s="107"/>
      <c r="U101" s="107"/>
      <c r="V101" s="107"/>
      <c r="W101" s="107"/>
      <c r="X101" s="107"/>
      <c r="Y101" s="107"/>
      <c r="Z101" s="107"/>
      <c r="AA101" s="107"/>
    </row>
    <row r="102">
      <c r="A102" s="110"/>
      <c r="B102" s="107"/>
      <c r="C102" s="107"/>
      <c r="D102" s="107"/>
      <c r="E102" s="107"/>
      <c r="F102" s="107"/>
      <c r="G102" s="107"/>
      <c r="H102" s="107"/>
      <c r="I102" s="107"/>
      <c r="J102" s="107"/>
      <c r="K102" s="107"/>
      <c r="L102" s="107"/>
      <c r="M102" s="107"/>
      <c r="N102" s="107"/>
      <c r="O102" s="107"/>
      <c r="P102" s="107"/>
      <c r="Q102" s="107"/>
      <c r="R102" s="107"/>
      <c r="S102" s="107"/>
      <c r="T102" s="107"/>
      <c r="U102" s="107"/>
      <c r="V102" s="107"/>
      <c r="W102" s="107"/>
      <c r="X102" s="107"/>
      <c r="Y102" s="107"/>
      <c r="Z102" s="107"/>
      <c r="AA102" s="107"/>
    </row>
    <row r="103">
      <c r="A103" s="110"/>
      <c r="B103" s="107"/>
      <c r="C103" s="107"/>
      <c r="D103" s="107"/>
      <c r="E103" s="107"/>
      <c r="F103" s="107"/>
      <c r="G103" s="107"/>
      <c r="H103" s="107"/>
      <c r="I103" s="107"/>
      <c r="J103" s="107"/>
      <c r="K103" s="107"/>
      <c r="L103" s="107"/>
      <c r="M103" s="107"/>
      <c r="N103" s="107"/>
      <c r="O103" s="107"/>
      <c r="P103" s="107"/>
      <c r="Q103" s="107"/>
      <c r="R103" s="107"/>
      <c r="S103" s="107"/>
      <c r="T103" s="107"/>
      <c r="U103" s="107"/>
      <c r="V103" s="107"/>
      <c r="W103" s="107"/>
      <c r="X103" s="107"/>
      <c r="Y103" s="107"/>
      <c r="Z103" s="107"/>
      <c r="AA103" s="107"/>
    </row>
    <row r="104">
      <c r="A104" s="110"/>
      <c r="B104" s="107"/>
      <c r="C104" s="107"/>
      <c r="D104" s="107"/>
      <c r="E104" s="107"/>
      <c r="F104" s="107"/>
      <c r="G104" s="107"/>
      <c r="H104" s="107"/>
      <c r="I104" s="107"/>
      <c r="J104" s="107"/>
      <c r="K104" s="107"/>
      <c r="L104" s="107"/>
      <c r="M104" s="107"/>
      <c r="N104" s="107"/>
      <c r="O104" s="107"/>
      <c r="P104" s="107"/>
      <c r="Q104" s="107"/>
      <c r="R104" s="107"/>
      <c r="S104" s="107"/>
      <c r="T104" s="107"/>
      <c r="U104" s="107"/>
      <c r="V104" s="107"/>
      <c r="W104" s="107"/>
      <c r="X104" s="107"/>
      <c r="Y104" s="107"/>
      <c r="Z104" s="107"/>
      <c r="AA104" s="107"/>
    </row>
    <row r="105">
      <c r="A105" s="110"/>
      <c r="B105" s="107"/>
      <c r="C105" s="107"/>
      <c r="D105" s="107"/>
      <c r="E105" s="107"/>
      <c r="F105" s="107"/>
      <c r="G105" s="107"/>
      <c r="H105" s="107"/>
      <c r="I105" s="107"/>
      <c r="J105" s="107"/>
      <c r="K105" s="107"/>
      <c r="L105" s="107"/>
      <c r="M105" s="107"/>
      <c r="N105" s="107"/>
      <c r="O105" s="107"/>
      <c r="P105" s="107"/>
      <c r="Q105" s="107"/>
      <c r="R105" s="107"/>
      <c r="S105" s="107"/>
      <c r="T105" s="107"/>
      <c r="U105" s="107"/>
      <c r="V105" s="107"/>
      <c r="W105" s="107"/>
      <c r="X105" s="107"/>
      <c r="Y105" s="107"/>
      <c r="Z105" s="107"/>
      <c r="AA105" s="107"/>
    </row>
    <row r="106">
      <c r="A106" s="110"/>
      <c r="B106" s="107"/>
      <c r="C106" s="107"/>
      <c r="D106" s="107"/>
      <c r="E106" s="107"/>
      <c r="F106" s="107"/>
      <c r="G106" s="107"/>
      <c r="H106" s="107"/>
      <c r="I106" s="107"/>
      <c r="J106" s="107"/>
      <c r="K106" s="107"/>
      <c r="L106" s="107"/>
      <c r="M106" s="107"/>
      <c r="N106" s="107"/>
      <c r="O106" s="107"/>
      <c r="P106" s="107"/>
      <c r="Q106" s="107"/>
      <c r="R106" s="107"/>
      <c r="S106" s="107"/>
      <c r="T106" s="107"/>
      <c r="U106" s="107"/>
      <c r="V106" s="107"/>
      <c r="W106" s="107"/>
      <c r="X106" s="107"/>
      <c r="Y106" s="107"/>
      <c r="Z106" s="107"/>
      <c r="AA106" s="107"/>
    </row>
    <row r="107">
      <c r="A107" s="110"/>
      <c r="B107" s="107"/>
      <c r="C107" s="107"/>
      <c r="D107" s="107"/>
      <c r="E107" s="107"/>
      <c r="F107" s="107"/>
      <c r="G107" s="107"/>
      <c r="H107" s="107"/>
      <c r="I107" s="107"/>
      <c r="J107" s="107"/>
      <c r="K107" s="107"/>
      <c r="L107" s="107"/>
      <c r="M107" s="107"/>
      <c r="N107" s="107"/>
      <c r="O107" s="107"/>
      <c r="P107" s="107"/>
      <c r="Q107" s="107"/>
      <c r="R107" s="107"/>
      <c r="S107" s="107"/>
      <c r="T107" s="107"/>
      <c r="U107" s="107"/>
      <c r="V107" s="107"/>
      <c r="W107" s="107"/>
      <c r="X107" s="107"/>
      <c r="Y107" s="107"/>
      <c r="Z107" s="107"/>
      <c r="AA107" s="107"/>
    </row>
    <row r="108">
      <c r="A108" s="110"/>
      <c r="B108" s="107"/>
      <c r="C108" s="107"/>
      <c r="D108" s="107"/>
      <c r="E108" s="107"/>
      <c r="F108" s="107"/>
      <c r="G108" s="107"/>
      <c r="H108" s="107"/>
      <c r="I108" s="107"/>
      <c r="J108" s="107"/>
      <c r="K108" s="107"/>
      <c r="L108" s="107"/>
      <c r="M108" s="107"/>
      <c r="N108" s="107"/>
      <c r="O108" s="107"/>
      <c r="P108" s="107"/>
      <c r="Q108" s="107"/>
      <c r="R108" s="107"/>
      <c r="S108" s="107"/>
      <c r="T108" s="107"/>
      <c r="U108" s="107"/>
      <c r="V108" s="107"/>
      <c r="W108" s="107"/>
      <c r="X108" s="107"/>
      <c r="Y108" s="107"/>
      <c r="Z108" s="107"/>
      <c r="AA108" s="107"/>
    </row>
    <row r="109">
      <c r="A109" s="110"/>
      <c r="B109" s="107"/>
      <c r="C109" s="107"/>
      <c r="D109" s="107"/>
      <c r="E109" s="107"/>
      <c r="F109" s="107"/>
      <c r="G109" s="107"/>
      <c r="H109" s="107"/>
      <c r="I109" s="107"/>
      <c r="J109" s="107"/>
      <c r="K109" s="107"/>
      <c r="L109" s="107"/>
      <c r="M109" s="107"/>
      <c r="N109" s="107"/>
      <c r="O109" s="107"/>
      <c r="P109" s="107"/>
      <c r="Q109" s="107"/>
      <c r="R109" s="107"/>
      <c r="S109" s="107"/>
      <c r="T109" s="107"/>
      <c r="U109" s="107"/>
      <c r="V109" s="107"/>
      <c r="W109" s="107"/>
      <c r="X109" s="107"/>
      <c r="Y109" s="107"/>
      <c r="Z109" s="107"/>
      <c r="AA109" s="107"/>
    </row>
    <row r="110">
      <c r="A110" s="110"/>
      <c r="B110" s="107"/>
      <c r="C110" s="107"/>
      <c r="D110" s="107"/>
      <c r="E110" s="107"/>
      <c r="F110" s="107"/>
      <c r="G110" s="107"/>
      <c r="H110" s="107"/>
      <c r="I110" s="107"/>
      <c r="J110" s="107"/>
      <c r="K110" s="107"/>
      <c r="L110" s="107"/>
      <c r="M110" s="107"/>
      <c r="N110" s="107"/>
      <c r="O110" s="107"/>
      <c r="P110" s="107"/>
      <c r="Q110" s="107"/>
      <c r="R110" s="107"/>
      <c r="S110" s="107"/>
      <c r="T110" s="107"/>
      <c r="U110" s="107"/>
      <c r="V110" s="107"/>
      <c r="W110" s="107"/>
      <c r="X110" s="107"/>
      <c r="Y110" s="107"/>
      <c r="Z110" s="107"/>
      <c r="AA110" s="107"/>
    </row>
    <row r="111">
      <c r="A111" s="110"/>
      <c r="B111" s="107"/>
      <c r="C111" s="107"/>
      <c r="D111" s="107"/>
      <c r="E111" s="107"/>
      <c r="F111" s="107"/>
      <c r="G111" s="107"/>
      <c r="H111" s="107"/>
      <c r="I111" s="107"/>
      <c r="J111" s="107"/>
      <c r="K111" s="107"/>
      <c r="L111" s="107"/>
      <c r="M111" s="107"/>
      <c r="N111" s="107"/>
      <c r="O111" s="107"/>
      <c r="P111" s="107"/>
      <c r="Q111" s="107"/>
      <c r="R111" s="107"/>
      <c r="S111" s="107"/>
      <c r="T111" s="107"/>
      <c r="U111" s="107"/>
      <c r="V111" s="107"/>
      <c r="W111" s="107"/>
      <c r="X111" s="107"/>
      <c r="Y111" s="107"/>
      <c r="Z111" s="107"/>
      <c r="AA111" s="107"/>
    </row>
    <row r="112">
      <c r="A112" s="110"/>
      <c r="B112" s="107"/>
      <c r="C112" s="107"/>
      <c r="D112" s="107"/>
      <c r="E112" s="107"/>
      <c r="F112" s="107"/>
      <c r="G112" s="107"/>
      <c r="H112" s="107"/>
      <c r="I112" s="107"/>
      <c r="J112" s="107"/>
      <c r="K112" s="107"/>
      <c r="L112" s="107"/>
      <c r="M112" s="107"/>
      <c r="N112" s="107"/>
      <c r="O112" s="107"/>
      <c r="P112" s="107"/>
      <c r="Q112" s="107"/>
      <c r="R112" s="107"/>
      <c r="S112" s="107"/>
      <c r="T112" s="107"/>
      <c r="U112" s="107"/>
      <c r="V112" s="107"/>
      <c r="W112" s="107"/>
      <c r="X112" s="107"/>
      <c r="Y112" s="107"/>
      <c r="Z112" s="107"/>
      <c r="AA112" s="107"/>
    </row>
    <row r="113">
      <c r="A113" s="110"/>
      <c r="B113" s="107"/>
      <c r="C113" s="107"/>
      <c r="D113" s="107"/>
      <c r="E113" s="107"/>
      <c r="F113" s="107"/>
      <c r="G113" s="107"/>
      <c r="H113" s="107"/>
      <c r="I113" s="107"/>
      <c r="J113" s="107"/>
      <c r="K113" s="107"/>
      <c r="L113" s="107"/>
      <c r="M113" s="107"/>
      <c r="N113" s="107"/>
      <c r="O113" s="107"/>
      <c r="P113" s="107"/>
      <c r="Q113" s="107"/>
      <c r="R113" s="107"/>
      <c r="S113" s="107"/>
      <c r="T113" s="107"/>
      <c r="U113" s="107"/>
      <c r="V113" s="107"/>
      <c r="W113" s="107"/>
      <c r="X113" s="107"/>
      <c r="Y113" s="107"/>
      <c r="Z113" s="107"/>
      <c r="AA113" s="107"/>
    </row>
    <row r="114">
      <c r="A114" s="110"/>
      <c r="B114" s="107"/>
      <c r="C114" s="107"/>
      <c r="D114" s="107"/>
      <c r="E114" s="107"/>
      <c r="F114" s="107"/>
      <c r="G114" s="107"/>
      <c r="H114" s="107"/>
      <c r="I114" s="107"/>
      <c r="J114" s="107"/>
      <c r="K114" s="107"/>
      <c r="L114" s="107"/>
      <c r="M114" s="107"/>
      <c r="N114" s="107"/>
      <c r="O114" s="107"/>
      <c r="P114" s="107"/>
      <c r="Q114" s="107"/>
      <c r="R114" s="107"/>
      <c r="S114" s="107"/>
      <c r="T114" s="107"/>
      <c r="U114" s="107"/>
      <c r="V114" s="107"/>
      <c r="W114" s="107"/>
      <c r="X114" s="107"/>
      <c r="Y114" s="107"/>
      <c r="Z114" s="107"/>
      <c r="AA114" s="107"/>
    </row>
    <row r="115">
      <c r="A115" s="110"/>
      <c r="B115" s="107"/>
      <c r="C115" s="107"/>
      <c r="D115" s="107"/>
      <c r="E115" s="107"/>
      <c r="F115" s="107"/>
      <c r="G115" s="107"/>
      <c r="H115" s="107"/>
      <c r="I115" s="107"/>
      <c r="J115" s="107"/>
      <c r="K115" s="107"/>
      <c r="L115" s="107"/>
      <c r="M115" s="107"/>
      <c r="N115" s="107"/>
      <c r="O115" s="107"/>
      <c r="P115" s="107"/>
      <c r="Q115" s="107"/>
      <c r="R115" s="107"/>
      <c r="S115" s="107"/>
      <c r="T115" s="107"/>
      <c r="U115" s="107"/>
      <c r="V115" s="107"/>
      <c r="W115" s="107"/>
      <c r="X115" s="107"/>
      <c r="Y115" s="107"/>
      <c r="Z115" s="107"/>
      <c r="AA115" s="107"/>
    </row>
    <row r="116">
      <c r="A116" s="110"/>
      <c r="B116" s="107"/>
      <c r="C116" s="107"/>
      <c r="D116" s="107"/>
      <c r="E116" s="107"/>
      <c r="F116" s="107"/>
      <c r="G116" s="107"/>
      <c r="H116" s="107"/>
      <c r="I116" s="107"/>
      <c r="J116" s="107"/>
      <c r="K116" s="107"/>
      <c r="L116" s="107"/>
      <c r="M116" s="107"/>
      <c r="N116" s="107"/>
      <c r="O116" s="107"/>
      <c r="P116" s="107"/>
      <c r="Q116" s="107"/>
      <c r="R116" s="107"/>
      <c r="S116" s="107"/>
      <c r="T116" s="107"/>
      <c r="U116" s="107"/>
      <c r="V116" s="107"/>
      <c r="W116" s="107"/>
      <c r="X116" s="107"/>
      <c r="Y116" s="107"/>
      <c r="Z116" s="107"/>
      <c r="AA116" s="107"/>
    </row>
    <row r="117">
      <c r="A117" s="110"/>
      <c r="B117" s="107"/>
      <c r="C117" s="107"/>
      <c r="D117" s="107"/>
      <c r="E117" s="107"/>
      <c r="F117" s="107"/>
      <c r="G117" s="107"/>
      <c r="H117" s="107"/>
      <c r="I117" s="107"/>
      <c r="J117" s="107"/>
      <c r="K117" s="107"/>
      <c r="L117" s="107"/>
      <c r="M117" s="107"/>
      <c r="N117" s="107"/>
      <c r="O117" s="107"/>
      <c r="P117" s="107"/>
      <c r="Q117" s="107"/>
      <c r="R117" s="107"/>
      <c r="S117" s="107"/>
      <c r="T117" s="107"/>
      <c r="U117" s="107"/>
      <c r="V117" s="107"/>
      <c r="W117" s="107"/>
      <c r="X117" s="107"/>
      <c r="Y117" s="107"/>
      <c r="Z117" s="107"/>
      <c r="AA117" s="107"/>
    </row>
    <row r="118">
      <c r="A118" s="110"/>
      <c r="B118" s="107"/>
      <c r="C118" s="107"/>
      <c r="D118" s="107"/>
      <c r="E118" s="107"/>
      <c r="F118" s="107"/>
      <c r="G118" s="107"/>
      <c r="H118" s="107"/>
      <c r="I118" s="107"/>
      <c r="J118" s="107"/>
      <c r="K118" s="107"/>
      <c r="L118" s="107"/>
      <c r="M118" s="107"/>
      <c r="N118" s="107"/>
      <c r="O118" s="107"/>
      <c r="P118" s="107"/>
      <c r="Q118" s="107"/>
      <c r="R118" s="107"/>
      <c r="S118" s="107"/>
      <c r="T118" s="107"/>
      <c r="U118" s="107"/>
      <c r="V118" s="107"/>
      <c r="W118" s="107"/>
      <c r="X118" s="107"/>
      <c r="Y118" s="107"/>
      <c r="Z118" s="107"/>
      <c r="AA118" s="107"/>
    </row>
    <row r="119">
      <c r="A119" s="110"/>
      <c r="B119" s="107"/>
      <c r="C119" s="107"/>
      <c r="D119" s="107"/>
      <c r="E119" s="107"/>
      <c r="F119" s="107"/>
      <c r="G119" s="107"/>
      <c r="H119" s="107"/>
      <c r="I119" s="107"/>
      <c r="J119" s="107"/>
      <c r="K119" s="107"/>
      <c r="L119" s="107"/>
      <c r="M119" s="107"/>
      <c r="N119" s="107"/>
      <c r="O119" s="107"/>
      <c r="P119" s="107"/>
      <c r="Q119" s="107"/>
      <c r="R119" s="107"/>
      <c r="S119" s="107"/>
      <c r="T119" s="107"/>
      <c r="U119" s="107"/>
      <c r="V119" s="107"/>
      <c r="W119" s="107"/>
      <c r="X119" s="107"/>
      <c r="Y119" s="107"/>
      <c r="Z119" s="107"/>
      <c r="AA119" s="107"/>
    </row>
    <row r="120">
      <c r="A120" s="110"/>
      <c r="B120" s="107"/>
      <c r="C120" s="107"/>
      <c r="D120" s="107"/>
      <c r="E120" s="107"/>
      <c r="F120" s="107"/>
      <c r="G120" s="107"/>
      <c r="H120" s="107"/>
      <c r="I120" s="107"/>
      <c r="J120" s="107"/>
      <c r="K120" s="107"/>
      <c r="L120" s="107"/>
      <c r="M120" s="107"/>
      <c r="N120" s="107"/>
      <c r="O120" s="107"/>
      <c r="P120" s="107"/>
      <c r="Q120" s="107"/>
      <c r="R120" s="107"/>
      <c r="S120" s="107"/>
      <c r="T120" s="107"/>
      <c r="U120" s="107"/>
      <c r="V120" s="107"/>
      <c r="W120" s="107"/>
      <c r="X120" s="107"/>
      <c r="Y120" s="107"/>
      <c r="Z120" s="107"/>
      <c r="AA120" s="107"/>
    </row>
    <row r="121">
      <c r="A121" s="110"/>
      <c r="B121" s="107"/>
      <c r="C121" s="107"/>
      <c r="D121" s="107"/>
      <c r="E121" s="107"/>
      <c r="F121" s="107"/>
      <c r="G121" s="107"/>
      <c r="H121" s="107"/>
      <c r="I121" s="107"/>
      <c r="J121" s="107"/>
      <c r="K121" s="107"/>
      <c r="L121" s="107"/>
      <c r="M121" s="107"/>
      <c r="N121" s="107"/>
      <c r="O121" s="107"/>
      <c r="P121" s="107"/>
      <c r="Q121" s="107"/>
      <c r="R121" s="107"/>
      <c r="S121" s="107"/>
      <c r="T121" s="107"/>
      <c r="U121" s="107"/>
      <c r="V121" s="107"/>
      <c r="W121" s="107"/>
      <c r="X121" s="107"/>
      <c r="Y121" s="107"/>
      <c r="Z121" s="107"/>
      <c r="AA121" s="107"/>
    </row>
    <row r="122">
      <c r="A122" s="110"/>
      <c r="B122" s="107"/>
      <c r="C122" s="107"/>
      <c r="D122" s="107"/>
      <c r="E122" s="107"/>
      <c r="F122" s="107"/>
      <c r="G122" s="107"/>
      <c r="H122" s="107"/>
      <c r="I122" s="107"/>
      <c r="J122" s="107"/>
      <c r="K122" s="107"/>
      <c r="L122" s="107"/>
      <c r="M122" s="107"/>
      <c r="N122" s="107"/>
      <c r="O122" s="107"/>
      <c r="P122" s="107"/>
      <c r="Q122" s="107"/>
      <c r="R122" s="107"/>
      <c r="S122" s="107"/>
      <c r="T122" s="107"/>
      <c r="U122" s="107"/>
      <c r="V122" s="107"/>
      <c r="W122" s="107"/>
      <c r="X122" s="107"/>
      <c r="Y122" s="107"/>
      <c r="Z122" s="107"/>
      <c r="AA122" s="107"/>
    </row>
    <row r="123">
      <c r="A123" s="110"/>
      <c r="B123" s="107"/>
      <c r="C123" s="107"/>
      <c r="D123" s="107"/>
      <c r="E123" s="107"/>
      <c r="F123" s="107"/>
      <c r="G123" s="107"/>
      <c r="H123" s="107"/>
      <c r="I123" s="107"/>
      <c r="J123" s="107"/>
      <c r="K123" s="107"/>
      <c r="L123" s="107"/>
      <c r="M123" s="107"/>
      <c r="N123" s="107"/>
      <c r="O123" s="107"/>
      <c r="P123" s="107"/>
      <c r="Q123" s="107"/>
      <c r="R123" s="107"/>
      <c r="S123" s="107"/>
      <c r="T123" s="107"/>
      <c r="U123" s="107"/>
      <c r="V123" s="107"/>
      <c r="W123" s="107"/>
      <c r="X123" s="107"/>
      <c r="Y123" s="107"/>
      <c r="Z123" s="107"/>
      <c r="AA123" s="107"/>
    </row>
    <row r="124">
      <c r="A124" s="110"/>
      <c r="B124" s="107"/>
      <c r="C124" s="107"/>
      <c r="D124" s="107"/>
      <c r="E124" s="107"/>
      <c r="F124" s="107"/>
      <c r="G124" s="107"/>
      <c r="H124" s="107"/>
      <c r="I124" s="107"/>
      <c r="J124" s="107"/>
      <c r="K124" s="107"/>
      <c r="L124" s="107"/>
      <c r="M124" s="107"/>
      <c r="N124" s="107"/>
      <c r="O124" s="107"/>
      <c r="P124" s="107"/>
      <c r="Q124" s="107"/>
      <c r="R124" s="107"/>
      <c r="S124" s="107"/>
      <c r="T124" s="107"/>
      <c r="U124" s="107"/>
      <c r="V124" s="107"/>
      <c r="W124" s="107"/>
      <c r="X124" s="107"/>
      <c r="Y124" s="107"/>
      <c r="Z124" s="107"/>
      <c r="AA124" s="107"/>
    </row>
    <row r="125">
      <c r="A125" s="110"/>
      <c r="B125" s="107"/>
      <c r="C125" s="107"/>
      <c r="D125" s="107"/>
      <c r="E125" s="107"/>
      <c r="F125" s="107"/>
      <c r="G125" s="107"/>
      <c r="H125" s="107"/>
      <c r="I125" s="107"/>
      <c r="J125" s="107"/>
      <c r="K125" s="107"/>
      <c r="L125" s="107"/>
      <c r="M125" s="107"/>
      <c r="N125" s="107"/>
      <c r="O125" s="107"/>
      <c r="P125" s="107"/>
      <c r="Q125" s="107"/>
      <c r="R125" s="107"/>
      <c r="S125" s="107"/>
      <c r="T125" s="107"/>
      <c r="U125" s="107"/>
      <c r="V125" s="107"/>
      <c r="W125" s="107"/>
      <c r="X125" s="107"/>
      <c r="Y125" s="107"/>
      <c r="Z125" s="107"/>
      <c r="AA125" s="107"/>
    </row>
    <row r="126">
      <c r="A126" s="110"/>
      <c r="B126" s="107"/>
      <c r="C126" s="107"/>
      <c r="D126" s="107"/>
      <c r="E126" s="107"/>
      <c r="F126" s="107"/>
      <c r="G126" s="107"/>
      <c r="H126" s="107"/>
      <c r="I126" s="107"/>
      <c r="J126" s="107"/>
      <c r="K126" s="107"/>
      <c r="L126" s="107"/>
      <c r="M126" s="107"/>
      <c r="N126" s="107"/>
      <c r="O126" s="107"/>
      <c r="P126" s="107"/>
      <c r="Q126" s="107"/>
      <c r="R126" s="107"/>
      <c r="S126" s="107"/>
      <c r="T126" s="107"/>
      <c r="U126" s="107"/>
      <c r="V126" s="107"/>
      <c r="W126" s="107"/>
      <c r="X126" s="107"/>
      <c r="Y126" s="107"/>
      <c r="Z126" s="107"/>
      <c r="AA126" s="107"/>
    </row>
    <row r="127">
      <c r="A127" s="110"/>
      <c r="B127" s="107"/>
      <c r="C127" s="107"/>
      <c r="D127" s="107"/>
      <c r="E127" s="107"/>
      <c r="F127" s="107"/>
      <c r="G127" s="107"/>
      <c r="H127" s="107"/>
      <c r="I127" s="107"/>
      <c r="J127" s="107"/>
      <c r="K127" s="107"/>
      <c r="L127" s="107"/>
      <c r="M127" s="107"/>
      <c r="N127" s="107"/>
      <c r="O127" s="107"/>
      <c r="P127" s="107"/>
      <c r="Q127" s="107"/>
      <c r="R127" s="107"/>
      <c r="S127" s="107"/>
      <c r="T127" s="107"/>
      <c r="U127" s="107"/>
      <c r="V127" s="107"/>
      <c r="W127" s="107"/>
      <c r="X127" s="107"/>
      <c r="Y127" s="107"/>
      <c r="Z127" s="107"/>
      <c r="AA127" s="107"/>
    </row>
    <row r="128">
      <c r="A128" s="110"/>
      <c r="B128" s="107"/>
      <c r="C128" s="107"/>
      <c r="D128" s="107"/>
      <c r="E128" s="107"/>
      <c r="F128" s="107"/>
      <c r="G128" s="107"/>
      <c r="H128" s="107"/>
      <c r="I128" s="107"/>
      <c r="J128" s="107"/>
      <c r="K128" s="107"/>
      <c r="L128" s="107"/>
      <c r="M128" s="107"/>
      <c r="N128" s="107"/>
      <c r="O128" s="107"/>
      <c r="P128" s="107"/>
      <c r="Q128" s="107"/>
      <c r="R128" s="107"/>
      <c r="S128" s="107"/>
      <c r="T128" s="107"/>
      <c r="U128" s="107"/>
      <c r="V128" s="107"/>
      <c r="W128" s="107"/>
      <c r="X128" s="107"/>
      <c r="Y128" s="107"/>
      <c r="Z128" s="107"/>
      <c r="AA128" s="107"/>
    </row>
    <row r="129">
      <c r="A129" s="110"/>
      <c r="B129" s="107"/>
      <c r="C129" s="107"/>
      <c r="D129" s="107"/>
      <c r="E129" s="107"/>
      <c r="F129" s="107"/>
      <c r="G129" s="107"/>
      <c r="H129" s="107"/>
      <c r="I129" s="107"/>
      <c r="J129" s="107"/>
      <c r="K129" s="107"/>
      <c r="L129" s="107"/>
      <c r="M129" s="107"/>
      <c r="N129" s="107"/>
      <c r="O129" s="107"/>
      <c r="P129" s="107"/>
      <c r="Q129" s="107"/>
      <c r="R129" s="107"/>
      <c r="S129" s="107"/>
      <c r="T129" s="107"/>
      <c r="U129" s="107"/>
      <c r="V129" s="107"/>
      <c r="W129" s="107"/>
      <c r="X129" s="107"/>
      <c r="Y129" s="107"/>
      <c r="Z129" s="107"/>
      <c r="AA129" s="107"/>
    </row>
    <row r="130">
      <c r="A130" s="110"/>
      <c r="B130" s="107"/>
      <c r="C130" s="107"/>
      <c r="D130" s="107"/>
      <c r="E130" s="107"/>
      <c r="F130" s="107"/>
      <c r="G130" s="107"/>
      <c r="H130" s="107"/>
      <c r="I130" s="107"/>
      <c r="J130" s="107"/>
      <c r="K130" s="107"/>
      <c r="L130" s="107"/>
      <c r="M130" s="107"/>
      <c r="N130" s="107"/>
      <c r="O130" s="107"/>
      <c r="P130" s="107"/>
      <c r="Q130" s="107"/>
      <c r="R130" s="107"/>
      <c r="S130" s="107"/>
      <c r="T130" s="107"/>
      <c r="U130" s="107"/>
      <c r="V130" s="107"/>
      <c r="W130" s="107"/>
      <c r="X130" s="107"/>
      <c r="Y130" s="107"/>
      <c r="Z130" s="107"/>
      <c r="AA130" s="107"/>
    </row>
    <row r="131">
      <c r="A131" s="110"/>
      <c r="B131" s="107"/>
      <c r="C131" s="107"/>
      <c r="D131" s="107"/>
      <c r="E131" s="107"/>
      <c r="F131" s="107"/>
      <c r="G131" s="107"/>
      <c r="H131" s="107"/>
      <c r="I131" s="107"/>
      <c r="J131" s="107"/>
      <c r="K131" s="107"/>
      <c r="L131" s="107"/>
      <c r="M131" s="107"/>
      <c r="N131" s="107"/>
      <c r="O131" s="107"/>
      <c r="P131" s="107"/>
      <c r="Q131" s="107"/>
      <c r="R131" s="107"/>
      <c r="S131" s="107"/>
      <c r="T131" s="107"/>
      <c r="U131" s="107"/>
      <c r="V131" s="107"/>
      <c r="W131" s="107"/>
      <c r="X131" s="107"/>
      <c r="Y131" s="107"/>
      <c r="Z131" s="107"/>
      <c r="AA131" s="107"/>
    </row>
    <row r="132">
      <c r="A132" s="110"/>
      <c r="B132" s="107"/>
      <c r="C132" s="107"/>
      <c r="D132" s="107"/>
      <c r="E132" s="107"/>
      <c r="F132" s="107"/>
      <c r="G132" s="107"/>
      <c r="H132" s="107"/>
      <c r="I132" s="107"/>
      <c r="J132" s="107"/>
      <c r="K132" s="107"/>
      <c r="L132" s="107"/>
      <c r="M132" s="107"/>
      <c r="N132" s="107"/>
      <c r="O132" s="107"/>
      <c r="P132" s="107"/>
      <c r="Q132" s="107"/>
      <c r="R132" s="107"/>
      <c r="S132" s="107"/>
      <c r="T132" s="107"/>
      <c r="U132" s="107"/>
      <c r="V132" s="107"/>
      <c r="W132" s="107"/>
      <c r="X132" s="107"/>
      <c r="Y132" s="107"/>
      <c r="Z132" s="107"/>
      <c r="AA132" s="107"/>
    </row>
    <row r="133">
      <c r="A133" s="110"/>
      <c r="B133" s="107"/>
      <c r="C133" s="107"/>
      <c r="D133" s="107"/>
      <c r="E133" s="107"/>
      <c r="F133" s="107"/>
      <c r="G133" s="107"/>
      <c r="H133" s="107"/>
      <c r="I133" s="107"/>
      <c r="J133" s="107"/>
      <c r="K133" s="107"/>
      <c r="L133" s="107"/>
      <c r="M133" s="107"/>
      <c r="N133" s="107"/>
      <c r="O133" s="107"/>
      <c r="P133" s="107"/>
      <c r="Q133" s="107"/>
      <c r="R133" s="107"/>
      <c r="S133" s="107"/>
      <c r="T133" s="107"/>
      <c r="U133" s="107"/>
      <c r="V133" s="107"/>
      <c r="W133" s="107"/>
      <c r="X133" s="107"/>
      <c r="Y133" s="107"/>
      <c r="Z133" s="107"/>
      <c r="AA133" s="107"/>
    </row>
    <row r="134">
      <c r="A134" s="110"/>
      <c r="B134" s="107"/>
      <c r="C134" s="107"/>
      <c r="D134" s="107"/>
      <c r="E134" s="107"/>
      <c r="F134" s="107"/>
      <c r="G134" s="107"/>
      <c r="H134" s="107"/>
      <c r="I134" s="107"/>
      <c r="J134" s="107"/>
      <c r="K134" s="107"/>
      <c r="L134" s="107"/>
      <c r="M134" s="107"/>
      <c r="N134" s="107"/>
      <c r="O134" s="107"/>
      <c r="P134" s="107"/>
      <c r="Q134" s="107"/>
      <c r="R134" s="107"/>
      <c r="S134" s="107"/>
      <c r="T134" s="107"/>
      <c r="U134" s="107"/>
      <c r="V134" s="107"/>
      <c r="W134" s="107"/>
      <c r="X134" s="107"/>
      <c r="Y134" s="107"/>
      <c r="Z134" s="107"/>
      <c r="AA134" s="107"/>
    </row>
    <row r="135">
      <c r="A135" s="110"/>
      <c r="B135" s="107"/>
      <c r="C135" s="107"/>
      <c r="D135" s="107"/>
      <c r="E135" s="107"/>
      <c r="F135" s="107"/>
      <c r="G135" s="107"/>
      <c r="H135" s="107"/>
      <c r="I135" s="107"/>
      <c r="J135" s="107"/>
      <c r="K135" s="107"/>
      <c r="L135" s="107"/>
      <c r="M135" s="107"/>
      <c r="N135" s="107"/>
      <c r="O135" s="107"/>
      <c r="P135" s="107"/>
      <c r="Q135" s="107"/>
      <c r="R135" s="107"/>
      <c r="S135" s="107"/>
      <c r="T135" s="107"/>
      <c r="U135" s="107"/>
      <c r="V135" s="107"/>
      <c r="W135" s="107"/>
      <c r="X135" s="107"/>
      <c r="Y135" s="107"/>
      <c r="Z135" s="107"/>
      <c r="AA135" s="107"/>
    </row>
    <row r="136">
      <c r="A136" s="110"/>
      <c r="B136" s="107"/>
      <c r="C136" s="107"/>
      <c r="D136" s="107"/>
      <c r="E136" s="107"/>
      <c r="F136" s="107"/>
      <c r="G136" s="107"/>
      <c r="H136" s="107"/>
      <c r="I136" s="107"/>
      <c r="J136" s="107"/>
      <c r="K136" s="107"/>
      <c r="L136" s="107"/>
      <c r="M136" s="107"/>
      <c r="N136" s="107"/>
      <c r="O136" s="107"/>
      <c r="P136" s="107"/>
      <c r="Q136" s="107"/>
      <c r="R136" s="107"/>
      <c r="S136" s="107"/>
      <c r="T136" s="107"/>
      <c r="U136" s="107"/>
      <c r="V136" s="107"/>
      <c r="W136" s="107"/>
      <c r="X136" s="107"/>
      <c r="Y136" s="107"/>
      <c r="Z136" s="107"/>
      <c r="AA136" s="107"/>
    </row>
    <row r="137">
      <c r="A137" s="110"/>
      <c r="B137" s="107"/>
      <c r="C137" s="107"/>
      <c r="D137" s="107"/>
      <c r="E137" s="107"/>
      <c r="F137" s="107"/>
      <c r="G137" s="107"/>
      <c r="H137" s="107"/>
      <c r="I137" s="107"/>
      <c r="J137" s="107"/>
      <c r="K137" s="107"/>
      <c r="L137" s="107"/>
      <c r="M137" s="107"/>
      <c r="N137" s="107"/>
      <c r="O137" s="107"/>
      <c r="P137" s="107"/>
      <c r="Q137" s="107"/>
      <c r="R137" s="107"/>
      <c r="S137" s="107"/>
      <c r="T137" s="107"/>
      <c r="U137" s="107"/>
      <c r="V137" s="107"/>
      <c r="W137" s="107"/>
      <c r="X137" s="107"/>
      <c r="Y137" s="107"/>
      <c r="Z137" s="107"/>
      <c r="AA137" s="107"/>
    </row>
    <row r="138">
      <c r="A138" s="110"/>
      <c r="B138" s="107"/>
      <c r="C138" s="107"/>
      <c r="D138" s="107"/>
      <c r="E138" s="107"/>
      <c r="F138" s="107"/>
      <c r="G138" s="107"/>
      <c r="H138" s="107"/>
      <c r="I138" s="107"/>
      <c r="J138" s="107"/>
      <c r="K138" s="107"/>
      <c r="L138" s="107"/>
      <c r="M138" s="107"/>
      <c r="N138" s="107"/>
      <c r="O138" s="107"/>
      <c r="P138" s="107"/>
      <c r="Q138" s="107"/>
      <c r="R138" s="107"/>
      <c r="S138" s="107"/>
      <c r="T138" s="107"/>
      <c r="U138" s="107"/>
      <c r="V138" s="107"/>
      <c r="W138" s="107"/>
      <c r="X138" s="107"/>
      <c r="Y138" s="107"/>
      <c r="Z138" s="107"/>
      <c r="AA138" s="107"/>
    </row>
    <row r="139">
      <c r="A139" s="110"/>
      <c r="B139" s="107"/>
      <c r="C139" s="107"/>
      <c r="D139" s="107"/>
      <c r="E139" s="107"/>
      <c r="F139" s="107"/>
      <c r="G139" s="107"/>
      <c r="H139" s="107"/>
      <c r="I139" s="107"/>
      <c r="J139" s="107"/>
      <c r="K139" s="107"/>
      <c r="L139" s="107"/>
      <c r="M139" s="107"/>
      <c r="N139" s="107"/>
      <c r="O139" s="107"/>
      <c r="P139" s="107"/>
      <c r="Q139" s="107"/>
      <c r="R139" s="107"/>
      <c r="S139" s="107"/>
      <c r="T139" s="107"/>
      <c r="U139" s="107"/>
      <c r="V139" s="107"/>
      <c r="W139" s="107"/>
      <c r="X139" s="107"/>
      <c r="Y139" s="107"/>
      <c r="Z139" s="107"/>
      <c r="AA139" s="107"/>
    </row>
    <row r="140">
      <c r="A140" s="110"/>
      <c r="B140" s="107"/>
      <c r="C140" s="107"/>
      <c r="D140" s="107"/>
      <c r="E140" s="107"/>
      <c r="F140" s="107"/>
      <c r="G140" s="107"/>
      <c r="H140" s="107"/>
      <c r="I140" s="107"/>
      <c r="J140" s="107"/>
      <c r="K140" s="107"/>
      <c r="L140" s="107"/>
      <c r="M140" s="107"/>
      <c r="N140" s="107"/>
      <c r="O140" s="107"/>
      <c r="P140" s="107"/>
      <c r="Q140" s="107"/>
      <c r="R140" s="107"/>
      <c r="S140" s="107"/>
      <c r="T140" s="107"/>
      <c r="U140" s="107"/>
      <c r="V140" s="107"/>
      <c r="W140" s="107"/>
      <c r="X140" s="107"/>
      <c r="Y140" s="107"/>
      <c r="Z140" s="107"/>
      <c r="AA140" s="107"/>
    </row>
    <row r="141">
      <c r="A141" s="110"/>
      <c r="B141" s="107"/>
      <c r="C141" s="107"/>
      <c r="D141" s="107"/>
      <c r="E141" s="107"/>
      <c r="F141" s="107"/>
      <c r="G141" s="107"/>
      <c r="H141" s="107"/>
      <c r="I141" s="107"/>
      <c r="J141" s="107"/>
      <c r="K141" s="107"/>
      <c r="L141" s="107"/>
      <c r="M141" s="107"/>
      <c r="N141" s="107"/>
      <c r="O141" s="107"/>
      <c r="P141" s="107"/>
      <c r="Q141" s="107"/>
      <c r="R141" s="107"/>
      <c r="S141" s="107"/>
      <c r="T141" s="107"/>
      <c r="U141" s="107"/>
      <c r="V141" s="107"/>
      <c r="W141" s="107"/>
      <c r="X141" s="107"/>
      <c r="Y141" s="107"/>
      <c r="Z141" s="107"/>
      <c r="AA141" s="107"/>
    </row>
    <row r="142">
      <c r="A142" s="110"/>
      <c r="B142" s="107"/>
      <c r="C142" s="107"/>
      <c r="D142" s="107"/>
      <c r="E142" s="107"/>
      <c r="F142" s="107"/>
      <c r="G142" s="107"/>
      <c r="H142" s="107"/>
      <c r="I142" s="107"/>
      <c r="J142" s="107"/>
      <c r="K142" s="107"/>
      <c r="L142" s="107"/>
      <c r="M142" s="107"/>
      <c r="N142" s="107"/>
      <c r="O142" s="107"/>
      <c r="P142" s="107"/>
      <c r="Q142" s="107"/>
      <c r="R142" s="107"/>
      <c r="S142" s="107"/>
      <c r="T142" s="107"/>
      <c r="U142" s="107"/>
      <c r="V142" s="107"/>
      <c r="W142" s="107"/>
      <c r="X142" s="107"/>
      <c r="Y142" s="107"/>
      <c r="Z142" s="107"/>
      <c r="AA142" s="107"/>
    </row>
    <row r="143">
      <c r="A143" s="110"/>
      <c r="B143" s="107"/>
      <c r="C143" s="107"/>
      <c r="D143" s="107"/>
      <c r="E143" s="107"/>
      <c r="F143" s="107"/>
      <c r="G143" s="107"/>
      <c r="H143" s="107"/>
      <c r="I143" s="107"/>
      <c r="J143" s="107"/>
      <c r="K143" s="107"/>
      <c r="L143" s="107"/>
      <c r="M143" s="107"/>
      <c r="N143" s="107"/>
      <c r="O143" s="107"/>
      <c r="P143" s="107"/>
      <c r="Q143" s="107"/>
      <c r="R143" s="107"/>
      <c r="S143" s="107"/>
      <c r="T143" s="107"/>
      <c r="U143" s="107"/>
      <c r="V143" s="107"/>
      <c r="W143" s="107"/>
      <c r="X143" s="107"/>
      <c r="Y143" s="107"/>
      <c r="Z143" s="107"/>
      <c r="AA143" s="107"/>
    </row>
    <row r="144">
      <c r="A144" s="110"/>
      <c r="B144" s="107"/>
      <c r="C144" s="107"/>
      <c r="D144" s="107"/>
      <c r="E144" s="107"/>
      <c r="F144" s="107"/>
      <c r="G144" s="107"/>
      <c r="H144" s="107"/>
      <c r="I144" s="107"/>
      <c r="J144" s="107"/>
      <c r="K144" s="107"/>
      <c r="L144" s="107"/>
      <c r="M144" s="107"/>
      <c r="N144" s="107"/>
      <c r="O144" s="107"/>
      <c r="P144" s="107"/>
      <c r="Q144" s="107"/>
      <c r="R144" s="107"/>
      <c r="S144" s="107"/>
      <c r="T144" s="107"/>
      <c r="U144" s="107"/>
      <c r="V144" s="107"/>
      <c r="W144" s="107"/>
      <c r="X144" s="107"/>
      <c r="Y144" s="107"/>
      <c r="Z144" s="107"/>
      <c r="AA144" s="107"/>
    </row>
    <row r="145">
      <c r="A145" s="110"/>
      <c r="B145" s="107"/>
      <c r="C145" s="107"/>
      <c r="D145" s="107"/>
      <c r="E145" s="107"/>
      <c r="F145" s="107"/>
      <c r="G145" s="107"/>
      <c r="H145" s="107"/>
      <c r="I145" s="107"/>
      <c r="J145" s="107"/>
      <c r="K145" s="107"/>
      <c r="L145" s="107"/>
      <c r="M145" s="107"/>
      <c r="N145" s="107"/>
      <c r="O145" s="107"/>
      <c r="P145" s="107"/>
      <c r="Q145" s="107"/>
      <c r="R145" s="107"/>
      <c r="S145" s="107"/>
      <c r="T145" s="107"/>
      <c r="U145" s="107"/>
      <c r="V145" s="107"/>
      <c r="W145" s="107"/>
      <c r="X145" s="107"/>
      <c r="Y145" s="107"/>
      <c r="Z145" s="107"/>
      <c r="AA145" s="107"/>
    </row>
    <row r="146">
      <c r="A146" s="110"/>
      <c r="B146" s="107"/>
      <c r="C146" s="107"/>
      <c r="D146" s="107"/>
      <c r="E146" s="107"/>
      <c r="F146" s="107"/>
      <c r="G146" s="107"/>
      <c r="H146" s="107"/>
      <c r="I146" s="107"/>
      <c r="J146" s="107"/>
      <c r="K146" s="107"/>
      <c r="L146" s="107"/>
      <c r="M146" s="107"/>
      <c r="N146" s="107"/>
      <c r="O146" s="107"/>
      <c r="P146" s="107"/>
      <c r="Q146" s="107"/>
      <c r="R146" s="107"/>
      <c r="S146" s="107"/>
      <c r="T146" s="107"/>
      <c r="U146" s="107"/>
      <c r="V146" s="107"/>
      <c r="W146" s="107"/>
      <c r="X146" s="107"/>
      <c r="Y146" s="107"/>
      <c r="Z146" s="107"/>
      <c r="AA146" s="107"/>
    </row>
    <row r="147">
      <c r="A147" s="110"/>
      <c r="B147" s="107"/>
      <c r="C147" s="107"/>
      <c r="D147" s="107"/>
      <c r="E147" s="107"/>
      <c r="F147" s="107"/>
      <c r="G147" s="107"/>
      <c r="H147" s="107"/>
      <c r="I147" s="107"/>
      <c r="J147" s="107"/>
      <c r="K147" s="107"/>
      <c r="L147" s="107"/>
      <c r="M147" s="107"/>
      <c r="N147" s="107"/>
      <c r="O147" s="107"/>
      <c r="P147" s="107"/>
      <c r="Q147" s="107"/>
      <c r="R147" s="107"/>
      <c r="S147" s="107"/>
      <c r="T147" s="107"/>
      <c r="U147" s="107"/>
      <c r="V147" s="107"/>
      <c r="W147" s="107"/>
      <c r="X147" s="107"/>
      <c r="Y147" s="107"/>
      <c r="Z147" s="107"/>
      <c r="AA147" s="107"/>
    </row>
    <row r="148">
      <c r="A148" s="110"/>
      <c r="B148" s="107"/>
      <c r="C148" s="107"/>
      <c r="D148" s="107"/>
      <c r="E148" s="107"/>
      <c r="F148" s="107"/>
      <c r="G148" s="107"/>
      <c r="H148" s="107"/>
      <c r="I148" s="107"/>
      <c r="J148" s="107"/>
      <c r="K148" s="107"/>
      <c r="L148" s="107"/>
      <c r="M148" s="107"/>
      <c r="N148" s="107"/>
      <c r="O148" s="107"/>
      <c r="P148" s="107"/>
      <c r="Q148" s="107"/>
      <c r="R148" s="107"/>
      <c r="S148" s="107"/>
      <c r="T148" s="107"/>
      <c r="U148" s="107"/>
      <c r="V148" s="107"/>
      <c r="W148" s="107"/>
      <c r="X148" s="107"/>
      <c r="Y148" s="107"/>
      <c r="Z148" s="107"/>
      <c r="AA148" s="107"/>
    </row>
    <row r="149">
      <c r="A149" s="110"/>
      <c r="B149" s="107"/>
      <c r="C149" s="107"/>
      <c r="D149" s="107"/>
      <c r="E149" s="107"/>
      <c r="F149" s="107"/>
      <c r="G149" s="107"/>
      <c r="H149" s="107"/>
      <c r="I149" s="107"/>
      <c r="J149" s="107"/>
      <c r="K149" s="107"/>
      <c r="L149" s="107"/>
      <c r="M149" s="107"/>
      <c r="N149" s="107"/>
      <c r="O149" s="107"/>
      <c r="P149" s="107"/>
      <c r="Q149" s="107"/>
      <c r="R149" s="107"/>
      <c r="S149" s="107"/>
      <c r="T149" s="107"/>
      <c r="U149" s="107"/>
      <c r="V149" s="107"/>
      <c r="W149" s="107"/>
      <c r="X149" s="107"/>
      <c r="Y149" s="107"/>
      <c r="Z149" s="107"/>
      <c r="AA149" s="107"/>
    </row>
    <row r="150">
      <c r="A150" s="110"/>
      <c r="B150" s="107"/>
      <c r="C150" s="107"/>
      <c r="D150" s="107"/>
      <c r="E150" s="107"/>
      <c r="F150" s="107"/>
      <c r="G150" s="107"/>
      <c r="H150" s="107"/>
      <c r="I150" s="107"/>
      <c r="J150" s="107"/>
      <c r="K150" s="107"/>
      <c r="L150" s="107"/>
      <c r="M150" s="107"/>
      <c r="N150" s="107"/>
      <c r="O150" s="107"/>
      <c r="P150" s="107"/>
      <c r="Q150" s="107"/>
      <c r="R150" s="107"/>
      <c r="S150" s="107"/>
      <c r="T150" s="107"/>
      <c r="U150" s="107"/>
      <c r="V150" s="107"/>
      <c r="W150" s="107"/>
      <c r="X150" s="107"/>
      <c r="Y150" s="107"/>
      <c r="Z150" s="107"/>
      <c r="AA150" s="107"/>
    </row>
    <row r="151">
      <c r="A151" s="110"/>
      <c r="B151" s="107"/>
      <c r="C151" s="107"/>
      <c r="D151" s="107"/>
      <c r="E151" s="107"/>
      <c r="F151" s="107"/>
      <c r="G151" s="107"/>
      <c r="H151" s="107"/>
      <c r="I151" s="107"/>
      <c r="J151" s="107"/>
      <c r="K151" s="107"/>
      <c r="L151" s="107"/>
      <c r="M151" s="107"/>
      <c r="N151" s="107"/>
      <c r="O151" s="107"/>
      <c r="P151" s="107"/>
      <c r="Q151" s="107"/>
      <c r="R151" s="107"/>
      <c r="S151" s="107"/>
      <c r="T151" s="107"/>
      <c r="U151" s="107"/>
      <c r="V151" s="107"/>
      <c r="W151" s="107"/>
      <c r="X151" s="107"/>
      <c r="Y151" s="107"/>
      <c r="Z151" s="107"/>
      <c r="AA151" s="107"/>
    </row>
    <row r="152">
      <c r="A152" s="110"/>
      <c r="B152" s="107"/>
      <c r="C152" s="107"/>
      <c r="D152" s="107"/>
      <c r="E152" s="107"/>
      <c r="F152" s="107"/>
      <c r="G152" s="107"/>
      <c r="H152" s="107"/>
      <c r="I152" s="107"/>
      <c r="J152" s="107"/>
      <c r="K152" s="107"/>
      <c r="L152" s="107"/>
      <c r="M152" s="107"/>
      <c r="N152" s="107"/>
      <c r="O152" s="107"/>
      <c r="P152" s="107"/>
      <c r="Q152" s="107"/>
      <c r="R152" s="107"/>
      <c r="S152" s="107"/>
      <c r="T152" s="107"/>
      <c r="U152" s="107"/>
      <c r="V152" s="107"/>
      <c r="W152" s="107"/>
      <c r="X152" s="107"/>
      <c r="Y152" s="107"/>
      <c r="Z152" s="107"/>
      <c r="AA152" s="107"/>
    </row>
    <row r="153">
      <c r="A153" s="110"/>
      <c r="B153" s="107"/>
      <c r="C153" s="107"/>
      <c r="D153" s="107"/>
      <c r="E153" s="107"/>
      <c r="F153" s="107"/>
      <c r="G153" s="107"/>
      <c r="H153" s="107"/>
      <c r="I153" s="107"/>
      <c r="J153" s="107"/>
      <c r="K153" s="107"/>
      <c r="L153" s="107"/>
      <c r="M153" s="107"/>
      <c r="N153" s="107"/>
      <c r="O153" s="107"/>
      <c r="P153" s="107"/>
      <c r="Q153" s="107"/>
      <c r="R153" s="107"/>
      <c r="S153" s="107"/>
      <c r="T153" s="107"/>
      <c r="U153" s="107"/>
      <c r="V153" s="107"/>
      <c r="W153" s="107"/>
      <c r="X153" s="107"/>
      <c r="Y153" s="107"/>
      <c r="Z153" s="107"/>
      <c r="AA153" s="107"/>
    </row>
    <row r="154">
      <c r="A154" s="110"/>
      <c r="B154" s="107"/>
      <c r="C154" s="107"/>
      <c r="D154" s="107"/>
      <c r="E154" s="107"/>
      <c r="F154" s="107"/>
      <c r="G154" s="107"/>
      <c r="H154" s="107"/>
      <c r="I154" s="107"/>
      <c r="J154" s="107"/>
      <c r="K154" s="107"/>
      <c r="L154" s="107"/>
      <c r="M154" s="107"/>
      <c r="N154" s="107"/>
      <c r="O154" s="107"/>
      <c r="P154" s="107"/>
      <c r="Q154" s="107"/>
      <c r="R154" s="107"/>
      <c r="S154" s="107"/>
      <c r="T154" s="107"/>
      <c r="U154" s="107"/>
      <c r="V154" s="107"/>
      <c r="W154" s="107"/>
      <c r="X154" s="107"/>
      <c r="Y154" s="107"/>
      <c r="Z154" s="107"/>
      <c r="AA154" s="107"/>
    </row>
    <row r="155">
      <c r="A155" s="110"/>
      <c r="B155" s="107"/>
      <c r="C155" s="107"/>
      <c r="D155" s="107"/>
      <c r="E155" s="107"/>
      <c r="F155" s="107"/>
      <c r="G155" s="107"/>
      <c r="H155" s="107"/>
      <c r="I155" s="107"/>
      <c r="J155" s="107"/>
      <c r="K155" s="107"/>
      <c r="L155" s="107"/>
      <c r="M155" s="107"/>
      <c r="N155" s="107"/>
      <c r="O155" s="107"/>
      <c r="P155" s="107"/>
      <c r="Q155" s="107"/>
      <c r="R155" s="107"/>
      <c r="S155" s="107"/>
      <c r="T155" s="107"/>
      <c r="U155" s="107"/>
      <c r="V155" s="107"/>
      <c r="W155" s="107"/>
      <c r="X155" s="107"/>
      <c r="Y155" s="107"/>
      <c r="Z155" s="107"/>
      <c r="AA155" s="107"/>
    </row>
    <row r="156">
      <c r="A156" s="110"/>
      <c r="B156" s="107"/>
      <c r="C156" s="107"/>
      <c r="D156" s="107"/>
      <c r="E156" s="107"/>
      <c r="F156" s="107"/>
      <c r="G156" s="107"/>
      <c r="H156" s="107"/>
      <c r="I156" s="107"/>
      <c r="J156" s="107"/>
      <c r="K156" s="107"/>
      <c r="L156" s="107"/>
      <c r="M156" s="107"/>
      <c r="N156" s="107"/>
      <c r="O156" s="107"/>
      <c r="P156" s="107"/>
      <c r="Q156" s="107"/>
      <c r="R156" s="107"/>
      <c r="S156" s="107"/>
      <c r="T156" s="107"/>
      <c r="U156" s="107"/>
      <c r="V156" s="107"/>
      <c r="W156" s="107"/>
      <c r="X156" s="107"/>
      <c r="Y156" s="107"/>
      <c r="Z156" s="107"/>
      <c r="AA156" s="107"/>
    </row>
    <row r="157">
      <c r="A157" s="110"/>
      <c r="B157" s="107"/>
      <c r="C157" s="107"/>
      <c r="D157" s="107"/>
      <c r="E157" s="107"/>
      <c r="F157" s="107"/>
      <c r="G157" s="107"/>
      <c r="H157" s="107"/>
      <c r="I157" s="107"/>
      <c r="J157" s="107"/>
      <c r="K157" s="107"/>
      <c r="L157" s="107"/>
      <c r="M157" s="107"/>
      <c r="N157" s="107"/>
      <c r="O157" s="107"/>
      <c r="P157" s="107"/>
      <c r="Q157" s="107"/>
      <c r="R157" s="107"/>
      <c r="S157" s="107"/>
      <c r="T157" s="107"/>
      <c r="U157" s="107"/>
      <c r="V157" s="107"/>
      <c r="W157" s="107"/>
      <c r="X157" s="107"/>
      <c r="Y157" s="107"/>
      <c r="Z157" s="107"/>
      <c r="AA157" s="107"/>
    </row>
    <row r="158">
      <c r="A158" s="110"/>
      <c r="B158" s="107"/>
      <c r="C158" s="107"/>
      <c r="D158" s="107"/>
      <c r="E158" s="107"/>
      <c r="F158" s="107"/>
      <c r="G158" s="107"/>
      <c r="H158" s="107"/>
      <c r="I158" s="107"/>
      <c r="J158" s="107"/>
      <c r="K158" s="107"/>
      <c r="L158" s="107"/>
      <c r="M158" s="107"/>
      <c r="N158" s="107"/>
      <c r="O158" s="107"/>
      <c r="P158" s="107"/>
      <c r="Q158" s="107"/>
      <c r="R158" s="107"/>
      <c r="S158" s="107"/>
      <c r="T158" s="107"/>
      <c r="U158" s="107"/>
      <c r="V158" s="107"/>
      <c r="W158" s="107"/>
      <c r="X158" s="107"/>
      <c r="Y158" s="107"/>
      <c r="Z158" s="107"/>
      <c r="AA158" s="107"/>
    </row>
    <row r="159">
      <c r="A159" s="110"/>
      <c r="B159" s="107"/>
      <c r="C159" s="107"/>
      <c r="D159" s="107"/>
      <c r="E159" s="107"/>
      <c r="F159" s="107"/>
      <c r="G159" s="107"/>
      <c r="H159" s="107"/>
      <c r="I159" s="107"/>
      <c r="J159" s="107"/>
      <c r="K159" s="107"/>
      <c r="L159" s="107"/>
      <c r="M159" s="107"/>
      <c r="N159" s="107"/>
      <c r="O159" s="107"/>
      <c r="P159" s="107"/>
      <c r="Q159" s="107"/>
      <c r="R159" s="107"/>
      <c r="S159" s="107"/>
      <c r="T159" s="107"/>
      <c r="U159" s="107"/>
      <c r="V159" s="107"/>
      <c r="W159" s="107"/>
      <c r="X159" s="107"/>
      <c r="Y159" s="107"/>
      <c r="Z159" s="107"/>
      <c r="AA159" s="107"/>
    </row>
    <row r="160">
      <c r="A160" s="110"/>
      <c r="B160" s="107"/>
      <c r="C160" s="107"/>
      <c r="D160" s="107"/>
      <c r="E160" s="107"/>
      <c r="F160" s="107"/>
      <c r="G160" s="107"/>
      <c r="H160" s="107"/>
      <c r="I160" s="107"/>
      <c r="J160" s="107"/>
      <c r="K160" s="107"/>
      <c r="L160" s="107"/>
      <c r="M160" s="107"/>
      <c r="N160" s="107"/>
      <c r="O160" s="107"/>
      <c r="P160" s="107"/>
      <c r="Q160" s="107"/>
      <c r="R160" s="107"/>
      <c r="S160" s="107"/>
      <c r="T160" s="107"/>
      <c r="U160" s="107"/>
      <c r="V160" s="107"/>
      <c r="W160" s="107"/>
      <c r="X160" s="107"/>
      <c r="Y160" s="107"/>
      <c r="Z160" s="107"/>
      <c r="AA160" s="107"/>
    </row>
    <row r="161">
      <c r="A161" s="110"/>
      <c r="B161" s="107"/>
      <c r="C161" s="107"/>
      <c r="D161" s="107"/>
      <c r="E161" s="107"/>
      <c r="F161" s="107"/>
      <c r="G161" s="107"/>
      <c r="H161" s="107"/>
      <c r="I161" s="107"/>
      <c r="J161" s="107"/>
      <c r="K161" s="107"/>
      <c r="L161" s="107"/>
      <c r="M161" s="107"/>
      <c r="N161" s="107"/>
      <c r="O161" s="107"/>
      <c r="P161" s="107"/>
      <c r="Q161" s="107"/>
      <c r="R161" s="107"/>
      <c r="S161" s="107"/>
      <c r="T161" s="107"/>
      <c r="U161" s="107"/>
      <c r="V161" s="107"/>
      <c r="W161" s="107"/>
      <c r="X161" s="107"/>
      <c r="Y161" s="107"/>
      <c r="Z161" s="107"/>
      <c r="AA161" s="107"/>
    </row>
    <row r="162">
      <c r="A162" s="110"/>
      <c r="B162" s="107"/>
      <c r="C162" s="107"/>
      <c r="D162" s="107"/>
      <c r="E162" s="107"/>
      <c r="F162" s="107"/>
      <c r="G162" s="107"/>
      <c r="H162" s="107"/>
      <c r="I162" s="107"/>
      <c r="J162" s="107"/>
      <c r="K162" s="107"/>
      <c r="L162" s="107"/>
      <c r="M162" s="107"/>
      <c r="N162" s="107"/>
      <c r="O162" s="107"/>
      <c r="P162" s="107"/>
      <c r="Q162" s="107"/>
      <c r="R162" s="107"/>
      <c r="S162" s="107"/>
      <c r="T162" s="107"/>
      <c r="U162" s="107"/>
      <c r="V162" s="107"/>
      <c r="W162" s="107"/>
      <c r="X162" s="107"/>
      <c r="Y162" s="107"/>
      <c r="Z162" s="107"/>
      <c r="AA162" s="107"/>
    </row>
    <row r="163">
      <c r="A163" s="110"/>
      <c r="B163" s="107"/>
      <c r="C163" s="107"/>
      <c r="D163" s="107"/>
      <c r="E163" s="107"/>
      <c r="F163" s="107"/>
      <c r="G163" s="107"/>
      <c r="H163" s="107"/>
      <c r="I163" s="107"/>
      <c r="J163" s="107"/>
      <c r="K163" s="107"/>
      <c r="L163" s="107"/>
      <c r="M163" s="107"/>
      <c r="N163" s="107"/>
      <c r="O163" s="107"/>
      <c r="P163" s="107"/>
      <c r="Q163" s="107"/>
      <c r="R163" s="107"/>
      <c r="S163" s="107"/>
      <c r="T163" s="107"/>
      <c r="U163" s="107"/>
      <c r="V163" s="107"/>
      <c r="W163" s="107"/>
      <c r="X163" s="107"/>
      <c r="Y163" s="107"/>
      <c r="Z163" s="107"/>
      <c r="AA163" s="107"/>
    </row>
    <row r="164">
      <c r="A164" s="110"/>
      <c r="B164" s="107"/>
      <c r="C164" s="107"/>
      <c r="D164" s="107"/>
      <c r="E164" s="107"/>
      <c r="F164" s="107"/>
      <c r="G164" s="107"/>
      <c r="H164" s="107"/>
      <c r="I164" s="107"/>
      <c r="J164" s="107"/>
      <c r="K164" s="107"/>
      <c r="L164" s="107"/>
      <c r="M164" s="107"/>
      <c r="N164" s="107"/>
      <c r="O164" s="107"/>
      <c r="P164" s="107"/>
      <c r="Q164" s="107"/>
      <c r="R164" s="107"/>
      <c r="S164" s="107"/>
      <c r="T164" s="107"/>
      <c r="U164" s="107"/>
      <c r="V164" s="107"/>
      <c r="W164" s="107"/>
      <c r="X164" s="107"/>
      <c r="Y164" s="107"/>
      <c r="Z164" s="107"/>
      <c r="AA164" s="107"/>
    </row>
    <row r="165">
      <c r="A165" s="110"/>
      <c r="B165" s="107"/>
      <c r="C165" s="107"/>
      <c r="D165" s="107"/>
      <c r="E165" s="107"/>
      <c r="F165" s="107"/>
      <c r="G165" s="107"/>
      <c r="H165" s="107"/>
      <c r="I165" s="107"/>
      <c r="J165" s="107"/>
      <c r="K165" s="107"/>
      <c r="L165" s="107"/>
      <c r="M165" s="107"/>
      <c r="N165" s="107"/>
      <c r="O165" s="107"/>
      <c r="P165" s="107"/>
      <c r="Q165" s="107"/>
      <c r="R165" s="107"/>
      <c r="S165" s="107"/>
      <c r="T165" s="107"/>
      <c r="U165" s="107"/>
      <c r="V165" s="107"/>
      <c r="W165" s="107"/>
      <c r="X165" s="107"/>
      <c r="Y165" s="107"/>
      <c r="Z165" s="107"/>
      <c r="AA165" s="107"/>
    </row>
    <row r="166">
      <c r="A166" s="110"/>
      <c r="B166" s="107"/>
      <c r="C166" s="107"/>
      <c r="D166" s="107"/>
      <c r="E166" s="107"/>
      <c r="F166" s="107"/>
      <c r="G166" s="107"/>
      <c r="H166" s="107"/>
      <c r="I166" s="107"/>
      <c r="J166" s="107"/>
      <c r="K166" s="107"/>
      <c r="L166" s="107"/>
      <c r="M166" s="107"/>
      <c r="N166" s="107"/>
      <c r="O166" s="107"/>
      <c r="P166" s="107"/>
      <c r="Q166" s="107"/>
      <c r="R166" s="107"/>
      <c r="S166" s="107"/>
      <c r="T166" s="107"/>
      <c r="U166" s="107"/>
      <c r="V166" s="107"/>
      <c r="W166" s="107"/>
      <c r="X166" s="107"/>
      <c r="Y166" s="107"/>
      <c r="Z166" s="107"/>
      <c r="AA166" s="107"/>
    </row>
    <row r="167">
      <c r="A167" s="110"/>
      <c r="B167" s="107"/>
      <c r="C167" s="107"/>
      <c r="D167" s="107"/>
      <c r="E167" s="107"/>
      <c r="F167" s="107"/>
      <c r="G167" s="107"/>
      <c r="H167" s="107"/>
      <c r="I167" s="107"/>
      <c r="J167" s="107"/>
      <c r="K167" s="107"/>
      <c r="L167" s="107"/>
      <c r="M167" s="107"/>
      <c r="N167" s="107"/>
      <c r="O167" s="107"/>
      <c r="P167" s="107"/>
      <c r="Q167" s="107"/>
      <c r="R167" s="107"/>
      <c r="S167" s="107"/>
      <c r="T167" s="107"/>
      <c r="U167" s="107"/>
      <c r="V167" s="107"/>
      <c r="W167" s="107"/>
      <c r="X167" s="107"/>
      <c r="Y167" s="107"/>
      <c r="Z167" s="107"/>
      <c r="AA167" s="107"/>
    </row>
    <row r="168">
      <c r="A168" s="110"/>
      <c r="B168" s="107"/>
      <c r="C168" s="107"/>
      <c r="D168" s="107"/>
      <c r="E168" s="107"/>
      <c r="F168" s="107"/>
      <c r="G168" s="107"/>
      <c r="H168" s="107"/>
      <c r="I168" s="107"/>
      <c r="J168" s="107"/>
      <c r="K168" s="107"/>
      <c r="L168" s="107"/>
      <c r="M168" s="107"/>
      <c r="N168" s="107"/>
      <c r="O168" s="107"/>
      <c r="P168" s="107"/>
      <c r="Q168" s="107"/>
      <c r="R168" s="107"/>
      <c r="S168" s="107"/>
      <c r="T168" s="107"/>
      <c r="U168" s="107"/>
      <c r="V168" s="107"/>
      <c r="W168" s="107"/>
      <c r="X168" s="107"/>
      <c r="Y168" s="107"/>
      <c r="Z168" s="107"/>
      <c r="AA168" s="107"/>
    </row>
    <row r="169">
      <c r="A169" s="110"/>
      <c r="B169" s="107"/>
      <c r="C169" s="107"/>
      <c r="D169" s="107"/>
      <c r="E169" s="107"/>
      <c r="F169" s="107"/>
      <c r="G169" s="107"/>
      <c r="H169" s="107"/>
      <c r="I169" s="107"/>
      <c r="J169" s="107"/>
      <c r="K169" s="107"/>
      <c r="L169" s="107"/>
      <c r="M169" s="107"/>
      <c r="N169" s="107"/>
      <c r="O169" s="107"/>
      <c r="P169" s="107"/>
      <c r="Q169" s="107"/>
      <c r="R169" s="107"/>
      <c r="S169" s="107"/>
      <c r="T169" s="107"/>
      <c r="U169" s="107"/>
      <c r="V169" s="107"/>
      <c r="W169" s="107"/>
      <c r="X169" s="107"/>
      <c r="Y169" s="107"/>
      <c r="Z169" s="107"/>
      <c r="AA169" s="107"/>
    </row>
    <row r="170">
      <c r="A170" s="110"/>
      <c r="B170" s="107"/>
      <c r="C170" s="107"/>
      <c r="D170" s="107"/>
      <c r="E170" s="107"/>
      <c r="F170" s="107"/>
      <c r="G170" s="107"/>
      <c r="H170" s="107"/>
      <c r="I170" s="107"/>
      <c r="J170" s="107"/>
      <c r="K170" s="107"/>
      <c r="L170" s="107"/>
      <c r="M170" s="107"/>
      <c r="N170" s="107"/>
      <c r="O170" s="107"/>
      <c r="P170" s="107"/>
      <c r="Q170" s="107"/>
      <c r="R170" s="107"/>
      <c r="S170" s="107"/>
      <c r="T170" s="107"/>
      <c r="U170" s="107"/>
      <c r="V170" s="107"/>
      <c r="W170" s="107"/>
      <c r="X170" s="107"/>
      <c r="Y170" s="107"/>
      <c r="Z170" s="107"/>
      <c r="AA170" s="107"/>
    </row>
    <row r="171">
      <c r="A171" s="110"/>
      <c r="B171" s="107"/>
      <c r="C171" s="107"/>
      <c r="D171" s="107"/>
      <c r="E171" s="107"/>
      <c r="F171" s="107"/>
      <c r="G171" s="107"/>
      <c r="H171" s="107"/>
      <c r="I171" s="107"/>
      <c r="J171" s="107"/>
      <c r="K171" s="107"/>
      <c r="L171" s="107"/>
      <c r="M171" s="107"/>
      <c r="N171" s="107"/>
      <c r="O171" s="107"/>
      <c r="P171" s="107"/>
      <c r="Q171" s="107"/>
      <c r="R171" s="107"/>
      <c r="S171" s="107"/>
      <c r="T171" s="107"/>
      <c r="U171" s="107"/>
      <c r="V171" s="107"/>
      <c r="W171" s="107"/>
      <c r="X171" s="107"/>
      <c r="Y171" s="107"/>
      <c r="Z171" s="107"/>
      <c r="AA171" s="107"/>
    </row>
    <row r="172">
      <c r="A172" s="110"/>
      <c r="B172" s="107"/>
      <c r="C172" s="107"/>
      <c r="D172" s="107"/>
      <c r="E172" s="107"/>
      <c r="F172" s="107"/>
      <c r="G172" s="107"/>
      <c r="H172" s="107"/>
      <c r="I172" s="107"/>
      <c r="J172" s="107"/>
      <c r="K172" s="107"/>
      <c r="L172" s="107"/>
      <c r="M172" s="107"/>
      <c r="N172" s="107"/>
      <c r="O172" s="107"/>
      <c r="P172" s="107"/>
      <c r="Q172" s="107"/>
      <c r="R172" s="107"/>
      <c r="S172" s="107"/>
      <c r="T172" s="107"/>
      <c r="U172" s="107"/>
      <c r="V172" s="107"/>
      <c r="W172" s="107"/>
      <c r="X172" s="107"/>
      <c r="Y172" s="107"/>
      <c r="Z172" s="107"/>
      <c r="AA172" s="107"/>
    </row>
    <row r="173">
      <c r="A173" s="110"/>
      <c r="B173" s="107"/>
      <c r="C173" s="107"/>
      <c r="D173" s="107"/>
      <c r="E173" s="107"/>
      <c r="F173" s="107"/>
      <c r="G173" s="107"/>
      <c r="H173" s="107"/>
      <c r="I173" s="107"/>
      <c r="J173" s="107"/>
      <c r="K173" s="107"/>
      <c r="L173" s="107"/>
      <c r="M173" s="107"/>
      <c r="N173" s="107"/>
      <c r="O173" s="107"/>
      <c r="P173" s="107"/>
      <c r="Q173" s="107"/>
      <c r="R173" s="107"/>
      <c r="S173" s="107"/>
      <c r="T173" s="107"/>
      <c r="U173" s="107"/>
      <c r="V173" s="107"/>
      <c r="W173" s="107"/>
      <c r="X173" s="107"/>
      <c r="Y173" s="107"/>
      <c r="Z173" s="107"/>
      <c r="AA173" s="107"/>
    </row>
    <row r="174">
      <c r="A174" s="110"/>
      <c r="B174" s="107"/>
      <c r="C174" s="107"/>
      <c r="D174" s="107"/>
      <c r="E174" s="107"/>
      <c r="F174" s="107"/>
      <c r="G174" s="107"/>
      <c r="H174" s="107"/>
      <c r="I174" s="107"/>
      <c r="J174" s="107"/>
      <c r="K174" s="107"/>
      <c r="L174" s="107"/>
      <c r="M174" s="107"/>
      <c r="N174" s="107"/>
      <c r="O174" s="107"/>
      <c r="P174" s="107"/>
      <c r="Q174" s="107"/>
      <c r="R174" s="107"/>
      <c r="S174" s="107"/>
      <c r="T174" s="107"/>
      <c r="U174" s="107"/>
      <c r="V174" s="107"/>
      <c r="W174" s="107"/>
      <c r="X174" s="107"/>
      <c r="Y174" s="107"/>
      <c r="Z174" s="107"/>
      <c r="AA174" s="107"/>
    </row>
    <row r="175">
      <c r="A175" s="110"/>
      <c r="B175" s="107"/>
      <c r="C175" s="107"/>
      <c r="D175" s="107"/>
      <c r="E175" s="107"/>
      <c r="F175" s="107"/>
      <c r="G175" s="107"/>
      <c r="H175" s="107"/>
      <c r="I175" s="107"/>
      <c r="J175" s="107"/>
      <c r="K175" s="107"/>
      <c r="L175" s="107"/>
      <c r="M175" s="107"/>
      <c r="N175" s="107"/>
      <c r="O175" s="107"/>
      <c r="P175" s="107"/>
      <c r="Q175" s="107"/>
      <c r="R175" s="107"/>
      <c r="S175" s="107"/>
      <c r="T175" s="107"/>
      <c r="U175" s="107"/>
      <c r="V175" s="107"/>
      <c r="W175" s="107"/>
      <c r="X175" s="107"/>
      <c r="Y175" s="107"/>
      <c r="Z175" s="107"/>
      <c r="AA175" s="107"/>
    </row>
    <row r="176">
      <c r="A176" s="110"/>
      <c r="B176" s="107"/>
      <c r="C176" s="107"/>
      <c r="D176" s="107"/>
      <c r="E176" s="107"/>
      <c r="F176" s="107"/>
      <c r="G176" s="107"/>
      <c r="H176" s="107"/>
      <c r="I176" s="107"/>
      <c r="J176" s="107"/>
      <c r="K176" s="107"/>
      <c r="L176" s="107"/>
      <c r="M176" s="107"/>
      <c r="N176" s="107"/>
      <c r="O176" s="107"/>
      <c r="P176" s="107"/>
      <c r="Q176" s="107"/>
      <c r="R176" s="107"/>
      <c r="S176" s="107"/>
      <c r="T176" s="107"/>
      <c r="U176" s="107"/>
      <c r="V176" s="107"/>
      <c r="W176" s="107"/>
      <c r="X176" s="107"/>
      <c r="Y176" s="107"/>
      <c r="Z176" s="107"/>
      <c r="AA176" s="107"/>
    </row>
    <row r="177">
      <c r="A177" s="110"/>
      <c r="B177" s="107"/>
      <c r="C177" s="107"/>
      <c r="D177" s="107"/>
      <c r="E177" s="107"/>
      <c r="F177" s="107"/>
      <c r="G177" s="107"/>
      <c r="H177" s="107"/>
      <c r="I177" s="107"/>
      <c r="J177" s="107"/>
      <c r="K177" s="107"/>
      <c r="L177" s="107"/>
      <c r="M177" s="107"/>
      <c r="N177" s="107"/>
      <c r="O177" s="107"/>
      <c r="P177" s="107"/>
      <c r="Q177" s="107"/>
      <c r="R177" s="107"/>
      <c r="S177" s="107"/>
      <c r="T177" s="107"/>
      <c r="U177" s="107"/>
      <c r="V177" s="107"/>
      <c r="W177" s="107"/>
      <c r="X177" s="107"/>
      <c r="Y177" s="107"/>
      <c r="Z177" s="107"/>
      <c r="AA177" s="107"/>
    </row>
    <row r="178">
      <c r="A178" s="110"/>
      <c r="B178" s="107"/>
      <c r="C178" s="107"/>
      <c r="D178" s="107"/>
      <c r="E178" s="107"/>
      <c r="F178" s="107"/>
      <c r="G178" s="107"/>
      <c r="H178" s="107"/>
      <c r="I178" s="107"/>
      <c r="J178" s="107"/>
      <c r="K178" s="107"/>
      <c r="L178" s="107"/>
      <c r="M178" s="107"/>
      <c r="N178" s="107"/>
      <c r="O178" s="107"/>
      <c r="P178" s="107"/>
      <c r="Q178" s="107"/>
      <c r="R178" s="107"/>
      <c r="S178" s="107"/>
      <c r="T178" s="107"/>
      <c r="U178" s="107"/>
      <c r="V178" s="107"/>
      <c r="W178" s="107"/>
      <c r="X178" s="107"/>
      <c r="Y178" s="107"/>
      <c r="Z178" s="107"/>
      <c r="AA178" s="107"/>
    </row>
    <row r="179">
      <c r="A179" s="110"/>
      <c r="B179" s="107"/>
      <c r="C179" s="107"/>
      <c r="D179" s="107"/>
      <c r="E179" s="107"/>
      <c r="F179" s="107"/>
      <c r="G179" s="107"/>
      <c r="H179" s="107"/>
      <c r="I179" s="107"/>
      <c r="J179" s="107"/>
      <c r="K179" s="107"/>
      <c r="L179" s="107"/>
      <c r="M179" s="107"/>
      <c r="N179" s="107"/>
      <c r="O179" s="107"/>
      <c r="P179" s="107"/>
      <c r="Q179" s="107"/>
      <c r="R179" s="107"/>
      <c r="S179" s="107"/>
      <c r="T179" s="107"/>
      <c r="U179" s="107"/>
      <c r="V179" s="107"/>
      <c r="W179" s="107"/>
      <c r="X179" s="107"/>
      <c r="Y179" s="107"/>
      <c r="Z179" s="107"/>
      <c r="AA179" s="107"/>
    </row>
    <row r="180">
      <c r="A180" s="110"/>
      <c r="B180" s="107"/>
      <c r="C180" s="107"/>
      <c r="D180" s="107"/>
      <c r="E180" s="107"/>
      <c r="F180" s="107"/>
      <c r="G180" s="107"/>
      <c r="H180" s="107"/>
      <c r="I180" s="107"/>
      <c r="J180" s="107"/>
      <c r="K180" s="107"/>
      <c r="L180" s="107"/>
      <c r="M180" s="107"/>
      <c r="N180" s="107"/>
      <c r="O180" s="107"/>
      <c r="P180" s="107"/>
      <c r="Q180" s="107"/>
      <c r="R180" s="107"/>
      <c r="S180" s="107"/>
      <c r="T180" s="107"/>
      <c r="U180" s="107"/>
      <c r="V180" s="107"/>
      <c r="W180" s="107"/>
      <c r="X180" s="107"/>
      <c r="Y180" s="107"/>
      <c r="Z180" s="107"/>
      <c r="AA180" s="107"/>
    </row>
    <row r="181">
      <c r="A181" s="110"/>
      <c r="B181" s="107"/>
      <c r="C181" s="107"/>
      <c r="D181" s="107"/>
      <c r="E181" s="107"/>
      <c r="F181" s="107"/>
      <c r="G181" s="107"/>
      <c r="H181" s="107"/>
      <c r="I181" s="107"/>
      <c r="J181" s="107"/>
      <c r="K181" s="107"/>
      <c r="L181" s="107"/>
      <c r="M181" s="107"/>
      <c r="N181" s="107"/>
      <c r="O181" s="107"/>
      <c r="P181" s="107"/>
      <c r="Q181" s="107"/>
      <c r="R181" s="107"/>
      <c r="S181" s="107"/>
      <c r="T181" s="107"/>
      <c r="U181" s="107"/>
      <c r="V181" s="107"/>
      <c r="W181" s="107"/>
      <c r="X181" s="107"/>
      <c r="Y181" s="107"/>
      <c r="Z181" s="107"/>
      <c r="AA181" s="107"/>
    </row>
    <row r="182">
      <c r="A182" s="110"/>
      <c r="B182" s="107"/>
      <c r="C182" s="107"/>
      <c r="D182" s="107"/>
      <c r="E182" s="107"/>
      <c r="F182" s="107"/>
      <c r="G182" s="107"/>
      <c r="H182" s="107"/>
      <c r="I182" s="107"/>
      <c r="J182" s="107"/>
      <c r="K182" s="107"/>
      <c r="L182" s="107"/>
      <c r="M182" s="107"/>
      <c r="N182" s="107"/>
      <c r="O182" s="107"/>
      <c r="P182" s="107"/>
      <c r="Q182" s="107"/>
      <c r="R182" s="107"/>
      <c r="S182" s="107"/>
      <c r="T182" s="107"/>
      <c r="U182" s="107"/>
      <c r="V182" s="107"/>
      <c r="W182" s="107"/>
      <c r="X182" s="107"/>
      <c r="Y182" s="107"/>
      <c r="Z182" s="107"/>
      <c r="AA182" s="107"/>
    </row>
    <row r="183">
      <c r="A183" s="110"/>
      <c r="B183" s="107"/>
      <c r="C183" s="107"/>
      <c r="D183" s="107"/>
      <c r="E183" s="107"/>
      <c r="F183" s="107"/>
      <c r="G183" s="107"/>
      <c r="H183" s="107"/>
      <c r="I183" s="107"/>
      <c r="J183" s="107"/>
      <c r="K183" s="107"/>
      <c r="L183" s="107"/>
      <c r="M183" s="107"/>
      <c r="N183" s="107"/>
      <c r="O183" s="107"/>
      <c r="P183" s="107"/>
      <c r="Q183" s="107"/>
      <c r="R183" s="107"/>
      <c r="S183" s="107"/>
      <c r="T183" s="107"/>
      <c r="U183" s="107"/>
      <c r="V183" s="107"/>
      <c r="W183" s="107"/>
      <c r="X183" s="107"/>
      <c r="Y183" s="107"/>
      <c r="Z183" s="107"/>
      <c r="AA183" s="107"/>
    </row>
    <row r="184">
      <c r="A184" s="110"/>
      <c r="B184" s="107"/>
      <c r="C184" s="107"/>
      <c r="D184" s="107"/>
      <c r="E184" s="107"/>
      <c r="F184" s="107"/>
      <c r="G184" s="107"/>
      <c r="H184" s="107"/>
      <c r="I184" s="107"/>
      <c r="J184" s="107"/>
      <c r="K184" s="107"/>
      <c r="L184" s="107"/>
      <c r="M184" s="107"/>
      <c r="N184" s="107"/>
      <c r="O184" s="107"/>
      <c r="P184" s="107"/>
      <c r="Q184" s="107"/>
      <c r="R184" s="107"/>
      <c r="S184" s="107"/>
      <c r="T184" s="107"/>
      <c r="U184" s="107"/>
      <c r="V184" s="107"/>
      <c r="W184" s="107"/>
      <c r="X184" s="107"/>
      <c r="Y184" s="107"/>
      <c r="Z184" s="107"/>
      <c r="AA184" s="107"/>
    </row>
    <row r="185">
      <c r="A185" s="110"/>
      <c r="B185" s="107"/>
      <c r="C185" s="107"/>
      <c r="D185" s="107"/>
      <c r="E185" s="107"/>
      <c r="F185" s="107"/>
      <c r="G185" s="107"/>
      <c r="H185" s="107"/>
      <c r="I185" s="107"/>
      <c r="J185" s="107"/>
      <c r="K185" s="107"/>
      <c r="L185" s="107"/>
      <c r="M185" s="107"/>
      <c r="N185" s="107"/>
      <c r="O185" s="107"/>
      <c r="P185" s="107"/>
      <c r="Q185" s="107"/>
      <c r="R185" s="107"/>
      <c r="S185" s="107"/>
      <c r="T185" s="107"/>
      <c r="U185" s="107"/>
      <c r="V185" s="107"/>
      <c r="W185" s="107"/>
      <c r="X185" s="107"/>
      <c r="Y185" s="107"/>
      <c r="Z185" s="107"/>
      <c r="AA185" s="107"/>
    </row>
    <row r="186">
      <c r="A186" s="110"/>
      <c r="B186" s="107"/>
      <c r="C186" s="107"/>
      <c r="D186" s="107"/>
      <c r="E186" s="107"/>
      <c r="F186" s="107"/>
      <c r="G186" s="107"/>
      <c r="H186" s="107"/>
      <c r="I186" s="107"/>
      <c r="J186" s="107"/>
      <c r="K186" s="107"/>
      <c r="L186" s="107"/>
      <c r="M186" s="107"/>
      <c r="N186" s="107"/>
      <c r="O186" s="107"/>
      <c r="P186" s="107"/>
      <c r="Q186" s="107"/>
      <c r="R186" s="107"/>
      <c r="S186" s="107"/>
      <c r="T186" s="107"/>
      <c r="U186" s="107"/>
      <c r="V186" s="107"/>
      <c r="W186" s="107"/>
      <c r="X186" s="107"/>
      <c r="Y186" s="107"/>
      <c r="Z186" s="107"/>
      <c r="AA186" s="107"/>
    </row>
    <row r="187">
      <c r="A187" s="110"/>
      <c r="B187" s="107"/>
      <c r="C187" s="107"/>
      <c r="D187" s="107"/>
      <c r="E187" s="107"/>
      <c r="F187" s="107"/>
      <c r="G187" s="107"/>
      <c r="H187" s="107"/>
      <c r="I187" s="107"/>
      <c r="J187" s="107"/>
      <c r="K187" s="107"/>
      <c r="L187" s="107"/>
      <c r="M187" s="107"/>
      <c r="N187" s="107"/>
      <c r="O187" s="107"/>
      <c r="P187" s="107"/>
      <c r="Q187" s="107"/>
      <c r="R187" s="107"/>
      <c r="S187" s="107"/>
      <c r="T187" s="107"/>
      <c r="U187" s="107"/>
      <c r="V187" s="107"/>
      <c r="W187" s="107"/>
      <c r="X187" s="107"/>
      <c r="Y187" s="107"/>
      <c r="Z187" s="107"/>
      <c r="AA187" s="107"/>
    </row>
    <row r="188">
      <c r="A188" s="110"/>
      <c r="B188" s="107"/>
      <c r="C188" s="107"/>
      <c r="D188" s="107"/>
      <c r="E188" s="107"/>
      <c r="F188" s="107"/>
      <c r="G188" s="107"/>
      <c r="H188" s="107"/>
      <c r="I188" s="107"/>
      <c r="J188" s="107"/>
      <c r="K188" s="107"/>
      <c r="L188" s="107"/>
      <c r="M188" s="107"/>
      <c r="N188" s="107"/>
      <c r="O188" s="107"/>
      <c r="P188" s="107"/>
      <c r="Q188" s="107"/>
      <c r="R188" s="107"/>
      <c r="S188" s="107"/>
      <c r="T188" s="107"/>
      <c r="U188" s="107"/>
      <c r="V188" s="107"/>
      <c r="W188" s="107"/>
      <c r="X188" s="107"/>
      <c r="Y188" s="107"/>
      <c r="Z188" s="107"/>
      <c r="AA188" s="107"/>
    </row>
    <row r="189">
      <c r="A189" s="110"/>
      <c r="B189" s="107"/>
      <c r="C189" s="107"/>
      <c r="D189" s="107"/>
      <c r="E189" s="107"/>
      <c r="F189" s="107"/>
      <c r="G189" s="107"/>
      <c r="H189" s="107"/>
      <c r="I189" s="107"/>
      <c r="J189" s="107"/>
      <c r="K189" s="107"/>
      <c r="L189" s="107"/>
      <c r="M189" s="107"/>
      <c r="N189" s="107"/>
      <c r="O189" s="107"/>
      <c r="P189" s="107"/>
      <c r="Q189" s="107"/>
      <c r="R189" s="107"/>
      <c r="S189" s="107"/>
      <c r="T189" s="107"/>
      <c r="U189" s="107"/>
      <c r="V189" s="107"/>
      <c r="W189" s="107"/>
      <c r="X189" s="107"/>
      <c r="Y189" s="107"/>
      <c r="Z189" s="107"/>
      <c r="AA189" s="107"/>
    </row>
    <row r="190">
      <c r="A190" s="110"/>
      <c r="B190" s="107"/>
      <c r="C190" s="107"/>
      <c r="D190" s="107"/>
      <c r="E190" s="107"/>
      <c r="F190" s="107"/>
      <c r="G190" s="107"/>
      <c r="H190" s="107"/>
      <c r="I190" s="107"/>
      <c r="J190" s="107"/>
      <c r="K190" s="107"/>
      <c r="L190" s="107"/>
      <c r="M190" s="107"/>
      <c r="N190" s="107"/>
      <c r="O190" s="107"/>
      <c r="P190" s="107"/>
      <c r="Q190" s="107"/>
      <c r="R190" s="107"/>
      <c r="S190" s="107"/>
      <c r="T190" s="107"/>
      <c r="U190" s="107"/>
      <c r="V190" s="107"/>
      <c r="W190" s="107"/>
      <c r="X190" s="107"/>
      <c r="Y190" s="107"/>
      <c r="Z190" s="107"/>
      <c r="AA190" s="107"/>
    </row>
    <row r="191">
      <c r="A191" s="110"/>
      <c r="B191" s="107"/>
      <c r="C191" s="107"/>
      <c r="D191" s="107"/>
      <c r="E191" s="107"/>
      <c r="F191" s="107"/>
      <c r="G191" s="107"/>
      <c r="H191" s="107"/>
      <c r="I191" s="107"/>
      <c r="J191" s="107"/>
      <c r="K191" s="107"/>
      <c r="L191" s="107"/>
      <c r="M191" s="107"/>
      <c r="N191" s="107"/>
      <c r="O191" s="107"/>
      <c r="P191" s="107"/>
      <c r="Q191" s="107"/>
      <c r="R191" s="107"/>
      <c r="S191" s="107"/>
      <c r="T191" s="107"/>
      <c r="U191" s="107"/>
      <c r="V191" s="107"/>
      <c r="W191" s="107"/>
      <c r="X191" s="107"/>
      <c r="Y191" s="107"/>
      <c r="Z191" s="107"/>
      <c r="AA191" s="107"/>
    </row>
    <row r="192">
      <c r="A192" s="110"/>
      <c r="B192" s="107"/>
      <c r="C192" s="107"/>
      <c r="D192" s="107"/>
      <c r="E192" s="107"/>
      <c r="F192" s="107"/>
      <c r="G192" s="107"/>
      <c r="H192" s="107"/>
      <c r="I192" s="107"/>
      <c r="J192" s="107"/>
      <c r="K192" s="107"/>
      <c r="L192" s="107"/>
      <c r="M192" s="107"/>
      <c r="N192" s="107"/>
      <c r="O192" s="107"/>
      <c r="P192" s="107"/>
      <c r="Q192" s="107"/>
      <c r="R192" s="107"/>
      <c r="S192" s="107"/>
      <c r="T192" s="107"/>
      <c r="U192" s="107"/>
      <c r="V192" s="107"/>
      <c r="W192" s="107"/>
      <c r="X192" s="107"/>
      <c r="Y192" s="107"/>
      <c r="Z192" s="107"/>
      <c r="AA192" s="107"/>
    </row>
    <row r="193">
      <c r="A193" s="110"/>
      <c r="B193" s="107"/>
      <c r="C193" s="107"/>
      <c r="D193" s="107"/>
      <c r="E193" s="107"/>
      <c r="F193" s="107"/>
      <c r="G193" s="107"/>
      <c r="H193" s="107"/>
      <c r="I193" s="107"/>
      <c r="J193" s="107"/>
      <c r="K193" s="107"/>
      <c r="L193" s="107"/>
      <c r="M193" s="107"/>
      <c r="N193" s="107"/>
      <c r="O193" s="107"/>
      <c r="P193" s="107"/>
      <c r="Q193" s="107"/>
      <c r="R193" s="107"/>
      <c r="S193" s="107"/>
      <c r="T193" s="107"/>
      <c r="U193" s="107"/>
      <c r="V193" s="107"/>
      <c r="W193" s="107"/>
      <c r="X193" s="107"/>
      <c r="Y193" s="107"/>
      <c r="Z193" s="107"/>
      <c r="AA193" s="107"/>
    </row>
    <row r="194">
      <c r="A194" s="110"/>
      <c r="B194" s="107"/>
      <c r="C194" s="107"/>
      <c r="D194" s="107"/>
      <c r="E194" s="107"/>
      <c r="F194" s="107"/>
      <c r="G194" s="107"/>
      <c r="H194" s="107"/>
      <c r="I194" s="107"/>
      <c r="J194" s="107"/>
      <c r="K194" s="107"/>
      <c r="L194" s="107"/>
      <c r="M194" s="107"/>
      <c r="N194" s="107"/>
      <c r="O194" s="107"/>
      <c r="P194" s="107"/>
      <c r="Q194" s="107"/>
      <c r="R194" s="107"/>
      <c r="S194" s="107"/>
      <c r="T194" s="107"/>
      <c r="U194" s="107"/>
      <c r="V194" s="107"/>
      <c r="W194" s="107"/>
      <c r="X194" s="107"/>
      <c r="Y194" s="107"/>
      <c r="Z194" s="107"/>
      <c r="AA194" s="107"/>
    </row>
    <row r="195">
      <c r="A195" s="110"/>
      <c r="B195" s="107"/>
      <c r="C195" s="107"/>
      <c r="D195" s="107"/>
      <c r="E195" s="107"/>
      <c r="F195" s="107"/>
      <c r="G195" s="107"/>
      <c r="H195" s="107"/>
      <c r="I195" s="107"/>
      <c r="J195" s="107"/>
      <c r="K195" s="107"/>
      <c r="L195" s="107"/>
      <c r="M195" s="107"/>
      <c r="N195" s="107"/>
      <c r="O195" s="107"/>
      <c r="P195" s="107"/>
      <c r="Q195" s="107"/>
      <c r="R195" s="107"/>
      <c r="S195" s="107"/>
      <c r="T195" s="107"/>
      <c r="U195" s="107"/>
      <c r="V195" s="107"/>
      <c r="W195" s="107"/>
      <c r="X195" s="107"/>
      <c r="Y195" s="107"/>
      <c r="Z195" s="107"/>
      <c r="AA195" s="107"/>
    </row>
    <row r="196">
      <c r="A196" s="110"/>
      <c r="B196" s="107"/>
      <c r="C196" s="107"/>
      <c r="D196" s="107"/>
      <c r="E196" s="107"/>
      <c r="F196" s="107"/>
      <c r="G196" s="107"/>
      <c r="H196" s="107"/>
      <c r="I196" s="107"/>
      <c r="J196" s="107"/>
      <c r="K196" s="107"/>
      <c r="L196" s="107"/>
      <c r="M196" s="107"/>
      <c r="N196" s="107"/>
      <c r="O196" s="107"/>
      <c r="P196" s="107"/>
      <c r="Q196" s="107"/>
      <c r="R196" s="107"/>
      <c r="S196" s="107"/>
      <c r="T196" s="107"/>
      <c r="U196" s="107"/>
      <c r="V196" s="107"/>
      <c r="W196" s="107"/>
      <c r="X196" s="107"/>
      <c r="Y196" s="107"/>
      <c r="Z196" s="107"/>
      <c r="AA196" s="107"/>
    </row>
    <row r="197">
      <c r="A197" s="110"/>
      <c r="B197" s="107"/>
      <c r="C197" s="107"/>
      <c r="D197" s="107"/>
      <c r="E197" s="107"/>
      <c r="F197" s="107"/>
      <c r="G197" s="107"/>
      <c r="H197" s="107"/>
      <c r="I197" s="107"/>
      <c r="J197" s="107"/>
      <c r="K197" s="107"/>
      <c r="L197" s="107"/>
      <c r="M197" s="107"/>
      <c r="N197" s="107"/>
      <c r="O197" s="107"/>
      <c r="P197" s="107"/>
      <c r="Q197" s="107"/>
      <c r="R197" s="107"/>
      <c r="S197" s="107"/>
      <c r="T197" s="107"/>
      <c r="U197" s="107"/>
      <c r="V197" s="107"/>
      <c r="W197" s="107"/>
      <c r="X197" s="107"/>
      <c r="Y197" s="107"/>
      <c r="Z197" s="107"/>
      <c r="AA197" s="107"/>
    </row>
    <row r="198">
      <c r="A198" s="110"/>
      <c r="B198" s="107"/>
      <c r="C198" s="107"/>
      <c r="D198" s="107"/>
      <c r="E198" s="107"/>
      <c r="F198" s="107"/>
      <c r="G198" s="107"/>
      <c r="H198" s="107"/>
      <c r="I198" s="107"/>
      <c r="J198" s="107"/>
      <c r="K198" s="107"/>
      <c r="L198" s="107"/>
      <c r="M198" s="107"/>
      <c r="N198" s="107"/>
      <c r="O198" s="107"/>
      <c r="P198" s="107"/>
      <c r="Q198" s="107"/>
      <c r="R198" s="107"/>
      <c r="S198" s="107"/>
      <c r="T198" s="107"/>
      <c r="U198" s="107"/>
      <c r="V198" s="107"/>
      <c r="W198" s="107"/>
      <c r="X198" s="107"/>
      <c r="Y198" s="107"/>
      <c r="Z198" s="107"/>
      <c r="AA198" s="107"/>
    </row>
    <row r="199">
      <c r="A199" s="110"/>
      <c r="B199" s="107"/>
      <c r="C199" s="107"/>
      <c r="D199" s="107"/>
      <c r="E199" s="107"/>
      <c r="F199" s="107"/>
      <c r="G199" s="107"/>
      <c r="H199" s="107"/>
      <c r="I199" s="107"/>
      <c r="J199" s="107"/>
      <c r="K199" s="107"/>
      <c r="L199" s="107"/>
      <c r="M199" s="107"/>
      <c r="N199" s="107"/>
      <c r="O199" s="107"/>
      <c r="P199" s="107"/>
      <c r="Q199" s="107"/>
      <c r="R199" s="107"/>
      <c r="S199" s="107"/>
      <c r="T199" s="107"/>
      <c r="U199" s="107"/>
      <c r="V199" s="107"/>
      <c r="W199" s="107"/>
      <c r="X199" s="107"/>
      <c r="Y199" s="107"/>
      <c r="Z199" s="107"/>
      <c r="AA199" s="107"/>
    </row>
    <row r="200">
      <c r="A200" s="110"/>
      <c r="B200" s="107"/>
      <c r="C200" s="107"/>
      <c r="D200" s="107"/>
      <c r="E200" s="107"/>
      <c r="F200" s="107"/>
      <c r="G200" s="107"/>
      <c r="H200" s="107"/>
      <c r="I200" s="107"/>
      <c r="J200" s="107"/>
      <c r="K200" s="107"/>
      <c r="L200" s="107"/>
      <c r="M200" s="107"/>
      <c r="N200" s="107"/>
      <c r="O200" s="107"/>
      <c r="P200" s="107"/>
      <c r="Q200" s="107"/>
      <c r="R200" s="107"/>
      <c r="S200" s="107"/>
      <c r="T200" s="107"/>
      <c r="U200" s="107"/>
      <c r="V200" s="107"/>
      <c r="W200" s="107"/>
      <c r="X200" s="107"/>
      <c r="Y200" s="107"/>
      <c r="Z200" s="107"/>
      <c r="AA200" s="107"/>
    </row>
    <row r="201">
      <c r="A201" s="110"/>
      <c r="B201" s="107"/>
      <c r="C201" s="107"/>
      <c r="D201" s="107"/>
      <c r="E201" s="107"/>
      <c r="F201" s="107"/>
      <c r="G201" s="107"/>
      <c r="H201" s="107"/>
      <c r="I201" s="107"/>
      <c r="J201" s="107"/>
      <c r="K201" s="107"/>
      <c r="L201" s="107"/>
      <c r="M201" s="107"/>
      <c r="N201" s="107"/>
      <c r="O201" s="107"/>
      <c r="P201" s="107"/>
      <c r="Q201" s="107"/>
      <c r="R201" s="107"/>
      <c r="S201" s="107"/>
      <c r="T201" s="107"/>
      <c r="U201" s="107"/>
      <c r="V201" s="107"/>
      <c r="W201" s="107"/>
      <c r="X201" s="107"/>
      <c r="Y201" s="107"/>
      <c r="Z201" s="107"/>
      <c r="AA201" s="107"/>
    </row>
    <row r="202">
      <c r="A202" s="110"/>
      <c r="B202" s="107"/>
      <c r="C202" s="107"/>
      <c r="D202" s="107"/>
      <c r="E202" s="107"/>
      <c r="F202" s="107"/>
      <c r="G202" s="107"/>
      <c r="H202" s="107"/>
      <c r="I202" s="107"/>
      <c r="J202" s="107"/>
      <c r="K202" s="107"/>
      <c r="L202" s="107"/>
      <c r="M202" s="107"/>
      <c r="N202" s="107"/>
      <c r="O202" s="107"/>
      <c r="P202" s="107"/>
      <c r="Q202" s="107"/>
      <c r="R202" s="107"/>
      <c r="S202" s="107"/>
      <c r="T202" s="107"/>
      <c r="U202" s="107"/>
      <c r="V202" s="107"/>
      <c r="W202" s="107"/>
      <c r="X202" s="107"/>
      <c r="Y202" s="107"/>
      <c r="Z202" s="107"/>
      <c r="AA202" s="107"/>
    </row>
    <row r="203">
      <c r="A203" s="110"/>
      <c r="B203" s="107"/>
      <c r="C203" s="107"/>
      <c r="D203" s="107"/>
      <c r="E203" s="107"/>
      <c r="F203" s="107"/>
      <c r="G203" s="107"/>
      <c r="H203" s="107"/>
      <c r="I203" s="107"/>
      <c r="J203" s="107"/>
      <c r="K203" s="107"/>
      <c r="L203" s="107"/>
      <c r="M203" s="107"/>
      <c r="N203" s="107"/>
      <c r="O203" s="107"/>
      <c r="P203" s="107"/>
      <c r="Q203" s="107"/>
      <c r="R203" s="107"/>
      <c r="S203" s="107"/>
      <c r="T203" s="107"/>
      <c r="U203" s="107"/>
      <c r="V203" s="107"/>
      <c r="W203" s="107"/>
      <c r="X203" s="107"/>
      <c r="Y203" s="107"/>
      <c r="Z203" s="107"/>
      <c r="AA203" s="107"/>
    </row>
    <row r="204">
      <c r="A204" s="110"/>
      <c r="B204" s="107"/>
      <c r="C204" s="107"/>
      <c r="D204" s="107"/>
      <c r="E204" s="107"/>
      <c r="F204" s="107"/>
      <c r="G204" s="107"/>
      <c r="H204" s="107"/>
      <c r="I204" s="107"/>
      <c r="J204" s="107"/>
      <c r="K204" s="107"/>
      <c r="L204" s="107"/>
      <c r="M204" s="107"/>
      <c r="N204" s="107"/>
      <c r="O204" s="107"/>
      <c r="P204" s="107"/>
      <c r="Q204" s="107"/>
      <c r="R204" s="107"/>
      <c r="S204" s="107"/>
      <c r="T204" s="107"/>
      <c r="U204" s="107"/>
      <c r="V204" s="107"/>
      <c r="W204" s="107"/>
      <c r="X204" s="107"/>
      <c r="Y204" s="107"/>
      <c r="Z204" s="107"/>
      <c r="AA204" s="107"/>
    </row>
    <row r="205">
      <c r="A205" s="110"/>
      <c r="B205" s="107"/>
      <c r="C205" s="107"/>
      <c r="D205" s="107"/>
      <c r="E205" s="107"/>
      <c r="F205" s="107"/>
      <c r="G205" s="107"/>
      <c r="H205" s="107"/>
      <c r="I205" s="107"/>
      <c r="J205" s="107"/>
      <c r="K205" s="107"/>
      <c r="L205" s="107"/>
      <c r="M205" s="107"/>
      <c r="N205" s="107"/>
      <c r="O205" s="107"/>
      <c r="P205" s="107"/>
      <c r="Q205" s="107"/>
      <c r="R205" s="107"/>
      <c r="S205" s="107"/>
      <c r="T205" s="107"/>
      <c r="U205" s="107"/>
      <c r="V205" s="107"/>
      <c r="W205" s="107"/>
      <c r="X205" s="107"/>
      <c r="Y205" s="107"/>
      <c r="Z205" s="107"/>
      <c r="AA205" s="107"/>
    </row>
    <row r="206">
      <c r="A206" s="110"/>
      <c r="B206" s="107"/>
      <c r="C206" s="107"/>
      <c r="D206" s="107"/>
      <c r="E206" s="107"/>
      <c r="F206" s="107"/>
      <c r="G206" s="107"/>
      <c r="H206" s="107"/>
      <c r="I206" s="107"/>
      <c r="J206" s="107"/>
      <c r="K206" s="107"/>
      <c r="L206" s="107"/>
      <c r="M206" s="107"/>
      <c r="N206" s="107"/>
      <c r="O206" s="107"/>
      <c r="P206" s="107"/>
      <c r="Q206" s="107"/>
      <c r="R206" s="107"/>
      <c r="S206" s="107"/>
      <c r="T206" s="107"/>
      <c r="U206" s="107"/>
      <c r="V206" s="107"/>
      <c r="W206" s="107"/>
      <c r="X206" s="107"/>
      <c r="Y206" s="107"/>
      <c r="Z206" s="107"/>
      <c r="AA206" s="107"/>
    </row>
    <row r="207">
      <c r="A207" s="110"/>
      <c r="B207" s="107"/>
      <c r="C207" s="107"/>
      <c r="D207" s="107"/>
      <c r="E207" s="107"/>
      <c r="F207" s="107"/>
      <c r="G207" s="107"/>
      <c r="H207" s="107"/>
      <c r="I207" s="107"/>
      <c r="J207" s="107"/>
      <c r="K207" s="107"/>
      <c r="L207" s="107"/>
      <c r="M207" s="107"/>
      <c r="N207" s="107"/>
      <c r="O207" s="107"/>
      <c r="P207" s="107"/>
      <c r="Q207" s="107"/>
      <c r="R207" s="107"/>
      <c r="S207" s="107"/>
      <c r="T207" s="107"/>
      <c r="U207" s="107"/>
      <c r="V207" s="107"/>
      <c r="W207" s="107"/>
      <c r="X207" s="107"/>
      <c r="Y207" s="107"/>
      <c r="Z207" s="107"/>
      <c r="AA207" s="107"/>
    </row>
    <row r="208">
      <c r="A208" s="110"/>
      <c r="B208" s="107"/>
      <c r="C208" s="107"/>
      <c r="D208" s="107"/>
      <c r="E208" s="107"/>
      <c r="F208" s="107"/>
      <c r="G208" s="107"/>
      <c r="H208" s="107"/>
      <c r="I208" s="107"/>
      <c r="J208" s="107"/>
      <c r="K208" s="107"/>
      <c r="L208" s="107"/>
      <c r="M208" s="107"/>
      <c r="N208" s="107"/>
      <c r="O208" s="107"/>
      <c r="P208" s="107"/>
      <c r="Q208" s="107"/>
      <c r="R208" s="107"/>
      <c r="S208" s="107"/>
      <c r="T208" s="107"/>
      <c r="U208" s="107"/>
      <c r="V208" s="107"/>
      <c r="W208" s="107"/>
      <c r="X208" s="107"/>
      <c r="Y208" s="107"/>
      <c r="Z208" s="107"/>
      <c r="AA208" s="107"/>
    </row>
    <row r="209">
      <c r="A209" s="110"/>
      <c r="B209" s="107"/>
      <c r="C209" s="107"/>
      <c r="D209" s="107"/>
      <c r="E209" s="107"/>
      <c r="F209" s="107"/>
      <c r="G209" s="107"/>
      <c r="H209" s="107"/>
      <c r="I209" s="107"/>
      <c r="J209" s="107"/>
      <c r="K209" s="107"/>
      <c r="L209" s="107"/>
      <c r="M209" s="107"/>
      <c r="N209" s="107"/>
      <c r="O209" s="107"/>
      <c r="P209" s="107"/>
      <c r="Q209" s="107"/>
      <c r="R209" s="107"/>
      <c r="S209" s="107"/>
      <c r="T209" s="107"/>
      <c r="U209" s="107"/>
      <c r="V209" s="107"/>
      <c r="W209" s="107"/>
      <c r="X209" s="107"/>
      <c r="Y209" s="107"/>
      <c r="Z209" s="107"/>
      <c r="AA209" s="107"/>
    </row>
    <row r="210">
      <c r="A210" s="110"/>
      <c r="B210" s="107"/>
      <c r="C210" s="107"/>
      <c r="D210" s="107"/>
      <c r="E210" s="107"/>
      <c r="F210" s="107"/>
      <c r="G210" s="107"/>
      <c r="H210" s="107"/>
      <c r="I210" s="107"/>
      <c r="J210" s="107"/>
      <c r="K210" s="107"/>
      <c r="L210" s="107"/>
      <c r="M210" s="107"/>
      <c r="N210" s="107"/>
      <c r="O210" s="107"/>
      <c r="P210" s="107"/>
      <c r="Q210" s="107"/>
      <c r="R210" s="107"/>
      <c r="S210" s="107"/>
      <c r="T210" s="107"/>
      <c r="U210" s="107"/>
      <c r="V210" s="107"/>
      <c r="W210" s="107"/>
      <c r="X210" s="107"/>
      <c r="Y210" s="107"/>
      <c r="Z210" s="107"/>
      <c r="AA210" s="107"/>
    </row>
    <row r="211">
      <c r="A211" s="110"/>
      <c r="B211" s="107"/>
      <c r="C211" s="107"/>
      <c r="D211" s="107"/>
      <c r="E211" s="107"/>
      <c r="F211" s="107"/>
      <c r="G211" s="107"/>
      <c r="H211" s="107"/>
      <c r="I211" s="107"/>
      <c r="J211" s="107"/>
      <c r="K211" s="107"/>
      <c r="L211" s="107"/>
      <c r="M211" s="107"/>
      <c r="N211" s="107"/>
      <c r="O211" s="107"/>
      <c r="P211" s="107"/>
      <c r="Q211" s="107"/>
      <c r="R211" s="107"/>
      <c r="S211" s="107"/>
      <c r="T211" s="107"/>
      <c r="U211" s="107"/>
      <c r="V211" s="107"/>
      <c r="W211" s="107"/>
      <c r="X211" s="107"/>
      <c r="Y211" s="107"/>
      <c r="Z211" s="107"/>
      <c r="AA211" s="107"/>
    </row>
    <row r="212">
      <c r="A212" s="110"/>
      <c r="B212" s="107"/>
      <c r="C212" s="107"/>
      <c r="D212" s="107"/>
      <c r="E212" s="107"/>
      <c r="F212" s="107"/>
      <c r="G212" s="107"/>
      <c r="H212" s="107"/>
      <c r="I212" s="107"/>
      <c r="J212" s="107"/>
      <c r="K212" s="107"/>
      <c r="L212" s="107"/>
      <c r="M212" s="107"/>
      <c r="N212" s="107"/>
      <c r="O212" s="107"/>
      <c r="P212" s="107"/>
      <c r="Q212" s="107"/>
      <c r="R212" s="107"/>
      <c r="S212" s="107"/>
      <c r="T212" s="107"/>
      <c r="U212" s="107"/>
      <c r="V212" s="107"/>
      <c r="W212" s="107"/>
      <c r="X212" s="107"/>
      <c r="Y212" s="107"/>
      <c r="Z212" s="107"/>
      <c r="AA212" s="107"/>
    </row>
    <row r="213">
      <c r="A213" s="110"/>
      <c r="B213" s="107"/>
      <c r="C213" s="107"/>
      <c r="D213" s="107"/>
      <c r="E213" s="107"/>
      <c r="F213" s="107"/>
      <c r="G213" s="107"/>
      <c r="H213" s="107"/>
      <c r="I213" s="107"/>
      <c r="J213" s="107"/>
      <c r="K213" s="107"/>
      <c r="L213" s="107"/>
      <c r="M213" s="107"/>
      <c r="N213" s="107"/>
      <c r="O213" s="107"/>
      <c r="P213" s="107"/>
      <c r="Q213" s="107"/>
      <c r="R213" s="107"/>
      <c r="S213" s="107"/>
      <c r="T213" s="107"/>
      <c r="U213" s="107"/>
      <c r="V213" s="107"/>
      <c r="W213" s="107"/>
      <c r="X213" s="107"/>
      <c r="Y213" s="107"/>
      <c r="Z213" s="107"/>
      <c r="AA213" s="107"/>
    </row>
    <row r="214">
      <c r="A214" s="110"/>
      <c r="B214" s="107"/>
      <c r="C214" s="107"/>
      <c r="D214" s="107"/>
      <c r="E214" s="107"/>
      <c r="F214" s="107"/>
      <c r="G214" s="107"/>
      <c r="H214" s="107"/>
      <c r="I214" s="107"/>
      <c r="J214" s="107"/>
      <c r="K214" s="107"/>
      <c r="L214" s="107"/>
      <c r="M214" s="107"/>
      <c r="N214" s="107"/>
      <c r="O214" s="107"/>
      <c r="P214" s="107"/>
      <c r="Q214" s="107"/>
      <c r="R214" s="107"/>
      <c r="S214" s="107"/>
      <c r="T214" s="107"/>
      <c r="U214" s="107"/>
      <c r="V214" s="107"/>
      <c r="W214" s="107"/>
      <c r="X214" s="107"/>
      <c r="Y214" s="107"/>
      <c r="Z214" s="107"/>
      <c r="AA214" s="107"/>
    </row>
    <row r="215">
      <c r="A215" s="110"/>
      <c r="B215" s="107"/>
      <c r="C215" s="107"/>
      <c r="D215" s="107"/>
      <c r="E215" s="107"/>
      <c r="F215" s="107"/>
      <c r="G215" s="107"/>
      <c r="H215" s="107"/>
      <c r="I215" s="107"/>
      <c r="J215" s="107"/>
      <c r="K215" s="107"/>
      <c r="L215" s="107"/>
      <c r="M215" s="107"/>
      <c r="N215" s="107"/>
      <c r="O215" s="107"/>
      <c r="P215" s="107"/>
      <c r="Q215" s="107"/>
      <c r="R215" s="107"/>
      <c r="S215" s="107"/>
      <c r="T215" s="107"/>
      <c r="U215" s="107"/>
      <c r="V215" s="107"/>
      <c r="W215" s="107"/>
      <c r="X215" s="107"/>
      <c r="Y215" s="107"/>
      <c r="Z215" s="107"/>
      <c r="AA215" s="107"/>
    </row>
    <row r="216">
      <c r="A216" s="110"/>
      <c r="B216" s="107"/>
      <c r="C216" s="107"/>
      <c r="D216" s="107"/>
      <c r="E216" s="107"/>
      <c r="F216" s="107"/>
      <c r="G216" s="107"/>
      <c r="H216" s="107"/>
      <c r="I216" s="107"/>
      <c r="J216" s="107"/>
      <c r="K216" s="107"/>
      <c r="L216" s="107"/>
      <c r="M216" s="107"/>
      <c r="N216" s="107"/>
      <c r="O216" s="107"/>
      <c r="P216" s="107"/>
      <c r="Q216" s="107"/>
      <c r="R216" s="107"/>
      <c r="S216" s="107"/>
      <c r="T216" s="107"/>
      <c r="U216" s="107"/>
      <c r="V216" s="107"/>
      <c r="W216" s="107"/>
      <c r="X216" s="107"/>
      <c r="Y216" s="107"/>
      <c r="Z216" s="107"/>
      <c r="AA216" s="107"/>
    </row>
    <row r="217">
      <c r="A217" s="110"/>
      <c r="B217" s="107"/>
      <c r="C217" s="107"/>
      <c r="D217" s="107"/>
      <c r="E217" s="107"/>
      <c r="F217" s="107"/>
      <c r="G217" s="107"/>
      <c r="H217" s="107"/>
      <c r="I217" s="107"/>
      <c r="J217" s="107"/>
      <c r="K217" s="107"/>
      <c r="L217" s="107"/>
      <c r="M217" s="107"/>
      <c r="N217" s="107"/>
      <c r="O217" s="107"/>
      <c r="P217" s="107"/>
      <c r="Q217" s="107"/>
      <c r="R217" s="107"/>
      <c r="S217" s="107"/>
      <c r="T217" s="107"/>
      <c r="U217" s="107"/>
      <c r="V217" s="107"/>
      <c r="W217" s="107"/>
      <c r="X217" s="107"/>
      <c r="Y217" s="107"/>
      <c r="Z217" s="107"/>
      <c r="AA217" s="107"/>
    </row>
    <row r="218">
      <c r="A218" s="110"/>
      <c r="B218" s="107"/>
      <c r="C218" s="107"/>
      <c r="D218" s="107"/>
      <c r="E218" s="107"/>
      <c r="F218" s="107"/>
      <c r="G218" s="107"/>
      <c r="H218" s="107"/>
      <c r="I218" s="107"/>
      <c r="J218" s="107"/>
      <c r="K218" s="107"/>
      <c r="L218" s="107"/>
      <c r="M218" s="107"/>
      <c r="N218" s="107"/>
      <c r="O218" s="107"/>
      <c r="P218" s="107"/>
      <c r="Q218" s="107"/>
      <c r="R218" s="107"/>
      <c r="S218" s="107"/>
      <c r="T218" s="107"/>
      <c r="U218" s="107"/>
      <c r="V218" s="107"/>
      <c r="W218" s="107"/>
      <c r="X218" s="107"/>
      <c r="Y218" s="107"/>
      <c r="Z218" s="107"/>
      <c r="AA218" s="107"/>
    </row>
    <row r="219">
      <c r="A219" s="110"/>
      <c r="B219" s="107"/>
      <c r="C219" s="107"/>
      <c r="D219" s="107"/>
      <c r="E219" s="107"/>
      <c r="F219" s="107"/>
      <c r="G219" s="107"/>
      <c r="H219" s="107"/>
      <c r="I219" s="107"/>
      <c r="J219" s="107"/>
      <c r="K219" s="107"/>
      <c r="L219" s="107"/>
      <c r="M219" s="107"/>
      <c r="N219" s="107"/>
      <c r="O219" s="107"/>
      <c r="P219" s="107"/>
      <c r="Q219" s="107"/>
      <c r="R219" s="107"/>
      <c r="S219" s="107"/>
      <c r="T219" s="107"/>
      <c r="U219" s="107"/>
      <c r="V219" s="107"/>
      <c r="W219" s="107"/>
      <c r="X219" s="107"/>
      <c r="Y219" s="107"/>
      <c r="Z219" s="107"/>
      <c r="AA219" s="107"/>
    </row>
    <row r="220">
      <c r="A220" s="110"/>
      <c r="B220" s="107"/>
      <c r="C220" s="107"/>
      <c r="D220" s="107"/>
      <c r="E220" s="107"/>
      <c r="F220" s="107"/>
      <c r="G220" s="107"/>
      <c r="H220" s="107"/>
      <c r="I220" s="107"/>
      <c r="J220" s="107"/>
      <c r="K220" s="107"/>
      <c r="L220" s="107"/>
      <c r="M220" s="107"/>
      <c r="N220" s="107"/>
      <c r="O220" s="107"/>
      <c r="P220" s="107"/>
      <c r="Q220" s="107"/>
      <c r="R220" s="107"/>
      <c r="S220" s="107"/>
      <c r="T220" s="107"/>
      <c r="U220" s="107"/>
      <c r="V220" s="107"/>
      <c r="W220" s="107"/>
      <c r="X220" s="107"/>
      <c r="Y220" s="107"/>
      <c r="Z220" s="107"/>
      <c r="AA220" s="107"/>
    </row>
    <row r="221">
      <c r="A221" s="110"/>
      <c r="B221" s="107"/>
      <c r="C221" s="107"/>
      <c r="D221" s="107"/>
      <c r="E221" s="107"/>
      <c r="F221" s="107"/>
      <c r="G221" s="107"/>
      <c r="H221" s="107"/>
      <c r="I221" s="107"/>
      <c r="J221" s="107"/>
      <c r="K221" s="107"/>
      <c r="L221" s="107"/>
      <c r="M221" s="107"/>
      <c r="N221" s="107"/>
      <c r="O221" s="107"/>
      <c r="P221" s="107"/>
      <c r="Q221" s="107"/>
      <c r="R221" s="107"/>
      <c r="S221" s="107"/>
      <c r="T221" s="107"/>
      <c r="U221" s="107"/>
      <c r="V221" s="107"/>
      <c r="W221" s="107"/>
      <c r="X221" s="107"/>
      <c r="Y221" s="107"/>
      <c r="Z221" s="107"/>
      <c r="AA221" s="107"/>
    </row>
    <row r="222">
      <c r="A222" s="110"/>
      <c r="B222" s="107"/>
      <c r="C222" s="107"/>
      <c r="D222" s="107"/>
      <c r="E222" s="107"/>
      <c r="F222" s="107"/>
      <c r="G222" s="107"/>
      <c r="H222" s="107"/>
      <c r="I222" s="107"/>
      <c r="J222" s="107"/>
      <c r="K222" s="107"/>
      <c r="L222" s="107"/>
      <c r="M222" s="107"/>
      <c r="N222" s="107"/>
      <c r="O222" s="107"/>
      <c r="P222" s="107"/>
      <c r="Q222" s="107"/>
      <c r="R222" s="107"/>
      <c r="S222" s="107"/>
      <c r="T222" s="107"/>
      <c r="U222" s="107"/>
      <c r="V222" s="107"/>
      <c r="W222" s="107"/>
      <c r="X222" s="107"/>
      <c r="Y222" s="107"/>
      <c r="Z222" s="107"/>
      <c r="AA222" s="107"/>
    </row>
    <row r="223">
      <c r="A223" s="110"/>
      <c r="B223" s="107"/>
      <c r="C223" s="107"/>
      <c r="D223" s="107"/>
      <c r="E223" s="107"/>
      <c r="F223" s="107"/>
      <c r="G223" s="107"/>
      <c r="H223" s="107"/>
      <c r="I223" s="107"/>
      <c r="J223" s="107"/>
      <c r="K223" s="107"/>
      <c r="L223" s="107"/>
      <c r="M223" s="107"/>
      <c r="N223" s="107"/>
      <c r="O223" s="107"/>
      <c r="P223" s="107"/>
      <c r="Q223" s="107"/>
      <c r="R223" s="107"/>
      <c r="S223" s="107"/>
      <c r="T223" s="107"/>
      <c r="U223" s="107"/>
      <c r="V223" s="107"/>
      <c r="W223" s="107"/>
      <c r="X223" s="107"/>
      <c r="Y223" s="107"/>
      <c r="Z223" s="107"/>
      <c r="AA223" s="107"/>
    </row>
    <row r="224">
      <c r="A224" s="110"/>
      <c r="B224" s="107"/>
      <c r="C224" s="107"/>
      <c r="D224" s="107"/>
      <c r="E224" s="107"/>
      <c r="F224" s="107"/>
      <c r="G224" s="107"/>
      <c r="H224" s="107"/>
      <c r="I224" s="107"/>
      <c r="J224" s="107"/>
      <c r="K224" s="107"/>
      <c r="L224" s="107"/>
      <c r="M224" s="107"/>
      <c r="N224" s="107"/>
      <c r="O224" s="107"/>
      <c r="P224" s="107"/>
      <c r="Q224" s="107"/>
      <c r="R224" s="107"/>
      <c r="S224" s="107"/>
      <c r="T224" s="107"/>
      <c r="U224" s="107"/>
      <c r="V224" s="107"/>
      <c r="W224" s="107"/>
      <c r="X224" s="107"/>
      <c r="Y224" s="107"/>
      <c r="Z224" s="107"/>
      <c r="AA224" s="107"/>
    </row>
    <row r="225">
      <c r="A225" s="110"/>
      <c r="B225" s="107"/>
      <c r="C225" s="107"/>
      <c r="D225" s="107"/>
      <c r="E225" s="107"/>
      <c r="F225" s="107"/>
      <c r="G225" s="107"/>
      <c r="H225" s="107"/>
      <c r="I225" s="107"/>
      <c r="J225" s="107"/>
      <c r="K225" s="107"/>
      <c r="L225" s="107"/>
      <c r="M225" s="107"/>
      <c r="N225" s="107"/>
      <c r="O225" s="107"/>
      <c r="P225" s="107"/>
      <c r="Q225" s="107"/>
      <c r="R225" s="107"/>
      <c r="S225" s="107"/>
      <c r="T225" s="107"/>
      <c r="U225" s="107"/>
      <c r="V225" s="107"/>
      <c r="W225" s="107"/>
      <c r="X225" s="107"/>
      <c r="Y225" s="107"/>
      <c r="Z225" s="107"/>
      <c r="AA225" s="107"/>
    </row>
    <row r="226">
      <c r="A226" s="110"/>
      <c r="B226" s="107"/>
      <c r="C226" s="107"/>
      <c r="D226" s="107"/>
      <c r="E226" s="107"/>
      <c r="F226" s="107"/>
      <c r="G226" s="107"/>
      <c r="H226" s="107"/>
      <c r="I226" s="107"/>
      <c r="J226" s="107"/>
      <c r="K226" s="107"/>
      <c r="L226" s="107"/>
      <c r="M226" s="107"/>
      <c r="N226" s="107"/>
      <c r="O226" s="107"/>
      <c r="P226" s="107"/>
      <c r="Q226" s="107"/>
      <c r="R226" s="107"/>
      <c r="S226" s="107"/>
      <c r="T226" s="107"/>
      <c r="U226" s="107"/>
      <c r="V226" s="107"/>
      <c r="W226" s="107"/>
      <c r="X226" s="107"/>
      <c r="Y226" s="107"/>
      <c r="Z226" s="107"/>
      <c r="AA226" s="107"/>
    </row>
    <row r="227">
      <c r="A227" s="110"/>
      <c r="B227" s="107"/>
      <c r="C227" s="107"/>
      <c r="D227" s="107"/>
      <c r="E227" s="107"/>
      <c r="F227" s="107"/>
      <c r="G227" s="107"/>
      <c r="H227" s="107"/>
      <c r="I227" s="107"/>
      <c r="J227" s="107"/>
      <c r="K227" s="107"/>
      <c r="L227" s="107"/>
      <c r="M227" s="107"/>
      <c r="N227" s="107"/>
      <c r="O227" s="107"/>
      <c r="P227" s="107"/>
      <c r="Q227" s="107"/>
      <c r="R227" s="107"/>
      <c r="S227" s="107"/>
      <c r="T227" s="107"/>
      <c r="U227" s="107"/>
      <c r="V227" s="107"/>
      <c r="W227" s="107"/>
      <c r="X227" s="107"/>
      <c r="Y227" s="107"/>
      <c r="Z227" s="107"/>
      <c r="AA227" s="107"/>
    </row>
    <row r="228">
      <c r="A228" s="110"/>
      <c r="B228" s="107"/>
      <c r="C228" s="107"/>
      <c r="D228" s="107"/>
      <c r="E228" s="107"/>
      <c r="F228" s="107"/>
      <c r="G228" s="107"/>
      <c r="H228" s="107"/>
      <c r="I228" s="107"/>
      <c r="J228" s="107"/>
      <c r="K228" s="107"/>
      <c r="L228" s="107"/>
      <c r="M228" s="107"/>
      <c r="N228" s="107"/>
      <c r="O228" s="107"/>
      <c r="P228" s="107"/>
      <c r="Q228" s="107"/>
      <c r="R228" s="107"/>
      <c r="S228" s="107"/>
      <c r="T228" s="107"/>
      <c r="U228" s="107"/>
      <c r="V228" s="107"/>
      <c r="W228" s="107"/>
      <c r="X228" s="107"/>
      <c r="Y228" s="107"/>
      <c r="Z228" s="107"/>
      <c r="AA228" s="107"/>
    </row>
    <row r="229">
      <c r="A229" s="110"/>
      <c r="B229" s="107"/>
      <c r="C229" s="107"/>
      <c r="D229" s="107"/>
      <c r="E229" s="107"/>
      <c r="F229" s="107"/>
      <c r="G229" s="107"/>
      <c r="H229" s="107"/>
      <c r="I229" s="107"/>
      <c r="J229" s="107"/>
      <c r="K229" s="107"/>
      <c r="L229" s="107"/>
      <c r="M229" s="107"/>
      <c r="N229" s="107"/>
      <c r="O229" s="107"/>
      <c r="P229" s="107"/>
      <c r="Q229" s="107"/>
      <c r="R229" s="107"/>
      <c r="S229" s="107"/>
      <c r="T229" s="107"/>
      <c r="U229" s="107"/>
      <c r="V229" s="107"/>
      <c r="W229" s="107"/>
      <c r="X229" s="107"/>
      <c r="Y229" s="107"/>
      <c r="Z229" s="107"/>
      <c r="AA229" s="107"/>
    </row>
    <row r="230">
      <c r="A230" s="110"/>
      <c r="B230" s="107"/>
      <c r="C230" s="107"/>
      <c r="D230" s="107"/>
      <c r="E230" s="107"/>
      <c r="F230" s="107"/>
      <c r="G230" s="107"/>
      <c r="H230" s="107"/>
      <c r="I230" s="107"/>
      <c r="J230" s="107"/>
      <c r="K230" s="107"/>
      <c r="L230" s="107"/>
      <c r="M230" s="107"/>
      <c r="N230" s="107"/>
      <c r="O230" s="107"/>
      <c r="P230" s="107"/>
      <c r="Q230" s="107"/>
      <c r="R230" s="107"/>
      <c r="S230" s="107"/>
      <c r="T230" s="107"/>
      <c r="U230" s="107"/>
      <c r="V230" s="107"/>
      <c r="W230" s="107"/>
      <c r="X230" s="107"/>
      <c r="Y230" s="107"/>
      <c r="Z230" s="107"/>
      <c r="AA230" s="107"/>
    </row>
    <row r="231">
      <c r="A231" s="110"/>
      <c r="B231" s="107"/>
      <c r="C231" s="107"/>
      <c r="D231" s="107"/>
      <c r="E231" s="107"/>
      <c r="F231" s="107"/>
      <c r="G231" s="107"/>
      <c r="H231" s="107"/>
      <c r="I231" s="107"/>
      <c r="J231" s="107"/>
      <c r="K231" s="107"/>
      <c r="L231" s="107"/>
      <c r="M231" s="107"/>
      <c r="N231" s="107"/>
      <c r="O231" s="107"/>
      <c r="P231" s="107"/>
      <c r="Q231" s="107"/>
      <c r="R231" s="107"/>
      <c r="S231" s="107"/>
      <c r="T231" s="107"/>
      <c r="U231" s="107"/>
      <c r="V231" s="107"/>
      <c r="W231" s="107"/>
      <c r="X231" s="107"/>
      <c r="Y231" s="107"/>
      <c r="Z231" s="107"/>
      <c r="AA231" s="107"/>
    </row>
    <row r="232">
      <c r="A232" s="110"/>
      <c r="B232" s="107"/>
      <c r="C232" s="107"/>
      <c r="D232" s="107"/>
      <c r="E232" s="107"/>
      <c r="F232" s="107"/>
      <c r="G232" s="107"/>
      <c r="H232" s="107"/>
      <c r="I232" s="107"/>
      <c r="J232" s="107"/>
      <c r="K232" s="107"/>
      <c r="L232" s="107"/>
      <c r="M232" s="107"/>
      <c r="N232" s="107"/>
      <c r="O232" s="107"/>
      <c r="P232" s="107"/>
      <c r="Q232" s="107"/>
      <c r="R232" s="107"/>
      <c r="S232" s="107"/>
      <c r="T232" s="107"/>
      <c r="U232" s="107"/>
      <c r="V232" s="107"/>
      <c r="W232" s="107"/>
      <c r="X232" s="107"/>
      <c r="Y232" s="107"/>
      <c r="Z232" s="107"/>
      <c r="AA232" s="107"/>
    </row>
    <row r="233">
      <c r="A233" s="110"/>
      <c r="B233" s="107"/>
      <c r="C233" s="107"/>
      <c r="D233" s="107"/>
      <c r="E233" s="107"/>
      <c r="F233" s="107"/>
      <c r="G233" s="107"/>
      <c r="H233" s="107"/>
      <c r="I233" s="107"/>
      <c r="J233" s="107"/>
      <c r="K233" s="107"/>
      <c r="L233" s="107"/>
      <c r="M233" s="107"/>
      <c r="N233" s="107"/>
      <c r="O233" s="107"/>
      <c r="P233" s="107"/>
      <c r="Q233" s="107"/>
      <c r="R233" s="107"/>
      <c r="S233" s="107"/>
      <c r="T233" s="107"/>
      <c r="U233" s="107"/>
      <c r="V233" s="107"/>
      <c r="W233" s="107"/>
      <c r="X233" s="107"/>
      <c r="Y233" s="107"/>
      <c r="Z233" s="107"/>
      <c r="AA233" s="107"/>
    </row>
    <row r="234">
      <c r="A234" s="110"/>
      <c r="B234" s="107"/>
      <c r="C234" s="107"/>
      <c r="D234" s="107"/>
      <c r="E234" s="107"/>
      <c r="F234" s="107"/>
      <c r="G234" s="107"/>
      <c r="H234" s="107"/>
      <c r="I234" s="107"/>
      <c r="J234" s="107"/>
      <c r="K234" s="107"/>
      <c r="L234" s="107"/>
      <c r="M234" s="107"/>
      <c r="N234" s="107"/>
      <c r="O234" s="107"/>
      <c r="P234" s="107"/>
      <c r="Q234" s="107"/>
      <c r="R234" s="107"/>
      <c r="S234" s="107"/>
      <c r="T234" s="107"/>
      <c r="U234" s="107"/>
      <c r="V234" s="107"/>
      <c r="W234" s="107"/>
      <c r="X234" s="107"/>
      <c r="Y234" s="107"/>
      <c r="Z234" s="107"/>
      <c r="AA234" s="107"/>
    </row>
    <row r="235">
      <c r="A235" s="110"/>
      <c r="B235" s="107"/>
      <c r="C235" s="107"/>
      <c r="D235" s="107"/>
      <c r="E235" s="107"/>
      <c r="F235" s="107"/>
      <c r="G235" s="107"/>
      <c r="H235" s="107"/>
      <c r="I235" s="107"/>
      <c r="J235" s="107"/>
      <c r="K235" s="107"/>
      <c r="L235" s="107"/>
      <c r="M235" s="107"/>
      <c r="N235" s="107"/>
      <c r="O235" s="107"/>
      <c r="P235" s="107"/>
      <c r="Q235" s="107"/>
      <c r="R235" s="107"/>
      <c r="S235" s="107"/>
      <c r="T235" s="107"/>
      <c r="U235" s="107"/>
      <c r="V235" s="107"/>
      <c r="W235" s="107"/>
      <c r="X235" s="107"/>
      <c r="Y235" s="107"/>
      <c r="Z235" s="107"/>
      <c r="AA235" s="107"/>
    </row>
    <row r="236">
      <c r="A236" s="110"/>
      <c r="B236" s="107"/>
      <c r="C236" s="107"/>
      <c r="D236" s="107"/>
      <c r="E236" s="107"/>
      <c r="F236" s="107"/>
      <c r="G236" s="107"/>
      <c r="H236" s="107"/>
      <c r="I236" s="107"/>
      <c r="J236" s="107"/>
      <c r="K236" s="107"/>
      <c r="L236" s="107"/>
      <c r="M236" s="107"/>
      <c r="N236" s="107"/>
      <c r="O236" s="107"/>
      <c r="P236" s="107"/>
      <c r="Q236" s="107"/>
      <c r="R236" s="107"/>
      <c r="S236" s="107"/>
      <c r="T236" s="107"/>
      <c r="U236" s="107"/>
      <c r="V236" s="107"/>
      <c r="W236" s="107"/>
      <c r="X236" s="107"/>
      <c r="Y236" s="107"/>
      <c r="Z236" s="107"/>
      <c r="AA236" s="107"/>
    </row>
    <row r="237">
      <c r="A237" s="110"/>
      <c r="B237" s="107"/>
      <c r="C237" s="107"/>
      <c r="D237" s="107"/>
      <c r="E237" s="107"/>
      <c r="F237" s="107"/>
      <c r="G237" s="107"/>
      <c r="H237" s="107"/>
      <c r="I237" s="107"/>
      <c r="J237" s="107"/>
      <c r="K237" s="107"/>
      <c r="L237" s="107"/>
      <c r="M237" s="107"/>
      <c r="N237" s="107"/>
      <c r="O237" s="107"/>
      <c r="P237" s="107"/>
      <c r="Q237" s="107"/>
      <c r="R237" s="107"/>
      <c r="S237" s="107"/>
      <c r="T237" s="107"/>
      <c r="U237" s="107"/>
      <c r="V237" s="107"/>
      <c r="W237" s="107"/>
      <c r="X237" s="107"/>
      <c r="Y237" s="107"/>
      <c r="Z237" s="107"/>
      <c r="AA237" s="107"/>
    </row>
    <row r="238">
      <c r="A238" s="110"/>
      <c r="B238" s="107"/>
      <c r="C238" s="107"/>
      <c r="D238" s="107"/>
      <c r="E238" s="107"/>
      <c r="F238" s="107"/>
      <c r="G238" s="107"/>
      <c r="H238" s="107"/>
      <c r="I238" s="107"/>
      <c r="J238" s="107"/>
      <c r="K238" s="107"/>
      <c r="L238" s="107"/>
      <c r="M238" s="107"/>
      <c r="N238" s="107"/>
      <c r="O238" s="107"/>
      <c r="P238" s="107"/>
      <c r="Q238" s="107"/>
      <c r="R238" s="107"/>
      <c r="S238" s="107"/>
      <c r="T238" s="107"/>
      <c r="U238" s="107"/>
      <c r="V238" s="107"/>
      <c r="W238" s="107"/>
      <c r="X238" s="107"/>
      <c r="Y238" s="107"/>
      <c r="Z238" s="107"/>
      <c r="AA238" s="107"/>
    </row>
    <row r="239">
      <c r="A239" s="110"/>
      <c r="B239" s="107"/>
      <c r="C239" s="107"/>
      <c r="D239" s="107"/>
      <c r="E239" s="107"/>
      <c r="F239" s="107"/>
      <c r="G239" s="107"/>
      <c r="H239" s="107"/>
      <c r="I239" s="107"/>
      <c r="J239" s="107"/>
      <c r="K239" s="107"/>
      <c r="L239" s="107"/>
      <c r="M239" s="107"/>
      <c r="N239" s="107"/>
      <c r="O239" s="107"/>
      <c r="P239" s="107"/>
      <c r="Q239" s="107"/>
      <c r="R239" s="107"/>
      <c r="S239" s="107"/>
      <c r="T239" s="107"/>
      <c r="U239" s="107"/>
      <c r="V239" s="107"/>
      <c r="W239" s="107"/>
      <c r="X239" s="107"/>
      <c r="Y239" s="107"/>
      <c r="Z239" s="107"/>
      <c r="AA239" s="107"/>
    </row>
    <row r="240">
      <c r="A240" s="110"/>
      <c r="B240" s="107"/>
      <c r="C240" s="107"/>
      <c r="D240" s="107"/>
      <c r="E240" s="107"/>
      <c r="F240" s="107"/>
      <c r="G240" s="107"/>
      <c r="H240" s="107"/>
      <c r="I240" s="107"/>
      <c r="J240" s="107"/>
      <c r="K240" s="107"/>
      <c r="L240" s="107"/>
      <c r="M240" s="107"/>
      <c r="N240" s="107"/>
      <c r="O240" s="107"/>
      <c r="P240" s="107"/>
      <c r="Q240" s="107"/>
      <c r="R240" s="107"/>
      <c r="S240" s="107"/>
      <c r="T240" s="107"/>
      <c r="U240" s="107"/>
      <c r="V240" s="107"/>
      <c r="W240" s="107"/>
      <c r="X240" s="107"/>
      <c r="Y240" s="107"/>
      <c r="Z240" s="107"/>
      <c r="AA240" s="107"/>
    </row>
    <row r="241">
      <c r="A241" s="110"/>
      <c r="B241" s="107"/>
      <c r="C241" s="107"/>
      <c r="D241" s="107"/>
      <c r="E241" s="107"/>
      <c r="F241" s="107"/>
      <c r="G241" s="107"/>
      <c r="H241" s="107"/>
      <c r="I241" s="107"/>
      <c r="J241" s="107"/>
      <c r="K241" s="107"/>
      <c r="L241" s="107"/>
      <c r="M241" s="107"/>
      <c r="N241" s="107"/>
      <c r="O241" s="107"/>
      <c r="P241" s="107"/>
      <c r="Q241" s="107"/>
      <c r="R241" s="107"/>
      <c r="S241" s="107"/>
      <c r="T241" s="107"/>
      <c r="U241" s="107"/>
      <c r="V241" s="107"/>
      <c r="W241" s="107"/>
      <c r="X241" s="107"/>
      <c r="Y241" s="107"/>
      <c r="Z241" s="107"/>
      <c r="AA241" s="107"/>
    </row>
    <row r="242">
      <c r="A242" s="110"/>
      <c r="B242" s="107"/>
      <c r="C242" s="107"/>
      <c r="D242" s="107"/>
      <c r="E242" s="107"/>
      <c r="F242" s="107"/>
      <c r="G242" s="107"/>
      <c r="H242" s="107"/>
      <c r="I242" s="107"/>
      <c r="J242" s="107"/>
      <c r="K242" s="107"/>
      <c r="L242" s="107"/>
      <c r="M242" s="107"/>
      <c r="N242" s="107"/>
      <c r="O242" s="107"/>
      <c r="P242" s="107"/>
      <c r="Q242" s="107"/>
      <c r="R242" s="107"/>
      <c r="S242" s="107"/>
      <c r="T242" s="107"/>
      <c r="U242" s="107"/>
      <c r="V242" s="107"/>
      <c r="W242" s="107"/>
      <c r="X242" s="107"/>
      <c r="Y242" s="107"/>
      <c r="Z242" s="107"/>
      <c r="AA242" s="107"/>
    </row>
    <row r="243">
      <c r="A243" s="110"/>
      <c r="B243" s="107"/>
      <c r="C243" s="107"/>
      <c r="D243" s="107"/>
      <c r="E243" s="107"/>
      <c r="F243" s="107"/>
      <c r="G243" s="107"/>
      <c r="H243" s="107"/>
      <c r="I243" s="107"/>
      <c r="J243" s="107"/>
      <c r="K243" s="107"/>
      <c r="L243" s="107"/>
      <c r="M243" s="107"/>
      <c r="N243" s="107"/>
      <c r="O243" s="107"/>
      <c r="P243" s="107"/>
      <c r="Q243" s="107"/>
      <c r="R243" s="107"/>
      <c r="S243" s="107"/>
      <c r="T243" s="107"/>
      <c r="U243" s="107"/>
      <c r="V243" s="107"/>
      <c r="W243" s="107"/>
      <c r="X243" s="107"/>
      <c r="Y243" s="107"/>
      <c r="Z243" s="107"/>
      <c r="AA243" s="107"/>
    </row>
    <row r="244">
      <c r="A244" s="110"/>
      <c r="B244" s="107"/>
      <c r="C244" s="107"/>
      <c r="D244" s="107"/>
      <c r="E244" s="107"/>
      <c r="F244" s="107"/>
      <c r="G244" s="107"/>
      <c r="H244" s="107"/>
      <c r="I244" s="107"/>
      <c r="J244" s="107"/>
      <c r="K244" s="107"/>
      <c r="L244" s="107"/>
      <c r="M244" s="107"/>
      <c r="N244" s="107"/>
      <c r="O244" s="107"/>
      <c r="P244" s="107"/>
      <c r="Q244" s="107"/>
      <c r="R244" s="107"/>
      <c r="S244" s="107"/>
      <c r="T244" s="107"/>
      <c r="U244" s="107"/>
      <c r="V244" s="107"/>
      <c r="W244" s="107"/>
      <c r="X244" s="107"/>
      <c r="Y244" s="107"/>
      <c r="Z244" s="107"/>
      <c r="AA244" s="107"/>
    </row>
    <row r="245">
      <c r="A245" s="110"/>
      <c r="B245" s="107"/>
      <c r="C245" s="107"/>
      <c r="D245" s="107"/>
      <c r="E245" s="107"/>
      <c r="F245" s="107"/>
      <c r="G245" s="107"/>
      <c r="H245" s="107"/>
      <c r="I245" s="107"/>
      <c r="J245" s="107"/>
      <c r="K245" s="107"/>
      <c r="L245" s="107"/>
      <c r="M245" s="107"/>
      <c r="N245" s="107"/>
      <c r="O245" s="107"/>
      <c r="P245" s="107"/>
      <c r="Q245" s="107"/>
      <c r="R245" s="107"/>
      <c r="S245" s="107"/>
      <c r="T245" s="107"/>
      <c r="U245" s="107"/>
      <c r="V245" s="107"/>
      <c r="W245" s="107"/>
      <c r="X245" s="107"/>
      <c r="Y245" s="107"/>
      <c r="Z245" s="107"/>
      <c r="AA245" s="107"/>
    </row>
    <row r="246">
      <c r="A246" s="110"/>
      <c r="B246" s="107"/>
      <c r="C246" s="107"/>
      <c r="D246" s="107"/>
      <c r="E246" s="107"/>
      <c r="F246" s="107"/>
      <c r="G246" s="107"/>
      <c r="H246" s="107"/>
      <c r="I246" s="107"/>
      <c r="J246" s="107"/>
      <c r="K246" s="107"/>
      <c r="L246" s="107"/>
      <c r="M246" s="107"/>
      <c r="N246" s="107"/>
      <c r="O246" s="107"/>
      <c r="P246" s="107"/>
      <c r="Q246" s="107"/>
      <c r="R246" s="107"/>
      <c r="S246" s="107"/>
      <c r="T246" s="107"/>
      <c r="U246" s="107"/>
      <c r="V246" s="107"/>
      <c r="W246" s="107"/>
      <c r="X246" s="107"/>
      <c r="Y246" s="107"/>
      <c r="Z246" s="107"/>
      <c r="AA246" s="107"/>
    </row>
    <row r="247">
      <c r="A247" s="110"/>
      <c r="B247" s="107"/>
      <c r="C247" s="107"/>
      <c r="D247" s="107"/>
      <c r="E247" s="107"/>
      <c r="F247" s="107"/>
      <c r="G247" s="107"/>
      <c r="H247" s="107"/>
      <c r="I247" s="107"/>
      <c r="J247" s="107"/>
      <c r="K247" s="107"/>
      <c r="L247" s="107"/>
      <c r="M247" s="107"/>
      <c r="N247" s="107"/>
      <c r="O247" s="107"/>
      <c r="P247" s="107"/>
      <c r="Q247" s="107"/>
      <c r="R247" s="107"/>
      <c r="S247" s="107"/>
      <c r="T247" s="107"/>
      <c r="U247" s="107"/>
      <c r="V247" s="107"/>
      <c r="W247" s="107"/>
      <c r="X247" s="107"/>
      <c r="Y247" s="107"/>
      <c r="Z247" s="107"/>
      <c r="AA247" s="107"/>
    </row>
    <row r="248">
      <c r="A248" s="110"/>
      <c r="B248" s="107"/>
      <c r="C248" s="107"/>
      <c r="D248" s="107"/>
      <c r="E248" s="107"/>
      <c r="F248" s="107"/>
      <c r="G248" s="107"/>
      <c r="H248" s="107"/>
      <c r="I248" s="107"/>
      <c r="J248" s="107"/>
      <c r="K248" s="107"/>
      <c r="L248" s="107"/>
      <c r="M248" s="107"/>
      <c r="N248" s="107"/>
      <c r="O248" s="107"/>
      <c r="P248" s="107"/>
      <c r="Q248" s="107"/>
      <c r="R248" s="107"/>
      <c r="S248" s="107"/>
      <c r="T248" s="107"/>
      <c r="U248" s="107"/>
      <c r="V248" s="107"/>
      <c r="W248" s="107"/>
      <c r="X248" s="107"/>
      <c r="Y248" s="107"/>
      <c r="Z248" s="107"/>
      <c r="AA248" s="107"/>
    </row>
    <row r="249">
      <c r="A249" s="110"/>
      <c r="B249" s="107"/>
      <c r="C249" s="107"/>
      <c r="D249" s="107"/>
      <c r="E249" s="107"/>
      <c r="F249" s="107"/>
      <c r="G249" s="107"/>
      <c r="H249" s="107"/>
      <c r="I249" s="107"/>
      <c r="J249" s="107"/>
      <c r="K249" s="107"/>
      <c r="L249" s="107"/>
      <c r="M249" s="107"/>
      <c r="N249" s="107"/>
      <c r="O249" s="107"/>
      <c r="P249" s="107"/>
      <c r="Q249" s="107"/>
      <c r="R249" s="107"/>
      <c r="S249" s="107"/>
      <c r="T249" s="107"/>
      <c r="U249" s="107"/>
      <c r="V249" s="107"/>
      <c r="W249" s="107"/>
      <c r="X249" s="107"/>
      <c r="Y249" s="107"/>
      <c r="Z249" s="107"/>
      <c r="AA249" s="107"/>
    </row>
    <row r="250">
      <c r="A250" s="110"/>
      <c r="B250" s="107"/>
      <c r="C250" s="107"/>
      <c r="D250" s="107"/>
      <c r="E250" s="107"/>
      <c r="F250" s="107"/>
      <c r="G250" s="107"/>
      <c r="H250" s="107"/>
      <c r="I250" s="107"/>
      <c r="J250" s="107"/>
      <c r="K250" s="107"/>
      <c r="L250" s="107"/>
      <c r="M250" s="107"/>
      <c r="N250" s="107"/>
      <c r="O250" s="107"/>
      <c r="P250" s="107"/>
      <c r="Q250" s="107"/>
      <c r="R250" s="107"/>
      <c r="S250" s="107"/>
      <c r="T250" s="107"/>
      <c r="U250" s="107"/>
      <c r="V250" s="107"/>
      <c r="W250" s="107"/>
      <c r="X250" s="107"/>
      <c r="Y250" s="107"/>
      <c r="Z250" s="107"/>
      <c r="AA250" s="107"/>
    </row>
    <row r="251">
      <c r="A251" s="110"/>
      <c r="B251" s="107"/>
      <c r="C251" s="107"/>
      <c r="D251" s="107"/>
      <c r="E251" s="107"/>
      <c r="F251" s="107"/>
      <c r="G251" s="107"/>
      <c r="H251" s="107"/>
      <c r="I251" s="107"/>
      <c r="J251" s="107"/>
      <c r="K251" s="107"/>
      <c r="L251" s="107"/>
      <c r="M251" s="107"/>
      <c r="N251" s="107"/>
      <c r="O251" s="107"/>
      <c r="P251" s="107"/>
      <c r="Q251" s="107"/>
      <c r="R251" s="107"/>
      <c r="S251" s="107"/>
      <c r="T251" s="107"/>
      <c r="U251" s="107"/>
      <c r="V251" s="107"/>
      <c r="W251" s="107"/>
      <c r="X251" s="107"/>
      <c r="Y251" s="107"/>
      <c r="Z251" s="107"/>
      <c r="AA251" s="107"/>
    </row>
    <row r="252">
      <c r="A252" s="110"/>
      <c r="B252" s="107"/>
      <c r="C252" s="107"/>
      <c r="D252" s="107"/>
      <c r="E252" s="107"/>
      <c r="F252" s="107"/>
      <c r="G252" s="107"/>
      <c r="H252" s="107"/>
      <c r="I252" s="107"/>
      <c r="J252" s="107"/>
      <c r="K252" s="107"/>
      <c r="L252" s="107"/>
      <c r="M252" s="107"/>
      <c r="N252" s="107"/>
      <c r="O252" s="107"/>
      <c r="P252" s="107"/>
      <c r="Q252" s="107"/>
      <c r="R252" s="107"/>
      <c r="S252" s="107"/>
      <c r="T252" s="107"/>
      <c r="U252" s="107"/>
      <c r="V252" s="107"/>
      <c r="W252" s="107"/>
      <c r="X252" s="107"/>
      <c r="Y252" s="107"/>
      <c r="Z252" s="107"/>
      <c r="AA252" s="107"/>
    </row>
    <row r="253">
      <c r="A253" s="110"/>
      <c r="B253" s="107"/>
      <c r="C253" s="107"/>
      <c r="D253" s="107"/>
      <c r="E253" s="107"/>
      <c r="F253" s="107"/>
      <c r="G253" s="107"/>
      <c r="H253" s="107"/>
      <c r="I253" s="107"/>
      <c r="J253" s="107"/>
      <c r="K253" s="107"/>
      <c r="L253" s="107"/>
      <c r="M253" s="107"/>
      <c r="N253" s="107"/>
      <c r="O253" s="107"/>
      <c r="P253" s="107"/>
      <c r="Q253" s="107"/>
      <c r="R253" s="107"/>
      <c r="S253" s="107"/>
      <c r="T253" s="107"/>
      <c r="U253" s="107"/>
      <c r="V253" s="107"/>
      <c r="W253" s="107"/>
      <c r="X253" s="107"/>
      <c r="Y253" s="107"/>
      <c r="Z253" s="107"/>
      <c r="AA253" s="107"/>
    </row>
    <row r="254">
      <c r="A254" s="110"/>
      <c r="B254" s="107"/>
      <c r="C254" s="107"/>
      <c r="D254" s="107"/>
      <c r="E254" s="107"/>
      <c r="F254" s="107"/>
      <c r="G254" s="107"/>
      <c r="H254" s="107"/>
      <c r="I254" s="107"/>
      <c r="J254" s="107"/>
      <c r="K254" s="107"/>
      <c r="L254" s="107"/>
      <c r="M254" s="107"/>
      <c r="N254" s="107"/>
      <c r="O254" s="107"/>
      <c r="P254" s="107"/>
      <c r="Q254" s="107"/>
      <c r="R254" s="107"/>
      <c r="S254" s="107"/>
      <c r="T254" s="107"/>
      <c r="U254" s="107"/>
      <c r="V254" s="107"/>
      <c r="W254" s="107"/>
      <c r="X254" s="107"/>
      <c r="Y254" s="107"/>
      <c r="Z254" s="107"/>
      <c r="AA254" s="107"/>
    </row>
    <row r="255">
      <c r="A255" s="110"/>
      <c r="B255" s="107"/>
      <c r="C255" s="107"/>
      <c r="D255" s="107"/>
      <c r="E255" s="107"/>
      <c r="F255" s="107"/>
      <c r="G255" s="107"/>
      <c r="H255" s="107"/>
      <c r="I255" s="107"/>
      <c r="J255" s="107"/>
      <c r="K255" s="107"/>
      <c r="L255" s="107"/>
      <c r="M255" s="107"/>
      <c r="N255" s="107"/>
      <c r="O255" s="107"/>
      <c r="P255" s="107"/>
      <c r="Q255" s="107"/>
      <c r="R255" s="107"/>
      <c r="S255" s="107"/>
      <c r="T255" s="107"/>
      <c r="U255" s="107"/>
      <c r="V255" s="107"/>
      <c r="W255" s="107"/>
      <c r="X255" s="107"/>
      <c r="Y255" s="107"/>
      <c r="Z255" s="107"/>
      <c r="AA255" s="107"/>
    </row>
    <row r="256">
      <c r="A256" s="110"/>
      <c r="B256" s="107"/>
      <c r="C256" s="107"/>
      <c r="D256" s="107"/>
      <c r="E256" s="107"/>
      <c r="F256" s="107"/>
      <c r="G256" s="107"/>
      <c r="H256" s="107"/>
      <c r="I256" s="107"/>
      <c r="J256" s="107"/>
      <c r="K256" s="107"/>
      <c r="L256" s="107"/>
      <c r="M256" s="107"/>
      <c r="N256" s="107"/>
      <c r="O256" s="107"/>
      <c r="P256" s="107"/>
      <c r="Q256" s="107"/>
      <c r="R256" s="107"/>
      <c r="S256" s="107"/>
      <c r="T256" s="107"/>
      <c r="U256" s="107"/>
      <c r="V256" s="107"/>
      <c r="W256" s="107"/>
      <c r="X256" s="107"/>
      <c r="Y256" s="107"/>
      <c r="Z256" s="107"/>
      <c r="AA256" s="107"/>
    </row>
    <row r="257">
      <c r="A257" s="110"/>
      <c r="B257" s="107"/>
      <c r="C257" s="107"/>
      <c r="D257" s="107"/>
      <c r="E257" s="107"/>
      <c r="F257" s="107"/>
      <c r="G257" s="107"/>
      <c r="H257" s="107"/>
      <c r="I257" s="107"/>
      <c r="J257" s="107"/>
      <c r="K257" s="107"/>
      <c r="L257" s="107"/>
      <c r="M257" s="107"/>
      <c r="N257" s="107"/>
      <c r="O257" s="107"/>
      <c r="P257" s="107"/>
      <c r="Q257" s="107"/>
      <c r="R257" s="107"/>
      <c r="S257" s="107"/>
      <c r="T257" s="107"/>
      <c r="U257" s="107"/>
      <c r="V257" s="107"/>
      <c r="W257" s="107"/>
      <c r="X257" s="107"/>
      <c r="Y257" s="107"/>
      <c r="Z257" s="107"/>
      <c r="AA257" s="107"/>
    </row>
    <row r="258">
      <c r="A258" s="110"/>
      <c r="B258" s="107"/>
      <c r="C258" s="107"/>
      <c r="D258" s="107"/>
      <c r="E258" s="107"/>
      <c r="F258" s="107"/>
      <c r="G258" s="107"/>
      <c r="H258" s="107"/>
      <c r="I258" s="107"/>
      <c r="J258" s="107"/>
      <c r="K258" s="107"/>
      <c r="L258" s="107"/>
      <c r="M258" s="107"/>
      <c r="N258" s="107"/>
      <c r="O258" s="107"/>
      <c r="P258" s="107"/>
      <c r="Q258" s="107"/>
      <c r="R258" s="107"/>
      <c r="S258" s="107"/>
      <c r="T258" s="107"/>
      <c r="U258" s="107"/>
      <c r="V258" s="107"/>
      <c r="W258" s="107"/>
      <c r="X258" s="107"/>
      <c r="Y258" s="107"/>
      <c r="Z258" s="107"/>
      <c r="AA258" s="107"/>
    </row>
    <row r="259">
      <c r="A259" s="110"/>
      <c r="B259" s="107"/>
      <c r="C259" s="107"/>
      <c r="D259" s="107"/>
      <c r="E259" s="107"/>
      <c r="F259" s="107"/>
      <c r="G259" s="107"/>
      <c r="H259" s="107"/>
      <c r="I259" s="107"/>
      <c r="J259" s="107"/>
      <c r="K259" s="107"/>
      <c r="L259" s="107"/>
      <c r="M259" s="107"/>
      <c r="N259" s="107"/>
      <c r="O259" s="107"/>
      <c r="P259" s="107"/>
      <c r="Q259" s="107"/>
      <c r="R259" s="107"/>
      <c r="S259" s="107"/>
      <c r="T259" s="107"/>
      <c r="U259" s="107"/>
      <c r="V259" s="107"/>
      <c r="W259" s="107"/>
      <c r="X259" s="107"/>
      <c r="Y259" s="107"/>
      <c r="Z259" s="107"/>
      <c r="AA259" s="107"/>
    </row>
    <row r="260">
      <c r="A260" s="110"/>
      <c r="B260" s="107"/>
      <c r="C260" s="107"/>
      <c r="D260" s="107"/>
      <c r="E260" s="107"/>
      <c r="F260" s="107"/>
      <c r="G260" s="107"/>
      <c r="H260" s="107"/>
      <c r="I260" s="107"/>
      <c r="J260" s="107"/>
      <c r="K260" s="107"/>
      <c r="L260" s="107"/>
      <c r="M260" s="107"/>
      <c r="N260" s="107"/>
      <c r="O260" s="107"/>
      <c r="P260" s="107"/>
      <c r="Q260" s="107"/>
      <c r="R260" s="107"/>
      <c r="S260" s="107"/>
      <c r="T260" s="107"/>
      <c r="U260" s="107"/>
      <c r="V260" s="107"/>
      <c r="W260" s="107"/>
      <c r="X260" s="107"/>
      <c r="Y260" s="107"/>
      <c r="Z260" s="107"/>
      <c r="AA260" s="107"/>
    </row>
    <row r="261">
      <c r="A261" s="110"/>
      <c r="B261" s="107"/>
      <c r="C261" s="107"/>
      <c r="D261" s="107"/>
      <c r="E261" s="107"/>
      <c r="F261" s="107"/>
      <c r="G261" s="107"/>
      <c r="H261" s="107"/>
      <c r="I261" s="107"/>
      <c r="J261" s="107"/>
      <c r="K261" s="107"/>
      <c r="L261" s="107"/>
      <c r="M261" s="107"/>
      <c r="N261" s="107"/>
      <c r="O261" s="107"/>
      <c r="P261" s="107"/>
      <c r="Q261" s="107"/>
      <c r="R261" s="107"/>
      <c r="S261" s="107"/>
      <c r="T261" s="107"/>
      <c r="U261" s="107"/>
      <c r="V261" s="107"/>
      <c r="W261" s="107"/>
      <c r="X261" s="107"/>
      <c r="Y261" s="107"/>
      <c r="Z261" s="107"/>
      <c r="AA261" s="107"/>
    </row>
    <row r="262">
      <c r="A262" s="110"/>
      <c r="B262" s="107"/>
      <c r="C262" s="107"/>
      <c r="D262" s="107"/>
      <c r="E262" s="107"/>
      <c r="F262" s="107"/>
      <c r="G262" s="107"/>
      <c r="H262" s="107"/>
      <c r="I262" s="107"/>
      <c r="J262" s="107"/>
      <c r="K262" s="107"/>
      <c r="L262" s="107"/>
      <c r="M262" s="107"/>
      <c r="N262" s="107"/>
      <c r="O262" s="107"/>
      <c r="P262" s="107"/>
      <c r="Q262" s="107"/>
      <c r="R262" s="107"/>
      <c r="S262" s="107"/>
      <c r="T262" s="107"/>
      <c r="U262" s="107"/>
      <c r="V262" s="107"/>
      <c r="W262" s="107"/>
      <c r="X262" s="107"/>
      <c r="Y262" s="107"/>
      <c r="Z262" s="107"/>
      <c r="AA262" s="107"/>
    </row>
    <row r="263">
      <c r="A263" s="110"/>
      <c r="B263" s="107"/>
      <c r="C263" s="107"/>
      <c r="D263" s="107"/>
      <c r="E263" s="107"/>
      <c r="F263" s="107"/>
      <c r="G263" s="107"/>
      <c r="H263" s="107"/>
      <c r="I263" s="107"/>
      <c r="J263" s="107"/>
      <c r="K263" s="107"/>
      <c r="L263" s="107"/>
      <c r="M263" s="107"/>
      <c r="N263" s="107"/>
      <c r="O263" s="107"/>
      <c r="P263" s="107"/>
      <c r="Q263" s="107"/>
      <c r="R263" s="107"/>
      <c r="S263" s="107"/>
      <c r="T263" s="107"/>
      <c r="U263" s="107"/>
      <c r="V263" s="107"/>
      <c r="W263" s="107"/>
      <c r="X263" s="107"/>
      <c r="Y263" s="107"/>
      <c r="Z263" s="107"/>
      <c r="AA263" s="107"/>
    </row>
    <row r="264">
      <c r="A264" s="110"/>
      <c r="B264" s="107"/>
      <c r="C264" s="107"/>
      <c r="D264" s="107"/>
      <c r="E264" s="107"/>
      <c r="F264" s="107"/>
      <c r="G264" s="107"/>
      <c r="H264" s="107"/>
      <c r="I264" s="107"/>
      <c r="J264" s="107"/>
      <c r="K264" s="107"/>
      <c r="L264" s="107"/>
      <c r="M264" s="107"/>
      <c r="N264" s="107"/>
      <c r="O264" s="107"/>
      <c r="P264" s="107"/>
      <c r="Q264" s="107"/>
      <c r="R264" s="107"/>
      <c r="S264" s="107"/>
      <c r="T264" s="107"/>
      <c r="U264" s="107"/>
      <c r="V264" s="107"/>
      <c r="W264" s="107"/>
      <c r="X264" s="107"/>
      <c r="Y264" s="107"/>
      <c r="Z264" s="107"/>
      <c r="AA264" s="107"/>
    </row>
    <row r="265">
      <c r="A265" s="110"/>
      <c r="B265" s="107"/>
      <c r="C265" s="107"/>
      <c r="D265" s="107"/>
      <c r="E265" s="107"/>
      <c r="F265" s="107"/>
      <c r="G265" s="107"/>
      <c r="H265" s="107"/>
      <c r="I265" s="107"/>
      <c r="J265" s="107"/>
      <c r="K265" s="107"/>
      <c r="L265" s="107"/>
      <c r="M265" s="107"/>
      <c r="N265" s="107"/>
      <c r="O265" s="107"/>
      <c r="P265" s="107"/>
      <c r="Q265" s="107"/>
      <c r="R265" s="107"/>
      <c r="S265" s="107"/>
      <c r="T265" s="107"/>
      <c r="U265" s="107"/>
      <c r="V265" s="107"/>
      <c r="W265" s="107"/>
      <c r="X265" s="107"/>
      <c r="Y265" s="107"/>
      <c r="Z265" s="107"/>
      <c r="AA265" s="107"/>
    </row>
    <row r="266">
      <c r="A266" s="110"/>
      <c r="B266" s="107"/>
      <c r="C266" s="107"/>
      <c r="D266" s="107"/>
      <c r="E266" s="107"/>
      <c r="F266" s="107"/>
      <c r="G266" s="107"/>
      <c r="H266" s="107"/>
      <c r="I266" s="107"/>
      <c r="J266" s="107"/>
      <c r="K266" s="107"/>
      <c r="L266" s="107"/>
      <c r="M266" s="107"/>
      <c r="N266" s="107"/>
      <c r="O266" s="107"/>
      <c r="P266" s="107"/>
      <c r="Q266" s="107"/>
      <c r="R266" s="107"/>
      <c r="S266" s="107"/>
      <c r="T266" s="107"/>
      <c r="U266" s="107"/>
      <c r="V266" s="107"/>
      <c r="W266" s="107"/>
      <c r="X266" s="107"/>
      <c r="Y266" s="107"/>
      <c r="Z266" s="107"/>
      <c r="AA266" s="107"/>
    </row>
    <row r="267">
      <c r="A267" s="110"/>
      <c r="B267" s="107"/>
      <c r="C267" s="107"/>
      <c r="D267" s="107"/>
      <c r="E267" s="107"/>
      <c r="F267" s="107"/>
      <c r="G267" s="107"/>
      <c r="H267" s="107"/>
      <c r="I267" s="107"/>
      <c r="J267" s="107"/>
      <c r="K267" s="107"/>
      <c r="L267" s="107"/>
      <c r="M267" s="107"/>
      <c r="N267" s="107"/>
      <c r="O267" s="107"/>
      <c r="P267" s="107"/>
      <c r="Q267" s="107"/>
      <c r="R267" s="107"/>
      <c r="S267" s="107"/>
      <c r="T267" s="107"/>
      <c r="U267" s="107"/>
      <c r="V267" s="107"/>
      <c r="W267" s="107"/>
      <c r="X267" s="107"/>
      <c r="Y267" s="107"/>
      <c r="Z267" s="107"/>
      <c r="AA267" s="107"/>
    </row>
    <row r="268">
      <c r="A268" s="110"/>
      <c r="B268" s="107"/>
      <c r="C268" s="107"/>
      <c r="D268" s="107"/>
      <c r="E268" s="107"/>
      <c r="F268" s="107"/>
      <c r="G268" s="107"/>
      <c r="H268" s="107"/>
      <c r="I268" s="107"/>
      <c r="J268" s="107"/>
      <c r="K268" s="107"/>
      <c r="L268" s="107"/>
      <c r="M268" s="107"/>
      <c r="N268" s="107"/>
      <c r="O268" s="107"/>
      <c r="P268" s="107"/>
      <c r="Q268" s="107"/>
      <c r="R268" s="107"/>
      <c r="S268" s="107"/>
      <c r="T268" s="107"/>
      <c r="U268" s="107"/>
      <c r="V268" s="107"/>
      <c r="W268" s="107"/>
      <c r="X268" s="107"/>
      <c r="Y268" s="107"/>
      <c r="Z268" s="107"/>
      <c r="AA268" s="107"/>
    </row>
    <row r="269">
      <c r="A269" s="110"/>
      <c r="B269" s="107"/>
      <c r="C269" s="107"/>
      <c r="D269" s="107"/>
      <c r="E269" s="107"/>
      <c r="F269" s="107"/>
      <c r="G269" s="107"/>
      <c r="H269" s="107"/>
      <c r="I269" s="107"/>
      <c r="J269" s="107"/>
      <c r="K269" s="107"/>
      <c r="L269" s="107"/>
      <c r="M269" s="107"/>
      <c r="N269" s="107"/>
      <c r="O269" s="107"/>
      <c r="P269" s="107"/>
      <c r="Q269" s="107"/>
      <c r="R269" s="107"/>
      <c r="S269" s="107"/>
      <c r="T269" s="107"/>
      <c r="U269" s="107"/>
      <c r="V269" s="107"/>
      <c r="W269" s="107"/>
      <c r="X269" s="107"/>
      <c r="Y269" s="107"/>
      <c r="Z269" s="107"/>
      <c r="AA269" s="107"/>
    </row>
    <row r="270">
      <c r="A270" s="110"/>
      <c r="B270" s="107"/>
      <c r="C270" s="107"/>
      <c r="D270" s="107"/>
      <c r="E270" s="107"/>
      <c r="F270" s="107"/>
      <c r="G270" s="107"/>
      <c r="H270" s="107"/>
      <c r="I270" s="107"/>
      <c r="J270" s="107"/>
      <c r="K270" s="107"/>
      <c r="L270" s="107"/>
      <c r="M270" s="107"/>
      <c r="N270" s="107"/>
      <c r="O270" s="107"/>
      <c r="P270" s="107"/>
      <c r="Q270" s="107"/>
      <c r="R270" s="107"/>
      <c r="S270" s="107"/>
      <c r="T270" s="107"/>
      <c r="U270" s="107"/>
      <c r="V270" s="107"/>
      <c r="W270" s="107"/>
      <c r="X270" s="107"/>
      <c r="Y270" s="107"/>
      <c r="Z270" s="107"/>
      <c r="AA270" s="107"/>
    </row>
    <row r="271">
      <c r="A271" s="110"/>
      <c r="B271" s="107"/>
      <c r="C271" s="107"/>
      <c r="D271" s="107"/>
      <c r="E271" s="107"/>
      <c r="F271" s="107"/>
      <c r="G271" s="107"/>
      <c r="H271" s="107"/>
      <c r="I271" s="107"/>
      <c r="J271" s="107"/>
      <c r="K271" s="107"/>
      <c r="L271" s="107"/>
      <c r="M271" s="107"/>
      <c r="N271" s="107"/>
      <c r="O271" s="107"/>
      <c r="P271" s="107"/>
      <c r="Q271" s="107"/>
      <c r="R271" s="107"/>
      <c r="S271" s="107"/>
      <c r="T271" s="107"/>
      <c r="U271" s="107"/>
      <c r="V271" s="107"/>
      <c r="W271" s="107"/>
      <c r="X271" s="107"/>
      <c r="Y271" s="107"/>
      <c r="Z271" s="107"/>
      <c r="AA271" s="107"/>
    </row>
    <row r="272">
      <c r="A272" s="110"/>
      <c r="B272" s="107"/>
      <c r="C272" s="107"/>
      <c r="D272" s="107"/>
      <c r="E272" s="107"/>
      <c r="F272" s="107"/>
      <c r="G272" s="107"/>
      <c r="H272" s="107"/>
      <c r="I272" s="107"/>
      <c r="J272" s="107"/>
      <c r="K272" s="107"/>
      <c r="L272" s="107"/>
      <c r="M272" s="107"/>
      <c r="N272" s="107"/>
      <c r="O272" s="107"/>
      <c r="P272" s="107"/>
      <c r="Q272" s="107"/>
      <c r="R272" s="107"/>
      <c r="S272" s="107"/>
      <c r="T272" s="107"/>
      <c r="U272" s="107"/>
      <c r="V272" s="107"/>
      <c r="W272" s="107"/>
      <c r="X272" s="107"/>
      <c r="Y272" s="107"/>
      <c r="Z272" s="107"/>
      <c r="AA272" s="107"/>
    </row>
    <row r="273">
      <c r="A273" s="110"/>
      <c r="B273" s="107"/>
      <c r="C273" s="107"/>
      <c r="D273" s="107"/>
      <c r="E273" s="107"/>
      <c r="F273" s="107"/>
      <c r="G273" s="107"/>
      <c r="H273" s="107"/>
      <c r="I273" s="107"/>
      <c r="J273" s="107"/>
      <c r="K273" s="107"/>
      <c r="L273" s="107"/>
      <c r="M273" s="107"/>
      <c r="N273" s="107"/>
      <c r="O273" s="107"/>
      <c r="P273" s="107"/>
      <c r="Q273" s="107"/>
      <c r="R273" s="107"/>
      <c r="S273" s="107"/>
      <c r="T273" s="107"/>
      <c r="U273" s="107"/>
      <c r="V273" s="107"/>
      <c r="W273" s="107"/>
      <c r="X273" s="107"/>
      <c r="Y273" s="107"/>
      <c r="Z273" s="107"/>
      <c r="AA273" s="107"/>
    </row>
    <row r="274">
      <c r="A274" s="110"/>
      <c r="B274" s="107"/>
      <c r="C274" s="107"/>
      <c r="D274" s="107"/>
      <c r="E274" s="107"/>
      <c r="F274" s="107"/>
      <c r="G274" s="107"/>
      <c r="H274" s="107"/>
      <c r="I274" s="107"/>
      <c r="J274" s="107"/>
      <c r="K274" s="107"/>
      <c r="L274" s="107"/>
      <c r="M274" s="107"/>
      <c r="N274" s="107"/>
      <c r="O274" s="107"/>
      <c r="P274" s="107"/>
      <c r="Q274" s="107"/>
      <c r="R274" s="107"/>
      <c r="S274" s="107"/>
      <c r="T274" s="107"/>
      <c r="U274" s="107"/>
      <c r="V274" s="107"/>
      <c r="W274" s="107"/>
      <c r="X274" s="107"/>
      <c r="Y274" s="107"/>
      <c r="Z274" s="107"/>
      <c r="AA274" s="107"/>
    </row>
    <row r="275">
      <c r="A275" s="110"/>
      <c r="B275" s="107"/>
      <c r="C275" s="107"/>
      <c r="D275" s="107"/>
      <c r="E275" s="107"/>
      <c r="F275" s="107"/>
      <c r="G275" s="107"/>
      <c r="H275" s="107"/>
      <c r="I275" s="107"/>
      <c r="J275" s="107"/>
      <c r="K275" s="107"/>
      <c r="L275" s="107"/>
      <c r="M275" s="107"/>
      <c r="N275" s="107"/>
      <c r="O275" s="107"/>
      <c r="P275" s="107"/>
      <c r="Q275" s="107"/>
      <c r="R275" s="107"/>
      <c r="S275" s="107"/>
      <c r="T275" s="107"/>
      <c r="U275" s="107"/>
      <c r="V275" s="107"/>
      <c r="W275" s="107"/>
      <c r="X275" s="107"/>
      <c r="Y275" s="107"/>
      <c r="Z275" s="107"/>
      <c r="AA275" s="107"/>
    </row>
    <row r="276">
      <c r="A276" s="110"/>
      <c r="B276" s="107"/>
      <c r="C276" s="107"/>
      <c r="D276" s="107"/>
      <c r="E276" s="107"/>
      <c r="F276" s="107"/>
      <c r="G276" s="107"/>
      <c r="H276" s="107"/>
      <c r="I276" s="107"/>
      <c r="J276" s="107"/>
      <c r="K276" s="107"/>
      <c r="L276" s="107"/>
      <c r="M276" s="107"/>
      <c r="N276" s="107"/>
      <c r="O276" s="107"/>
      <c r="P276" s="107"/>
      <c r="Q276" s="107"/>
      <c r="R276" s="107"/>
      <c r="S276" s="107"/>
      <c r="T276" s="107"/>
      <c r="U276" s="107"/>
      <c r="V276" s="107"/>
      <c r="W276" s="107"/>
      <c r="X276" s="107"/>
      <c r="Y276" s="107"/>
      <c r="Z276" s="107"/>
      <c r="AA276" s="107"/>
    </row>
    <row r="277">
      <c r="A277" s="110"/>
      <c r="B277" s="107"/>
      <c r="C277" s="107"/>
      <c r="D277" s="107"/>
      <c r="E277" s="107"/>
      <c r="F277" s="107"/>
      <c r="G277" s="107"/>
      <c r="H277" s="107"/>
      <c r="I277" s="107"/>
      <c r="J277" s="107"/>
      <c r="K277" s="107"/>
      <c r="L277" s="107"/>
      <c r="M277" s="107"/>
      <c r="N277" s="107"/>
      <c r="O277" s="107"/>
      <c r="P277" s="107"/>
      <c r="Q277" s="107"/>
      <c r="R277" s="107"/>
      <c r="S277" s="107"/>
      <c r="T277" s="107"/>
      <c r="U277" s="107"/>
      <c r="V277" s="107"/>
      <c r="W277" s="107"/>
      <c r="X277" s="107"/>
      <c r="Y277" s="107"/>
      <c r="Z277" s="107"/>
      <c r="AA277" s="107"/>
    </row>
    <row r="278">
      <c r="A278" s="110"/>
      <c r="B278" s="107"/>
      <c r="C278" s="107"/>
      <c r="D278" s="107"/>
      <c r="E278" s="107"/>
      <c r="F278" s="107"/>
      <c r="G278" s="107"/>
      <c r="H278" s="107"/>
      <c r="I278" s="107"/>
      <c r="J278" s="107"/>
      <c r="K278" s="107"/>
      <c r="L278" s="107"/>
      <c r="M278" s="107"/>
      <c r="N278" s="107"/>
      <c r="O278" s="107"/>
      <c r="P278" s="107"/>
      <c r="Q278" s="107"/>
      <c r="R278" s="107"/>
      <c r="S278" s="107"/>
      <c r="T278" s="107"/>
      <c r="U278" s="107"/>
      <c r="V278" s="107"/>
      <c r="W278" s="107"/>
      <c r="X278" s="107"/>
      <c r="Y278" s="107"/>
      <c r="Z278" s="107"/>
      <c r="AA278" s="107"/>
    </row>
    <row r="279">
      <c r="A279" s="110"/>
      <c r="B279" s="107"/>
      <c r="C279" s="107"/>
      <c r="D279" s="107"/>
      <c r="E279" s="107"/>
      <c r="F279" s="107"/>
      <c r="G279" s="107"/>
      <c r="H279" s="107"/>
      <c r="I279" s="107"/>
      <c r="J279" s="107"/>
      <c r="K279" s="107"/>
      <c r="L279" s="107"/>
      <c r="M279" s="107"/>
      <c r="N279" s="107"/>
      <c r="O279" s="107"/>
      <c r="P279" s="107"/>
      <c r="Q279" s="107"/>
      <c r="R279" s="107"/>
      <c r="S279" s="107"/>
      <c r="T279" s="107"/>
      <c r="U279" s="107"/>
      <c r="V279" s="107"/>
      <c r="W279" s="107"/>
      <c r="X279" s="107"/>
      <c r="Y279" s="107"/>
      <c r="Z279" s="107"/>
      <c r="AA279" s="107"/>
    </row>
    <row r="280">
      <c r="A280" s="110"/>
      <c r="B280" s="107"/>
      <c r="C280" s="107"/>
      <c r="D280" s="107"/>
      <c r="E280" s="107"/>
      <c r="F280" s="107"/>
      <c r="G280" s="107"/>
      <c r="H280" s="107"/>
      <c r="I280" s="107"/>
      <c r="J280" s="107"/>
      <c r="K280" s="107"/>
      <c r="L280" s="107"/>
      <c r="M280" s="107"/>
      <c r="N280" s="107"/>
      <c r="O280" s="107"/>
      <c r="P280" s="107"/>
      <c r="Q280" s="107"/>
      <c r="R280" s="107"/>
      <c r="S280" s="107"/>
      <c r="T280" s="107"/>
      <c r="U280" s="107"/>
      <c r="V280" s="107"/>
      <c r="W280" s="107"/>
      <c r="X280" s="107"/>
      <c r="Y280" s="107"/>
      <c r="Z280" s="107"/>
      <c r="AA280" s="107"/>
    </row>
    <row r="281">
      <c r="A281" s="110"/>
      <c r="B281" s="107"/>
      <c r="C281" s="107"/>
      <c r="D281" s="107"/>
      <c r="E281" s="107"/>
      <c r="F281" s="107"/>
      <c r="G281" s="107"/>
      <c r="H281" s="107"/>
      <c r="I281" s="107"/>
      <c r="J281" s="107"/>
      <c r="K281" s="107"/>
      <c r="L281" s="107"/>
      <c r="M281" s="107"/>
      <c r="N281" s="107"/>
      <c r="O281" s="107"/>
      <c r="P281" s="107"/>
      <c r="Q281" s="107"/>
      <c r="R281" s="107"/>
      <c r="S281" s="107"/>
      <c r="T281" s="107"/>
      <c r="U281" s="107"/>
      <c r="V281" s="107"/>
      <c r="W281" s="107"/>
      <c r="X281" s="107"/>
      <c r="Y281" s="107"/>
      <c r="Z281" s="107"/>
      <c r="AA281" s="107"/>
    </row>
    <row r="282">
      <c r="A282" s="110"/>
      <c r="B282" s="107"/>
      <c r="C282" s="107"/>
      <c r="D282" s="107"/>
      <c r="E282" s="107"/>
      <c r="F282" s="107"/>
      <c r="G282" s="107"/>
      <c r="H282" s="107"/>
      <c r="I282" s="107"/>
      <c r="J282" s="107"/>
      <c r="K282" s="107"/>
      <c r="L282" s="107"/>
      <c r="M282" s="107"/>
      <c r="N282" s="107"/>
      <c r="O282" s="107"/>
      <c r="P282" s="107"/>
      <c r="Q282" s="107"/>
      <c r="R282" s="107"/>
      <c r="S282" s="107"/>
      <c r="T282" s="107"/>
      <c r="U282" s="107"/>
      <c r="V282" s="107"/>
      <c r="W282" s="107"/>
      <c r="X282" s="107"/>
      <c r="Y282" s="107"/>
      <c r="Z282" s="107"/>
      <c r="AA282" s="107"/>
    </row>
    <row r="283">
      <c r="A283" s="110"/>
      <c r="B283" s="107"/>
      <c r="C283" s="107"/>
      <c r="D283" s="107"/>
      <c r="E283" s="107"/>
      <c r="F283" s="107"/>
      <c r="G283" s="107"/>
      <c r="H283" s="107"/>
      <c r="I283" s="107"/>
      <c r="J283" s="107"/>
      <c r="K283" s="107"/>
      <c r="L283" s="107"/>
      <c r="M283" s="107"/>
      <c r="N283" s="107"/>
      <c r="O283" s="107"/>
      <c r="P283" s="107"/>
      <c r="Q283" s="107"/>
      <c r="R283" s="107"/>
      <c r="S283" s="107"/>
      <c r="T283" s="107"/>
      <c r="U283" s="107"/>
      <c r="V283" s="107"/>
      <c r="W283" s="107"/>
      <c r="X283" s="107"/>
      <c r="Y283" s="107"/>
      <c r="Z283" s="107"/>
      <c r="AA283" s="107"/>
    </row>
    <row r="284">
      <c r="A284" s="110"/>
      <c r="B284" s="107"/>
      <c r="C284" s="107"/>
      <c r="D284" s="107"/>
      <c r="E284" s="107"/>
      <c r="F284" s="107"/>
      <c r="G284" s="107"/>
      <c r="H284" s="107"/>
      <c r="I284" s="107"/>
      <c r="J284" s="107"/>
      <c r="K284" s="107"/>
      <c r="L284" s="107"/>
      <c r="M284" s="107"/>
      <c r="N284" s="107"/>
      <c r="O284" s="107"/>
      <c r="P284" s="107"/>
      <c r="Q284" s="107"/>
      <c r="R284" s="107"/>
      <c r="S284" s="107"/>
      <c r="T284" s="107"/>
      <c r="U284" s="107"/>
      <c r="V284" s="107"/>
      <c r="W284" s="107"/>
      <c r="X284" s="107"/>
      <c r="Y284" s="107"/>
      <c r="Z284" s="107"/>
      <c r="AA284" s="107"/>
    </row>
    <row r="285">
      <c r="A285" s="110"/>
      <c r="B285" s="107"/>
      <c r="C285" s="107"/>
      <c r="D285" s="107"/>
      <c r="E285" s="107"/>
      <c r="F285" s="107"/>
      <c r="G285" s="107"/>
      <c r="H285" s="107"/>
      <c r="I285" s="107"/>
      <c r="J285" s="107"/>
      <c r="K285" s="107"/>
      <c r="L285" s="107"/>
      <c r="M285" s="107"/>
      <c r="N285" s="107"/>
      <c r="O285" s="107"/>
      <c r="P285" s="107"/>
      <c r="Q285" s="107"/>
      <c r="R285" s="107"/>
      <c r="S285" s="107"/>
      <c r="T285" s="107"/>
      <c r="U285" s="107"/>
      <c r="V285" s="107"/>
      <c r="W285" s="107"/>
      <c r="X285" s="107"/>
      <c r="Y285" s="107"/>
      <c r="Z285" s="107"/>
      <c r="AA285" s="107"/>
    </row>
    <row r="286">
      <c r="A286" s="110"/>
      <c r="B286" s="107"/>
      <c r="C286" s="107"/>
      <c r="D286" s="107"/>
      <c r="E286" s="107"/>
      <c r="F286" s="107"/>
      <c r="G286" s="107"/>
      <c r="H286" s="107"/>
      <c r="I286" s="107"/>
      <c r="J286" s="107"/>
      <c r="K286" s="107"/>
      <c r="L286" s="107"/>
      <c r="M286" s="107"/>
      <c r="N286" s="107"/>
      <c r="O286" s="107"/>
      <c r="P286" s="107"/>
      <c r="Q286" s="107"/>
      <c r="R286" s="107"/>
      <c r="S286" s="107"/>
      <c r="T286" s="107"/>
      <c r="U286" s="107"/>
      <c r="V286" s="107"/>
      <c r="W286" s="107"/>
      <c r="X286" s="107"/>
      <c r="Y286" s="107"/>
      <c r="Z286" s="107"/>
      <c r="AA286" s="107"/>
    </row>
    <row r="287">
      <c r="A287" s="110"/>
      <c r="B287" s="107"/>
      <c r="C287" s="107"/>
      <c r="D287" s="107"/>
      <c r="E287" s="107"/>
      <c r="F287" s="107"/>
      <c r="G287" s="107"/>
      <c r="H287" s="107"/>
      <c r="I287" s="107"/>
      <c r="J287" s="107"/>
      <c r="K287" s="107"/>
      <c r="L287" s="107"/>
      <c r="M287" s="107"/>
      <c r="N287" s="107"/>
      <c r="O287" s="107"/>
      <c r="P287" s="107"/>
      <c r="Q287" s="107"/>
      <c r="R287" s="107"/>
      <c r="S287" s="107"/>
      <c r="T287" s="107"/>
      <c r="U287" s="107"/>
      <c r="V287" s="107"/>
      <c r="W287" s="107"/>
      <c r="X287" s="107"/>
      <c r="Y287" s="107"/>
      <c r="Z287" s="107"/>
      <c r="AA287" s="107"/>
    </row>
    <row r="288">
      <c r="A288" s="110"/>
      <c r="B288" s="107"/>
      <c r="C288" s="107"/>
      <c r="D288" s="107"/>
      <c r="E288" s="107"/>
      <c r="F288" s="107"/>
      <c r="G288" s="107"/>
      <c r="H288" s="107"/>
      <c r="I288" s="107"/>
      <c r="J288" s="107"/>
      <c r="K288" s="107"/>
      <c r="L288" s="107"/>
      <c r="M288" s="107"/>
      <c r="N288" s="107"/>
      <c r="O288" s="107"/>
      <c r="P288" s="107"/>
      <c r="Q288" s="107"/>
      <c r="R288" s="107"/>
      <c r="S288" s="107"/>
      <c r="T288" s="107"/>
      <c r="U288" s="107"/>
      <c r="V288" s="107"/>
      <c r="W288" s="107"/>
      <c r="X288" s="107"/>
      <c r="Y288" s="107"/>
      <c r="Z288" s="107"/>
      <c r="AA288" s="107"/>
    </row>
    <row r="289">
      <c r="A289" s="110"/>
      <c r="B289" s="107"/>
      <c r="C289" s="107"/>
      <c r="D289" s="107"/>
      <c r="E289" s="107"/>
      <c r="F289" s="107"/>
      <c r="G289" s="107"/>
      <c r="H289" s="107"/>
      <c r="I289" s="107"/>
      <c r="J289" s="107"/>
      <c r="K289" s="107"/>
      <c r="L289" s="107"/>
      <c r="M289" s="107"/>
      <c r="N289" s="107"/>
      <c r="O289" s="107"/>
      <c r="P289" s="107"/>
      <c r="Q289" s="107"/>
      <c r="R289" s="107"/>
      <c r="S289" s="107"/>
      <c r="T289" s="107"/>
      <c r="U289" s="107"/>
      <c r="V289" s="107"/>
      <c r="W289" s="107"/>
      <c r="X289" s="107"/>
      <c r="Y289" s="107"/>
      <c r="Z289" s="107"/>
      <c r="AA289" s="107"/>
    </row>
    <row r="290">
      <c r="A290" s="110"/>
      <c r="B290" s="107"/>
      <c r="C290" s="107"/>
      <c r="D290" s="107"/>
      <c r="E290" s="107"/>
      <c r="F290" s="107"/>
      <c r="G290" s="107"/>
      <c r="H290" s="107"/>
      <c r="I290" s="107"/>
      <c r="J290" s="107"/>
      <c r="K290" s="107"/>
      <c r="L290" s="107"/>
      <c r="M290" s="107"/>
      <c r="N290" s="107"/>
      <c r="O290" s="107"/>
      <c r="P290" s="107"/>
      <c r="Q290" s="107"/>
      <c r="R290" s="107"/>
      <c r="S290" s="107"/>
      <c r="T290" s="107"/>
      <c r="U290" s="107"/>
      <c r="V290" s="107"/>
      <c r="W290" s="107"/>
      <c r="X290" s="107"/>
      <c r="Y290" s="107"/>
      <c r="Z290" s="107"/>
      <c r="AA290" s="107"/>
    </row>
    <row r="291">
      <c r="A291" s="110"/>
      <c r="B291" s="107"/>
      <c r="C291" s="107"/>
      <c r="D291" s="107"/>
      <c r="E291" s="107"/>
      <c r="F291" s="107"/>
      <c r="G291" s="107"/>
      <c r="H291" s="107"/>
      <c r="I291" s="107"/>
      <c r="J291" s="107"/>
      <c r="K291" s="107"/>
      <c r="L291" s="107"/>
      <c r="M291" s="107"/>
      <c r="N291" s="107"/>
      <c r="O291" s="107"/>
      <c r="P291" s="107"/>
      <c r="Q291" s="107"/>
      <c r="R291" s="107"/>
      <c r="S291" s="107"/>
      <c r="T291" s="107"/>
      <c r="U291" s="107"/>
      <c r="V291" s="107"/>
      <c r="W291" s="107"/>
      <c r="X291" s="107"/>
      <c r="Y291" s="107"/>
      <c r="Z291" s="107"/>
      <c r="AA291" s="107"/>
    </row>
    <row r="292">
      <c r="A292" s="110"/>
      <c r="B292" s="107"/>
      <c r="C292" s="107"/>
      <c r="D292" s="107"/>
      <c r="E292" s="107"/>
      <c r="F292" s="107"/>
      <c r="G292" s="107"/>
      <c r="H292" s="107"/>
      <c r="I292" s="107"/>
      <c r="J292" s="107"/>
      <c r="K292" s="107"/>
      <c r="L292" s="107"/>
      <c r="M292" s="107"/>
      <c r="N292" s="107"/>
      <c r="O292" s="107"/>
      <c r="P292" s="107"/>
      <c r="Q292" s="107"/>
      <c r="R292" s="107"/>
      <c r="S292" s="107"/>
      <c r="T292" s="107"/>
      <c r="U292" s="107"/>
      <c r="V292" s="107"/>
      <c r="W292" s="107"/>
      <c r="X292" s="107"/>
      <c r="Y292" s="107"/>
      <c r="Z292" s="107"/>
      <c r="AA292" s="107"/>
    </row>
    <row r="293">
      <c r="A293" s="110"/>
      <c r="B293" s="107"/>
      <c r="C293" s="107"/>
      <c r="D293" s="107"/>
      <c r="E293" s="107"/>
      <c r="F293" s="107"/>
      <c r="G293" s="107"/>
      <c r="H293" s="107"/>
      <c r="I293" s="107"/>
      <c r="J293" s="107"/>
      <c r="K293" s="107"/>
      <c r="L293" s="107"/>
      <c r="M293" s="107"/>
      <c r="N293" s="107"/>
      <c r="O293" s="107"/>
      <c r="P293" s="107"/>
      <c r="Q293" s="107"/>
      <c r="R293" s="107"/>
      <c r="S293" s="107"/>
      <c r="T293" s="107"/>
      <c r="U293" s="107"/>
      <c r="V293" s="107"/>
      <c r="W293" s="107"/>
      <c r="X293" s="107"/>
      <c r="Y293" s="107"/>
      <c r="Z293" s="107"/>
      <c r="AA293" s="107"/>
    </row>
    <row r="294">
      <c r="A294" s="110"/>
      <c r="B294" s="107"/>
      <c r="C294" s="107"/>
      <c r="D294" s="107"/>
      <c r="E294" s="107"/>
      <c r="F294" s="107"/>
      <c r="G294" s="107"/>
      <c r="H294" s="107"/>
      <c r="I294" s="107"/>
      <c r="J294" s="107"/>
      <c r="K294" s="107"/>
      <c r="L294" s="107"/>
      <c r="M294" s="107"/>
      <c r="N294" s="107"/>
      <c r="O294" s="107"/>
      <c r="P294" s="107"/>
      <c r="Q294" s="107"/>
      <c r="R294" s="107"/>
      <c r="S294" s="107"/>
      <c r="T294" s="107"/>
      <c r="U294" s="107"/>
      <c r="V294" s="107"/>
      <c r="W294" s="107"/>
      <c r="X294" s="107"/>
      <c r="Y294" s="107"/>
      <c r="Z294" s="107"/>
      <c r="AA294" s="107"/>
    </row>
    <row r="295">
      <c r="A295" s="110"/>
      <c r="B295" s="107"/>
      <c r="C295" s="107"/>
      <c r="D295" s="107"/>
      <c r="E295" s="107"/>
      <c r="F295" s="107"/>
      <c r="G295" s="107"/>
      <c r="H295" s="107"/>
      <c r="I295" s="107"/>
      <c r="J295" s="107"/>
      <c r="K295" s="107"/>
      <c r="L295" s="107"/>
      <c r="M295" s="107"/>
      <c r="N295" s="107"/>
      <c r="O295" s="107"/>
      <c r="P295" s="107"/>
      <c r="Q295" s="107"/>
      <c r="R295" s="107"/>
      <c r="S295" s="107"/>
      <c r="T295" s="107"/>
      <c r="U295" s="107"/>
      <c r="V295" s="107"/>
      <c r="W295" s="107"/>
      <c r="X295" s="107"/>
      <c r="Y295" s="107"/>
      <c r="Z295" s="107"/>
      <c r="AA295" s="107"/>
    </row>
    <row r="296">
      <c r="A296" s="110"/>
      <c r="B296" s="107"/>
      <c r="C296" s="107"/>
      <c r="D296" s="107"/>
      <c r="E296" s="107"/>
      <c r="F296" s="107"/>
      <c r="G296" s="107"/>
      <c r="H296" s="107"/>
      <c r="I296" s="107"/>
      <c r="J296" s="107"/>
      <c r="K296" s="107"/>
      <c r="L296" s="107"/>
      <c r="M296" s="107"/>
      <c r="N296" s="107"/>
      <c r="O296" s="107"/>
      <c r="P296" s="107"/>
      <c r="Q296" s="107"/>
      <c r="R296" s="107"/>
      <c r="S296" s="107"/>
      <c r="T296" s="107"/>
      <c r="U296" s="107"/>
      <c r="V296" s="107"/>
      <c r="W296" s="107"/>
      <c r="X296" s="107"/>
      <c r="Y296" s="107"/>
      <c r="Z296" s="107"/>
      <c r="AA296" s="107"/>
    </row>
    <row r="297">
      <c r="A297" s="110"/>
      <c r="B297" s="107"/>
      <c r="C297" s="107"/>
      <c r="D297" s="107"/>
      <c r="E297" s="107"/>
      <c r="F297" s="107"/>
      <c r="G297" s="107"/>
      <c r="H297" s="107"/>
      <c r="I297" s="107"/>
      <c r="J297" s="107"/>
      <c r="K297" s="107"/>
      <c r="L297" s="107"/>
      <c r="M297" s="107"/>
      <c r="N297" s="107"/>
      <c r="O297" s="107"/>
      <c r="P297" s="107"/>
      <c r="Q297" s="107"/>
      <c r="R297" s="107"/>
      <c r="S297" s="107"/>
      <c r="T297" s="107"/>
      <c r="U297" s="107"/>
      <c r="V297" s="107"/>
      <c r="W297" s="107"/>
      <c r="X297" s="107"/>
      <c r="Y297" s="107"/>
      <c r="Z297" s="107"/>
      <c r="AA297" s="107"/>
    </row>
    <row r="298">
      <c r="A298" s="110"/>
      <c r="B298" s="107"/>
      <c r="C298" s="107"/>
      <c r="D298" s="107"/>
      <c r="E298" s="107"/>
      <c r="F298" s="107"/>
      <c r="G298" s="107"/>
      <c r="H298" s="107"/>
      <c r="I298" s="107"/>
      <c r="J298" s="107"/>
      <c r="K298" s="107"/>
      <c r="L298" s="107"/>
      <c r="M298" s="107"/>
      <c r="N298" s="107"/>
      <c r="O298" s="107"/>
      <c r="P298" s="107"/>
      <c r="Q298" s="107"/>
      <c r="R298" s="107"/>
      <c r="S298" s="107"/>
      <c r="T298" s="107"/>
      <c r="U298" s="107"/>
      <c r="V298" s="107"/>
      <c r="W298" s="107"/>
      <c r="X298" s="107"/>
      <c r="Y298" s="107"/>
      <c r="Z298" s="107"/>
      <c r="AA298" s="107"/>
    </row>
    <row r="299">
      <c r="A299" s="110"/>
      <c r="B299" s="107"/>
      <c r="C299" s="107"/>
      <c r="D299" s="107"/>
      <c r="E299" s="107"/>
      <c r="F299" s="107"/>
      <c r="G299" s="107"/>
      <c r="H299" s="107"/>
      <c r="I299" s="107"/>
      <c r="J299" s="107"/>
      <c r="K299" s="107"/>
      <c r="L299" s="107"/>
      <c r="M299" s="107"/>
      <c r="N299" s="107"/>
      <c r="O299" s="107"/>
      <c r="P299" s="107"/>
      <c r="Q299" s="107"/>
      <c r="R299" s="107"/>
      <c r="S299" s="107"/>
      <c r="T299" s="107"/>
      <c r="U299" s="107"/>
      <c r="V299" s="107"/>
      <c r="W299" s="107"/>
      <c r="X299" s="107"/>
      <c r="Y299" s="107"/>
      <c r="Z299" s="107"/>
      <c r="AA299" s="107"/>
    </row>
    <row r="300">
      <c r="A300" s="110"/>
      <c r="B300" s="107"/>
      <c r="C300" s="107"/>
      <c r="D300" s="107"/>
      <c r="E300" s="107"/>
      <c r="F300" s="107"/>
      <c r="G300" s="107"/>
      <c r="H300" s="107"/>
      <c r="I300" s="107"/>
      <c r="J300" s="107"/>
      <c r="K300" s="107"/>
      <c r="L300" s="107"/>
      <c r="M300" s="107"/>
      <c r="N300" s="107"/>
      <c r="O300" s="107"/>
      <c r="P300" s="107"/>
      <c r="Q300" s="107"/>
      <c r="R300" s="107"/>
      <c r="S300" s="107"/>
      <c r="T300" s="107"/>
      <c r="U300" s="107"/>
      <c r="V300" s="107"/>
      <c r="W300" s="107"/>
      <c r="X300" s="107"/>
      <c r="Y300" s="107"/>
      <c r="Z300" s="107"/>
      <c r="AA300" s="107"/>
    </row>
    <row r="301">
      <c r="A301" s="110"/>
      <c r="B301" s="107"/>
      <c r="C301" s="107"/>
      <c r="D301" s="107"/>
      <c r="E301" s="107"/>
      <c r="F301" s="107"/>
      <c r="G301" s="107"/>
      <c r="H301" s="107"/>
      <c r="I301" s="107"/>
      <c r="J301" s="107"/>
      <c r="K301" s="107"/>
      <c r="L301" s="107"/>
      <c r="M301" s="107"/>
      <c r="N301" s="107"/>
      <c r="O301" s="107"/>
      <c r="P301" s="107"/>
      <c r="Q301" s="107"/>
      <c r="R301" s="107"/>
      <c r="S301" s="107"/>
      <c r="T301" s="107"/>
      <c r="U301" s="107"/>
      <c r="V301" s="107"/>
      <c r="W301" s="107"/>
      <c r="X301" s="107"/>
      <c r="Y301" s="107"/>
      <c r="Z301" s="107"/>
      <c r="AA301" s="107"/>
    </row>
    <row r="302">
      <c r="A302" s="110"/>
      <c r="B302" s="107"/>
      <c r="C302" s="107"/>
      <c r="D302" s="107"/>
      <c r="E302" s="107"/>
      <c r="F302" s="107"/>
      <c r="G302" s="107"/>
      <c r="H302" s="107"/>
      <c r="I302" s="107"/>
      <c r="J302" s="107"/>
      <c r="K302" s="107"/>
      <c r="L302" s="107"/>
      <c r="M302" s="107"/>
      <c r="N302" s="107"/>
      <c r="O302" s="107"/>
      <c r="P302" s="107"/>
      <c r="Q302" s="107"/>
      <c r="R302" s="107"/>
      <c r="S302" s="107"/>
      <c r="T302" s="107"/>
      <c r="U302" s="107"/>
      <c r="V302" s="107"/>
      <c r="W302" s="107"/>
      <c r="X302" s="107"/>
      <c r="Y302" s="107"/>
      <c r="Z302" s="107"/>
      <c r="AA302" s="107"/>
    </row>
    <row r="303">
      <c r="A303" s="110"/>
      <c r="B303" s="107"/>
      <c r="C303" s="107"/>
      <c r="D303" s="107"/>
      <c r="E303" s="107"/>
      <c r="F303" s="107"/>
      <c r="G303" s="107"/>
      <c r="H303" s="107"/>
      <c r="I303" s="107"/>
      <c r="J303" s="107"/>
      <c r="K303" s="107"/>
      <c r="L303" s="107"/>
      <c r="M303" s="107"/>
      <c r="N303" s="107"/>
      <c r="O303" s="107"/>
      <c r="P303" s="107"/>
      <c r="Q303" s="107"/>
      <c r="R303" s="107"/>
      <c r="S303" s="107"/>
      <c r="T303" s="107"/>
      <c r="U303" s="107"/>
      <c r="V303" s="107"/>
      <c r="W303" s="107"/>
      <c r="X303" s="107"/>
      <c r="Y303" s="107"/>
      <c r="Z303" s="107"/>
      <c r="AA303" s="107"/>
    </row>
    <row r="304">
      <c r="A304" s="110"/>
      <c r="B304" s="107"/>
      <c r="C304" s="107"/>
      <c r="D304" s="107"/>
      <c r="E304" s="107"/>
      <c r="F304" s="107"/>
      <c r="G304" s="107"/>
      <c r="H304" s="107"/>
      <c r="I304" s="107"/>
      <c r="J304" s="107"/>
      <c r="K304" s="107"/>
      <c r="L304" s="107"/>
      <c r="M304" s="107"/>
      <c r="N304" s="107"/>
      <c r="O304" s="107"/>
      <c r="P304" s="107"/>
      <c r="Q304" s="107"/>
      <c r="R304" s="107"/>
      <c r="S304" s="107"/>
      <c r="T304" s="107"/>
      <c r="U304" s="107"/>
      <c r="V304" s="107"/>
      <c r="W304" s="107"/>
      <c r="X304" s="107"/>
      <c r="Y304" s="107"/>
      <c r="Z304" s="107"/>
      <c r="AA304" s="107"/>
    </row>
    <row r="305">
      <c r="A305" s="110"/>
      <c r="B305" s="107"/>
      <c r="C305" s="107"/>
      <c r="D305" s="107"/>
      <c r="E305" s="107"/>
      <c r="F305" s="107"/>
      <c r="G305" s="107"/>
      <c r="H305" s="107"/>
      <c r="I305" s="107"/>
      <c r="J305" s="107"/>
      <c r="K305" s="107"/>
      <c r="L305" s="107"/>
      <c r="M305" s="107"/>
      <c r="N305" s="107"/>
      <c r="O305" s="107"/>
      <c r="P305" s="107"/>
      <c r="Q305" s="107"/>
      <c r="R305" s="107"/>
      <c r="S305" s="107"/>
      <c r="T305" s="107"/>
      <c r="U305" s="107"/>
      <c r="V305" s="107"/>
      <c r="W305" s="107"/>
      <c r="X305" s="107"/>
      <c r="Y305" s="107"/>
      <c r="Z305" s="107"/>
      <c r="AA305" s="107"/>
    </row>
    <row r="306">
      <c r="A306" s="110"/>
      <c r="B306" s="107"/>
      <c r="C306" s="107"/>
      <c r="D306" s="107"/>
      <c r="E306" s="107"/>
      <c r="F306" s="107"/>
      <c r="G306" s="107"/>
      <c r="H306" s="107"/>
      <c r="I306" s="107"/>
      <c r="J306" s="107"/>
      <c r="K306" s="107"/>
      <c r="L306" s="107"/>
      <c r="M306" s="107"/>
      <c r="N306" s="107"/>
      <c r="O306" s="107"/>
      <c r="P306" s="107"/>
      <c r="Q306" s="107"/>
      <c r="R306" s="107"/>
      <c r="S306" s="107"/>
      <c r="T306" s="107"/>
      <c r="U306" s="107"/>
      <c r="V306" s="107"/>
      <c r="W306" s="107"/>
      <c r="X306" s="107"/>
      <c r="Y306" s="107"/>
      <c r="Z306" s="107"/>
      <c r="AA306" s="107"/>
    </row>
    <row r="307">
      <c r="A307" s="110"/>
      <c r="B307" s="107"/>
      <c r="C307" s="107"/>
      <c r="D307" s="107"/>
      <c r="E307" s="107"/>
      <c r="F307" s="107"/>
      <c r="G307" s="107"/>
      <c r="H307" s="107"/>
      <c r="I307" s="107"/>
      <c r="J307" s="107"/>
      <c r="K307" s="107"/>
      <c r="L307" s="107"/>
      <c r="M307" s="107"/>
      <c r="N307" s="107"/>
      <c r="O307" s="107"/>
      <c r="P307" s="107"/>
      <c r="Q307" s="107"/>
      <c r="R307" s="107"/>
      <c r="S307" s="107"/>
      <c r="T307" s="107"/>
      <c r="U307" s="107"/>
      <c r="V307" s="107"/>
      <c r="W307" s="107"/>
      <c r="X307" s="107"/>
      <c r="Y307" s="107"/>
      <c r="Z307" s="107"/>
      <c r="AA307" s="107"/>
    </row>
    <row r="308">
      <c r="A308" s="110"/>
      <c r="B308" s="107"/>
      <c r="C308" s="107"/>
      <c r="D308" s="107"/>
      <c r="E308" s="107"/>
      <c r="F308" s="107"/>
      <c r="G308" s="107"/>
      <c r="H308" s="107"/>
      <c r="I308" s="107"/>
      <c r="J308" s="107"/>
      <c r="K308" s="107"/>
      <c r="L308" s="107"/>
      <c r="M308" s="107"/>
      <c r="N308" s="107"/>
      <c r="O308" s="107"/>
      <c r="P308" s="107"/>
      <c r="Q308" s="107"/>
      <c r="R308" s="107"/>
      <c r="S308" s="107"/>
      <c r="T308" s="107"/>
      <c r="U308" s="107"/>
      <c r="V308" s="107"/>
      <c r="W308" s="107"/>
      <c r="X308" s="107"/>
      <c r="Y308" s="107"/>
      <c r="Z308" s="107"/>
      <c r="AA308" s="107"/>
    </row>
    <row r="309">
      <c r="A309" s="110"/>
      <c r="B309" s="107"/>
      <c r="C309" s="107"/>
      <c r="D309" s="107"/>
      <c r="E309" s="107"/>
      <c r="F309" s="107"/>
      <c r="G309" s="107"/>
      <c r="H309" s="107"/>
      <c r="I309" s="107"/>
      <c r="J309" s="107"/>
      <c r="K309" s="107"/>
      <c r="L309" s="107"/>
      <c r="M309" s="107"/>
      <c r="N309" s="107"/>
      <c r="O309" s="107"/>
      <c r="P309" s="107"/>
      <c r="Q309" s="107"/>
      <c r="R309" s="107"/>
      <c r="S309" s="107"/>
      <c r="T309" s="107"/>
      <c r="U309" s="107"/>
      <c r="V309" s="107"/>
      <c r="W309" s="107"/>
      <c r="X309" s="107"/>
      <c r="Y309" s="107"/>
      <c r="Z309" s="107"/>
      <c r="AA309" s="107"/>
    </row>
    <row r="310">
      <c r="A310" s="110"/>
      <c r="B310" s="107"/>
      <c r="C310" s="107"/>
      <c r="D310" s="107"/>
      <c r="E310" s="107"/>
      <c r="F310" s="107"/>
      <c r="G310" s="107"/>
      <c r="H310" s="107"/>
      <c r="I310" s="107"/>
      <c r="J310" s="107"/>
      <c r="K310" s="107"/>
      <c r="L310" s="107"/>
      <c r="M310" s="107"/>
      <c r="N310" s="107"/>
      <c r="O310" s="107"/>
      <c r="P310" s="107"/>
      <c r="Q310" s="107"/>
      <c r="R310" s="107"/>
      <c r="S310" s="107"/>
      <c r="T310" s="107"/>
      <c r="U310" s="107"/>
      <c r="V310" s="107"/>
      <c r="W310" s="107"/>
      <c r="X310" s="107"/>
      <c r="Y310" s="107"/>
      <c r="Z310" s="107"/>
      <c r="AA310" s="107"/>
    </row>
    <row r="311">
      <c r="A311" s="110"/>
      <c r="B311" s="107"/>
      <c r="C311" s="107"/>
      <c r="D311" s="107"/>
      <c r="E311" s="107"/>
      <c r="F311" s="107"/>
      <c r="G311" s="107"/>
      <c r="H311" s="107"/>
      <c r="I311" s="107"/>
      <c r="J311" s="107"/>
      <c r="K311" s="107"/>
      <c r="L311" s="107"/>
      <c r="M311" s="107"/>
      <c r="N311" s="107"/>
      <c r="O311" s="107"/>
      <c r="P311" s="107"/>
      <c r="Q311" s="107"/>
      <c r="R311" s="107"/>
      <c r="S311" s="107"/>
      <c r="T311" s="107"/>
      <c r="U311" s="107"/>
      <c r="V311" s="107"/>
      <c r="W311" s="107"/>
      <c r="X311" s="107"/>
      <c r="Y311" s="107"/>
      <c r="Z311" s="107"/>
      <c r="AA311" s="107"/>
    </row>
    <row r="312">
      <c r="A312" s="110"/>
      <c r="B312" s="107"/>
      <c r="C312" s="107"/>
      <c r="D312" s="107"/>
      <c r="E312" s="107"/>
      <c r="F312" s="107"/>
      <c r="G312" s="107"/>
      <c r="H312" s="107"/>
      <c r="I312" s="107"/>
      <c r="J312" s="107"/>
      <c r="K312" s="107"/>
      <c r="L312" s="107"/>
      <c r="M312" s="107"/>
      <c r="N312" s="107"/>
      <c r="O312" s="107"/>
      <c r="P312" s="107"/>
      <c r="Q312" s="107"/>
      <c r="R312" s="107"/>
      <c r="S312" s="107"/>
      <c r="T312" s="107"/>
      <c r="U312" s="107"/>
      <c r="V312" s="107"/>
      <c r="W312" s="107"/>
      <c r="X312" s="107"/>
      <c r="Y312" s="107"/>
      <c r="Z312" s="107"/>
      <c r="AA312" s="107"/>
    </row>
    <row r="313">
      <c r="A313" s="110"/>
      <c r="B313" s="107"/>
      <c r="C313" s="107"/>
      <c r="D313" s="107"/>
      <c r="E313" s="107"/>
      <c r="F313" s="107"/>
      <c r="G313" s="107"/>
      <c r="H313" s="107"/>
      <c r="I313" s="107"/>
      <c r="J313" s="107"/>
      <c r="K313" s="107"/>
      <c r="L313" s="107"/>
      <c r="M313" s="107"/>
      <c r="N313" s="107"/>
      <c r="O313" s="107"/>
      <c r="P313" s="107"/>
      <c r="Q313" s="107"/>
      <c r="R313" s="107"/>
      <c r="S313" s="107"/>
      <c r="T313" s="107"/>
      <c r="U313" s="107"/>
      <c r="V313" s="107"/>
      <c r="W313" s="107"/>
      <c r="X313" s="107"/>
      <c r="Y313" s="107"/>
      <c r="Z313" s="107"/>
      <c r="AA313" s="107"/>
    </row>
    <row r="314">
      <c r="A314" s="110"/>
      <c r="B314" s="107"/>
      <c r="C314" s="107"/>
      <c r="D314" s="107"/>
      <c r="E314" s="107"/>
      <c r="F314" s="107"/>
      <c r="G314" s="107"/>
      <c r="H314" s="107"/>
      <c r="I314" s="107"/>
      <c r="J314" s="107"/>
      <c r="K314" s="107"/>
      <c r="L314" s="107"/>
      <c r="M314" s="107"/>
      <c r="N314" s="107"/>
      <c r="O314" s="107"/>
      <c r="P314" s="107"/>
      <c r="Q314" s="107"/>
      <c r="R314" s="107"/>
      <c r="S314" s="107"/>
      <c r="T314" s="107"/>
      <c r="U314" s="107"/>
      <c r="V314" s="107"/>
      <c r="W314" s="107"/>
      <c r="X314" s="107"/>
      <c r="Y314" s="107"/>
      <c r="Z314" s="107"/>
      <c r="AA314" s="107"/>
    </row>
    <row r="315">
      <c r="A315" s="110"/>
      <c r="B315" s="107"/>
      <c r="C315" s="107"/>
      <c r="D315" s="107"/>
      <c r="E315" s="107"/>
      <c r="F315" s="107"/>
      <c r="G315" s="107"/>
      <c r="H315" s="107"/>
      <c r="I315" s="107"/>
      <c r="J315" s="107"/>
      <c r="K315" s="107"/>
      <c r="L315" s="107"/>
      <c r="M315" s="107"/>
      <c r="N315" s="107"/>
      <c r="O315" s="107"/>
      <c r="P315" s="107"/>
      <c r="Q315" s="107"/>
      <c r="R315" s="107"/>
      <c r="S315" s="107"/>
      <c r="T315" s="107"/>
      <c r="U315" s="107"/>
      <c r="V315" s="107"/>
      <c r="W315" s="107"/>
      <c r="X315" s="107"/>
      <c r="Y315" s="107"/>
      <c r="Z315" s="107"/>
      <c r="AA315" s="107"/>
    </row>
    <row r="316">
      <c r="A316" s="110"/>
      <c r="B316" s="107"/>
      <c r="C316" s="107"/>
      <c r="D316" s="107"/>
      <c r="E316" s="107"/>
      <c r="F316" s="107"/>
      <c r="G316" s="107"/>
      <c r="H316" s="107"/>
      <c r="I316" s="107"/>
      <c r="J316" s="107"/>
      <c r="K316" s="107"/>
      <c r="L316" s="107"/>
      <c r="M316" s="107"/>
      <c r="N316" s="107"/>
      <c r="O316" s="107"/>
      <c r="P316" s="107"/>
      <c r="Q316" s="107"/>
      <c r="R316" s="107"/>
      <c r="S316" s="107"/>
      <c r="T316" s="107"/>
      <c r="U316" s="107"/>
      <c r="V316" s="107"/>
      <c r="W316" s="107"/>
      <c r="X316" s="107"/>
      <c r="Y316" s="107"/>
      <c r="Z316" s="107"/>
      <c r="AA316" s="107"/>
    </row>
    <row r="317">
      <c r="A317" s="110"/>
      <c r="B317" s="107"/>
      <c r="C317" s="107"/>
      <c r="D317" s="107"/>
      <c r="E317" s="107"/>
      <c r="F317" s="107"/>
      <c r="G317" s="107"/>
      <c r="H317" s="107"/>
      <c r="I317" s="107"/>
      <c r="J317" s="107"/>
      <c r="K317" s="107"/>
      <c r="L317" s="107"/>
      <c r="M317" s="107"/>
      <c r="N317" s="107"/>
      <c r="O317" s="107"/>
      <c r="P317" s="107"/>
      <c r="Q317" s="107"/>
      <c r="R317" s="107"/>
      <c r="S317" s="107"/>
      <c r="T317" s="107"/>
      <c r="U317" s="107"/>
      <c r="V317" s="107"/>
      <c r="W317" s="107"/>
      <c r="X317" s="107"/>
      <c r="Y317" s="107"/>
      <c r="Z317" s="107"/>
      <c r="AA317" s="107"/>
    </row>
    <row r="318">
      <c r="A318" s="110"/>
      <c r="B318" s="107"/>
      <c r="C318" s="107"/>
      <c r="D318" s="107"/>
      <c r="E318" s="107"/>
      <c r="F318" s="107"/>
      <c r="G318" s="107"/>
      <c r="H318" s="107"/>
      <c r="I318" s="107"/>
      <c r="J318" s="107"/>
      <c r="K318" s="107"/>
      <c r="L318" s="107"/>
      <c r="M318" s="107"/>
      <c r="N318" s="107"/>
      <c r="O318" s="107"/>
      <c r="P318" s="107"/>
      <c r="Q318" s="107"/>
      <c r="R318" s="107"/>
      <c r="S318" s="107"/>
      <c r="T318" s="107"/>
      <c r="U318" s="107"/>
      <c r="V318" s="107"/>
      <c r="W318" s="107"/>
      <c r="X318" s="107"/>
      <c r="Y318" s="107"/>
      <c r="Z318" s="107"/>
      <c r="AA318" s="107"/>
    </row>
    <row r="319">
      <c r="A319" s="110"/>
      <c r="B319" s="107"/>
      <c r="C319" s="107"/>
      <c r="D319" s="107"/>
      <c r="E319" s="107"/>
      <c r="F319" s="107"/>
      <c r="G319" s="107"/>
      <c r="H319" s="107"/>
      <c r="I319" s="107"/>
      <c r="J319" s="107"/>
      <c r="K319" s="107"/>
      <c r="L319" s="107"/>
      <c r="M319" s="107"/>
      <c r="N319" s="107"/>
      <c r="O319" s="107"/>
      <c r="P319" s="107"/>
      <c r="Q319" s="107"/>
      <c r="R319" s="107"/>
      <c r="S319" s="107"/>
      <c r="T319" s="107"/>
      <c r="U319" s="107"/>
      <c r="V319" s="107"/>
      <c r="W319" s="107"/>
      <c r="X319" s="107"/>
      <c r="Y319" s="107"/>
      <c r="Z319" s="107"/>
      <c r="AA319" s="107"/>
    </row>
    <row r="320">
      <c r="A320" s="110"/>
      <c r="B320" s="107"/>
      <c r="C320" s="107"/>
      <c r="D320" s="107"/>
      <c r="E320" s="107"/>
      <c r="F320" s="107"/>
      <c r="G320" s="107"/>
      <c r="H320" s="107"/>
      <c r="I320" s="107"/>
      <c r="J320" s="107"/>
      <c r="K320" s="107"/>
      <c r="L320" s="107"/>
      <c r="M320" s="107"/>
      <c r="N320" s="107"/>
      <c r="O320" s="107"/>
      <c r="P320" s="107"/>
      <c r="Q320" s="107"/>
      <c r="R320" s="107"/>
      <c r="S320" s="107"/>
      <c r="T320" s="107"/>
      <c r="U320" s="107"/>
      <c r="V320" s="107"/>
      <c r="W320" s="107"/>
      <c r="X320" s="107"/>
      <c r="Y320" s="107"/>
      <c r="Z320" s="107"/>
      <c r="AA320" s="107"/>
    </row>
    <row r="321">
      <c r="A321" s="110"/>
      <c r="B321" s="107"/>
      <c r="C321" s="107"/>
      <c r="D321" s="107"/>
      <c r="E321" s="107"/>
      <c r="F321" s="107"/>
      <c r="G321" s="107"/>
      <c r="H321" s="107"/>
      <c r="I321" s="107"/>
      <c r="J321" s="107"/>
      <c r="K321" s="107"/>
      <c r="L321" s="107"/>
      <c r="M321" s="107"/>
      <c r="N321" s="107"/>
      <c r="O321" s="107"/>
      <c r="P321" s="107"/>
      <c r="Q321" s="107"/>
      <c r="R321" s="107"/>
      <c r="S321" s="107"/>
      <c r="T321" s="107"/>
      <c r="U321" s="107"/>
      <c r="V321" s="107"/>
      <c r="W321" s="107"/>
      <c r="X321" s="107"/>
      <c r="Y321" s="107"/>
      <c r="Z321" s="107"/>
      <c r="AA321" s="107"/>
    </row>
    <row r="322">
      <c r="A322" s="110"/>
      <c r="B322" s="107"/>
      <c r="C322" s="107"/>
      <c r="D322" s="107"/>
      <c r="E322" s="107"/>
      <c r="F322" s="107"/>
      <c r="G322" s="107"/>
      <c r="H322" s="107"/>
      <c r="I322" s="107"/>
      <c r="J322" s="107"/>
      <c r="K322" s="107"/>
      <c r="L322" s="107"/>
      <c r="M322" s="107"/>
      <c r="N322" s="107"/>
      <c r="O322" s="107"/>
      <c r="P322" s="107"/>
      <c r="Q322" s="107"/>
      <c r="R322" s="107"/>
      <c r="S322" s="107"/>
      <c r="T322" s="107"/>
      <c r="U322" s="107"/>
      <c r="V322" s="107"/>
      <c r="W322" s="107"/>
      <c r="X322" s="107"/>
      <c r="Y322" s="107"/>
      <c r="Z322" s="107"/>
      <c r="AA322" s="107"/>
    </row>
    <row r="323">
      <c r="A323" s="110"/>
      <c r="B323" s="107"/>
      <c r="C323" s="107"/>
      <c r="D323" s="107"/>
      <c r="E323" s="107"/>
      <c r="F323" s="107"/>
      <c r="G323" s="107"/>
      <c r="H323" s="107"/>
      <c r="I323" s="107"/>
      <c r="J323" s="107"/>
      <c r="K323" s="107"/>
      <c r="L323" s="107"/>
      <c r="M323" s="107"/>
      <c r="N323" s="107"/>
      <c r="O323" s="107"/>
      <c r="P323" s="107"/>
      <c r="Q323" s="107"/>
      <c r="R323" s="107"/>
      <c r="S323" s="107"/>
      <c r="T323" s="107"/>
      <c r="U323" s="107"/>
      <c r="V323" s="107"/>
      <c r="W323" s="107"/>
      <c r="X323" s="107"/>
      <c r="Y323" s="107"/>
      <c r="Z323" s="107"/>
      <c r="AA323" s="107"/>
    </row>
    <row r="324">
      <c r="A324" s="110"/>
      <c r="B324" s="107"/>
      <c r="C324" s="107"/>
      <c r="D324" s="107"/>
      <c r="E324" s="107"/>
      <c r="F324" s="107"/>
      <c r="G324" s="107"/>
      <c r="H324" s="107"/>
      <c r="I324" s="107"/>
      <c r="J324" s="107"/>
      <c r="K324" s="107"/>
      <c r="L324" s="107"/>
      <c r="M324" s="107"/>
      <c r="N324" s="107"/>
      <c r="O324" s="107"/>
      <c r="P324" s="107"/>
      <c r="Q324" s="107"/>
      <c r="R324" s="107"/>
      <c r="S324" s="107"/>
      <c r="T324" s="107"/>
      <c r="U324" s="107"/>
      <c r="V324" s="107"/>
      <c r="W324" s="107"/>
      <c r="X324" s="107"/>
      <c r="Y324" s="107"/>
      <c r="Z324" s="107"/>
      <c r="AA324" s="107"/>
    </row>
    <row r="325">
      <c r="A325" s="110"/>
      <c r="B325" s="107"/>
      <c r="C325" s="107"/>
      <c r="D325" s="107"/>
      <c r="E325" s="107"/>
      <c r="F325" s="107"/>
      <c r="G325" s="107"/>
      <c r="H325" s="107"/>
      <c r="I325" s="107"/>
      <c r="J325" s="107"/>
      <c r="K325" s="107"/>
      <c r="L325" s="107"/>
      <c r="M325" s="107"/>
      <c r="N325" s="107"/>
      <c r="O325" s="107"/>
      <c r="P325" s="107"/>
      <c r="Q325" s="107"/>
      <c r="R325" s="107"/>
      <c r="S325" s="107"/>
      <c r="T325" s="107"/>
      <c r="U325" s="107"/>
      <c r="V325" s="107"/>
      <c r="W325" s="107"/>
      <c r="X325" s="107"/>
      <c r="Y325" s="107"/>
      <c r="Z325" s="107"/>
      <c r="AA325" s="107"/>
    </row>
    <row r="326">
      <c r="A326" s="110"/>
      <c r="B326" s="107"/>
      <c r="C326" s="107"/>
      <c r="D326" s="107"/>
      <c r="E326" s="107"/>
      <c r="F326" s="107"/>
      <c r="G326" s="107"/>
      <c r="H326" s="107"/>
      <c r="I326" s="107"/>
      <c r="J326" s="107"/>
      <c r="K326" s="107"/>
      <c r="L326" s="107"/>
      <c r="M326" s="107"/>
      <c r="N326" s="107"/>
      <c r="O326" s="107"/>
      <c r="P326" s="107"/>
      <c r="Q326" s="107"/>
      <c r="R326" s="107"/>
      <c r="S326" s="107"/>
      <c r="T326" s="107"/>
      <c r="U326" s="107"/>
      <c r="V326" s="107"/>
      <c r="W326" s="107"/>
      <c r="X326" s="107"/>
      <c r="Y326" s="107"/>
      <c r="Z326" s="107"/>
      <c r="AA326" s="107"/>
    </row>
    <row r="327">
      <c r="A327" s="110"/>
      <c r="B327" s="107"/>
      <c r="C327" s="107"/>
      <c r="D327" s="107"/>
      <c r="E327" s="107"/>
      <c r="F327" s="107"/>
      <c r="G327" s="107"/>
      <c r="H327" s="107"/>
      <c r="I327" s="107"/>
      <c r="J327" s="107"/>
      <c r="K327" s="107"/>
      <c r="L327" s="107"/>
      <c r="M327" s="107"/>
      <c r="N327" s="107"/>
      <c r="O327" s="107"/>
      <c r="P327" s="107"/>
      <c r="Q327" s="107"/>
      <c r="R327" s="107"/>
      <c r="S327" s="107"/>
      <c r="T327" s="107"/>
      <c r="U327" s="107"/>
      <c r="V327" s="107"/>
      <c r="W327" s="107"/>
      <c r="X327" s="107"/>
      <c r="Y327" s="107"/>
      <c r="Z327" s="107"/>
      <c r="AA327" s="107"/>
    </row>
    <row r="328">
      <c r="A328" s="110"/>
      <c r="B328" s="107"/>
      <c r="C328" s="107"/>
      <c r="D328" s="107"/>
      <c r="E328" s="107"/>
      <c r="F328" s="107"/>
      <c r="G328" s="107"/>
      <c r="H328" s="107"/>
      <c r="I328" s="107"/>
      <c r="J328" s="107"/>
      <c r="K328" s="107"/>
      <c r="L328" s="107"/>
      <c r="M328" s="107"/>
      <c r="N328" s="107"/>
      <c r="O328" s="107"/>
      <c r="P328" s="107"/>
      <c r="Q328" s="107"/>
      <c r="R328" s="107"/>
      <c r="S328" s="107"/>
      <c r="T328" s="107"/>
      <c r="U328" s="107"/>
      <c r="V328" s="107"/>
      <c r="W328" s="107"/>
      <c r="X328" s="107"/>
      <c r="Y328" s="107"/>
      <c r="Z328" s="107"/>
      <c r="AA328" s="107"/>
    </row>
    <row r="329">
      <c r="A329" s="110"/>
      <c r="B329" s="107"/>
      <c r="C329" s="107"/>
      <c r="D329" s="107"/>
      <c r="E329" s="107"/>
      <c r="F329" s="107"/>
      <c r="G329" s="107"/>
      <c r="H329" s="107"/>
      <c r="I329" s="107"/>
      <c r="J329" s="107"/>
      <c r="K329" s="107"/>
      <c r="L329" s="107"/>
      <c r="M329" s="107"/>
      <c r="N329" s="107"/>
      <c r="O329" s="107"/>
      <c r="P329" s="107"/>
      <c r="Q329" s="107"/>
      <c r="R329" s="107"/>
      <c r="S329" s="107"/>
      <c r="T329" s="107"/>
      <c r="U329" s="107"/>
      <c r="V329" s="107"/>
      <c r="W329" s="107"/>
      <c r="X329" s="107"/>
      <c r="Y329" s="107"/>
      <c r="Z329" s="107"/>
      <c r="AA329" s="107"/>
    </row>
    <row r="330">
      <c r="A330" s="110"/>
      <c r="B330" s="107"/>
      <c r="C330" s="107"/>
      <c r="D330" s="107"/>
      <c r="E330" s="107"/>
      <c r="F330" s="107"/>
      <c r="G330" s="107"/>
      <c r="H330" s="107"/>
      <c r="I330" s="107"/>
      <c r="J330" s="107"/>
      <c r="K330" s="107"/>
      <c r="L330" s="107"/>
      <c r="M330" s="107"/>
      <c r="N330" s="107"/>
      <c r="O330" s="107"/>
      <c r="P330" s="107"/>
      <c r="Q330" s="107"/>
      <c r="R330" s="107"/>
      <c r="S330" s="107"/>
      <c r="T330" s="107"/>
      <c r="U330" s="107"/>
      <c r="V330" s="107"/>
      <c r="W330" s="107"/>
      <c r="X330" s="107"/>
      <c r="Y330" s="107"/>
      <c r="Z330" s="107"/>
      <c r="AA330" s="107"/>
    </row>
    <row r="331">
      <c r="A331" s="110"/>
      <c r="B331" s="107"/>
      <c r="C331" s="107"/>
      <c r="D331" s="107"/>
      <c r="E331" s="107"/>
      <c r="F331" s="107"/>
      <c r="G331" s="107"/>
      <c r="H331" s="107"/>
      <c r="I331" s="107"/>
      <c r="J331" s="107"/>
      <c r="K331" s="107"/>
      <c r="L331" s="107"/>
      <c r="M331" s="107"/>
      <c r="N331" s="107"/>
      <c r="O331" s="107"/>
      <c r="P331" s="107"/>
      <c r="Q331" s="107"/>
      <c r="R331" s="107"/>
      <c r="S331" s="107"/>
      <c r="T331" s="107"/>
      <c r="U331" s="107"/>
      <c r="V331" s="107"/>
      <c r="W331" s="107"/>
      <c r="X331" s="107"/>
      <c r="Y331" s="107"/>
      <c r="Z331" s="107"/>
      <c r="AA331" s="107"/>
    </row>
    <row r="332">
      <c r="A332" s="110"/>
      <c r="B332" s="107"/>
      <c r="C332" s="107"/>
      <c r="D332" s="107"/>
      <c r="E332" s="107"/>
      <c r="F332" s="107"/>
      <c r="G332" s="107"/>
      <c r="H332" s="107"/>
      <c r="I332" s="107"/>
      <c r="J332" s="107"/>
      <c r="K332" s="107"/>
      <c r="L332" s="107"/>
      <c r="M332" s="107"/>
      <c r="N332" s="107"/>
      <c r="O332" s="107"/>
      <c r="P332" s="107"/>
      <c r="Q332" s="107"/>
      <c r="R332" s="107"/>
      <c r="S332" s="107"/>
      <c r="T332" s="107"/>
      <c r="U332" s="107"/>
      <c r="V332" s="107"/>
      <c r="W332" s="107"/>
      <c r="X332" s="107"/>
      <c r="Y332" s="107"/>
      <c r="Z332" s="107"/>
      <c r="AA332" s="107"/>
    </row>
    <row r="333">
      <c r="A333" s="110"/>
      <c r="B333" s="107"/>
      <c r="C333" s="107"/>
      <c r="D333" s="107"/>
      <c r="E333" s="107"/>
      <c r="F333" s="107"/>
      <c r="G333" s="107"/>
      <c r="H333" s="107"/>
      <c r="I333" s="107"/>
      <c r="J333" s="107"/>
      <c r="K333" s="107"/>
      <c r="L333" s="107"/>
      <c r="M333" s="107"/>
      <c r="N333" s="107"/>
      <c r="O333" s="107"/>
      <c r="P333" s="107"/>
      <c r="Q333" s="107"/>
      <c r="R333" s="107"/>
      <c r="S333" s="107"/>
      <c r="T333" s="107"/>
      <c r="U333" s="107"/>
      <c r="V333" s="107"/>
      <c r="W333" s="107"/>
      <c r="X333" s="107"/>
      <c r="Y333" s="107"/>
      <c r="Z333" s="107"/>
      <c r="AA333" s="107"/>
    </row>
    <row r="334">
      <c r="A334" s="110"/>
      <c r="B334" s="107"/>
      <c r="C334" s="107"/>
      <c r="D334" s="107"/>
      <c r="E334" s="107"/>
      <c r="F334" s="107"/>
      <c r="G334" s="107"/>
      <c r="H334" s="107"/>
      <c r="I334" s="107"/>
      <c r="J334" s="107"/>
      <c r="K334" s="107"/>
      <c r="L334" s="107"/>
      <c r="M334" s="107"/>
      <c r="N334" s="107"/>
      <c r="O334" s="107"/>
      <c r="P334" s="107"/>
      <c r="Q334" s="107"/>
      <c r="R334" s="107"/>
      <c r="S334" s="107"/>
      <c r="T334" s="107"/>
      <c r="U334" s="107"/>
      <c r="V334" s="107"/>
      <c r="W334" s="107"/>
      <c r="X334" s="107"/>
      <c r="Y334" s="107"/>
      <c r="Z334" s="107"/>
      <c r="AA334" s="107"/>
    </row>
    <row r="335">
      <c r="A335" s="110"/>
      <c r="B335" s="107"/>
      <c r="C335" s="107"/>
      <c r="D335" s="107"/>
      <c r="E335" s="107"/>
      <c r="F335" s="107"/>
      <c r="G335" s="107"/>
      <c r="H335" s="107"/>
      <c r="I335" s="107"/>
      <c r="J335" s="107"/>
      <c r="K335" s="107"/>
      <c r="L335" s="107"/>
      <c r="M335" s="107"/>
      <c r="N335" s="107"/>
      <c r="O335" s="107"/>
      <c r="P335" s="107"/>
      <c r="Q335" s="107"/>
      <c r="R335" s="107"/>
      <c r="S335" s="107"/>
      <c r="T335" s="107"/>
      <c r="U335" s="107"/>
      <c r="V335" s="107"/>
      <c r="W335" s="107"/>
      <c r="X335" s="107"/>
      <c r="Y335" s="107"/>
      <c r="Z335" s="107"/>
      <c r="AA335" s="107"/>
    </row>
    <row r="336">
      <c r="A336" s="110"/>
      <c r="B336" s="107"/>
      <c r="C336" s="107"/>
      <c r="D336" s="107"/>
      <c r="E336" s="107"/>
      <c r="F336" s="107"/>
      <c r="G336" s="107"/>
      <c r="H336" s="107"/>
      <c r="I336" s="107"/>
      <c r="J336" s="107"/>
      <c r="K336" s="107"/>
      <c r="L336" s="107"/>
      <c r="M336" s="107"/>
      <c r="N336" s="107"/>
      <c r="O336" s="107"/>
      <c r="P336" s="107"/>
      <c r="Q336" s="107"/>
      <c r="R336" s="107"/>
      <c r="S336" s="107"/>
      <c r="T336" s="107"/>
      <c r="U336" s="107"/>
      <c r="V336" s="107"/>
      <c r="W336" s="107"/>
      <c r="X336" s="107"/>
      <c r="Y336" s="107"/>
      <c r="Z336" s="107"/>
      <c r="AA336" s="107"/>
    </row>
    <row r="337">
      <c r="A337" s="110"/>
      <c r="B337" s="107"/>
      <c r="C337" s="107"/>
      <c r="D337" s="107"/>
      <c r="E337" s="107"/>
      <c r="F337" s="107"/>
      <c r="G337" s="107"/>
      <c r="H337" s="107"/>
      <c r="I337" s="107"/>
      <c r="J337" s="107"/>
      <c r="K337" s="107"/>
      <c r="L337" s="107"/>
      <c r="M337" s="107"/>
      <c r="N337" s="107"/>
      <c r="O337" s="107"/>
      <c r="P337" s="107"/>
      <c r="Q337" s="107"/>
      <c r="R337" s="107"/>
      <c r="S337" s="107"/>
      <c r="T337" s="107"/>
      <c r="U337" s="107"/>
      <c r="V337" s="107"/>
      <c r="W337" s="107"/>
      <c r="X337" s="107"/>
      <c r="Y337" s="107"/>
      <c r="Z337" s="107"/>
      <c r="AA337" s="107"/>
    </row>
    <row r="338">
      <c r="A338" s="110"/>
      <c r="B338" s="107"/>
      <c r="C338" s="107"/>
      <c r="D338" s="107"/>
      <c r="E338" s="107"/>
      <c r="F338" s="107"/>
      <c r="G338" s="107"/>
      <c r="H338" s="107"/>
      <c r="I338" s="107"/>
      <c r="J338" s="107"/>
      <c r="K338" s="107"/>
      <c r="L338" s="107"/>
      <c r="M338" s="107"/>
      <c r="N338" s="107"/>
      <c r="O338" s="107"/>
      <c r="P338" s="107"/>
      <c r="Q338" s="107"/>
      <c r="R338" s="107"/>
      <c r="S338" s="107"/>
      <c r="T338" s="107"/>
      <c r="U338" s="107"/>
      <c r="V338" s="107"/>
      <c r="W338" s="107"/>
      <c r="X338" s="107"/>
      <c r="Y338" s="107"/>
      <c r="Z338" s="107"/>
      <c r="AA338" s="107"/>
    </row>
    <row r="339">
      <c r="A339" s="110"/>
      <c r="B339" s="107"/>
      <c r="C339" s="107"/>
      <c r="D339" s="107"/>
      <c r="E339" s="107"/>
      <c r="F339" s="107"/>
      <c r="G339" s="107"/>
      <c r="H339" s="107"/>
      <c r="I339" s="107"/>
      <c r="J339" s="107"/>
      <c r="K339" s="107"/>
      <c r="L339" s="107"/>
      <c r="M339" s="107"/>
      <c r="N339" s="107"/>
      <c r="O339" s="107"/>
      <c r="P339" s="107"/>
      <c r="Q339" s="107"/>
      <c r="R339" s="107"/>
      <c r="S339" s="107"/>
      <c r="T339" s="107"/>
      <c r="U339" s="107"/>
      <c r="V339" s="107"/>
      <c r="W339" s="107"/>
      <c r="X339" s="107"/>
      <c r="Y339" s="107"/>
      <c r="Z339" s="107"/>
      <c r="AA339" s="107"/>
    </row>
    <row r="340">
      <c r="A340" s="110"/>
      <c r="B340" s="107"/>
      <c r="C340" s="107"/>
      <c r="D340" s="107"/>
      <c r="E340" s="107"/>
      <c r="F340" s="107"/>
      <c r="G340" s="107"/>
      <c r="H340" s="107"/>
      <c r="I340" s="107"/>
      <c r="J340" s="107"/>
      <c r="K340" s="107"/>
      <c r="L340" s="107"/>
      <c r="M340" s="107"/>
      <c r="N340" s="107"/>
      <c r="O340" s="107"/>
      <c r="P340" s="107"/>
      <c r="Q340" s="107"/>
      <c r="R340" s="107"/>
      <c r="S340" s="107"/>
      <c r="T340" s="107"/>
      <c r="U340" s="107"/>
      <c r="V340" s="107"/>
      <c r="W340" s="107"/>
      <c r="X340" s="107"/>
      <c r="Y340" s="107"/>
      <c r="Z340" s="107"/>
      <c r="AA340" s="107"/>
    </row>
    <row r="341">
      <c r="A341" s="110"/>
      <c r="B341" s="107"/>
      <c r="C341" s="107"/>
      <c r="D341" s="107"/>
      <c r="E341" s="107"/>
      <c r="F341" s="107"/>
      <c r="G341" s="107"/>
      <c r="H341" s="107"/>
      <c r="I341" s="107"/>
      <c r="J341" s="107"/>
      <c r="K341" s="107"/>
      <c r="L341" s="107"/>
      <c r="M341" s="107"/>
      <c r="N341" s="107"/>
      <c r="O341" s="107"/>
      <c r="P341" s="107"/>
      <c r="Q341" s="107"/>
      <c r="R341" s="107"/>
      <c r="S341" s="107"/>
      <c r="T341" s="107"/>
      <c r="U341" s="107"/>
      <c r="V341" s="107"/>
      <c r="W341" s="107"/>
      <c r="X341" s="107"/>
      <c r="Y341" s="107"/>
      <c r="Z341" s="107"/>
      <c r="AA341" s="107"/>
    </row>
    <row r="342">
      <c r="A342" s="110"/>
      <c r="B342" s="107"/>
      <c r="C342" s="107"/>
      <c r="D342" s="107"/>
      <c r="E342" s="107"/>
      <c r="F342" s="107"/>
      <c r="G342" s="107"/>
      <c r="H342" s="107"/>
      <c r="I342" s="107"/>
      <c r="J342" s="107"/>
      <c r="K342" s="107"/>
      <c r="L342" s="107"/>
      <c r="M342" s="107"/>
      <c r="N342" s="107"/>
      <c r="O342" s="107"/>
      <c r="P342" s="107"/>
      <c r="Q342" s="107"/>
      <c r="R342" s="107"/>
      <c r="S342" s="107"/>
      <c r="T342" s="107"/>
      <c r="U342" s="107"/>
      <c r="V342" s="107"/>
      <c r="W342" s="107"/>
      <c r="X342" s="107"/>
      <c r="Y342" s="107"/>
      <c r="Z342" s="107"/>
      <c r="AA342" s="107"/>
    </row>
    <row r="343">
      <c r="A343" s="110"/>
      <c r="B343" s="107"/>
      <c r="C343" s="107"/>
      <c r="D343" s="107"/>
      <c r="E343" s="107"/>
      <c r="F343" s="107"/>
      <c r="G343" s="107"/>
      <c r="H343" s="107"/>
      <c r="I343" s="107"/>
      <c r="J343" s="107"/>
      <c r="K343" s="107"/>
      <c r="L343" s="107"/>
      <c r="M343" s="107"/>
      <c r="N343" s="107"/>
      <c r="O343" s="107"/>
      <c r="P343" s="107"/>
      <c r="Q343" s="107"/>
      <c r="R343" s="107"/>
      <c r="S343" s="107"/>
      <c r="T343" s="107"/>
      <c r="U343" s="107"/>
      <c r="V343" s="107"/>
      <c r="W343" s="107"/>
      <c r="X343" s="107"/>
      <c r="Y343" s="107"/>
      <c r="Z343" s="107"/>
      <c r="AA343" s="107"/>
    </row>
    <row r="344">
      <c r="A344" s="110"/>
      <c r="B344" s="107"/>
      <c r="C344" s="107"/>
      <c r="D344" s="107"/>
      <c r="E344" s="107"/>
      <c r="F344" s="107"/>
      <c r="G344" s="107"/>
      <c r="H344" s="107"/>
      <c r="I344" s="107"/>
      <c r="J344" s="107"/>
      <c r="K344" s="107"/>
      <c r="L344" s="107"/>
      <c r="M344" s="107"/>
      <c r="N344" s="107"/>
      <c r="O344" s="107"/>
      <c r="P344" s="107"/>
      <c r="Q344" s="107"/>
      <c r="R344" s="107"/>
      <c r="S344" s="107"/>
      <c r="T344" s="107"/>
      <c r="U344" s="107"/>
      <c r="V344" s="107"/>
      <c r="W344" s="107"/>
      <c r="X344" s="107"/>
      <c r="Y344" s="107"/>
      <c r="Z344" s="107"/>
      <c r="AA344" s="107"/>
    </row>
    <row r="345">
      <c r="A345" s="110"/>
      <c r="B345" s="107"/>
      <c r="C345" s="107"/>
      <c r="D345" s="107"/>
      <c r="E345" s="107"/>
      <c r="F345" s="107"/>
      <c r="G345" s="107"/>
      <c r="H345" s="107"/>
      <c r="I345" s="107"/>
      <c r="J345" s="107"/>
      <c r="K345" s="107"/>
      <c r="L345" s="107"/>
      <c r="M345" s="107"/>
      <c r="N345" s="107"/>
      <c r="O345" s="107"/>
      <c r="P345" s="107"/>
      <c r="Q345" s="107"/>
      <c r="R345" s="107"/>
      <c r="S345" s="107"/>
      <c r="T345" s="107"/>
      <c r="U345" s="107"/>
      <c r="V345" s="107"/>
      <c r="W345" s="107"/>
      <c r="X345" s="107"/>
      <c r="Y345" s="107"/>
      <c r="Z345" s="107"/>
      <c r="AA345" s="107"/>
    </row>
    <row r="346">
      <c r="A346" s="110"/>
      <c r="B346" s="107"/>
      <c r="C346" s="107"/>
      <c r="D346" s="107"/>
      <c r="E346" s="107"/>
      <c r="F346" s="107"/>
      <c r="G346" s="107"/>
      <c r="H346" s="107"/>
      <c r="I346" s="107"/>
      <c r="J346" s="107"/>
      <c r="K346" s="107"/>
      <c r="L346" s="107"/>
      <c r="M346" s="107"/>
      <c r="N346" s="107"/>
      <c r="O346" s="107"/>
      <c r="P346" s="107"/>
      <c r="Q346" s="107"/>
      <c r="R346" s="107"/>
      <c r="S346" s="107"/>
      <c r="T346" s="107"/>
      <c r="U346" s="107"/>
      <c r="V346" s="107"/>
      <c r="W346" s="107"/>
      <c r="X346" s="107"/>
      <c r="Y346" s="107"/>
      <c r="Z346" s="107"/>
      <c r="AA346" s="107"/>
    </row>
    <row r="347">
      <c r="A347" s="110"/>
      <c r="B347" s="107"/>
      <c r="C347" s="107"/>
      <c r="D347" s="107"/>
      <c r="E347" s="107"/>
      <c r="F347" s="107"/>
      <c r="G347" s="107"/>
      <c r="H347" s="107"/>
      <c r="I347" s="107"/>
      <c r="J347" s="107"/>
      <c r="K347" s="107"/>
      <c r="L347" s="107"/>
      <c r="M347" s="107"/>
      <c r="N347" s="107"/>
      <c r="O347" s="107"/>
      <c r="P347" s="107"/>
      <c r="Q347" s="107"/>
      <c r="R347" s="107"/>
      <c r="S347" s="107"/>
      <c r="T347" s="107"/>
      <c r="U347" s="107"/>
      <c r="V347" s="107"/>
      <c r="W347" s="107"/>
      <c r="X347" s="107"/>
      <c r="Y347" s="107"/>
      <c r="Z347" s="107"/>
      <c r="AA347" s="107"/>
    </row>
    <row r="348">
      <c r="A348" s="110"/>
      <c r="B348" s="107"/>
      <c r="C348" s="107"/>
      <c r="D348" s="107"/>
      <c r="E348" s="107"/>
      <c r="F348" s="107"/>
      <c r="G348" s="107"/>
      <c r="H348" s="107"/>
      <c r="I348" s="107"/>
      <c r="J348" s="107"/>
      <c r="K348" s="107"/>
      <c r="L348" s="107"/>
      <c r="M348" s="107"/>
      <c r="N348" s="107"/>
      <c r="O348" s="107"/>
      <c r="P348" s="107"/>
      <c r="Q348" s="107"/>
      <c r="R348" s="107"/>
      <c r="S348" s="107"/>
      <c r="T348" s="107"/>
      <c r="U348" s="107"/>
      <c r="V348" s="107"/>
      <c r="W348" s="107"/>
      <c r="X348" s="107"/>
      <c r="Y348" s="107"/>
      <c r="Z348" s="107"/>
      <c r="AA348" s="107"/>
    </row>
    <row r="349">
      <c r="A349" s="110"/>
      <c r="B349" s="107"/>
      <c r="C349" s="107"/>
      <c r="D349" s="107"/>
      <c r="E349" s="107"/>
      <c r="F349" s="107"/>
      <c r="G349" s="107"/>
      <c r="H349" s="107"/>
      <c r="I349" s="107"/>
      <c r="J349" s="107"/>
      <c r="K349" s="107"/>
      <c r="L349" s="107"/>
      <c r="M349" s="107"/>
      <c r="N349" s="107"/>
      <c r="O349" s="107"/>
      <c r="P349" s="107"/>
      <c r="Q349" s="107"/>
      <c r="R349" s="107"/>
      <c r="S349" s="107"/>
      <c r="T349" s="107"/>
      <c r="U349" s="107"/>
      <c r="V349" s="107"/>
      <c r="W349" s="107"/>
      <c r="X349" s="107"/>
      <c r="Y349" s="107"/>
      <c r="Z349" s="107"/>
      <c r="AA349" s="107"/>
    </row>
    <row r="350">
      <c r="A350" s="110"/>
      <c r="B350" s="107"/>
      <c r="C350" s="107"/>
      <c r="D350" s="107"/>
      <c r="E350" s="107"/>
      <c r="F350" s="107"/>
      <c r="G350" s="107"/>
      <c r="H350" s="107"/>
      <c r="I350" s="107"/>
      <c r="J350" s="107"/>
      <c r="K350" s="107"/>
      <c r="L350" s="107"/>
      <c r="M350" s="107"/>
      <c r="N350" s="107"/>
      <c r="O350" s="107"/>
      <c r="P350" s="107"/>
      <c r="Q350" s="107"/>
      <c r="R350" s="107"/>
      <c r="S350" s="107"/>
      <c r="T350" s="107"/>
      <c r="U350" s="107"/>
      <c r="V350" s="107"/>
      <c r="W350" s="107"/>
      <c r="X350" s="107"/>
      <c r="Y350" s="107"/>
      <c r="Z350" s="107"/>
      <c r="AA350" s="107"/>
    </row>
    <row r="351">
      <c r="A351" s="110"/>
      <c r="B351" s="107"/>
      <c r="C351" s="107"/>
      <c r="D351" s="107"/>
      <c r="E351" s="107"/>
      <c r="F351" s="107"/>
      <c r="G351" s="107"/>
      <c r="H351" s="107"/>
      <c r="I351" s="107"/>
      <c r="J351" s="107"/>
      <c r="K351" s="107"/>
      <c r="L351" s="107"/>
      <c r="M351" s="107"/>
      <c r="N351" s="107"/>
      <c r="O351" s="107"/>
      <c r="P351" s="107"/>
      <c r="Q351" s="107"/>
      <c r="R351" s="107"/>
      <c r="S351" s="107"/>
      <c r="T351" s="107"/>
      <c r="U351" s="107"/>
      <c r="V351" s="107"/>
      <c r="W351" s="107"/>
      <c r="X351" s="107"/>
      <c r="Y351" s="107"/>
      <c r="Z351" s="107"/>
      <c r="AA351" s="107"/>
    </row>
    <row r="352">
      <c r="A352" s="110"/>
      <c r="B352" s="107"/>
      <c r="C352" s="107"/>
      <c r="D352" s="107"/>
      <c r="E352" s="107"/>
      <c r="F352" s="107"/>
      <c r="G352" s="107"/>
      <c r="H352" s="107"/>
      <c r="I352" s="107"/>
      <c r="J352" s="107"/>
      <c r="K352" s="107"/>
      <c r="L352" s="107"/>
      <c r="M352" s="107"/>
      <c r="N352" s="107"/>
      <c r="O352" s="107"/>
      <c r="P352" s="107"/>
      <c r="Q352" s="107"/>
      <c r="R352" s="107"/>
      <c r="S352" s="107"/>
      <c r="T352" s="107"/>
      <c r="U352" s="107"/>
      <c r="V352" s="107"/>
      <c r="W352" s="107"/>
      <c r="X352" s="107"/>
      <c r="Y352" s="107"/>
      <c r="Z352" s="107"/>
      <c r="AA352" s="107"/>
    </row>
    <row r="353">
      <c r="A353" s="110"/>
      <c r="B353" s="107"/>
      <c r="C353" s="107"/>
      <c r="D353" s="107"/>
      <c r="E353" s="107"/>
      <c r="F353" s="107"/>
      <c r="G353" s="107"/>
      <c r="H353" s="107"/>
      <c r="I353" s="107"/>
      <c r="J353" s="107"/>
      <c r="K353" s="107"/>
      <c r="L353" s="107"/>
      <c r="M353" s="107"/>
      <c r="N353" s="107"/>
      <c r="O353" s="107"/>
      <c r="P353" s="107"/>
      <c r="Q353" s="107"/>
      <c r="R353" s="107"/>
      <c r="S353" s="107"/>
      <c r="T353" s="107"/>
      <c r="U353" s="107"/>
      <c r="V353" s="107"/>
      <c r="W353" s="107"/>
      <c r="X353" s="107"/>
      <c r="Y353" s="107"/>
      <c r="Z353" s="107"/>
      <c r="AA353" s="107"/>
    </row>
    <row r="354">
      <c r="A354" s="110"/>
      <c r="B354" s="107"/>
      <c r="C354" s="107"/>
      <c r="D354" s="107"/>
      <c r="E354" s="107"/>
      <c r="F354" s="107"/>
      <c r="G354" s="107"/>
      <c r="H354" s="107"/>
      <c r="I354" s="107"/>
      <c r="J354" s="107"/>
      <c r="K354" s="107"/>
      <c r="L354" s="107"/>
      <c r="M354" s="107"/>
      <c r="N354" s="107"/>
      <c r="O354" s="107"/>
      <c r="P354" s="107"/>
      <c r="Q354" s="107"/>
      <c r="R354" s="107"/>
      <c r="S354" s="107"/>
      <c r="T354" s="107"/>
      <c r="U354" s="107"/>
      <c r="V354" s="107"/>
      <c r="W354" s="107"/>
      <c r="X354" s="107"/>
      <c r="Y354" s="107"/>
      <c r="Z354" s="107"/>
      <c r="AA354" s="107"/>
    </row>
    <row r="355">
      <c r="A355" s="110"/>
      <c r="B355" s="107"/>
      <c r="C355" s="107"/>
      <c r="D355" s="107"/>
      <c r="E355" s="107"/>
      <c r="F355" s="107"/>
      <c r="G355" s="107"/>
      <c r="H355" s="107"/>
      <c r="I355" s="107"/>
      <c r="J355" s="107"/>
      <c r="K355" s="107"/>
      <c r="L355" s="107"/>
      <c r="M355" s="107"/>
      <c r="N355" s="107"/>
      <c r="O355" s="107"/>
      <c r="P355" s="107"/>
      <c r="Q355" s="107"/>
      <c r="R355" s="107"/>
      <c r="S355" s="107"/>
      <c r="T355" s="107"/>
      <c r="U355" s="107"/>
      <c r="V355" s="107"/>
      <c r="W355" s="107"/>
      <c r="X355" s="107"/>
      <c r="Y355" s="107"/>
      <c r="Z355" s="107"/>
      <c r="AA355" s="107"/>
    </row>
    <row r="356">
      <c r="A356" s="110"/>
      <c r="B356" s="107"/>
      <c r="C356" s="107"/>
      <c r="D356" s="107"/>
      <c r="E356" s="107"/>
      <c r="F356" s="107"/>
      <c r="G356" s="107"/>
      <c r="H356" s="107"/>
      <c r="I356" s="107"/>
      <c r="J356" s="107"/>
      <c r="K356" s="107"/>
      <c r="L356" s="107"/>
      <c r="M356" s="107"/>
      <c r="N356" s="107"/>
      <c r="O356" s="107"/>
      <c r="P356" s="107"/>
      <c r="Q356" s="107"/>
      <c r="R356" s="107"/>
      <c r="S356" s="107"/>
      <c r="T356" s="107"/>
      <c r="U356" s="107"/>
      <c r="V356" s="107"/>
      <c r="W356" s="107"/>
      <c r="X356" s="107"/>
      <c r="Y356" s="107"/>
      <c r="Z356" s="107"/>
      <c r="AA356" s="107"/>
    </row>
    <row r="357">
      <c r="A357" s="110"/>
      <c r="B357" s="107"/>
      <c r="C357" s="107"/>
      <c r="D357" s="107"/>
      <c r="E357" s="107"/>
      <c r="F357" s="107"/>
      <c r="G357" s="107"/>
      <c r="H357" s="107"/>
      <c r="I357" s="107"/>
      <c r="J357" s="107"/>
      <c r="K357" s="107"/>
      <c r="L357" s="107"/>
      <c r="M357" s="107"/>
      <c r="N357" s="107"/>
      <c r="O357" s="107"/>
      <c r="P357" s="107"/>
      <c r="Q357" s="107"/>
      <c r="R357" s="107"/>
      <c r="S357" s="107"/>
      <c r="T357" s="107"/>
      <c r="U357" s="107"/>
      <c r="V357" s="107"/>
      <c r="W357" s="107"/>
      <c r="X357" s="107"/>
      <c r="Y357" s="107"/>
      <c r="Z357" s="107"/>
      <c r="AA357" s="107"/>
    </row>
    <row r="358">
      <c r="A358" s="110"/>
      <c r="B358" s="107"/>
      <c r="C358" s="107"/>
      <c r="D358" s="107"/>
      <c r="E358" s="107"/>
      <c r="F358" s="107"/>
      <c r="G358" s="107"/>
      <c r="H358" s="107"/>
      <c r="I358" s="107"/>
      <c r="J358" s="107"/>
      <c r="K358" s="107"/>
      <c r="L358" s="107"/>
      <c r="M358" s="107"/>
      <c r="N358" s="107"/>
      <c r="O358" s="107"/>
      <c r="P358" s="107"/>
      <c r="Q358" s="107"/>
      <c r="R358" s="107"/>
      <c r="S358" s="107"/>
      <c r="T358" s="107"/>
      <c r="U358" s="107"/>
      <c r="V358" s="107"/>
      <c r="W358" s="107"/>
      <c r="X358" s="107"/>
      <c r="Y358" s="107"/>
      <c r="Z358" s="107"/>
      <c r="AA358" s="107"/>
    </row>
    <row r="359">
      <c r="A359" s="110"/>
      <c r="B359" s="107"/>
      <c r="C359" s="107"/>
      <c r="D359" s="107"/>
      <c r="E359" s="107"/>
      <c r="F359" s="107"/>
      <c r="G359" s="107"/>
      <c r="H359" s="107"/>
      <c r="I359" s="107"/>
      <c r="J359" s="107"/>
      <c r="K359" s="107"/>
      <c r="L359" s="107"/>
      <c r="M359" s="107"/>
      <c r="N359" s="107"/>
      <c r="O359" s="107"/>
      <c r="P359" s="107"/>
      <c r="Q359" s="107"/>
      <c r="R359" s="107"/>
      <c r="S359" s="107"/>
      <c r="T359" s="107"/>
      <c r="U359" s="107"/>
      <c r="V359" s="107"/>
      <c r="W359" s="107"/>
      <c r="X359" s="107"/>
      <c r="Y359" s="107"/>
      <c r="Z359" s="107"/>
      <c r="AA359" s="107"/>
    </row>
    <row r="360">
      <c r="A360" s="110"/>
      <c r="B360" s="107"/>
      <c r="C360" s="107"/>
      <c r="D360" s="107"/>
      <c r="E360" s="107"/>
      <c r="F360" s="107"/>
      <c r="G360" s="107"/>
      <c r="H360" s="107"/>
      <c r="I360" s="107"/>
      <c r="J360" s="107"/>
      <c r="K360" s="107"/>
      <c r="L360" s="107"/>
      <c r="M360" s="107"/>
      <c r="N360" s="107"/>
      <c r="O360" s="107"/>
      <c r="P360" s="107"/>
      <c r="Q360" s="107"/>
      <c r="R360" s="107"/>
      <c r="S360" s="107"/>
      <c r="T360" s="107"/>
      <c r="U360" s="107"/>
      <c r="V360" s="107"/>
      <c r="W360" s="107"/>
      <c r="X360" s="107"/>
      <c r="Y360" s="107"/>
      <c r="Z360" s="107"/>
      <c r="AA360" s="107"/>
    </row>
    <row r="361">
      <c r="A361" s="110"/>
      <c r="B361" s="107"/>
      <c r="C361" s="107"/>
      <c r="D361" s="107"/>
      <c r="E361" s="107"/>
      <c r="F361" s="107"/>
      <c r="G361" s="107"/>
      <c r="H361" s="107"/>
      <c r="I361" s="107"/>
      <c r="J361" s="107"/>
      <c r="K361" s="107"/>
      <c r="L361" s="107"/>
      <c r="M361" s="107"/>
      <c r="N361" s="107"/>
      <c r="O361" s="107"/>
      <c r="P361" s="107"/>
      <c r="Q361" s="107"/>
      <c r="R361" s="107"/>
      <c r="S361" s="107"/>
      <c r="T361" s="107"/>
      <c r="U361" s="107"/>
      <c r="V361" s="107"/>
      <c r="W361" s="107"/>
      <c r="X361" s="107"/>
      <c r="Y361" s="107"/>
      <c r="Z361" s="107"/>
      <c r="AA361" s="107"/>
    </row>
    <row r="362">
      <c r="A362" s="110"/>
      <c r="B362" s="107"/>
      <c r="C362" s="107"/>
      <c r="D362" s="107"/>
      <c r="E362" s="107"/>
      <c r="F362" s="107"/>
      <c r="G362" s="107"/>
      <c r="H362" s="107"/>
      <c r="I362" s="107"/>
      <c r="J362" s="107"/>
      <c r="K362" s="107"/>
      <c r="L362" s="107"/>
      <c r="M362" s="107"/>
      <c r="N362" s="107"/>
      <c r="O362" s="107"/>
      <c r="P362" s="107"/>
      <c r="Q362" s="107"/>
      <c r="R362" s="107"/>
      <c r="S362" s="107"/>
      <c r="T362" s="107"/>
      <c r="U362" s="107"/>
      <c r="V362" s="107"/>
      <c r="W362" s="107"/>
      <c r="X362" s="107"/>
      <c r="Y362" s="107"/>
      <c r="Z362" s="107"/>
      <c r="AA362" s="107"/>
    </row>
    <row r="363">
      <c r="A363" s="110"/>
      <c r="B363" s="107"/>
      <c r="C363" s="107"/>
      <c r="D363" s="107"/>
      <c r="E363" s="107"/>
      <c r="F363" s="107"/>
      <c r="G363" s="107"/>
      <c r="H363" s="107"/>
      <c r="I363" s="107"/>
      <c r="J363" s="107"/>
      <c r="K363" s="107"/>
      <c r="L363" s="107"/>
      <c r="M363" s="107"/>
      <c r="N363" s="107"/>
      <c r="O363" s="107"/>
      <c r="P363" s="107"/>
      <c r="Q363" s="107"/>
      <c r="R363" s="107"/>
      <c r="S363" s="107"/>
      <c r="T363" s="107"/>
      <c r="U363" s="107"/>
      <c r="V363" s="107"/>
      <c r="W363" s="107"/>
      <c r="X363" s="107"/>
      <c r="Y363" s="107"/>
      <c r="Z363" s="107"/>
      <c r="AA363" s="107"/>
    </row>
    <row r="364">
      <c r="A364" s="110"/>
      <c r="B364" s="107"/>
      <c r="C364" s="107"/>
      <c r="D364" s="107"/>
      <c r="E364" s="107"/>
      <c r="F364" s="107"/>
      <c r="G364" s="107"/>
      <c r="H364" s="107"/>
      <c r="I364" s="107"/>
      <c r="J364" s="107"/>
      <c r="K364" s="107"/>
      <c r="L364" s="107"/>
      <c r="M364" s="107"/>
      <c r="N364" s="107"/>
      <c r="O364" s="107"/>
      <c r="P364" s="107"/>
      <c r="Q364" s="107"/>
      <c r="R364" s="107"/>
      <c r="S364" s="107"/>
      <c r="T364" s="107"/>
      <c r="U364" s="107"/>
      <c r="V364" s="107"/>
      <c r="W364" s="107"/>
      <c r="X364" s="107"/>
      <c r="Y364" s="107"/>
      <c r="Z364" s="107"/>
      <c r="AA364" s="107"/>
    </row>
    <row r="365">
      <c r="A365" s="110"/>
      <c r="B365" s="107"/>
      <c r="C365" s="107"/>
      <c r="D365" s="107"/>
      <c r="E365" s="107"/>
      <c r="F365" s="107"/>
      <c r="G365" s="107"/>
      <c r="H365" s="107"/>
      <c r="I365" s="107"/>
      <c r="J365" s="107"/>
      <c r="K365" s="107"/>
      <c r="L365" s="107"/>
      <c r="M365" s="107"/>
      <c r="N365" s="107"/>
      <c r="O365" s="107"/>
      <c r="P365" s="107"/>
      <c r="Q365" s="107"/>
      <c r="R365" s="107"/>
      <c r="S365" s="107"/>
      <c r="T365" s="107"/>
      <c r="U365" s="107"/>
      <c r="V365" s="107"/>
      <c r="W365" s="107"/>
      <c r="X365" s="107"/>
      <c r="Y365" s="107"/>
      <c r="Z365" s="107"/>
      <c r="AA365" s="107"/>
    </row>
    <row r="366">
      <c r="A366" s="110"/>
      <c r="B366" s="107"/>
      <c r="C366" s="107"/>
      <c r="D366" s="107"/>
      <c r="E366" s="107"/>
      <c r="F366" s="107"/>
      <c r="G366" s="107"/>
      <c r="H366" s="107"/>
      <c r="I366" s="107"/>
      <c r="J366" s="107"/>
      <c r="K366" s="107"/>
      <c r="L366" s="107"/>
      <c r="M366" s="107"/>
      <c r="N366" s="107"/>
      <c r="O366" s="107"/>
      <c r="P366" s="107"/>
      <c r="Q366" s="107"/>
      <c r="R366" s="107"/>
      <c r="S366" s="107"/>
      <c r="T366" s="107"/>
      <c r="U366" s="107"/>
      <c r="V366" s="107"/>
      <c r="W366" s="107"/>
      <c r="X366" s="107"/>
      <c r="Y366" s="107"/>
      <c r="Z366" s="107"/>
      <c r="AA366" s="107"/>
    </row>
    <row r="367">
      <c r="A367" s="110"/>
      <c r="B367" s="107"/>
      <c r="C367" s="107"/>
      <c r="D367" s="107"/>
      <c r="E367" s="107"/>
      <c r="F367" s="107"/>
      <c r="G367" s="107"/>
      <c r="H367" s="107"/>
      <c r="I367" s="107"/>
      <c r="J367" s="107"/>
      <c r="K367" s="107"/>
      <c r="L367" s="107"/>
      <c r="M367" s="107"/>
      <c r="N367" s="107"/>
      <c r="O367" s="107"/>
      <c r="P367" s="107"/>
      <c r="Q367" s="107"/>
      <c r="R367" s="107"/>
      <c r="S367" s="107"/>
      <c r="T367" s="107"/>
      <c r="U367" s="107"/>
      <c r="V367" s="107"/>
      <c r="W367" s="107"/>
      <c r="X367" s="107"/>
      <c r="Y367" s="107"/>
      <c r="Z367" s="107"/>
      <c r="AA367" s="107"/>
    </row>
    <row r="368">
      <c r="A368" s="110"/>
      <c r="B368" s="107"/>
      <c r="C368" s="107"/>
      <c r="D368" s="107"/>
      <c r="E368" s="107"/>
      <c r="F368" s="107"/>
      <c r="G368" s="107"/>
      <c r="H368" s="107"/>
      <c r="I368" s="107"/>
      <c r="J368" s="107"/>
      <c r="K368" s="107"/>
      <c r="L368" s="107"/>
      <c r="M368" s="107"/>
      <c r="N368" s="107"/>
      <c r="O368" s="107"/>
      <c r="P368" s="107"/>
      <c r="Q368" s="107"/>
      <c r="R368" s="107"/>
      <c r="S368" s="107"/>
      <c r="T368" s="107"/>
      <c r="U368" s="107"/>
      <c r="V368" s="107"/>
      <c r="W368" s="107"/>
      <c r="X368" s="107"/>
      <c r="Y368" s="107"/>
      <c r="Z368" s="107"/>
      <c r="AA368" s="107"/>
    </row>
    <row r="369">
      <c r="A369" s="110"/>
      <c r="B369" s="107"/>
      <c r="C369" s="107"/>
      <c r="D369" s="107"/>
      <c r="E369" s="107"/>
      <c r="F369" s="107"/>
      <c r="G369" s="107"/>
      <c r="H369" s="107"/>
      <c r="I369" s="107"/>
      <c r="J369" s="107"/>
      <c r="K369" s="107"/>
      <c r="L369" s="107"/>
      <c r="M369" s="107"/>
      <c r="N369" s="107"/>
      <c r="O369" s="107"/>
      <c r="P369" s="107"/>
      <c r="Q369" s="107"/>
      <c r="R369" s="107"/>
      <c r="S369" s="107"/>
      <c r="T369" s="107"/>
      <c r="U369" s="107"/>
      <c r="V369" s="107"/>
      <c r="W369" s="107"/>
      <c r="X369" s="107"/>
      <c r="Y369" s="107"/>
      <c r="Z369" s="107"/>
      <c r="AA369" s="107"/>
    </row>
    <row r="370">
      <c r="A370" s="110"/>
      <c r="B370" s="107"/>
      <c r="C370" s="107"/>
      <c r="D370" s="107"/>
      <c r="E370" s="107"/>
      <c r="F370" s="107"/>
      <c r="G370" s="107"/>
      <c r="H370" s="107"/>
      <c r="I370" s="107"/>
      <c r="J370" s="107"/>
      <c r="K370" s="107"/>
      <c r="L370" s="107"/>
      <c r="M370" s="107"/>
      <c r="N370" s="107"/>
      <c r="O370" s="107"/>
      <c r="P370" s="107"/>
      <c r="Q370" s="107"/>
      <c r="R370" s="107"/>
      <c r="S370" s="107"/>
      <c r="T370" s="107"/>
      <c r="U370" s="107"/>
      <c r="V370" s="107"/>
      <c r="W370" s="107"/>
      <c r="X370" s="107"/>
      <c r="Y370" s="107"/>
      <c r="Z370" s="107"/>
      <c r="AA370" s="107"/>
    </row>
    <row r="371">
      <c r="A371" s="110"/>
      <c r="B371" s="107"/>
      <c r="C371" s="107"/>
      <c r="D371" s="107"/>
      <c r="E371" s="107"/>
      <c r="F371" s="107"/>
      <c r="G371" s="107"/>
      <c r="H371" s="107"/>
      <c r="I371" s="107"/>
      <c r="J371" s="107"/>
      <c r="K371" s="107"/>
      <c r="L371" s="107"/>
      <c r="M371" s="107"/>
      <c r="N371" s="107"/>
      <c r="O371" s="107"/>
      <c r="P371" s="107"/>
      <c r="Q371" s="107"/>
      <c r="R371" s="107"/>
      <c r="S371" s="107"/>
      <c r="T371" s="107"/>
      <c r="U371" s="107"/>
      <c r="V371" s="107"/>
      <c r="W371" s="107"/>
      <c r="X371" s="107"/>
      <c r="Y371" s="107"/>
      <c r="Z371" s="107"/>
      <c r="AA371" s="107"/>
    </row>
    <row r="372">
      <c r="A372" s="110"/>
      <c r="B372" s="107"/>
      <c r="C372" s="107"/>
      <c r="D372" s="107"/>
      <c r="E372" s="107"/>
      <c r="F372" s="107"/>
      <c r="G372" s="107"/>
      <c r="H372" s="107"/>
      <c r="I372" s="107"/>
      <c r="J372" s="107"/>
      <c r="K372" s="107"/>
      <c r="L372" s="107"/>
      <c r="M372" s="107"/>
      <c r="N372" s="107"/>
      <c r="O372" s="107"/>
      <c r="P372" s="107"/>
      <c r="Q372" s="107"/>
      <c r="R372" s="107"/>
      <c r="S372" s="107"/>
      <c r="T372" s="107"/>
      <c r="U372" s="107"/>
      <c r="V372" s="107"/>
      <c r="W372" s="107"/>
      <c r="X372" s="107"/>
      <c r="Y372" s="107"/>
      <c r="Z372" s="107"/>
      <c r="AA372" s="107"/>
    </row>
    <row r="373">
      <c r="A373" s="110"/>
      <c r="B373" s="107"/>
      <c r="C373" s="107"/>
      <c r="D373" s="107"/>
      <c r="E373" s="107"/>
      <c r="F373" s="107"/>
      <c r="G373" s="107"/>
      <c r="H373" s="107"/>
      <c r="I373" s="107"/>
      <c r="J373" s="107"/>
      <c r="K373" s="107"/>
      <c r="L373" s="107"/>
      <c r="M373" s="107"/>
      <c r="N373" s="107"/>
      <c r="O373" s="107"/>
      <c r="P373" s="107"/>
      <c r="Q373" s="107"/>
      <c r="R373" s="107"/>
      <c r="S373" s="107"/>
      <c r="T373" s="107"/>
      <c r="U373" s="107"/>
      <c r="V373" s="107"/>
      <c r="W373" s="107"/>
      <c r="X373" s="107"/>
      <c r="Y373" s="107"/>
      <c r="Z373" s="107"/>
      <c r="AA373" s="107"/>
    </row>
    <row r="374">
      <c r="A374" s="110"/>
      <c r="B374" s="107"/>
      <c r="C374" s="107"/>
      <c r="D374" s="107"/>
      <c r="E374" s="107"/>
      <c r="F374" s="107"/>
      <c r="G374" s="107"/>
      <c r="H374" s="107"/>
      <c r="I374" s="107"/>
      <c r="J374" s="107"/>
      <c r="K374" s="107"/>
      <c r="L374" s="107"/>
      <c r="M374" s="107"/>
      <c r="N374" s="107"/>
      <c r="O374" s="107"/>
      <c r="P374" s="107"/>
      <c r="Q374" s="107"/>
      <c r="R374" s="107"/>
      <c r="S374" s="107"/>
      <c r="T374" s="107"/>
      <c r="U374" s="107"/>
      <c r="V374" s="107"/>
      <c r="W374" s="107"/>
      <c r="X374" s="107"/>
      <c r="Y374" s="107"/>
      <c r="Z374" s="107"/>
      <c r="AA374" s="107"/>
    </row>
    <row r="375">
      <c r="A375" s="110"/>
      <c r="B375" s="107"/>
      <c r="C375" s="107"/>
      <c r="D375" s="107"/>
      <c r="E375" s="107"/>
      <c r="F375" s="107"/>
      <c r="G375" s="107"/>
      <c r="H375" s="107"/>
      <c r="I375" s="107"/>
      <c r="J375" s="107"/>
      <c r="K375" s="107"/>
      <c r="L375" s="107"/>
      <c r="M375" s="107"/>
      <c r="N375" s="107"/>
      <c r="O375" s="107"/>
      <c r="P375" s="107"/>
      <c r="Q375" s="107"/>
      <c r="R375" s="107"/>
      <c r="S375" s="107"/>
      <c r="T375" s="107"/>
      <c r="U375" s="107"/>
      <c r="V375" s="107"/>
      <c r="W375" s="107"/>
      <c r="X375" s="107"/>
      <c r="Y375" s="107"/>
      <c r="Z375" s="107"/>
      <c r="AA375" s="107"/>
    </row>
    <row r="376">
      <c r="A376" s="110"/>
      <c r="B376" s="107"/>
      <c r="C376" s="107"/>
      <c r="D376" s="107"/>
      <c r="E376" s="107"/>
      <c r="F376" s="107"/>
      <c r="G376" s="107"/>
      <c r="H376" s="107"/>
      <c r="I376" s="107"/>
      <c r="J376" s="107"/>
      <c r="K376" s="107"/>
      <c r="L376" s="107"/>
      <c r="M376" s="107"/>
      <c r="N376" s="107"/>
      <c r="O376" s="107"/>
      <c r="P376" s="107"/>
      <c r="Q376" s="107"/>
      <c r="R376" s="107"/>
      <c r="S376" s="107"/>
      <c r="T376" s="107"/>
      <c r="U376" s="107"/>
      <c r="V376" s="107"/>
      <c r="W376" s="107"/>
      <c r="X376" s="107"/>
      <c r="Y376" s="107"/>
      <c r="Z376" s="107"/>
      <c r="AA376" s="107"/>
    </row>
    <row r="377">
      <c r="A377" s="110"/>
      <c r="B377" s="107"/>
      <c r="C377" s="107"/>
      <c r="D377" s="107"/>
      <c r="E377" s="107"/>
      <c r="F377" s="107"/>
      <c r="G377" s="107"/>
      <c r="H377" s="107"/>
      <c r="I377" s="107"/>
      <c r="J377" s="107"/>
      <c r="K377" s="107"/>
      <c r="L377" s="107"/>
      <c r="M377" s="107"/>
      <c r="N377" s="107"/>
      <c r="O377" s="107"/>
      <c r="P377" s="107"/>
      <c r="Q377" s="107"/>
      <c r="R377" s="107"/>
      <c r="S377" s="107"/>
      <c r="T377" s="107"/>
      <c r="U377" s="107"/>
      <c r="V377" s="107"/>
      <c r="W377" s="107"/>
      <c r="X377" s="107"/>
      <c r="Y377" s="107"/>
      <c r="Z377" s="107"/>
      <c r="AA377" s="107"/>
    </row>
    <row r="378">
      <c r="A378" s="110"/>
      <c r="B378" s="107"/>
      <c r="C378" s="107"/>
      <c r="D378" s="107"/>
      <c r="E378" s="107"/>
      <c r="F378" s="107"/>
      <c r="G378" s="107"/>
      <c r="H378" s="107"/>
      <c r="I378" s="107"/>
      <c r="J378" s="107"/>
      <c r="K378" s="107"/>
      <c r="L378" s="107"/>
      <c r="M378" s="107"/>
      <c r="N378" s="107"/>
      <c r="O378" s="107"/>
      <c r="P378" s="107"/>
      <c r="Q378" s="107"/>
      <c r="R378" s="107"/>
      <c r="S378" s="107"/>
      <c r="T378" s="107"/>
      <c r="U378" s="107"/>
      <c r="V378" s="107"/>
      <c r="W378" s="107"/>
      <c r="X378" s="107"/>
      <c r="Y378" s="107"/>
      <c r="Z378" s="107"/>
      <c r="AA378" s="107"/>
    </row>
    <row r="379">
      <c r="A379" s="110"/>
      <c r="B379" s="107"/>
      <c r="C379" s="107"/>
      <c r="D379" s="107"/>
      <c r="E379" s="107"/>
      <c r="F379" s="107"/>
      <c r="G379" s="107"/>
      <c r="H379" s="107"/>
      <c r="I379" s="107"/>
      <c r="J379" s="107"/>
      <c r="K379" s="107"/>
      <c r="L379" s="107"/>
      <c r="M379" s="107"/>
      <c r="N379" s="107"/>
      <c r="O379" s="107"/>
      <c r="P379" s="107"/>
      <c r="Q379" s="107"/>
      <c r="R379" s="107"/>
      <c r="S379" s="107"/>
      <c r="T379" s="107"/>
      <c r="U379" s="107"/>
      <c r="V379" s="107"/>
      <c r="W379" s="107"/>
      <c r="X379" s="107"/>
      <c r="Y379" s="107"/>
      <c r="Z379" s="107"/>
      <c r="AA379" s="107"/>
    </row>
    <row r="380">
      <c r="A380" s="110"/>
      <c r="B380" s="107"/>
      <c r="C380" s="107"/>
      <c r="D380" s="107"/>
      <c r="E380" s="107"/>
      <c r="F380" s="107"/>
      <c r="G380" s="107"/>
      <c r="H380" s="107"/>
      <c r="I380" s="107"/>
      <c r="J380" s="107"/>
      <c r="K380" s="107"/>
      <c r="L380" s="107"/>
      <c r="M380" s="107"/>
      <c r="N380" s="107"/>
      <c r="O380" s="107"/>
      <c r="P380" s="107"/>
      <c r="Q380" s="107"/>
      <c r="R380" s="107"/>
      <c r="S380" s="107"/>
      <c r="T380" s="107"/>
      <c r="U380" s="107"/>
      <c r="V380" s="107"/>
      <c r="W380" s="107"/>
      <c r="X380" s="107"/>
      <c r="Y380" s="107"/>
      <c r="Z380" s="107"/>
      <c r="AA380" s="107"/>
    </row>
    <row r="381">
      <c r="A381" s="110"/>
      <c r="B381" s="107"/>
      <c r="C381" s="107"/>
      <c r="D381" s="107"/>
      <c r="E381" s="107"/>
      <c r="F381" s="107"/>
      <c r="G381" s="107"/>
      <c r="H381" s="107"/>
      <c r="I381" s="107"/>
      <c r="J381" s="107"/>
      <c r="K381" s="107"/>
      <c r="L381" s="107"/>
      <c r="M381" s="107"/>
      <c r="N381" s="107"/>
      <c r="O381" s="107"/>
      <c r="P381" s="107"/>
      <c r="Q381" s="107"/>
      <c r="R381" s="107"/>
      <c r="S381" s="107"/>
      <c r="T381" s="107"/>
      <c r="U381" s="107"/>
      <c r="V381" s="107"/>
      <c r="W381" s="107"/>
      <c r="X381" s="107"/>
      <c r="Y381" s="107"/>
      <c r="Z381" s="107"/>
      <c r="AA381" s="107"/>
    </row>
    <row r="382">
      <c r="A382" s="110"/>
      <c r="B382" s="107"/>
      <c r="C382" s="107"/>
      <c r="D382" s="107"/>
      <c r="E382" s="107"/>
      <c r="F382" s="107"/>
      <c r="G382" s="107"/>
      <c r="H382" s="107"/>
      <c r="I382" s="107"/>
      <c r="J382" s="107"/>
      <c r="K382" s="107"/>
      <c r="L382" s="107"/>
      <c r="M382" s="107"/>
      <c r="N382" s="107"/>
      <c r="O382" s="107"/>
      <c r="P382" s="107"/>
      <c r="Q382" s="107"/>
      <c r="R382" s="107"/>
      <c r="S382" s="107"/>
      <c r="T382" s="107"/>
      <c r="U382" s="107"/>
      <c r="V382" s="107"/>
      <c r="W382" s="107"/>
      <c r="X382" s="107"/>
      <c r="Y382" s="107"/>
      <c r="Z382" s="107"/>
      <c r="AA382" s="107"/>
    </row>
    <row r="383">
      <c r="A383" s="110"/>
      <c r="B383" s="107"/>
      <c r="C383" s="107"/>
      <c r="D383" s="107"/>
      <c r="E383" s="107"/>
      <c r="F383" s="107"/>
      <c r="G383" s="107"/>
      <c r="H383" s="107"/>
      <c r="I383" s="107"/>
      <c r="J383" s="107"/>
      <c r="K383" s="107"/>
      <c r="L383" s="107"/>
      <c r="M383" s="107"/>
      <c r="N383" s="107"/>
      <c r="O383" s="107"/>
      <c r="P383" s="107"/>
      <c r="Q383" s="107"/>
      <c r="R383" s="107"/>
      <c r="S383" s="107"/>
      <c r="T383" s="107"/>
      <c r="U383" s="107"/>
      <c r="V383" s="107"/>
      <c r="W383" s="107"/>
      <c r="X383" s="107"/>
      <c r="Y383" s="107"/>
      <c r="Z383" s="107"/>
      <c r="AA383" s="107"/>
    </row>
    <row r="384">
      <c r="A384" s="110"/>
      <c r="B384" s="107"/>
      <c r="C384" s="107"/>
      <c r="D384" s="107"/>
      <c r="E384" s="107"/>
      <c r="F384" s="107"/>
      <c r="G384" s="107"/>
      <c r="H384" s="107"/>
      <c r="I384" s="107"/>
      <c r="J384" s="107"/>
      <c r="K384" s="107"/>
      <c r="L384" s="107"/>
      <c r="M384" s="107"/>
      <c r="N384" s="107"/>
      <c r="O384" s="107"/>
      <c r="P384" s="107"/>
      <c r="Q384" s="107"/>
      <c r="R384" s="107"/>
      <c r="S384" s="107"/>
      <c r="T384" s="107"/>
      <c r="U384" s="107"/>
      <c r="V384" s="107"/>
      <c r="W384" s="107"/>
      <c r="X384" s="107"/>
      <c r="Y384" s="107"/>
      <c r="Z384" s="107"/>
      <c r="AA384" s="107"/>
    </row>
    <row r="385">
      <c r="A385" s="110"/>
      <c r="B385" s="107"/>
      <c r="C385" s="107"/>
      <c r="D385" s="107"/>
      <c r="E385" s="107"/>
      <c r="F385" s="107"/>
      <c r="G385" s="107"/>
      <c r="H385" s="107"/>
      <c r="I385" s="107"/>
      <c r="J385" s="107"/>
      <c r="K385" s="107"/>
      <c r="L385" s="107"/>
      <c r="M385" s="107"/>
      <c r="N385" s="107"/>
      <c r="O385" s="107"/>
      <c r="P385" s="107"/>
      <c r="Q385" s="107"/>
      <c r="R385" s="107"/>
      <c r="S385" s="107"/>
      <c r="T385" s="107"/>
      <c r="U385" s="107"/>
      <c r="V385" s="107"/>
      <c r="W385" s="107"/>
      <c r="X385" s="107"/>
      <c r="Y385" s="107"/>
      <c r="Z385" s="107"/>
      <c r="AA385" s="107"/>
    </row>
    <row r="386">
      <c r="A386" s="110"/>
      <c r="B386" s="107"/>
      <c r="C386" s="107"/>
      <c r="D386" s="107"/>
      <c r="E386" s="107"/>
      <c r="F386" s="107"/>
      <c r="G386" s="107"/>
      <c r="H386" s="107"/>
      <c r="I386" s="107"/>
      <c r="J386" s="107"/>
      <c r="K386" s="107"/>
      <c r="L386" s="107"/>
      <c r="M386" s="107"/>
      <c r="N386" s="107"/>
      <c r="O386" s="107"/>
      <c r="P386" s="107"/>
      <c r="Q386" s="107"/>
      <c r="R386" s="107"/>
      <c r="S386" s="107"/>
      <c r="T386" s="107"/>
      <c r="U386" s="107"/>
      <c r="V386" s="107"/>
      <c r="W386" s="107"/>
      <c r="X386" s="107"/>
      <c r="Y386" s="107"/>
      <c r="Z386" s="107"/>
      <c r="AA386" s="107"/>
    </row>
    <row r="387">
      <c r="A387" s="110"/>
      <c r="B387" s="107"/>
      <c r="C387" s="107"/>
      <c r="D387" s="107"/>
      <c r="E387" s="107"/>
      <c r="F387" s="107"/>
      <c r="G387" s="107"/>
      <c r="H387" s="107"/>
      <c r="I387" s="107"/>
      <c r="J387" s="107"/>
      <c r="K387" s="107"/>
      <c r="L387" s="107"/>
      <c r="M387" s="107"/>
      <c r="N387" s="107"/>
      <c r="O387" s="107"/>
      <c r="P387" s="107"/>
      <c r="Q387" s="107"/>
      <c r="R387" s="107"/>
      <c r="S387" s="107"/>
      <c r="T387" s="107"/>
      <c r="U387" s="107"/>
      <c r="V387" s="107"/>
      <c r="W387" s="107"/>
      <c r="X387" s="107"/>
      <c r="Y387" s="107"/>
      <c r="Z387" s="107"/>
      <c r="AA387" s="107"/>
    </row>
    <row r="388">
      <c r="A388" s="110"/>
      <c r="B388" s="107"/>
      <c r="C388" s="107"/>
      <c r="D388" s="107"/>
      <c r="E388" s="107"/>
      <c r="F388" s="107"/>
      <c r="G388" s="107"/>
      <c r="H388" s="107"/>
      <c r="I388" s="107"/>
      <c r="J388" s="107"/>
      <c r="K388" s="107"/>
      <c r="L388" s="107"/>
      <c r="M388" s="107"/>
      <c r="N388" s="107"/>
      <c r="O388" s="107"/>
      <c r="P388" s="107"/>
      <c r="Q388" s="107"/>
      <c r="R388" s="107"/>
      <c r="S388" s="107"/>
      <c r="T388" s="107"/>
      <c r="U388" s="107"/>
      <c r="V388" s="107"/>
      <c r="W388" s="107"/>
      <c r="X388" s="107"/>
      <c r="Y388" s="107"/>
      <c r="Z388" s="107"/>
      <c r="AA388" s="107"/>
    </row>
    <row r="389">
      <c r="A389" s="110"/>
      <c r="B389" s="107"/>
      <c r="C389" s="107"/>
      <c r="D389" s="107"/>
      <c r="E389" s="107"/>
      <c r="F389" s="107"/>
      <c r="G389" s="107"/>
      <c r="H389" s="107"/>
      <c r="I389" s="107"/>
      <c r="J389" s="107"/>
      <c r="K389" s="107"/>
      <c r="L389" s="107"/>
      <c r="M389" s="107"/>
      <c r="N389" s="107"/>
      <c r="O389" s="107"/>
      <c r="P389" s="107"/>
      <c r="Q389" s="107"/>
      <c r="R389" s="107"/>
      <c r="S389" s="107"/>
      <c r="T389" s="107"/>
      <c r="U389" s="107"/>
      <c r="V389" s="107"/>
      <c r="W389" s="107"/>
      <c r="X389" s="107"/>
      <c r="Y389" s="107"/>
      <c r="Z389" s="107"/>
      <c r="AA389" s="107"/>
    </row>
    <row r="390">
      <c r="A390" s="110"/>
      <c r="B390" s="107"/>
      <c r="C390" s="107"/>
      <c r="D390" s="107"/>
      <c r="E390" s="107"/>
      <c r="F390" s="107"/>
      <c r="G390" s="107"/>
      <c r="H390" s="107"/>
      <c r="I390" s="107"/>
      <c r="J390" s="107"/>
      <c r="K390" s="107"/>
      <c r="L390" s="107"/>
      <c r="M390" s="107"/>
      <c r="N390" s="107"/>
      <c r="O390" s="107"/>
      <c r="P390" s="107"/>
      <c r="Q390" s="107"/>
      <c r="R390" s="107"/>
      <c r="S390" s="107"/>
      <c r="T390" s="107"/>
      <c r="U390" s="107"/>
      <c r="V390" s="107"/>
      <c r="W390" s="107"/>
      <c r="X390" s="107"/>
      <c r="Y390" s="107"/>
      <c r="Z390" s="107"/>
      <c r="AA390" s="107"/>
    </row>
    <row r="391">
      <c r="A391" s="110"/>
      <c r="B391" s="107"/>
      <c r="C391" s="107"/>
      <c r="D391" s="107"/>
      <c r="E391" s="107"/>
      <c r="F391" s="107"/>
      <c r="G391" s="107"/>
      <c r="H391" s="107"/>
      <c r="I391" s="107"/>
      <c r="J391" s="107"/>
      <c r="K391" s="107"/>
      <c r="L391" s="107"/>
      <c r="M391" s="107"/>
      <c r="N391" s="107"/>
      <c r="O391" s="107"/>
      <c r="P391" s="107"/>
      <c r="Q391" s="107"/>
      <c r="R391" s="107"/>
      <c r="S391" s="107"/>
      <c r="T391" s="107"/>
      <c r="U391" s="107"/>
      <c r="V391" s="107"/>
      <c r="W391" s="107"/>
      <c r="X391" s="107"/>
      <c r="Y391" s="107"/>
      <c r="Z391" s="107"/>
      <c r="AA391" s="107"/>
    </row>
    <row r="392">
      <c r="A392" s="110"/>
      <c r="B392" s="107"/>
      <c r="C392" s="107"/>
      <c r="D392" s="107"/>
      <c r="E392" s="107"/>
      <c r="F392" s="107"/>
      <c r="G392" s="107"/>
      <c r="H392" s="107"/>
      <c r="I392" s="107"/>
      <c r="J392" s="107"/>
      <c r="K392" s="107"/>
      <c r="L392" s="107"/>
      <c r="M392" s="107"/>
      <c r="N392" s="107"/>
      <c r="O392" s="107"/>
      <c r="P392" s="107"/>
      <c r="Q392" s="107"/>
      <c r="R392" s="107"/>
      <c r="S392" s="107"/>
      <c r="T392" s="107"/>
      <c r="U392" s="107"/>
      <c r="V392" s="107"/>
      <c r="W392" s="107"/>
      <c r="X392" s="107"/>
      <c r="Y392" s="107"/>
      <c r="Z392" s="107"/>
      <c r="AA392" s="107"/>
    </row>
    <row r="393">
      <c r="A393" s="110"/>
      <c r="B393" s="107"/>
      <c r="C393" s="107"/>
      <c r="D393" s="107"/>
      <c r="E393" s="107"/>
      <c r="F393" s="107"/>
      <c r="G393" s="107"/>
      <c r="H393" s="107"/>
      <c r="I393" s="107"/>
      <c r="J393" s="107"/>
      <c r="K393" s="107"/>
      <c r="L393" s="107"/>
      <c r="M393" s="107"/>
      <c r="N393" s="107"/>
      <c r="O393" s="107"/>
      <c r="P393" s="107"/>
      <c r="Q393" s="107"/>
      <c r="R393" s="107"/>
      <c r="S393" s="107"/>
      <c r="T393" s="107"/>
      <c r="U393" s="107"/>
      <c r="V393" s="107"/>
      <c r="W393" s="107"/>
      <c r="X393" s="107"/>
      <c r="Y393" s="107"/>
      <c r="Z393" s="107"/>
      <c r="AA393" s="107"/>
    </row>
    <row r="394">
      <c r="A394" s="110"/>
      <c r="B394" s="107"/>
      <c r="C394" s="107"/>
      <c r="D394" s="107"/>
      <c r="E394" s="107"/>
      <c r="F394" s="107"/>
      <c r="G394" s="107"/>
      <c r="H394" s="107"/>
      <c r="I394" s="107"/>
      <c r="J394" s="107"/>
      <c r="K394" s="107"/>
      <c r="L394" s="107"/>
      <c r="M394" s="107"/>
      <c r="N394" s="107"/>
      <c r="O394" s="107"/>
      <c r="P394" s="107"/>
      <c r="Q394" s="107"/>
      <c r="R394" s="107"/>
      <c r="S394" s="107"/>
      <c r="T394" s="107"/>
      <c r="U394" s="107"/>
      <c r="V394" s="107"/>
      <c r="W394" s="107"/>
      <c r="X394" s="107"/>
      <c r="Y394" s="107"/>
      <c r="Z394" s="107"/>
      <c r="AA394" s="107"/>
    </row>
    <row r="395">
      <c r="A395" s="110"/>
      <c r="B395" s="107"/>
      <c r="C395" s="107"/>
      <c r="D395" s="107"/>
      <c r="E395" s="107"/>
      <c r="F395" s="107"/>
      <c r="G395" s="107"/>
      <c r="H395" s="107"/>
      <c r="I395" s="107"/>
      <c r="J395" s="107"/>
      <c r="K395" s="107"/>
      <c r="L395" s="107"/>
      <c r="M395" s="107"/>
      <c r="N395" s="107"/>
      <c r="O395" s="107"/>
      <c r="P395" s="107"/>
      <c r="Q395" s="107"/>
      <c r="R395" s="107"/>
      <c r="S395" s="107"/>
      <c r="T395" s="107"/>
      <c r="U395" s="107"/>
      <c r="V395" s="107"/>
      <c r="W395" s="107"/>
      <c r="X395" s="107"/>
      <c r="Y395" s="107"/>
      <c r="Z395" s="107"/>
      <c r="AA395" s="107"/>
    </row>
    <row r="396">
      <c r="A396" s="110"/>
      <c r="B396" s="107"/>
      <c r="C396" s="107"/>
      <c r="D396" s="107"/>
      <c r="E396" s="107"/>
      <c r="F396" s="107"/>
      <c r="G396" s="107"/>
      <c r="H396" s="107"/>
      <c r="I396" s="107"/>
      <c r="J396" s="107"/>
      <c r="K396" s="107"/>
      <c r="L396" s="107"/>
      <c r="M396" s="107"/>
      <c r="N396" s="107"/>
      <c r="O396" s="107"/>
      <c r="P396" s="107"/>
      <c r="Q396" s="107"/>
      <c r="R396" s="107"/>
      <c r="S396" s="107"/>
      <c r="T396" s="107"/>
      <c r="U396" s="107"/>
      <c r="V396" s="107"/>
      <c r="W396" s="107"/>
      <c r="X396" s="107"/>
      <c r="Y396" s="107"/>
      <c r="Z396" s="107"/>
      <c r="AA396" s="107"/>
    </row>
    <row r="397">
      <c r="A397" s="110"/>
      <c r="B397" s="107"/>
      <c r="C397" s="107"/>
      <c r="D397" s="107"/>
      <c r="E397" s="107"/>
      <c r="F397" s="107"/>
      <c r="G397" s="107"/>
      <c r="H397" s="107"/>
      <c r="I397" s="107"/>
      <c r="J397" s="107"/>
      <c r="K397" s="107"/>
      <c r="L397" s="107"/>
      <c r="M397" s="107"/>
      <c r="N397" s="107"/>
      <c r="O397" s="107"/>
      <c r="P397" s="107"/>
      <c r="Q397" s="107"/>
      <c r="R397" s="107"/>
      <c r="S397" s="107"/>
      <c r="T397" s="107"/>
      <c r="U397" s="107"/>
      <c r="V397" s="107"/>
      <c r="W397" s="107"/>
      <c r="X397" s="107"/>
      <c r="Y397" s="107"/>
      <c r="Z397" s="107"/>
      <c r="AA397" s="107"/>
    </row>
    <row r="398">
      <c r="A398" s="110"/>
      <c r="B398" s="107"/>
      <c r="C398" s="107"/>
      <c r="D398" s="107"/>
      <c r="E398" s="107"/>
      <c r="F398" s="107"/>
      <c r="G398" s="107"/>
      <c r="H398" s="107"/>
      <c r="I398" s="107"/>
      <c r="J398" s="107"/>
      <c r="K398" s="107"/>
      <c r="L398" s="107"/>
      <c r="M398" s="107"/>
      <c r="N398" s="107"/>
      <c r="O398" s="107"/>
      <c r="P398" s="107"/>
      <c r="Q398" s="107"/>
      <c r="R398" s="107"/>
      <c r="S398" s="107"/>
      <c r="T398" s="107"/>
      <c r="U398" s="107"/>
      <c r="V398" s="107"/>
      <c r="W398" s="107"/>
      <c r="X398" s="107"/>
      <c r="Y398" s="107"/>
      <c r="Z398" s="107"/>
      <c r="AA398" s="107"/>
    </row>
    <row r="399">
      <c r="A399" s="110"/>
      <c r="B399" s="107"/>
      <c r="C399" s="107"/>
      <c r="D399" s="107"/>
      <c r="E399" s="107"/>
      <c r="F399" s="107"/>
      <c r="G399" s="107"/>
      <c r="H399" s="107"/>
      <c r="I399" s="107"/>
      <c r="J399" s="107"/>
      <c r="K399" s="107"/>
      <c r="L399" s="107"/>
      <c r="M399" s="107"/>
      <c r="N399" s="107"/>
      <c r="O399" s="107"/>
      <c r="P399" s="107"/>
      <c r="Q399" s="107"/>
      <c r="R399" s="107"/>
      <c r="S399" s="107"/>
      <c r="T399" s="107"/>
      <c r="U399" s="107"/>
      <c r="V399" s="107"/>
      <c r="W399" s="107"/>
      <c r="X399" s="107"/>
      <c r="Y399" s="107"/>
      <c r="Z399" s="107"/>
      <c r="AA399" s="107"/>
    </row>
    <row r="400">
      <c r="A400" s="110"/>
      <c r="B400" s="107"/>
      <c r="C400" s="107"/>
      <c r="D400" s="107"/>
      <c r="E400" s="107"/>
      <c r="F400" s="107"/>
      <c r="G400" s="107"/>
      <c r="H400" s="107"/>
      <c r="I400" s="107"/>
      <c r="J400" s="107"/>
      <c r="K400" s="107"/>
      <c r="L400" s="107"/>
      <c r="M400" s="107"/>
      <c r="N400" s="107"/>
      <c r="O400" s="107"/>
      <c r="P400" s="107"/>
      <c r="Q400" s="107"/>
      <c r="R400" s="107"/>
      <c r="S400" s="107"/>
      <c r="T400" s="107"/>
      <c r="U400" s="107"/>
      <c r="V400" s="107"/>
      <c r="W400" s="107"/>
      <c r="X400" s="107"/>
      <c r="Y400" s="107"/>
      <c r="Z400" s="107"/>
      <c r="AA400" s="107"/>
    </row>
    <row r="401">
      <c r="A401" s="110"/>
      <c r="B401" s="107"/>
      <c r="C401" s="107"/>
      <c r="D401" s="107"/>
      <c r="E401" s="107"/>
      <c r="F401" s="107"/>
      <c r="G401" s="107"/>
      <c r="H401" s="107"/>
      <c r="I401" s="107"/>
      <c r="J401" s="107"/>
      <c r="K401" s="107"/>
      <c r="L401" s="107"/>
      <c r="M401" s="107"/>
      <c r="N401" s="107"/>
      <c r="O401" s="107"/>
      <c r="P401" s="107"/>
      <c r="Q401" s="107"/>
      <c r="R401" s="107"/>
      <c r="S401" s="107"/>
      <c r="T401" s="107"/>
      <c r="U401" s="107"/>
      <c r="V401" s="107"/>
      <c r="W401" s="107"/>
      <c r="X401" s="107"/>
      <c r="Y401" s="107"/>
      <c r="Z401" s="107"/>
      <c r="AA401" s="107"/>
    </row>
    <row r="402">
      <c r="A402" s="110"/>
      <c r="B402" s="107"/>
      <c r="C402" s="107"/>
      <c r="D402" s="107"/>
      <c r="E402" s="107"/>
      <c r="F402" s="107"/>
      <c r="G402" s="107"/>
      <c r="H402" s="107"/>
      <c r="I402" s="107"/>
      <c r="J402" s="107"/>
      <c r="K402" s="107"/>
      <c r="L402" s="107"/>
      <c r="M402" s="107"/>
      <c r="N402" s="107"/>
      <c r="O402" s="107"/>
      <c r="P402" s="107"/>
      <c r="Q402" s="107"/>
      <c r="R402" s="107"/>
      <c r="S402" s="107"/>
      <c r="T402" s="107"/>
      <c r="U402" s="107"/>
      <c r="V402" s="107"/>
      <c r="W402" s="107"/>
      <c r="X402" s="107"/>
      <c r="Y402" s="107"/>
      <c r="Z402" s="107"/>
      <c r="AA402" s="107"/>
    </row>
    <row r="403">
      <c r="A403" s="110"/>
      <c r="B403" s="107"/>
      <c r="C403" s="107"/>
      <c r="D403" s="107"/>
      <c r="E403" s="107"/>
      <c r="F403" s="107"/>
      <c r="G403" s="107"/>
      <c r="H403" s="107"/>
      <c r="I403" s="107"/>
      <c r="J403" s="107"/>
      <c r="K403" s="107"/>
      <c r="L403" s="107"/>
      <c r="M403" s="107"/>
      <c r="N403" s="107"/>
      <c r="O403" s="107"/>
      <c r="P403" s="107"/>
      <c r="Q403" s="107"/>
      <c r="R403" s="107"/>
      <c r="S403" s="107"/>
      <c r="T403" s="107"/>
      <c r="U403" s="107"/>
      <c r="V403" s="107"/>
      <c r="W403" s="107"/>
      <c r="X403" s="107"/>
      <c r="Y403" s="107"/>
      <c r="Z403" s="107"/>
      <c r="AA403" s="107"/>
    </row>
    <row r="404">
      <c r="A404" s="110"/>
      <c r="B404" s="107"/>
      <c r="C404" s="107"/>
      <c r="D404" s="107"/>
      <c r="E404" s="107"/>
      <c r="F404" s="107"/>
      <c r="G404" s="107"/>
      <c r="H404" s="107"/>
      <c r="I404" s="107"/>
      <c r="J404" s="107"/>
      <c r="K404" s="107"/>
      <c r="L404" s="107"/>
      <c r="M404" s="107"/>
      <c r="N404" s="107"/>
      <c r="O404" s="107"/>
      <c r="P404" s="107"/>
      <c r="Q404" s="107"/>
      <c r="R404" s="107"/>
      <c r="S404" s="107"/>
      <c r="T404" s="107"/>
      <c r="U404" s="107"/>
      <c r="V404" s="107"/>
      <c r="W404" s="107"/>
      <c r="X404" s="107"/>
      <c r="Y404" s="107"/>
      <c r="Z404" s="107"/>
      <c r="AA404" s="107"/>
    </row>
    <row r="405">
      <c r="A405" s="110"/>
      <c r="B405" s="107"/>
      <c r="C405" s="107"/>
      <c r="D405" s="107"/>
      <c r="E405" s="107"/>
      <c r="F405" s="107"/>
      <c r="G405" s="107"/>
      <c r="H405" s="107"/>
      <c r="I405" s="107"/>
      <c r="J405" s="107"/>
      <c r="K405" s="107"/>
      <c r="L405" s="107"/>
      <c r="M405" s="107"/>
      <c r="N405" s="107"/>
      <c r="O405" s="107"/>
      <c r="P405" s="107"/>
      <c r="Q405" s="107"/>
      <c r="R405" s="107"/>
      <c r="S405" s="107"/>
      <c r="T405" s="107"/>
      <c r="U405" s="107"/>
      <c r="V405" s="107"/>
      <c r="W405" s="107"/>
      <c r="X405" s="107"/>
      <c r="Y405" s="107"/>
      <c r="Z405" s="107"/>
      <c r="AA405" s="107"/>
    </row>
    <row r="406">
      <c r="A406" s="110"/>
      <c r="B406" s="107"/>
      <c r="C406" s="107"/>
      <c r="D406" s="107"/>
      <c r="E406" s="107"/>
      <c r="F406" s="107"/>
      <c r="G406" s="107"/>
      <c r="H406" s="107"/>
      <c r="I406" s="107"/>
      <c r="J406" s="107"/>
      <c r="K406" s="107"/>
      <c r="L406" s="107"/>
      <c r="M406" s="107"/>
      <c r="N406" s="107"/>
      <c r="O406" s="107"/>
      <c r="P406" s="107"/>
      <c r="Q406" s="107"/>
      <c r="R406" s="107"/>
      <c r="S406" s="107"/>
      <c r="T406" s="107"/>
      <c r="U406" s="107"/>
      <c r="V406" s="107"/>
      <c r="W406" s="107"/>
      <c r="X406" s="107"/>
      <c r="Y406" s="107"/>
      <c r="Z406" s="107"/>
      <c r="AA406" s="107"/>
    </row>
    <row r="407">
      <c r="A407" s="110"/>
      <c r="B407" s="107"/>
      <c r="C407" s="107"/>
      <c r="D407" s="107"/>
      <c r="E407" s="107"/>
      <c r="F407" s="107"/>
      <c r="G407" s="107"/>
      <c r="H407" s="107"/>
      <c r="I407" s="107"/>
      <c r="J407" s="107"/>
      <c r="K407" s="107"/>
      <c r="L407" s="107"/>
      <c r="M407" s="107"/>
      <c r="N407" s="107"/>
      <c r="O407" s="107"/>
      <c r="P407" s="107"/>
      <c r="Q407" s="107"/>
      <c r="R407" s="107"/>
      <c r="S407" s="107"/>
      <c r="T407" s="107"/>
      <c r="U407" s="107"/>
      <c r="V407" s="107"/>
      <c r="W407" s="107"/>
      <c r="X407" s="107"/>
      <c r="Y407" s="107"/>
      <c r="Z407" s="107"/>
      <c r="AA407" s="107"/>
    </row>
    <row r="408">
      <c r="A408" s="110"/>
      <c r="B408" s="107"/>
      <c r="C408" s="107"/>
      <c r="D408" s="107"/>
      <c r="E408" s="107"/>
      <c r="F408" s="107"/>
      <c r="G408" s="107"/>
      <c r="H408" s="107"/>
      <c r="I408" s="107"/>
      <c r="J408" s="107"/>
      <c r="K408" s="107"/>
      <c r="L408" s="107"/>
      <c r="M408" s="107"/>
      <c r="N408" s="107"/>
      <c r="O408" s="107"/>
      <c r="P408" s="107"/>
      <c r="Q408" s="107"/>
      <c r="R408" s="107"/>
      <c r="S408" s="107"/>
      <c r="T408" s="107"/>
      <c r="U408" s="107"/>
      <c r="V408" s="107"/>
      <c r="W408" s="107"/>
      <c r="X408" s="107"/>
      <c r="Y408" s="107"/>
      <c r="Z408" s="107"/>
      <c r="AA408" s="107"/>
    </row>
    <row r="409">
      <c r="A409" s="110"/>
      <c r="B409" s="107"/>
      <c r="C409" s="107"/>
      <c r="D409" s="107"/>
      <c r="E409" s="107"/>
      <c r="F409" s="107"/>
      <c r="G409" s="107"/>
      <c r="H409" s="107"/>
      <c r="I409" s="107"/>
      <c r="J409" s="107"/>
      <c r="K409" s="107"/>
      <c r="L409" s="107"/>
      <c r="M409" s="107"/>
      <c r="N409" s="107"/>
      <c r="O409" s="107"/>
      <c r="P409" s="107"/>
      <c r="Q409" s="107"/>
      <c r="R409" s="107"/>
      <c r="S409" s="107"/>
      <c r="T409" s="107"/>
      <c r="U409" s="107"/>
      <c r="V409" s="107"/>
      <c r="W409" s="107"/>
      <c r="X409" s="107"/>
      <c r="Y409" s="107"/>
      <c r="Z409" s="107"/>
      <c r="AA409" s="107"/>
    </row>
    <row r="410">
      <c r="A410" s="110"/>
      <c r="B410" s="107"/>
      <c r="C410" s="107"/>
      <c r="D410" s="107"/>
      <c r="E410" s="107"/>
      <c r="F410" s="107"/>
      <c r="G410" s="107"/>
      <c r="H410" s="107"/>
      <c r="I410" s="107"/>
      <c r="J410" s="107"/>
      <c r="K410" s="107"/>
      <c r="L410" s="107"/>
      <c r="M410" s="107"/>
      <c r="N410" s="107"/>
      <c r="O410" s="107"/>
      <c r="P410" s="107"/>
      <c r="Q410" s="107"/>
      <c r="R410" s="107"/>
      <c r="S410" s="107"/>
      <c r="T410" s="107"/>
      <c r="U410" s="107"/>
      <c r="V410" s="107"/>
      <c r="W410" s="107"/>
      <c r="X410" s="107"/>
      <c r="Y410" s="107"/>
      <c r="Z410" s="107"/>
      <c r="AA410" s="107"/>
    </row>
    <row r="411">
      <c r="A411" s="110"/>
      <c r="B411" s="107"/>
      <c r="C411" s="107"/>
      <c r="D411" s="107"/>
      <c r="E411" s="107"/>
      <c r="F411" s="107"/>
      <c r="G411" s="107"/>
      <c r="H411" s="107"/>
      <c r="I411" s="107"/>
      <c r="J411" s="107"/>
      <c r="K411" s="107"/>
      <c r="L411" s="107"/>
      <c r="M411" s="107"/>
      <c r="N411" s="107"/>
      <c r="O411" s="107"/>
      <c r="P411" s="107"/>
      <c r="Q411" s="107"/>
      <c r="R411" s="107"/>
      <c r="S411" s="107"/>
      <c r="T411" s="107"/>
      <c r="U411" s="107"/>
      <c r="V411" s="107"/>
      <c r="W411" s="107"/>
      <c r="X411" s="107"/>
      <c r="Y411" s="107"/>
      <c r="Z411" s="107"/>
      <c r="AA411" s="107"/>
    </row>
    <row r="412">
      <c r="A412" s="110"/>
      <c r="B412" s="107"/>
      <c r="C412" s="107"/>
      <c r="D412" s="107"/>
      <c r="E412" s="107"/>
      <c r="F412" s="107"/>
      <c r="G412" s="107"/>
      <c r="H412" s="107"/>
      <c r="I412" s="107"/>
      <c r="J412" s="107"/>
      <c r="K412" s="107"/>
      <c r="L412" s="107"/>
      <c r="M412" s="107"/>
      <c r="N412" s="107"/>
      <c r="O412" s="107"/>
      <c r="P412" s="107"/>
      <c r="Q412" s="107"/>
      <c r="R412" s="107"/>
      <c r="S412" s="107"/>
      <c r="T412" s="107"/>
      <c r="U412" s="107"/>
      <c r="V412" s="107"/>
      <c r="W412" s="107"/>
      <c r="X412" s="107"/>
      <c r="Y412" s="107"/>
      <c r="Z412" s="107"/>
      <c r="AA412" s="107"/>
    </row>
    <row r="413">
      <c r="A413" s="110"/>
      <c r="B413" s="107"/>
      <c r="C413" s="107"/>
      <c r="D413" s="107"/>
      <c r="E413" s="107"/>
      <c r="F413" s="107"/>
      <c r="G413" s="107"/>
      <c r="H413" s="107"/>
      <c r="I413" s="107"/>
      <c r="J413" s="107"/>
      <c r="K413" s="107"/>
      <c r="L413" s="107"/>
      <c r="M413" s="107"/>
      <c r="N413" s="107"/>
      <c r="O413" s="107"/>
      <c r="P413" s="107"/>
      <c r="Q413" s="107"/>
      <c r="R413" s="107"/>
      <c r="S413" s="107"/>
      <c r="T413" s="107"/>
      <c r="U413" s="107"/>
      <c r="V413" s="107"/>
      <c r="W413" s="107"/>
      <c r="X413" s="107"/>
      <c r="Y413" s="107"/>
      <c r="Z413" s="107"/>
      <c r="AA413" s="107"/>
    </row>
    <row r="414">
      <c r="A414" s="110"/>
      <c r="B414" s="107"/>
      <c r="C414" s="107"/>
      <c r="D414" s="107"/>
      <c r="E414" s="107"/>
      <c r="F414" s="107"/>
      <c r="G414" s="107"/>
      <c r="H414" s="107"/>
      <c r="I414" s="107"/>
      <c r="J414" s="107"/>
      <c r="K414" s="107"/>
      <c r="L414" s="107"/>
      <c r="M414" s="107"/>
      <c r="N414" s="107"/>
      <c r="O414" s="107"/>
      <c r="P414" s="107"/>
      <c r="Q414" s="107"/>
      <c r="R414" s="107"/>
      <c r="S414" s="107"/>
      <c r="T414" s="107"/>
      <c r="U414" s="107"/>
      <c r="V414" s="107"/>
      <c r="W414" s="107"/>
      <c r="X414" s="107"/>
      <c r="Y414" s="107"/>
      <c r="Z414" s="107"/>
      <c r="AA414" s="107"/>
    </row>
    <row r="415">
      <c r="A415" s="110"/>
      <c r="B415" s="107"/>
      <c r="C415" s="107"/>
      <c r="D415" s="107"/>
      <c r="E415" s="107"/>
      <c r="F415" s="107"/>
      <c r="G415" s="107"/>
      <c r="H415" s="107"/>
      <c r="I415" s="107"/>
      <c r="J415" s="107"/>
      <c r="K415" s="107"/>
      <c r="L415" s="107"/>
      <c r="M415" s="107"/>
      <c r="N415" s="107"/>
      <c r="O415" s="107"/>
      <c r="P415" s="107"/>
      <c r="Q415" s="107"/>
      <c r="R415" s="107"/>
      <c r="S415" s="107"/>
      <c r="T415" s="107"/>
      <c r="U415" s="107"/>
      <c r="V415" s="107"/>
      <c r="W415" s="107"/>
      <c r="X415" s="107"/>
      <c r="Y415" s="107"/>
      <c r="Z415" s="107"/>
      <c r="AA415" s="107"/>
    </row>
    <row r="416">
      <c r="A416" s="110"/>
      <c r="B416" s="107"/>
      <c r="C416" s="107"/>
      <c r="D416" s="107"/>
      <c r="E416" s="107"/>
      <c r="F416" s="107"/>
      <c r="G416" s="107"/>
      <c r="H416" s="107"/>
      <c r="I416" s="107"/>
      <c r="J416" s="107"/>
      <c r="K416" s="107"/>
      <c r="L416" s="107"/>
      <c r="M416" s="107"/>
      <c r="N416" s="107"/>
      <c r="O416" s="107"/>
      <c r="P416" s="107"/>
      <c r="Q416" s="107"/>
      <c r="R416" s="107"/>
      <c r="S416" s="107"/>
      <c r="T416" s="107"/>
      <c r="U416" s="107"/>
      <c r="V416" s="107"/>
      <c r="W416" s="107"/>
      <c r="X416" s="107"/>
      <c r="Y416" s="107"/>
      <c r="Z416" s="107"/>
      <c r="AA416" s="107"/>
    </row>
    <row r="417">
      <c r="A417" s="110"/>
      <c r="B417" s="107"/>
      <c r="C417" s="107"/>
      <c r="D417" s="107"/>
      <c r="E417" s="107"/>
      <c r="F417" s="107"/>
      <c r="G417" s="107"/>
      <c r="H417" s="107"/>
      <c r="I417" s="107"/>
      <c r="J417" s="107"/>
      <c r="K417" s="107"/>
      <c r="L417" s="107"/>
      <c r="M417" s="107"/>
      <c r="N417" s="107"/>
      <c r="O417" s="107"/>
      <c r="P417" s="107"/>
      <c r="Q417" s="107"/>
      <c r="R417" s="107"/>
      <c r="S417" s="107"/>
      <c r="T417" s="107"/>
      <c r="U417" s="107"/>
      <c r="V417" s="107"/>
      <c r="W417" s="107"/>
      <c r="X417" s="107"/>
      <c r="Y417" s="107"/>
      <c r="Z417" s="107"/>
      <c r="AA417" s="107"/>
    </row>
    <row r="418">
      <c r="A418" s="110"/>
      <c r="B418" s="107"/>
      <c r="C418" s="107"/>
      <c r="D418" s="107"/>
      <c r="E418" s="107"/>
      <c r="F418" s="107"/>
      <c r="G418" s="107"/>
      <c r="H418" s="107"/>
      <c r="I418" s="107"/>
      <c r="J418" s="107"/>
      <c r="K418" s="107"/>
      <c r="L418" s="107"/>
      <c r="M418" s="107"/>
      <c r="N418" s="107"/>
      <c r="O418" s="107"/>
      <c r="P418" s="107"/>
      <c r="Q418" s="107"/>
      <c r="R418" s="107"/>
      <c r="S418" s="107"/>
      <c r="T418" s="107"/>
      <c r="U418" s="107"/>
      <c r="V418" s="107"/>
      <c r="W418" s="107"/>
      <c r="X418" s="107"/>
      <c r="Y418" s="107"/>
      <c r="Z418" s="107"/>
      <c r="AA418" s="107"/>
    </row>
    <row r="419">
      <c r="A419" s="110"/>
      <c r="B419" s="107"/>
      <c r="C419" s="107"/>
      <c r="D419" s="107"/>
      <c r="E419" s="107"/>
      <c r="F419" s="107"/>
      <c r="G419" s="107"/>
      <c r="H419" s="107"/>
      <c r="I419" s="107"/>
      <c r="J419" s="107"/>
      <c r="K419" s="107"/>
      <c r="L419" s="107"/>
      <c r="M419" s="107"/>
      <c r="N419" s="107"/>
      <c r="O419" s="107"/>
      <c r="P419" s="107"/>
      <c r="Q419" s="107"/>
      <c r="R419" s="107"/>
      <c r="S419" s="107"/>
      <c r="T419" s="107"/>
      <c r="U419" s="107"/>
      <c r="V419" s="107"/>
      <c r="W419" s="107"/>
      <c r="X419" s="107"/>
      <c r="Y419" s="107"/>
      <c r="Z419" s="107"/>
      <c r="AA419" s="107"/>
    </row>
    <row r="420">
      <c r="A420" s="110"/>
      <c r="B420" s="107"/>
      <c r="C420" s="107"/>
      <c r="D420" s="107"/>
      <c r="E420" s="107"/>
      <c r="F420" s="107"/>
      <c r="G420" s="107"/>
      <c r="H420" s="107"/>
      <c r="I420" s="107"/>
      <c r="J420" s="107"/>
      <c r="K420" s="107"/>
      <c r="L420" s="107"/>
      <c r="M420" s="107"/>
      <c r="N420" s="107"/>
      <c r="O420" s="107"/>
      <c r="P420" s="107"/>
      <c r="Q420" s="107"/>
      <c r="R420" s="107"/>
      <c r="S420" s="107"/>
      <c r="T420" s="107"/>
      <c r="U420" s="107"/>
      <c r="V420" s="107"/>
      <c r="W420" s="107"/>
      <c r="X420" s="107"/>
      <c r="Y420" s="107"/>
      <c r="Z420" s="107"/>
      <c r="AA420" s="107"/>
    </row>
    <row r="421">
      <c r="A421" s="110"/>
      <c r="B421" s="107"/>
      <c r="C421" s="107"/>
      <c r="D421" s="107"/>
      <c r="E421" s="107"/>
      <c r="F421" s="107"/>
      <c r="G421" s="107"/>
      <c r="H421" s="107"/>
      <c r="I421" s="107"/>
      <c r="J421" s="107"/>
      <c r="K421" s="107"/>
      <c r="L421" s="107"/>
      <c r="M421" s="107"/>
      <c r="N421" s="107"/>
      <c r="O421" s="107"/>
      <c r="P421" s="107"/>
      <c r="Q421" s="107"/>
      <c r="R421" s="107"/>
      <c r="S421" s="107"/>
      <c r="T421" s="107"/>
      <c r="U421" s="107"/>
      <c r="V421" s="107"/>
      <c r="W421" s="107"/>
      <c r="X421" s="107"/>
      <c r="Y421" s="107"/>
      <c r="Z421" s="107"/>
      <c r="AA421" s="107"/>
    </row>
    <row r="422">
      <c r="A422" s="110"/>
      <c r="B422" s="107"/>
      <c r="C422" s="107"/>
      <c r="D422" s="107"/>
      <c r="E422" s="107"/>
      <c r="F422" s="107"/>
      <c r="G422" s="107"/>
      <c r="H422" s="107"/>
      <c r="I422" s="107"/>
      <c r="J422" s="107"/>
      <c r="K422" s="107"/>
      <c r="L422" s="107"/>
      <c r="M422" s="107"/>
      <c r="N422" s="107"/>
      <c r="O422" s="107"/>
      <c r="P422" s="107"/>
      <c r="Q422" s="107"/>
      <c r="R422" s="107"/>
      <c r="S422" s="107"/>
      <c r="T422" s="107"/>
      <c r="U422" s="107"/>
      <c r="V422" s="107"/>
      <c r="W422" s="107"/>
      <c r="X422" s="107"/>
      <c r="Y422" s="107"/>
      <c r="Z422" s="107"/>
      <c r="AA422" s="107"/>
    </row>
    <row r="423">
      <c r="A423" s="110"/>
      <c r="B423" s="107"/>
      <c r="C423" s="107"/>
      <c r="D423" s="107"/>
      <c r="E423" s="107"/>
      <c r="F423" s="107"/>
      <c r="G423" s="107"/>
      <c r="H423" s="107"/>
      <c r="I423" s="107"/>
      <c r="J423" s="107"/>
      <c r="K423" s="107"/>
      <c r="L423" s="107"/>
      <c r="M423" s="107"/>
      <c r="N423" s="107"/>
      <c r="O423" s="107"/>
      <c r="P423" s="107"/>
      <c r="Q423" s="107"/>
      <c r="R423" s="107"/>
      <c r="S423" s="107"/>
      <c r="T423" s="107"/>
      <c r="U423" s="107"/>
      <c r="V423" s="107"/>
      <c r="W423" s="107"/>
      <c r="X423" s="107"/>
      <c r="Y423" s="107"/>
      <c r="Z423" s="107"/>
      <c r="AA423" s="107"/>
    </row>
    <row r="424">
      <c r="A424" s="110"/>
      <c r="B424" s="107"/>
      <c r="C424" s="107"/>
      <c r="D424" s="107"/>
      <c r="E424" s="107"/>
      <c r="F424" s="107"/>
      <c r="G424" s="107"/>
      <c r="H424" s="107"/>
      <c r="I424" s="107"/>
      <c r="J424" s="107"/>
      <c r="K424" s="107"/>
      <c r="L424" s="107"/>
      <c r="M424" s="107"/>
      <c r="N424" s="107"/>
      <c r="O424" s="107"/>
      <c r="P424" s="107"/>
      <c r="Q424" s="107"/>
      <c r="R424" s="107"/>
      <c r="S424" s="107"/>
      <c r="T424" s="107"/>
      <c r="U424" s="107"/>
      <c r="V424" s="107"/>
      <c r="W424" s="107"/>
      <c r="X424" s="107"/>
      <c r="Y424" s="107"/>
      <c r="Z424" s="107"/>
      <c r="AA424" s="107"/>
    </row>
    <row r="425">
      <c r="A425" s="110"/>
      <c r="B425" s="107"/>
      <c r="C425" s="107"/>
      <c r="D425" s="107"/>
      <c r="E425" s="107"/>
      <c r="F425" s="107"/>
      <c r="G425" s="107"/>
      <c r="H425" s="107"/>
      <c r="I425" s="107"/>
      <c r="J425" s="107"/>
      <c r="K425" s="107"/>
      <c r="L425" s="107"/>
      <c r="M425" s="107"/>
      <c r="N425" s="107"/>
      <c r="O425" s="107"/>
      <c r="P425" s="107"/>
      <c r="Q425" s="107"/>
      <c r="R425" s="107"/>
      <c r="S425" s="107"/>
      <c r="T425" s="107"/>
      <c r="U425" s="107"/>
      <c r="V425" s="107"/>
      <c r="W425" s="107"/>
      <c r="X425" s="107"/>
      <c r="Y425" s="107"/>
      <c r="Z425" s="107"/>
      <c r="AA425" s="107"/>
    </row>
    <row r="426">
      <c r="A426" s="110"/>
      <c r="B426" s="107"/>
      <c r="C426" s="107"/>
      <c r="D426" s="107"/>
      <c r="E426" s="107"/>
      <c r="F426" s="107"/>
      <c r="G426" s="107"/>
      <c r="H426" s="107"/>
      <c r="I426" s="107"/>
      <c r="J426" s="107"/>
      <c r="K426" s="107"/>
      <c r="L426" s="107"/>
      <c r="M426" s="107"/>
      <c r="N426" s="107"/>
      <c r="O426" s="107"/>
      <c r="P426" s="107"/>
      <c r="Q426" s="107"/>
      <c r="R426" s="107"/>
      <c r="S426" s="107"/>
      <c r="T426" s="107"/>
      <c r="U426" s="107"/>
      <c r="V426" s="107"/>
      <c r="W426" s="107"/>
      <c r="X426" s="107"/>
      <c r="Y426" s="107"/>
      <c r="Z426" s="107"/>
      <c r="AA426" s="107"/>
    </row>
    <row r="427">
      <c r="A427" s="110"/>
      <c r="B427" s="107"/>
      <c r="C427" s="107"/>
      <c r="D427" s="107"/>
      <c r="E427" s="107"/>
      <c r="F427" s="107"/>
      <c r="G427" s="107"/>
      <c r="H427" s="107"/>
      <c r="I427" s="107"/>
      <c r="J427" s="107"/>
      <c r="K427" s="107"/>
      <c r="L427" s="107"/>
      <c r="M427" s="107"/>
      <c r="N427" s="107"/>
      <c r="O427" s="107"/>
      <c r="P427" s="107"/>
      <c r="Q427" s="107"/>
      <c r="R427" s="107"/>
      <c r="S427" s="107"/>
      <c r="T427" s="107"/>
      <c r="U427" s="107"/>
      <c r="V427" s="107"/>
      <c r="W427" s="107"/>
      <c r="X427" s="107"/>
      <c r="Y427" s="107"/>
      <c r="Z427" s="107"/>
      <c r="AA427" s="107"/>
    </row>
    <row r="428">
      <c r="A428" s="110"/>
      <c r="B428" s="107"/>
      <c r="C428" s="107"/>
      <c r="D428" s="107"/>
      <c r="E428" s="107"/>
      <c r="F428" s="107"/>
      <c r="G428" s="107"/>
      <c r="H428" s="107"/>
      <c r="I428" s="107"/>
      <c r="J428" s="107"/>
      <c r="K428" s="107"/>
      <c r="L428" s="107"/>
      <c r="M428" s="107"/>
      <c r="N428" s="107"/>
      <c r="O428" s="107"/>
      <c r="P428" s="107"/>
      <c r="Q428" s="107"/>
      <c r="R428" s="107"/>
      <c r="S428" s="107"/>
      <c r="T428" s="107"/>
      <c r="U428" s="107"/>
      <c r="V428" s="107"/>
      <c r="W428" s="107"/>
      <c r="X428" s="107"/>
      <c r="Y428" s="107"/>
      <c r="Z428" s="107"/>
      <c r="AA428" s="107"/>
    </row>
    <row r="429">
      <c r="A429" s="110"/>
      <c r="B429" s="107"/>
      <c r="C429" s="107"/>
      <c r="D429" s="107"/>
      <c r="E429" s="107"/>
      <c r="F429" s="107"/>
      <c r="G429" s="107"/>
      <c r="H429" s="107"/>
      <c r="I429" s="107"/>
      <c r="J429" s="107"/>
      <c r="K429" s="107"/>
      <c r="L429" s="107"/>
      <c r="M429" s="107"/>
      <c r="N429" s="107"/>
      <c r="O429" s="107"/>
      <c r="P429" s="107"/>
      <c r="Q429" s="107"/>
      <c r="R429" s="107"/>
      <c r="S429" s="107"/>
      <c r="T429" s="107"/>
      <c r="U429" s="107"/>
      <c r="V429" s="107"/>
      <c r="W429" s="107"/>
      <c r="X429" s="107"/>
      <c r="Y429" s="107"/>
      <c r="Z429" s="107"/>
      <c r="AA429" s="107"/>
    </row>
    <row r="430">
      <c r="A430" s="110"/>
      <c r="B430" s="107"/>
      <c r="C430" s="107"/>
      <c r="D430" s="107"/>
      <c r="E430" s="107"/>
      <c r="F430" s="107"/>
      <c r="G430" s="107"/>
      <c r="H430" s="107"/>
      <c r="I430" s="107"/>
      <c r="J430" s="107"/>
      <c r="K430" s="107"/>
      <c r="L430" s="107"/>
      <c r="M430" s="107"/>
      <c r="N430" s="107"/>
      <c r="O430" s="107"/>
      <c r="P430" s="107"/>
      <c r="Q430" s="107"/>
      <c r="R430" s="107"/>
      <c r="S430" s="107"/>
      <c r="T430" s="107"/>
      <c r="U430" s="107"/>
      <c r="V430" s="107"/>
      <c r="W430" s="107"/>
      <c r="X430" s="107"/>
      <c r="Y430" s="107"/>
      <c r="Z430" s="107"/>
      <c r="AA430" s="107"/>
    </row>
    <row r="431">
      <c r="A431" s="110"/>
      <c r="B431" s="107"/>
      <c r="C431" s="107"/>
      <c r="D431" s="107"/>
      <c r="E431" s="107"/>
      <c r="F431" s="107"/>
      <c r="G431" s="107"/>
      <c r="H431" s="107"/>
      <c r="I431" s="107"/>
      <c r="J431" s="107"/>
      <c r="K431" s="107"/>
      <c r="L431" s="107"/>
      <c r="M431" s="107"/>
      <c r="N431" s="107"/>
      <c r="O431" s="107"/>
      <c r="P431" s="107"/>
      <c r="Q431" s="107"/>
      <c r="R431" s="107"/>
      <c r="S431" s="107"/>
      <c r="T431" s="107"/>
      <c r="U431" s="107"/>
      <c r="V431" s="107"/>
      <c r="W431" s="107"/>
      <c r="X431" s="107"/>
      <c r="Y431" s="107"/>
      <c r="Z431" s="107"/>
      <c r="AA431" s="107"/>
    </row>
    <row r="432">
      <c r="A432" s="110"/>
      <c r="B432" s="107"/>
      <c r="C432" s="107"/>
      <c r="D432" s="107"/>
      <c r="E432" s="107"/>
      <c r="F432" s="107"/>
      <c r="G432" s="107"/>
      <c r="H432" s="107"/>
      <c r="I432" s="107"/>
      <c r="J432" s="107"/>
      <c r="K432" s="107"/>
      <c r="L432" s="107"/>
      <c r="M432" s="107"/>
      <c r="N432" s="107"/>
      <c r="O432" s="107"/>
      <c r="P432" s="107"/>
      <c r="Q432" s="107"/>
      <c r="R432" s="107"/>
      <c r="S432" s="107"/>
      <c r="T432" s="107"/>
      <c r="U432" s="107"/>
      <c r="V432" s="107"/>
      <c r="W432" s="107"/>
      <c r="X432" s="107"/>
      <c r="Y432" s="107"/>
      <c r="Z432" s="107"/>
      <c r="AA432" s="107"/>
    </row>
    <row r="433">
      <c r="A433" s="110"/>
      <c r="B433" s="107"/>
      <c r="C433" s="107"/>
      <c r="D433" s="107"/>
      <c r="E433" s="107"/>
      <c r="F433" s="107"/>
      <c r="G433" s="107"/>
      <c r="H433" s="107"/>
      <c r="I433" s="107"/>
      <c r="J433" s="107"/>
      <c r="K433" s="107"/>
      <c r="L433" s="107"/>
      <c r="M433" s="107"/>
      <c r="N433" s="107"/>
      <c r="O433" s="107"/>
      <c r="P433" s="107"/>
      <c r="Q433" s="107"/>
      <c r="R433" s="107"/>
      <c r="S433" s="107"/>
      <c r="T433" s="107"/>
      <c r="U433" s="107"/>
      <c r="V433" s="107"/>
      <c r="W433" s="107"/>
      <c r="X433" s="107"/>
      <c r="Y433" s="107"/>
      <c r="Z433" s="107"/>
      <c r="AA433" s="107"/>
    </row>
    <row r="434">
      <c r="A434" s="110"/>
      <c r="B434" s="107"/>
      <c r="C434" s="107"/>
      <c r="D434" s="107"/>
      <c r="E434" s="107"/>
      <c r="F434" s="107"/>
      <c r="G434" s="107"/>
      <c r="H434" s="107"/>
      <c r="I434" s="107"/>
      <c r="J434" s="107"/>
      <c r="K434" s="107"/>
      <c r="L434" s="107"/>
      <c r="M434" s="107"/>
      <c r="N434" s="107"/>
      <c r="O434" s="107"/>
      <c r="P434" s="107"/>
      <c r="Q434" s="107"/>
      <c r="R434" s="107"/>
      <c r="S434" s="107"/>
      <c r="T434" s="107"/>
      <c r="U434" s="107"/>
      <c r="V434" s="107"/>
      <c r="W434" s="107"/>
      <c r="X434" s="107"/>
      <c r="Y434" s="107"/>
      <c r="Z434" s="107"/>
      <c r="AA434" s="107"/>
    </row>
    <row r="435">
      <c r="A435" s="110"/>
      <c r="B435" s="107"/>
      <c r="C435" s="107"/>
      <c r="D435" s="107"/>
      <c r="E435" s="107"/>
      <c r="F435" s="107"/>
      <c r="G435" s="107"/>
      <c r="H435" s="107"/>
      <c r="I435" s="107"/>
      <c r="J435" s="107"/>
      <c r="K435" s="107"/>
      <c r="L435" s="107"/>
      <c r="M435" s="107"/>
      <c r="N435" s="107"/>
      <c r="O435" s="107"/>
      <c r="P435" s="107"/>
      <c r="Q435" s="107"/>
      <c r="R435" s="107"/>
      <c r="S435" s="107"/>
      <c r="T435" s="107"/>
      <c r="U435" s="107"/>
      <c r="V435" s="107"/>
      <c r="W435" s="107"/>
      <c r="X435" s="107"/>
      <c r="Y435" s="107"/>
      <c r="Z435" s="107"/>
      <c r="AA435" s="107"/>
    </row>
    <row r="436">
      <c r="A436" s="110"/>
      <c r="B436" s="107"/>
      <c r="C436" s="107"/>
      <c r="D436" s="107"/>
      <c r="E436" s="107"/>
      <c r="F436" s="107"/>
      <c r="G436" s="107"/>
      <c r="H436" s="107"/>
      <c r="I436" s="107"/>
      <c r="J436" s="107"/>
      <c r="K436" s="107"/>
      <c r="L436" s="107"/>
      <c r="M436" s="107"/>
      <c r="N436" s="107"/>
      <c r="O436" s="107"/>
      <c r="P436" s="107"/>
      <c r="Q436" s="107"/>
      <c r="R436" s="107"/>
      <c r="S436" s="107"/>
      <c r="T436" s="107"/>
      <c r="U436" s="107"/>
      <c r="V436" s="107"/>
      <c r="W436" s="107"/>
      <c r="X436" s="107"/>
      <c r="Y436" s="107"/>
      <c r="Z436" s="107"/>
      <c r="AA436" s="107"/>
    </row>
    <row r="437">
      <c r="A437" s="110"/>
      <c r="B437" s="107"/>
      <c r="C437" s="107"/>
      <c r="D437" s="107"/>
      <c r="E437" s="107"/>
      <c r="F437" s="107"/>
      <c r="G437" s="107"/>
      <c r="H437" s="107"/>
      <c r="I437" s="107"/>
      <c r="J437" s="107"/>
      <c r="K437" s="107"/>
      <c r="L437" s="107"/>
      <c r="M437" s="107"/>
      <c r="N437" s="107"/>
      <c r="O437" s="107"/>
      <c r="P437" s="107"/>
      <c r="Q437" s="107"/>
      <c r="R437" s="107"/>
      <c r="S437" s="107"/>
      <c r="T437" s="107"/>
      <c r="U437" s="107"/>
      <c r="V437" s="107"/>
      <c r="W437" s="107"/>
      <c r="X437" s="107"/>
      <c r="Y437" s="107"/>
      <c r="Z437" s="107"/>
      <c r="AA437" s="107"/>
    </row>
    <row r="438">
      <c r="A438" s="110"/>
      <c r="B438" s="107"/>
      <c r="C438" s="107"/>
      <c r="D438" s="107"/>
      <c r="E438" s="107"/>
      <c r="F438" s="107"/>
      <c r="G438" s="107"/>
      <c r="H438" s="107"/>
      <c r="I438" s="107"/>
      <c r="J438" s="107"/>
      <c r="K438" s="107"/>
      <c r="L438" s="107"/>
      <c r="M438" s="107"/>
      <c r="N438" s="107"/>
      <c r="O438" s="107"/>
      <c r="P438" s="107"/>
      <c r="Q438" s="107"/>
      <c r="R438" s="107"/>
      <c r="S438" s="107"/>
      <c r="T438" s="107"/>
      <c r="U438" s="107"/>
      <c r="V438" s="107"/>
      <c r="W438" s="107"/>
      <c r="X438" s="107"/>
      <c r="Y438" s="107"/>
      <c r="Z438" s="107"/>
      <c r="AA438" s="107"/>
    </row>
    <row r="439">
      <c r="A439" s="110"/>
      <c r="B439" s="107"/>
      <c r="C439" s="107"/>
      <c r="D439" s="107"/>
      <c r="E439" s="107"/>
      <c r="F439" s="107"/>
      <c r="G439" s="107"/>
      <c r="H439" s="107"/>
      <c r="I439" s="107"/>
      <c r="J439" s="107"/>
      <c r="K439" s="107"/>
      <c r="L439" s="107"/>
      <c r="M439" s="107"/>
      <c r="N439" s="107"/>
      <c r="O439" s="107"/>
      <c r="P439" s="107"/>
      <c r="Q439" s="107"/>
      <c r="R439" s="107"/>
      <c r="S439" s="107"/>
      <c r="T439" s="107"/>
      <c r="U439" s="107"/>
      <c r="V439" s="107"/>
      <c r="W439" s="107"/>
      <c r="X439" s="107"/>
      <c r="Y439" s="107"/>
      <c r="Z439" s="107"/>
      <c r="AA439" s="107"/>
    </row>
    <row r="440">
      <c r="A440" s="110"/>
      <c r="B440" s="107"/>
      <c r="C440" s="107"/>
      <c r="D440" s="107"/>
      <c r="E440" s="107"/>
      <c r="F440" s="107"/>
      <c r="G440" s="107"/>
      <c r="H440" s="107"/>
      <c r="I440" s="107"/>
      <c r="J440" s="107"/>
      <c r="K440" s="107"/>
      <c r="L440" s="107"/>
      <c r="M440" s="107"/>
      <c r="N440" s="107"/>
      <c r="O440" s="107"/>
      <c r="P440" s="107"/>
      <c r="Q440" s="107"/>
      <c r="R440" s="107"/>
      <c r="S440" s="107"/>
      <c r="T440" s="107"/>
      <c r="U440" s="107"/>
      <c r="V440" s="107"/>
      <c r="W440" s="107"/>
      <c r="X440" s="107"/>
      <c r="Y440" s="107"/>
      <c r="Z440" s="107"/>
      <c r="AA440" s="107"/>
    </row>
    <row r="441">
      <c r="A441" s="110"/>
      <c r="B441" s="107"/>
      <c r="C441" s="107"/>
      <c r="D441" s="107"/>
      <c r="E441" s="107"/>
      <c r="F441" s="107"/>
      <c r="G441" s="107"/>
      <c r="H441" s="107"/>
      <c r="I441" s="107"/>
      <c r="J441" s="107"/>
      <c r="K441" s="107"/>
      <c r="L441" s="107"/>
      <c r="M441" s="107"/>
      <c r="N441" s="107"/>
      <c r="O441" s="107"/>
      <c r="P441" s="107"/>
      <c r="Q441" s="107"/>
      <c r="R441" s="107"/>
      <c r="S441" s="107"/>
      <c r="T441" s="107"/>
      <c r="U441" s="107"/>
      <c r="V441" s="107"/>
      <c r="W441" s="107"/>
      <c r="X441" s="107"/>
      <c r="Y441" s="107"/>
      <c r="Z441" s="107"/>
      <c r="AA441" s="107"/>
    </row>
    <row r="442">
      <c r="A442" s="110"/>
      <c r="B442" s="107"/>
      <c r="C442" s="107"/>
      <c r="D442" s="107"/>
      <c r="E442" s="107"/>
      <c r="F442" s="107"/>
      <c r="G442" s="107"/>
      <c r="H442" s="107"/>
      <c r="I442" s="107"/>
      <c r="J442" s="107"/>
      <c r="K442" s="107"/>
      <c r="L442" s="107"/>
      <c r="M442" s="107"/>
      <c r="N442" s="107"/>
      <c r="O442" s="107"/>
      <c r="P442" s="107"/>
      <c r="Q442" s="107"/>
      <c r="R442" s="107"/>
      <c r="S442" s="107"/>
      <c r="T442" s="107"/>
      <c r="U442" s="107"/>
      <c r="V442" s="107"/>
      <c r="W442" s="107"/>
      <c r="X442" s="107"/>
      <c r="Y442" s="107"/>
      <c r="Z442" s="107"/>
      <c r="AA442" s="107"/>
    </row>
    <row r="443">
      <c r="A443" s="110"/>
      <c r="B443" s="107"/>
      <c r="C443" s="107"/>
      <c r="D443" s="107"/>
      <c r="E443" s="107"/>
      <c r="F443" s="107"/>
      <c r="G443" s="107"/>
      <c r="H443" s="107"/>
      <c r="I443" s="107"/>
      <c r="J443" s="107"/>
      <c r="K443" s="107"/>
      <c r="L443" s="107"/>
      <c r="M443" s="107"/>
      <c r="N443" s="107"/>
      <c r="O443" s="107"/>
      <c r="P443" s="107"/>
      <c r="Q443" s="107"/>
      <c r="R443" s="107"/>
      <c r="S443" s="107"/>
      <c r="T443" s="107"/>
      <c r="U443" s="107"/>
      <c r="V443" s="107"/>
      <c r="W443" s="107"/>
      <c r="X443" s="107"/>
      <c r="Y443" s="107"/>
      <c r="Z443" s="107"/>
      <c r="AA443" s="107"/>
    </row>
    <row r="444">
      <c r="A444" s="110"/>
      <c r="B444" s="107"/>
      <c r="C444" s="107"/>
      <c r="D444" s="107"/>
      <c r="E444" s="107"/>
      <c r="F444" s="107"/>
      <c r="G444" s="107"/>
      <c r="H444" s="107"/>
      <c r="I444" s="107"/>
      <c r="J444" s="107"/>
      <c r="K444" s="107"/>
      <c r="L444" s="107"/>
      <c r="M444" s="107"/>
      <c r="N444" s="107"/>
      <c r="O444" s="107"/>
      <c r="P444" s="107"/>
      <c r="Q444" s="107"/>
      <c r="R444" s="107"/>
      <c r="S444" s="107"/>
      <c r="T444" s="107"/>
      <c r="U444" s="107"/>
      <c r="V444" s="107"/>
      <c r="W444" s="107"/>
      <c r="X444" s="107"/>
      <c r="Y444" s="107"/>
      <c r="Z444" s="107"/>
      <c r="AA444" s="107"/>
    </row>
    <row r="445">
      <c r="A445" s="110"/>
      <c r="B445" s="107"/>
      <c r="C445" s="107"/>
      <c r="D445" s="107"/>
      <c r="E445" s="107"/>
      <c r="F445" s="107"/>
      <c r="G445" s="107"/>
      <c r="H445" s="107"/>
      <c r="I445" s="107"/>
      <c r="J445" s="107"/>
      <c r="K445" s="107"/>
      <c r="L445" s="107"/>
      <c r="M445" s="107"/>
      <c r="N445" s="107"/>
      <c r="O445" s="107"/>
      <c r="P445" s="107"/>
      <c r="Q445" s="107"/>
      <c r="R445" s="107"/>
      <c r="S445" s="107"/>
      <c r="T445" s="107"/>
      <c r="U445" s="107"/>
      <c r="V445" s="107"/>
      <c r="W445" s="107"/>
      <c r="X445" s="107"/>
      <c r="Y445" s="107"/>
      <c r="Z445" s="107"/>
      <c r="AA445" s="107"/>
    </row>
    <row r="446">
      <c r="A446" s="110"/>
      <c r="B446" s="107"/>
      <c r="C446" s="107"/>
      <c r="D446" s="107"/>
      <c r="E446" s="107"/>
      <c r="F446" s="107"/>
      <c r="G446" s="107"/>
      <c r="H446" s="107"/>
      <c r="I446" s="107"/>
      <c r="J446" s="107"/>
      <c r="K446" s="107"/>
      <c r="L446" s="107"/>
      <c r="M446" s="107"/>
      <c r="N446" s="107"/>
      <c r="O446" s="107"/>
      <c r="P446" s="107"/>
      <c r="Q446" s="107"/>
      <c r="R446" s="107"/>
      <c r="S446" s="107"/>
      <c r="T446" s="107"/>
      <c r="U446" s="107"/>
      <c r="V446" s="107"/>
      <c r="W446" s="107"/>
      <c r="X446" s="107"/>
      <c r="Y446" s="107"/>
      <c r="Z446" s="107"/>
      <c r="AA446" s="107"/>
    </row>
    <row r="447">
      <c r="A447" s="110"/>
      <c r="B447" s="107"/>
      <c r="C447" s="107"/>
      <c r="D447" s="107"/>
      <c r="E447" s="107"/>
      <c r="F447" s="107"/>
      <c r="G447" s="107"/>
      <c r="H447" s="107"/>
      <c r="I447" s="107"/>
      <c r="J447" s="107"/>
      <c r="K447" s="107"/>
      <c r="L447" s="107"/>
      <c r="M447" s="107"/>
      <c r="N447" s="107"/>
      <c r="O447" s="107"/>
      <c r="P447" s="107"/>
      <c r="Q447" s="107"/>
      <c r="R447" s="107"/>
      <c r="S447" s="107"/>
      <c r="T447" s="107"/>
      <c r="U447" s="107"/>
      <c r="V447" s="107"/>
      <c r="W447" s="107"/>
      <c r="X447" s="107"/>
      <c r="Y447" s="107"/>
      <c r="Z447" s="107"/>
      <c r="AA447" s="107"/>
    </row>
    <row r="448">
      <c r="A448" s="110"/>
      <c r="B448" s="107"/>
      <c r="C448" s="107"/>
      <c r="D448" s="107"/>
      <c r="E448" s="107"/>
      <c r="F448" s="107"/>
      <c r="G448" s="107"/>
      <c r="H448" s="107"/>
      <c r="I448" s="107"/>
      <c r="J448" s="107"/>
      <c r="K448" s="107"/>
      <c r="L448" s="107"/>
      <c r="M448" s="107"/>
      <c r="N448" s="107"/>
      <c r="O448" s="107"/>
      <c r="P448" s="107"/>
      <c r="Q448" s="107"/>
      <c r="R448" s="107"/>
      <c r="S448" s="107"/>
      <c r="T448" s="107"/>
      <c r="U448" s="107"/>
      <c r="V448" s="107"/>
      <c r="W448" s="107"/>
      <c r="X448" s="107"/>
      <c r="Y448" s="107"/>
      <c r="Z448" s="107"/>
      <c r="AA448" s="107"/>
    </row>
    <row r="449">
      <c r="A449" s="110"/>
      <c r="B449" s="107"/>
      <c r="C449" s="107"/>
      <c r="D449" s="107"/>
      <c r="E449" s="107"/>
      <c r="F449" s="107"/>
      <c r="G449" s="107"/>
      <c r="H449" s="107"/>
      <c r="I449" s="107"/>
      <c r="J449" s="107"/>
      <c r="K449" s="107"/>
      <c r="L449" s="107"/>
      <c r="M449" s="107"/>
      <c r="N449" s="107"/>
      <c r="O449" s="107"/>
      <c r="P449" s="107"/>
      <c r="Q449" s="107"/>
      <c r="R449" s="107"/>
      <c r="S449" s="107"/>
      <c r="T449" s="107"/>
      <c r="U449" s="107"/>
      <c r="V449" s="107"/>
      <c r="W449" s="107"/>
      <c r="X449" s="107"/>
      <c r="Y449" s="107"/>
      <c r="Z449" s="107"/>
      <c r="AA449" s="107"/>
    </row>
    <row r="450">
      <c r="A450" s="110"/>
      <c r="B450" s="107"/>
      <c r="C450" s="107"/>
      <c r="D450" s="107"/>
      <c r="E450" s="107"/>
      <c r="F450" s="107"/>
      <c r="G450" s="107"/>
      <c r="H450" s="107"/>
      <c r="I450" s="107"/>
      <c r="J450" s="107"/>
      <c r="K450" s="107"/>
      <c r="L450" s="107"/>
      <c r="M450" s="107"/>
      <c r="N450" s="107"/>
      <c r="O450" s="107"/>
      <c r="P450" s="107"/>
      <c r="Q450" s="107"/>
      <c r="R450" s="107"/>
      <c r="S450" s="107"/>
      <c r="T450" s="107"/>
      <c r="U450" s="107"/>
      <c r="V450" s="107"/>
      <c r="W450" s="107"/>
      <c r="X450" s="107"/>
      <c r="Y450" s="107"/>
      <c r="Z450" s="107"/>
      <c r="AA450" s="107"/>
    </row>
    <row r="451">
      <c r="A451" s="110"/>
      <c r="B451" s="107"/>
      <c r="C451" s="107"/>
      <c r="D451" s="107"/>
      <c r="E451" s="107"/>
      <c r="F451" s="107"/>
      <c r="G451" s="107"/>
      <c r="H451" s="107"/>
      <c r="I451" s="107"/>
      <c r="J451" s="107"/>
      <c r="K451" s="107"/>
      <c r="L451" s="107"/>
      <c r="M451" s="107"/>
      <c r="N451" s="107"/>
      <c r="O451" s="107"/>
      <c r="P451" s="107"/>
      <c r="Q451" s="107"/>
      <c r="R451" s="107"/>
      <c r="S451" s="107"/>
      <c r="T451" s="107"/>
      <c r="U451" s="107"/>
      <c r="V451" s="107"/>
      <c r="W451" s="107"/>
      <c r="X451" s="107"/>
      <c r="Y451" s="107"/>
      <c r="Z451" s="107"/>
      <c r="AA451" s="107"/>
    </row>
    <row r="452">
      <c r="A452" s="110"/>
      <c r="B452" s="107"/>
      <c r="C452" s="107"/>
      <c r="D452" s="107"/>
      <c r="E452" s="107"/>
      <c r="F452" s="107"/>
      <c r="G452" s="107"/>
      <c r="H452" s="107"/>
      <c r="I452" s="107"/>
      <c r="J452" s="107"/>
      <c r="K452" s="107"/>
      <c r="L452" s="107"/>
      <c r="M452" s="107"/>
      <c r="N452" s="107"/>
      <c r="O452" s="107"/>
      <c r="P452" s="107"/>
      <c r="Q452" s="107"/>
      <c r="R452" s="107"/>
      <c r="S452" s="107"/>
      <c r="T452" s="107"/>
      <c r="U452" s="107"/>
      <c r="V452" s="107"/>
      <c r="W452" s="107"/>
      <c r="X452" s="107"/>
      <c r="Y452" s="107"/>
      <c r="Z452" s="107"/>
      <c r="AA452" s="107"/>
    </row>
    <row r="453">
      <c r="A453" s="110"/>
      <c r="B453" s="107"/>
      <c r="C453" s="107"/>
      <c r="D453" s="107"/>
      <c r="E453" s="107"/>
      <c r="F453" s="107"/>
      <c r="G453" s="107"/>
      <c r="H453" s="107"/>
      <c r="I453" s="107"/>
      <c r="J453" s="107"/>
      <c r="K453" s="107"/>
      <c r="L453" s="107"/>
      <c r="M453" s="107"/>
      <c r="N453" s="107"/>
      <c r="O453" s="107"/>
      <c r="P453" s="107"/>
      <c r="Q453" s="107"/>
      <c r="R453" s="107"/>
      <c r="S453" s="107"/>
      <c r="T453" s="107"/>
      <c r="U453" s="107"/>
      <c r="V453" s="107"/>
      <c r="W453" s="107"/>
      <c r="X453" s="107"/>
      <c r="Y453" s="107"/>
      <c r="Z453" s="107"/>
      <c r="AA453" s="107"/>
    </row>
    <row r="454">
      <c r="A454" s="110"/>
      <c r="B454" s="107"/>
      <c r="C454" s="107"/>
      <c r="D454" s="107"/>
      <c r="E454" s="107"/>
      <c r="F454" s="107"/>
      <c r="G454" s="107"/>
      <c r="H454" s="107"/>
      <c r="I454" s="107"/>
      <c r="J454" s="107"/>
      <c r="K454" s="107"/>
      <c r="L454" s="107"/>
      <c r="M454" s="107"/>
      <c r="N454" s="107"/>
      <c r="O454" s="107"/>
      <c r="P454" s="107"/>
      <c r="Q454" s="107"/>
      <c r="R454" s="107"/>
      <c r="S454" s="107"/>
      <c r="T454" s="107"/>
      <c r="U454" s="107"/>
      <c r="V454" s="107"/>
      <c r="W454" s="107"/>
      <c r="X454" s="107"/>
      <c r="Y454" s="107"/>
      <c r="Z454" s="107"/>
      <c r="AA454" s="107"/>
    </row>
    <row r="455">
      <c r="A455" s="110"/>
      <c r="B455" s="107"/>
      <c r="C455" s="107"/>
      <c r="D455" s="107"/>
      <c r="E455" s="107"/>
      <c r="F455" s="107"/>
      <c r="G455" s="107"/>
      <c r="H455" s="107"/>
      <c r="I455" s="107"/>
      <c r="J455" s="107"/>
      <c r="K455" s="107"/>
      <c r="L455" s="107"/>
      <c r="M455" s="107"/>
      <c r="N455" s="107"/>
      <c r="O455" s="107"/>
      <c r="P455" s="107"/>
      <c r="Q455" s="107"/>
      <c r="R455" s="107"/>
      <c r="S455" s="107"/>
      <c r="T455" s="107"/>
      <c r="U455" s="107"/>
      <c r="V455" s="107"/>
      <c r="W455" s="107"/>
      <c r="X455" s="107"/>
      <c r="Y455" s="107"/>
      <c r="Z455" s="107"/>
      <c r="AA455" s="107"/>
    </row>
    <row r="456">
      <c r="A456" s="110"/>
      <c r="B456" s="107"/>
      <c r="C456" s="107"/>
      <c r="D456" s="107"/>
      <c r="E456" s="107"/>
      <c r="F456" s="107"/>
      <c r="G456" s="107"/>
      <c r="H456" s="107"/>
      <c r="I456" s="107"/>
      <c r="J456" s="107"/>
      <c r="K456" s="107"/>
      <c r="L456" s="107"/>
      <c r="M456" s="107"/>
      <c r="N456" s="107"/>
      <c r="O456" s="107"/>
      <c r="P456" s="107"/>
      <c r="Q456" s="107"/>
      <c r="R456" s="107"/>
      <c r="S456" s="107"/>
      <c r="T456" s="107"/>
      <c r="U456" s="107"/>
      <c r="V456" s="107"/>
      <c r="W456" s="107"/>
      <c r="X456" s="107"/>
      <c r="Y456" s="107"/>
      <c r="Z456" s="107"/>
      <c r="AA456" s="107"/>
    </row>
    <row r="457">
      <c r="A457" s="110"/>
      <c r="B457" s="107"/>
      <c r="C457" s="107"/>
      <c r="D457" s="107"/>
      <c r="E457" s="107"/>
      <c r="F457" s="107"/>
      <c r="G457" s="107"/>
      <c r="H457" s="107"/>
      <c r="I457" s="107"/>
      <c r="J457" s="107"/>
      <c r="K457" s="107"/>
      <c r="L457" s="107"/>
      <c r="M457" s="107"/>
      <c r="N457" s="107"/>
      <c r="O457" s="107"/>
      <c r="P457" s="107"/>
      <c r="Q457" s="107"/>
      <c r="R457" s="107"/>
      <c r="S457" s="107"/>
      <c r="T457" s="107"/>
      <c r="U457" s="107"/>
      <c r="V457" s="107"/>
      <c r="W457" s="107"/>
      <c r="X457" s="107"/>
      <c r="Y457" s="107"/>
      <c r="Z457" s="107"/>
      <c r="AA457" s="107"/>
    </row>
    <row r="458">
      <c r="A458" s="110"/>
      <c r="B458" s="107"/>
      <c r="C458" s="107"/>
      <c r="D458" s="107"/>
      <c r="E458" s="107"/>
      <c r="F458" s="107"/>
      <c r="G458" s="107"/>
      <c r="H458" s="107"/>
      <c r="I458" s="107"/>
      <c r="J458" s="107"/>
      <c r="K458" s="107"/>
      <c r="L458" s="107"/>
      <c r="M458" s="107"/>
      <c r="N458" s="107"/>
      <c r="O458" s="107"/>
      <c r="P458" s="107"/>
      <c r="Q458" s="107"/>
      <c r="R458" s="107"/>
      <c r="S458" s="107"/>
      <c r="T458" s="107"/>
      <c r="U458" s="107"/>
      <c r="V458" s="107"/>
      <c r="W458" s="107"/>
      <c r="X458" s="107"/>
      <c r="Y458" s="107"/>
      <c r="Z458" s="107"/>
      <c r="AA458" s="107"/>
    </row>
    <row r="459">
      <c r="A459" s="110"/>
      <c r="B459" s="107"/>
      <c r="C459" s="107"/>
      <c r="D459" s="107"/>
      <c r="E459" s="107"/>
      <c r="F459" s="107"/>
      <c r="G459" s="107"/>
      <c r="H459" s="107"/>
      <c r="I459" s="107"/>
      <c r="J459" s="107"/>
      <c r="K459" s="107"/>
      <c r="L459" s="107"/>
      <c r="M459" s="107"/>
      <c r="N459" s="107"/>
      <c r="O459" s="107"/>
      <c r="P459" s="107"/>
      <c r="Q459" s="107"/>
      <c r="R459" s="107"/>
      <c r="S459" s="107"/>
      <c r="T459" s="107"/>
      <c r="U459" s="107"/>
      <c r="V459" s="107"/>
      <c r="W459" s="107"/>
      <c r="X459" s="107"/>
      <c r="Y459" s="107"/>
      <c r="Z459" s="107"/>
      <c r="AA459" s="107"/>
    </row>
    <row r="460">
      <c r="A460" s="110"/>
      <c r="B460" s="107"/>
      <c r="C460" s="107"/>
      <c r="D460" s="107"/>
      <c r="E460" s="107"/>
      <c r="F460" s="107"/>
      <c r="G460" s="107"/>
      <c r="H460" s="107"/>
      <c r="I460" s="107"/>
      <c r="J460" s="107"/>
      <c r="K460" s="107"/>
      <c r="L460" s="107"/>
      <c r="M460" s="107"/>
      <c r="N460" s="107"/>
      <c r="O460" s="107"/>
      <c r="P460" s="107"/>
      <c r="Q460" s="107"/>
      <c r="R460" s="107"/>
      <c r="S460" s="107"/>
      <c r="T460" s="107"/>
      <c r="U460" s="107"/>
      <c r="V460" s="107"/>
      <c r="W460" s="107"/>
      <c r="X460" s="107"/>
      <c r="Y460" s="107"/>
      <c r="Z460" s="107"/>
      <c r="AA460" s="107"/>
    </row>
    <row r="461">
      <c r="A461" s="110"/>
      <c r="B461" s="107"/>
      <c r="C461" s="107"/>
      <c r="D461" s="107"/>
      <c r="E461" s="107"/>
      <c r="F461" s="107"/>
      <c r="G461" s="107"/>
      <c r="H461" s="107"/>
      <c r="I461" s="107"/>
      <c r="J461" s="107"/>
      <c r="K461" s="107"/>
      <c r="L461" s="107"/>
      <c r="M461" s="107"/>
      <c r="N461" s="107"/>
      <c r="O461" s="107"/>
      <c r="P461" s="107"/>
      <c r="Q461" s="107"/>
      <c r="R461" s="107"/>
      <c r="S461" s="107"/>
      <c r="T461" s="107"/>
      <c r="U461" s="107"/>
      <c r="V461" s="107"/>
      <c r="W461" s="107"/>
      <c r="X461" s="107"/>
      <c r="Y461" s="107"/>
      <c r="Z461" s="107"/>
      <c r="AA461" s="107"/>
    </row>
    <row r="462">
      <c r="A462" s="110"/>
      <c r="B462" s="107"/>
      <c r="C462" s="107"/>
      <c r="D462" s="107"/>
      <c r="E462" s="107"/>
      <c r="F462" s="107"/>
      <c r="G462" s="107"/>
      <c r="H462" s="107"/>
      <c r="I462" s="107"/>
      <c r="J462" s="107"/>
      <c r="K462" s="107"/>
      <c r="L462" s="107"/>
      <c r="M462" s="107"/>
      <c r="N462" s="107"/>
      <c r="O462" s="107"/>
      <c r="P462" s="107"/>
      <c r="Q462" s="107"/>
      <c r="R462" s="107"/>
      <c r="S462" s="107"/>
      <c r="T462" s="107"/>
      <c r="U462" s="107"/>
      <c r="V462" s="107"/>
      <c r="W462" s="107"/>
      <c r="X462" s="107"/>
      <c r="Y462" s="107"/>
      <c r="Z462" s="107"/>
      <c r="AA462" s="107"/>
    </row>
    <row r="463">
      <c r="A463" s="110"/>
      <c r="B463" s="107"/>
      <c r="C463" s="107"/>
      <c r="D463" s="107"/>
      <c r="E463" s="107"/>
      <c r="F463" s="107"/>
      <c r="G463" s="107"/>
      <c r="H463" s="107"/>
      <c r="I463" s="107"/>
      <c r="J463" s="107"/>
      <c r="K463" s="107"/>
      <c r="L463" s="107"/>
      <c r="M463" s="107"/>
      <c r="N463" s="107"/>
      <c r="O463" s="107"/>
      <c r="P463" s="107"/>
      <c r="Q463" s="107"/>
      <c r="R463" s="107"/>
      <c r="S463" s="107"/>
      <c r="T463" s="107"/>
      <c r="U463" s="107"/>
      <c r="V463" s="107"/>
      <c r="W463" s="107"/>
      <c r="X463" s="107"/>
      <c r="Y463" s="107"/>
      <c r="Z463" s="107"/>
      <c r="AA463" s="107"/>
    </row>
    <row r="464">
      <c r="A464" s="110"/>
      <c r="B464" s="107"/>
      <c r="C464" s="107"/>
      <c r="D464" s="107"/>
      <c r="E464" s="107"/>
      <c r="F464" s="107"/>
      <c r="G464" s="107"/>
      <c r="H464" s="107"/>
      <c r="I464" s="107"/>
      <c r="J464" s="107"/>
      <c r="K464" s="107"/>
      <c r="L464" s="107"/>
      <c r="M464" s="107"/>
      <c r="N464" s="107"/>
      <c r="O464" s="107"/>
      <c r="P464" s="107"/>
      <c r="Q464" s="107"/>
      <c r="R464" s="107"/>
      <c r="S464" s="107"/>
      <c r="T464" s="107"/>
      <c r="U464" s="107"/>
      <c r="V464" s="107"/>
      <c r="W464" s="107"/>
      <c r="X464" s="107"/>
      <c r="Y464" s="107"/>
      <c r="Z464" s="107"/>
      <c r="AA464" s="107"/>
    </row>
    <row r="465">
      <c r="A465" s="110"/>
      <c r="B465" s="107"/>
      <c r="C465" s="107"/>
      <c r="D465" s="107"/>
      <c r="E465" s="107"/>
      <c r="F465" s="107"/>
      <c r="G465" s="107"/>
      <c r="H465" s="107"/>
      <c r="I465" s="107"/>
      <c r="J465" s="107"/>
      <c r="K465" s="107"/>
      <c r="L465" s="107"/>
      <c r="M465" s="107"/>
      <c r="N465" s="107"/>
      <c r="O465" s="107"/>
      <c r="P465" s="107"/>
      <c r="Q465" s="107"/>
      <c r="R465" s="107"/>
      <c r="S465" s="107"/>
      <c r="T465" s="107"/>
      <c r="U465" s="107"/>
      <c r="V465" s="107"/>
      <c r="W465" s="107"/>
      <c r="X465" s="107"/>
      <c r="Y465" s="107"/>
      <c r="Z465" s="107"/>
      <c r="AA465" s="107"/>
    </row>
    <row r="466">
      <c r="A466" s="110"/>
      <c r="B466" s="107"/>
      <c r="C466" s="107"/>
      <c r="D466" s="107"/>
      <c r="E466" s="107"/>
      <c r="F466" s="107"/>
      <c r="G466" s="107"/>
      <c r="H466" s="107"/>
      <c r="I466" s="107"/>
      <c r="J466" s="107"/>
      <c r="K466" s="107"/>
      <c r="L466" s="107"/>
      <c r="M466" s="107"/>
      <c r="N466" s="107"/>
      <c r="O466" s="107"/>
      <c r="P466" s="107"/>
      <c r="Q466" s="107"/>
      <c r="R466" s="107"/>
      <c r="S466" s="107"/>
      <c r="T466" s="107"/>
      <c r="U466" s="107"/>
      <c r="V466" s="107"/>
      <c r="W466" s="107"/>
      <c r="X466" s="107"/>
      <c r="Y466" s="107"/>
      <c r="Z466" s="107"/>
      <c r="AA466" s="107"/>
    </row>
    <row r="467">
      <c r="A467" s="110"/>
      <c r="B467" s="107"/>
      <c r="C467" s="107"/>
      <c r="D467" s="107"/>
      <c r="E467" s="107"/>
      <c r="F467" s="107"/>
      <c r="G467" s="107"/>
      <c r="H467" s="107"/>
      <c r="I467" s="107"/>
      <c r="J467" s="107"/>
      <c r="K467" s="107"/>
      <c r="L467" s="107"/>
      <c r="M467" s="107"/>
      <c r="N467" s="107"/>
      <c r="O467" s="107"/>
      <c r="P467" s="107"/>
      <c r="Q467" s="107"/>
      <c r="R467" s="107"/>
      <c r="S467" s="107"/>
      <c r="T467" s="107"/>
      <c r="U467" s="107"/>
      <c r="V467" s="107"/>
      <c r="W467" s="107"/>
      <c r="X467" s="107"/>
      <c r="Y467" s="107"/>
      <c r="Z467" s="107"/>
      <c r="AA467" s="107"/>
    </row>
    <row r="468">
      <c r="A468" s="110"/>
      <c r="B468" s="107"/>
      <c r="C468" s="107"/>
      <c r="D468" s="107"/>
      <c r="E468" s="107"/>
      <c r="F468" s="107"/>
      <c r="G468" s="107"/>
      <c r="H468" s="107"/>
      <c r="I468" s="107"/>
      <c r="J468" s="107"/>
      <c r="K468" s="107"/>
      <c r="L468" s="107"/>
      <c r="M468" s="107"/>
      <c r="N468" s="107"/>
      <c r="O468" s="107"/>
      <c r="P468" s="107"/>
      <c r="Q468" s="107"/>
      <c r="R468" s="107"/>
      <c r="S468" s="107"/>
      <c r="T468" s="107"/>
      <c r="U468" s="107"/>
      <c r="V468" s="107"/>
      <c r="W468" s="107"/>
      <c r="X468" s="107"/>
      <c r="Y468" s="107"/>
      <c r="Z468" s="107"/>
      <c r="AA468" s="107"/>
    </row>
    <row r="469">
      <c r="A469" s="110"/>
      <c r="B469" s="107"/>
      <c r="C469" s="107"/>
      <c r="D469" s="107"/>
      <c r="E469" s="107"/>
      <c r="F469" s="107"/>
      <c r="G469" s="107"/>
      <c r="H469" s="107"/>
      <c r="I469" s="107"/>
      <c r="J469" s="107"/>
      <c r="K469" s="107"/>
      <c r="L469" s="107"/>
      <c r="M469" s="107"/>
      <c r="N469" s="107"/>
      <c r="O469" s="107"/>
      <c r="P469" s="107"/>
      <c r="Q469" s="107"/>
      <c r="R469" s="107"/>
      <c r="S469" s="107"/>
      <c r="T469" s="107"/>
      <c r="U469" s="107"/>
      <c r="V469" s="107"/>
      <c r="W469" s="107"/>
      <c r="X469" s="107"/>
      <c r="Y469" s="107"/>
      <c r="Z469" s="107"/>
      <c r="AA469" s="107"/>
    </row>
    <row r="470">
      <c r="A470" s="110"/>
      <c r="B470" s="107"/>
      <c r="C470" s="107"/>
      <c r="D470" s="107"/>
      <c r="E470" s="107"/>
      <c r="F470" s="107"/>
      <c r="G470" s="107"/>
      <c r="H470" s="107"/>
      <c r="I470" s="107"/>
      <c r="J470" s="107"/>
      <c r="K470" s="107"/>
      <c r="L470" s="107"/>
      <c r="M470" s="107"/>
      <c r="N470" s="107"/>
      <c r="O470" s="107"/>
      <c r="P470" s="107"/>
      <c r="Q470" s="107"/>
      <c r="R470" s="107"/>
      <c r="S470" s="107"/>
      <c r="T470" s="107"/>
      <c r="U470" s="107"/>
      <c r="V470" s="107"/>
      <c r="W470" s="107"/>
      <c r="X470" s="107"/>
      <c r="Y470" s="107"/>
      <c r="Z470" s="107"/>
      <c r="AA470" s="107"/>
    </row>
    <row r="471">
      <c r="A471" s="110"/>
      <c r="B471" s="107"/>
      <c r="C471" s="107"/>
      <c r="D471" s="107"/>
      <c r="E471" s="107"/>
      <c r="F471" s="107"/>
      <c r="G471" s="107"/>
      <c r="H471" s="107"/>
      <c r="I471" s="107"/>
      <c r="J471" s="107"/>
      <c r="K471" s="107"/>
      <c r="L471" s="107"/>
      <c r="M471" s="107"/>
      <c r="N471" s="107"/>
      <c r="O471" s="107"/>
      <c r="P471" s="107"/>
      <c r="Q471" s="107"/>
      <c r="R471" s="107"/>
      <c r="S471" s="107"/>
      <c r="T471" s="107"/>
      <c r="U471" s="107"/>
      <c r="V471" s="107"/>
      <c r="W471" s="107"/>
      <c r="X471" s="107"/>
      <c r="Y471" s="107"/>
      <c r="Z471" s="107"/>
      <c r="AA471" s="107"/>
    </row>
    <row r="472">
      <c r="A472" s="110"/>
      <c r="B472" s="107"/>
      <c r="C472" s="107"/>
      <c r="D472" s="107"/>
      <c r="E472" s="107"/>
      <c r="F472" s="107"/>
      <c r="G472" s="107"/>
      <c r="H472" s="107"/>
      <c r="I472" s="107"/>
      <c r="J472" s="107"/>
      <c r="K472" s="107"/>
      <c r="L472" s="107"/>
      <c r="M472" s="107"/>
      <c r="N472" s="107"/>
      <c r="O472" s="107"/>
      <c r="P472" s="107"/>
      <c r="Q472" s="107"/>
      <c r="R472" s="107"/>
      <c r="S472" s="107"/>
      <c r="T472" s="107"/>
      <c r="U472" s="107"/>
      <c r="V472" s="107"/>
      <c r="W472" s="107"/>
      <c r="X472" s="107"/>
      <c r="Y472" s="107"/>
      <c r="Z472" s="107"/>
      <c r="AA472" s="107"/>
    </row>
    <row r="473">
      <c r="A473" s="110"/>
      <c r="B473" s="107"/>
      <c r="C473" s="107"/>
      <c r="D473" s="107"/>
      <c r="E473" s="107"/>
      <c r="F473" s="107"/>
      <c r="G473" s="107"/>
      <c r="H473" s="107"/>
      <c r="I473" s="107"/>
      <c r="J473" s="107"/>
      <c r="K473" s="107"/>
      <c r="L473" s="107"/>
      <c r="M473" s="107"/>
      <c r="N473" s="107"/>
      <c r="O473" s="107"/>
      <c r="P473" s="107"/>
      <c r="Q473" s="107"/>
      <c r="R473" s="107"/>
      <c r="S473" s="107"/>
      <c r="T473" s="107"/>
      <c r="U473" s="107"/>
      <c r="V473" s="107"/>
      <c r="W473" s="107"/>
      <c r="X473" s="107"/>
      <c r="Y473" s="107"/>
      <c r="Z473" s="107"/>
      <c r="AA473" s="107"/>
    </row>
    <row r="474">
      <c r="A474" s="110"/>
      <c r="B474" s="107"/>
      <c r="C474" s="107"/>
      <c r="D474" s="107"/>
      <c r="E474" s="107"/>
      <c r="F474" s="107"/>
      <c r="G474" s="107"/>
      <c r="H474" s="107"/>
      <c r="I474" s="107"/>
      <c r="J474" s="107"/>
      <c r="K474" s="107"/>
      <c r="L474" s="107"/>
      <c r="M474" s="107"/>
      <c r="N474" s="107"/>
      <c r="O474" s="107"/>
      <c r="P474" s="107"/>
      <c r="Q474" s="107"/>
      <c r="R474" s="107"/>
      <c r="S474" s="107"/>
      <c r="T474" s="107"/>
      <c r="U474" s="107"/>
      <c r="V474" s="107"/>
      <c r="W474" s="107"/>
      <c r="X474" s="107"/>
      <c r="Y474" s="107"/>
      <c r="Z474" s="107"/>
      <c r="AA474" s="107"/>
    </row>
    <row r="475">
      <c r="A475" s="110"/>
      <c r="B475" s="107"/>
      <c r="C475" s="107"/>
      <c r="D475" s="107"/>
      <c r="E475" s="107"/>
      <c r="F475" s="107"/>
      <c r="G475" s="107"/>
      <c r="H475" s="107"/>
      <c r="I475" s="107"/>
      <c r="J475" s="107"/>
      <c r="K475" s="107"/>
      <c r="L475" s="107"/>
      <c r="M475" s="107"/>
      <c r="N475" s="107"/>
      <c r="O475" s="107"/>
      <c r="P475" s="107"/>
      <c r="Q475" s="107"/>
      <c r="R475" s="107"/>
      <c r="S475" s="107"/>
      <c r="T475" s="107"/>
      <c r="U475" s="107"/>
      <c r="V475" s="107"/>
      <c r="W475" s="107"/>
      <c r="X475" s="107"/>
      <c r="Y475" s="107"/>
      <c r="Z475" s="107"/>
      <c r="AA475" s="107"/>
    </row>
    <row r="476">
      <c r="A476" s="110"/>
      <c r="B476" s="107"/>
      <c r="C476" s="107"/>
      <c r="D476" s="107"/>
      <c r="E476" s="107"/>
      <c r="F476" s="107"/>
      <c r="G476" s="107"/>
      <c r="H476" s="107"/>
      <c r="I476" s="107"/>
      <c r="J476" s="107"/>
      <c r="K476" s="107"/>
      <c r="L476" s="107"/>
      <c r="M476" s="107"/>
      <c r="N476" s="107"/>
      <c r="O476" s="107"/>
      <c r="P476" s="107"/>
      <c r="Q476" s="107"/>
      <c r="R476" s="107"/>
      <c r="S476" s="107"/>
      <c r="T476" s="107"/>
      <c r="U476" s="107"/>
      <c r="V476" s="107"/>
      <c r="W476" s="107"/>
      <c r="X476" s="107"/>
      <c r="Y476" s="107"/>
      <c r="Z476" s="107"/>
      <c r="AA476" s="107"/>
    </row>
    <row r="477">
      <c r="A477" s="110"/>
      <c r="B477" s="107"/>
      <c r="C477" s="107"/>
      <c r="D477" s="107"/>
      <c r="E477" s="107"/>
      <c r="F477" s="107"/>
      <c r="G477" s="107"/>
      <c r="H477" s="107"/>
      <c r="I477" s="107"/>
      <c r="J477" s="107"/>
      <c r="K477" s="107"/>
      <c r="L477" s="107"/>
      <c r="M477" s="107"/>
      <c r="N477" s="107"/>
      <c r="O477" s="107"/>
      <c r="P477" s="107"/>
      <c r="Q477" s="107"/>
      <c r="R477" s="107"/>
      <c r="S477" s="107"/>
      <c r="T477" s="107"/>
      <c r="U477" s="107"/>
      <c r="V477" s="107"/>
      <c r="W477" s="107"/>
      <c r="X477" s="107"/>
      <c r="Y477" s="107"/>
      <c r="Z477" s="107"/>
      <c r="AA477" s="107"/>
    </row>
    <row r="478">
      <c r="A478" s="110"/>
      <c r="B478" s="107"/>
      <c r="C478" s="107"/>
      <c r="D478" s="107"/>
      <c r="E478" s="107"/>
      <c r="F478" s="107"/>
      <c r="G478" s="107"/>
      <c r="H478" s="107"/>
      <c r="I478" s="107"/>
      <c r="J478" s="107"/>
      <c r="K478" s="107"/>
      <c r="L478" s="107"/>
      <c r="M478" s="107"/>
      <c r="N478" s="107"/>
      <c r="O478" s="107"/>
      <c r="P478" s="107"/>
      <c r="Q478" s="107"/>
      <c r="R478" s="107"/>
      <c r="S478" s="107"/>
      <c r="T478" s="107"/>
      <c r="U478" s="107"/>
      <c r="V478" s="107"/>
      <c r="W478" s="107"/>
      <c r="X478" s="107"/>
      <c r="Y478" s="107"/>
      <c r="Z478" s="107"/>
      <c r="AA478" s="107"/>
    </row>
    <row r="479">
      <c r="A479" s="110"/>
      <c r="B479" s="107"/>
      <c r="C479" s="107"/>
      <c r="D479" s="107"/>
      <c r="E479" s="107"/>
      <c r="F479" s="107"/>
      <c r="G479" s="107"/>
      <c r="H479" s="107"/>
      <c r="I479" s="107"/>
      <c r="J479" s="107"/>
      <c r="K479" s="107"/>
      <c r="L479" s="107"/>
      <c r="M479" s="107"/>
      <c r="N479" s="107"/>
      <c r="O479" s="107"/>
      <c r="P479" s="107"/>
      <c r="Q479" s="107"/>
      <c r="R479" s="107"/>
      <c r="S479" s="107"/>
      <c r="T479" s="107"/>
      <c r="U479" s="107"/>
      <c r="V479" s="107"/>
      <c r="W479" s="107"/>
      <c r="X479" s="107"/>
      <c r="Y479" s="107"/>
      <c r="Z479" s="107"/>
      <c r="AA479" s="107"/>
    </row>
    <row r="480">
      <c r="A480" s="110"/>
      <c r="B480" s="107"/>
      <c r="C480" s="107"/>
      <c r="D480" s="107"/>
      <c r="E480" s="107"/>
      <c r="F480" s="107"/>
      <c r="G480" s="107"/>
      <c r="H480" s="107"/>
      <c r="I480" s="107"/>
      <c r="J480" s="107"/>
      <c r="K480" s="107"/>
      <c r="L480" s="107"/>
      <c r="M480" s="107"/>
      <c r="N480" s="107"/>
      <c r="O480" s="107"/>
      <c r="P480" s="107"/>
      <c r="Q480" s="107"/>
      <c r="R480" s="107"/>
      <c r="S480" s="107"/>
      <c r="T480" s="107"/>
      <c r="U480" s="107"/>
      <c r="V480" s="107"/>
      <c r="W480" s="107"/>
      <c r="X480" s="107"/>
      <c r="Y480" s="107"/>
      <c r="Z480" s="107"/>
      <c r="AA480" s="107"/>
    </row>
    <row r="481">
      <c r="A481" s="110"/>
      <c r="B481" s="107"/>
      <c r="C481" s="107"/>
      <c r="D481" s="107"/>
      <c r="E481" s="107"/>
      <c r="F481" s="107"/>
      <c r="G481" s="107"/>
      <c r="H481" s="107"/>
      <c r="I481" s="107"/>
      <c r="J481" s="107"/>
      <c r="K481" s="107"/>
      <c r="L481" s="107"/>
      <c r="M481" s="107"/>
      <c r="N481" s="107"/>
      <c r="O481" s="107"/>
      <c r="P481" s="107"/>
      <c r="Q481" s="107"/>
      <c r="R481" s="107"/>
      <c r="S481" s="107"/>
      <c r="T481" s="107"/>
      <c r="U481" s="107"/>
      <c r="V481" s="107"/>
      <c r="W481" s="107"/>
      <c r="X481" s="107"/>
      <c r="Y481" s="107"/>
      <c r="Z481" s="107"/>
      <c r="AA481" s="107"/>
    </row>
    <row r="482">
      <c r="A482" s="110"/>
      <c r="B482" s="107"/>
      <c r="C482" s="107"/>
      <c r="D482" s="107"/>
      <c r="E482" s="107"/>
      <c r="F482" s="107"/>
      <c r="G482" s="107"/>
      <c r="H482" s="107"/>
      <c r="I482" s="107"/>
      <c r="J482" s="107"/>
      <c r="K482" s="107"/>
      <c r="L482" s="107"/>
      <c r="M482" s="107"/>
      <c r="N482" s="107"/>
      <c r="O482" s="107"/>
      <c r="P482" s="107"/>
      <c r="Q482" s="107"/>
      <c r="R482" s="107"/>
      <c r="S482" s="107"/>
      <c r="T482" s="107"/>
      <c r="U482" s="107"/>
      <c r="V482" s="107"/>
      <c r="W482" s="107"/>
      <c r="X482" s="107"/>
      <c r="Y482" s="107"/>
      <c r="Z482" s="107"/>
      <c r="AA482" s="107"/>
    </row>
    <row r="483">
      <c r="A483" s="110"/>
      <c r="B483" s="107"/>
      <c r="C483" s="107"/>
      <c r="D483" s="107"/>
      <c r="E483" s="107"/>
      <c r="F483" s="107"/>
      <c r="G483" s="107"/>
      <c r="H483" s="107"/>
      <c r="I483" s="107"/>
      <c r="J483" s="107"/>
      <c r="K483" s="107"/>
      <c r="L483" s="107"/>
      <c r="M483" s="107"/>
      <c r="N483" s="107"/>
      <c r="O483" s="107"/>
      <c r="P483" s="107"/>
      <c r="Q483" s="107"/>
      <c r="R483" s="107"/>
      <c r="S483" s="107"/>
      <c r="T483" s="107"/>
      <c r="U483" s="107"/>
      <c r="V483" s="107"/>
      <c r="W483" s="107"/>
      <c r="X483" s="107"/>
      <c r="Y483" s="107"/>
      <c r="Z483" s="107"/>
      <c r="AA483" s="107"/>
    </row>
    <row r="484">
      <c r="A484" s="110"/>
      <c r="B484" s="107"/>
      <c r="C484" s="107"/>
      <c r="D484" s="107"/>
      <c r="E484" s="107"/>
      <c r="F484" s="107"/>
      <c r="G484" s="107"/>
      <c r="H484" s="107"/>
      <c r="I484" s="107"/>
      <c r="J484" s="107"/>
      <c r="K484" s="107"/>
      <c r="L484" s="107"/>
      <c r="M484" s="107"/>
      <c r="N484" s="107"/>
      <c r="O484" s="107"/>
      <c r="P484" s="107"/>
      <c r="Q484" s="107"/>
      <c r="R484" s="107"/>
      <c r="S484" s="107"/>
      <c r="T484" s="107"/>
      <c r="U484" s="107"/>
      <c r="V484" s="107"/>
      <c r="W484" s="107"/>
      <c r="X484" s="107"/>
      <c r="Y484" s="107"/>
      <c r="Z484" s="107"/>
      <c r="AA484" s="107"/>
    </row>
    <row r="485">
      <c r="A485" s="110"/>
      <c r="B485" s="107"/>
      <c r="C485" s="107"/>
      <c r="D485" s="107"/>
      <c r="E485" s="107"/>
      <c r="F485" s="107"/>
      <c r="G485" s="107"/>
      <c r="H485" s="107"/>
      <c r="I485" s="107"/>
      <c r="J485" s="107"/>
      <c r="K485" s="107"/>
      <c r="L485" s="107"/>
      <c r="M485" s="107"/>
      <c r="N485" s="107"/>
      <c r="O485" s="107"/>
      <c r="P485" s="107"/>
      <c r="Q485" s="107"/>
      <c r="R485" s="107"/>
      <c r="S485" s="107"/>
      <c r="T485" s="107"/>
      <c r="U485" s="107"/>
      <c r="V485" s="107"/>
      <c r="W485" s="107"/>
      <c r="X485" s="107"/>
      <c r="Y485" s="107"/>
      <c r="Z485" s="107"/>
      <c r="AA485" s="107"/>
    </row>
    <row r="486">
      <c r="A486" s="110"/>
      <c r="B486" s="107"/>
      <c r="C486" s="107"/>
      <c r="D486" s="107"/>
      <c r="E486" s="107"/>
      <c r="F486" s="107"/>
      <c r="G486" s="107"/>
      <c r="H486" s="107"/>
      <c r="I486" s="107"/>
      <c r="J486" s="107"/>
      <c r="K486" s="107"/>
      <c r="L486" s="107"/>
      <c r="M486" s="107"/>
      <c r="N486" s="107"/>
      <c r="O486" s="107"/>
      <c r="P486" s="107"/>
      <c r="Q486" s="107"/>
      <c r="R486" s="107"/>
      <c r="S486" s="107"/>
      <c r="T486" s="107"/>
      <c r="U486" s="107"/>
      <c r="V486" s="107"/>
      <c r="W486" s="107"/>
      <c r="X486" s="107"/>
      <c r="Y486" s="107"/>
      <c r="Z486" s="107"/>
      <c r="AA486" s="107"/>
    </row>
    <row r="487">
      <c r="A487" s="110"/>
      <c r="B487" s="107"/>
      <c r="C487" s="107"/>
      <c r="D487" s="107"/>
      <c r="E487" s="107"/>
      <c r="F487" s="107"/>
      <c r="G487" s="107"/>
      <c r="H487" s="107"/>
      <c r="I487" s="107"/>
      <c r="J487" s="107"/>
      <c r="K487" s="107"/>
      <c r="L487" s="107"/>
      <c r="M487" s="107"/>
      <c r="N487" s="107"/>
      <c r="O487" s="107"/>
      <c r="P487" s="107"/>
      <c r="Q487" s="107"/>
      <c r="R487" s="107"/>
      <c r="S487" s="107"/>
      <c r="T487" s="107"/>
      <c r="U487" s="107"/>
      <c r="V487" s="107"/>
      <c r="W487" s="107"/>
      <c r="X487" s="107"/>
      <c r="Y487" s="107"/>
      <c r="Z487" s="107"/>
      <c r="AA487" s="107"/>
    </row>
    <row r="488">
      <c r="A488" s="110"/>
      <c r="B488" s="107"/>
      <c r="C488" s="107"/>
      <c r="D488" s="107"/>
      <c r="E488" s="107"/>
      <c r="F488" s="107"/>
      <c r="G488" s="107"/>
      <c r="H488" s="107"/>
      <c r="I488" s="107"/>
      <c r="J488" s="107"/>
      <c r="K488" s="107"/>
      <c r="L488" s="107"/>
      <c r="M488" s="107"/>
      <c r="N488" s="107"/>
      <c r="O488" s="107"/>
      <c r="P488" s="107"/>
      <c r="Q488" s="107"/>
      <c r="R488" s="107"/>
      <c r="S488" s="107"/>
      <c r="T488" s="107"/>
      <c r="U488" s="107"/>
      <c r="V488" s="107"/>
      <c r="W488" s="107"/>
      <c r="X488" s="107"/>
      <c r="Y488" s="107"/>
      <c r="Z488" s="107"/>
      <c r="AA488" s="107"/>
    </row>
    <row r="489">
      <c r="A489" s="110"/>
      <c r="B489" s="107"/>
      <c r="C489" s="107"/>
      <c r="D489" s="107"/>
      <c r="E489" s="107"/>
      <c r="F489" s="107"/>
      <c r="G489" s="107"/>
      <c r="H489" s="107"/>
      <c r="I489" s="107"/>
      <c r="J489" s="107"/>
      <c r="K489" s="107"/>
      <c r="L489" s="107"/>
      <c r="M489" s="107"/>
      <c r="N489" s="107"/>
      <c r="O489" s="107"/>
      <c r="P489" s="107"/>
      <c r="Q489" s="107"/>
      <c r="R489" s="107"/>
      <c r="S489" s="107"/>
      <c r="T489" s="107"/>
      <c r="U489" s="107"/>
      <c r="V489" s="107"/>
      <c r="W489" s="107"/>
      <c r="X489" s="107"/>
      <c r="Y489" s="107"/>
      <c r="Z489" s="107"/>
      <c r="AA489" s="107"/>
    </row>
    <row r="490">
      <c r="A490" s="110"/>
      <c r="B490" s="107"/>
      <c r="C490" s="107"/>
      <c r="D490" s="107"/>
      <c r="E490" s="107"/>
      <c r="F490" s="107"/>
      <c r="G490" s="107"/>
      <c r="H490" s="107"/>
      <c r="I490" s="107"/>
      <c r="J490" s="107"/>
      <c r="K490" s="107"/>
      <c r="L490" s="107"/>
      <c r="M490" s="107"/>
      <c r="N490" s="107"/>
      <c r="O490" s="107"/>
      <c r="P490" s="107"/>
      <c r="Q490" s="107"/>
      <c r="R490" s="107"/>
      <c r="S490" s="107"/>
      <c r="T490" s="107"/>
      <c r="U490" s="107"/>
      <c r="V490" s="107"/>
      <c r="W490" s="107"/>
      <c r="X490" s="107"/>
      <c r="Y490" s="107"/>
      <c r="Z490" s="107"/>
      <c r="AA490" s="107"/>
    </row>
    <row r="491">
      <c r="A491" s="110"/>
      <c r="B491" s="107"/>
      <c r="C491" s="107"/>
      <c r="D491" s="107"/>
      <c r="E491" s="107"/>
      <c r="F491" s="107"/>
      <c r="G491" s="107"/>
      <c r="H491" s="107"/>
      <c r="I491" s="107"/>
      <c r="J491" s="107"/>
      <c r="K491" s="107"/>
      <c r="L491" s="107"/>
      <c r="M491" s="107"/>
      <c r="N491" s="107"/>
      <c r="O491" s="107"/>
      <c r="P491" s="107"/>
      <c r="Q491" s="107"/>
      <c r="R491" s="107"/>
      <c r="S491" s="107"/>
      <c r="T491" s="107"/>
      <c r="U491" s="107"/>
      <c r="V491" s="107"/>
      <c r="W491" s="107"/>
      <c r="X491" s="107"/>
      <c r="Y491" s="107"/>
      <c r="Z491" s="107"/>
      <c r="AA491" s="107"/>
    </row>
    <row r="492">
      <c r="A492" s="110"/>
      <c r="B492" s="107"/>
      <c r="C492" s="107"/>
      <c r="D492" s="107"/>
      <c r="E492" s="107"/>
      <c r="F492" s="107"/>
      <c r="G492" s="107"/>
      <c r="H492" s="107"/>
      <c r="I492" s="107"/>
      <c r="J492" s="107"/>
      <c r="K492" s="107"/>
      <c r="L492" s="107"/>
      <c r="M492" s="107"/>
      <c r="N492" s="107"/>
      <c r="O492" s="107"/>
      <c r="P492" s="107"/>
      <c r="Q492" s="107"/>
      <c r="R492" s="107"/>
      <c r="S492" s="107"/>
      <c r="T492" s="107"/>
      <c r="U492" s="107"/>
      <c r="V492" s="107"/>
      <c r="W492" s="107"/>
      <c r="X492" s="107"/>
      <c r="Y492" s="107"/>
      <c r="Z492" s="107"/>
      <c r="AA492" s="107"/>
    </row>
    <row r="493">
      <c r="A493" s="110"/>
      <c r="B493" s="107"/>
      <c r="C493" s="107"/>
      <c r="D493" s="107"/>
      <c r="E493" s="107"/>
      <c r="F493" s="107"/>
      <c r="G493" s="107"/>
      <c r="H493" s="107"/>
      <c r="I493" s="107"/>
      <c r="J493" s="107"/>
      <c r="K493" s="107"/>
      <c r="L493" s="107"/>
      <c r="M493" s="107"/>
      <c r="N493" s="107"/>
      <c r="O493" s="107"/>
      <c r="P493" s="107"/>
      <c r="Q493" s="107"/>
      <c r="R493" s="107"/>
      <c r="S493" s="107"/>
      <c r="T493" s="107"/>
      <c r="U493" s="107"/>
      <c r="V493" s="107"/>
      <c r="W493" s="107"/>
      <c r="X493" s="107"/>
      <c r="Y493" s="107"/>
      <c r="Z493" s="107"/>
      <c r="AA493" s="107"/>
    </row>
    <row r="494">
      <c r="A494" s="110"/>
      <c r="B494" s="107"/>
      <c r="C494" s="107"/>
      <c r="D494" s="107"/>
      <c r="E494" s="107"/>
      <c r="F494" s="107"/>
      <c r="G494" s="107"/>
      <c r="H494" s="107"/>
      <c r="I494" s="107"/>
      <c r="J494" s="107"/>
      <c r="K494" s="107"/>
      <c r="L494" s="107"/>
      <c r="M494" s="107"/>
      <c r="N494" s="107"/>
      <c r="O494" s="107"/>
      <c r="P494" s="107"/>
      <c r="Q494" s="107"/>
      <c r="R494" s="107"/>
      <c r="S494" s="107"/>
      <c r="T494" s="107"/>
      <c r="U494" s="107"/>
      <c r="V494" s="107"/>
      <c r="W494" s="107"/>
      <c r="X494" s="107"/>
      <c r="Y494" s="107"/>
      <c r="Z494" s="107"/>
      <c r="AA494" s="107"/>
    </row>
    <row r="495">
      <c r="A495" s="110"/>
      <c r="B495" s="107"/>
      <c r="C495" s="107"/>
      <c r="D495" s="107"/>
      <c r="E495" s="107"/>
      <c r="F495" s="107"/>
      <c r="G495" s="107"/>
      <c r="H495" s="107"/>
      <c r="I495" s="107"/>
      <c r="J495" s="107"/>
      <c r="K495" s="107"/>
      <c r="L495" s="107"/>
      <c r="M495" s="107"/>
      <c r="N495" s="107"/>
      <c r="O495" s="107"/>
      <c r="P495" s="107"/>
      <c r="Q495" s="107"/>
      <c r="R495" s="107"/>
      <c r="S495" s="107"/>
      <c r="T495" s="107"/>
      <c r="U495" s="107"/>
      <c r="V495" s="107"/>
      <c r="W495" s="107"/>
      <c r="X495" s="107"/>
      <c r="Y495" s="107"/>
      <c r="Z495" s="107"/>
      <c r="AA495" s="107"/>
    </row>
    <row r="496">
      <c r="A496" s="110"/>
      <c r="B496" s="107"/>
      <c r="C496" s="107"/>
      <c r="D496" s="107"/>
      <c r="E496" s="107"/>
      <c r="F496" s="107"/>
      <c r="G496" s="107"/>
      <c r="H496" s="107"/>
      <c r="I496" s="107"/>
      <c r="J496" s="107"/>
      <c r="K496" s="107"/>
      <c r="L496" s="107"/>
      <c r="M496" s="107"/>
      <c r="N496" s="107"/>
      <c r="O496" s="107"/>
      <c r="P496" s="107"/>
      <c r="Q496" s="107"/>
      <c r="R496" s="107"/>
      <c r="S496" s="107"/>
      <c r="T496" s="107"/>
      <c r="U496" s="107"/>
      <c r="V496" s="107"/>
      <c r="W496" s="107"/>
      <c r="X496" s="107"/>
      <c r="Y496" s="107"/>
      <c r="Z496" s="107"/>
      <c r="AA496" s="107"/>
    </row>
    <row r="497">
      <c r="A497" s="110"/>
      <c r="B497" s="107"/>
      <c r="C497" s="107"/>
      <c r="D497" s="107"/>
      <c r="E497" s="107"/>
      <c r="F497" s="107"/>
      <c r="G497" s="107"/>
      <c r="H497" s="107"/>
      <c r="I497" s="107"/>
      <c r="J497" s="107"/>
      <c r="K497" s="107"/>
      <c r="L497" s="107"/>
      <c r="M497" s="107"/>
      <c r="N497" s="107"/>
      <c r="O497" s="107"/>
      <c r="P497" s="107"/>
      <c r="Q497" s="107"/>
      <c r="R497" s="107"/>
      <c r="S497" s="107"/>
      <c r="T497" s="107"/>
      <c r="U497" s="107"/>
      <c r="V497" s="107"/>
      <c r="W497" s="107"/>
      <c r="X497" s="107"/>
      <c r="Y497" s="107"/>
      <c r="Z497" s="107"/>
      <c r="AA497" s="107"/>
    </row>
    <row r="498">
      <c r="A498" s="110"/>
      <c r="B498" s="107"/>
      <c r="C498" s="107"/>
      <c r="D498" s="107"/>
      <c r="E498" s="107"/>
      <c r="F498" s="107"/>
      <c r="G498" s="107"/>
      <c r="H498" s="107"/>
      <c r="I498" s="107"/>
      <c r="J498" s="107"/>
      <c r="K498" s="107"/>
      <c r="L498" s="107"/>
      <c r="M498" s="107"/>
      <c r="N498" s="107"/>
      <c r="O498" s="107"/>
      <c r="P498" s="107"/>
      <c r="Q498" s="107"/>
      <c r="R498" s="107"/>
      <c r="S498" s="107"/>
      <c r="T498" s="107"/>
      <c r="U498" s="107"/>
      <c r="V498" s="107"/>
      <c r="W498" s="107"/>
      <c r="X498" s="107"/>
      <c r="Y498" s="107"/>
      <c r="Z498" s="107"/>
      <c r="AA498" s="107"/>
    </row>
    <row r="499">
      <c r="A499" s="110"/>
      <c r="B499" s="107"/>
      <c r="C499" s="107"/>
      <c r="D499" s="107"/>
      <c r="E499" s="107"/>
      <c r="F499" s="107"/>
      <c r="G499" s="107"/>
      <c r="H499" s="107"/>
      <c r="I499" s="107"/>
      <c r="J499" s="107"/>
      <c r="K499" s="107"/>
      <c r="L499" s="107"/>
      <c r="M499" s="107"/>
      <c r="N499" s="107"/>
      <c r="O499" s="107"/>
      <c r="P499" s="107"/>
      <c r="Q499" s="107"/>
      <c r="R499" s="107"/>
      <c r="S499" s="107"/>
      <c r="T499" s="107"/>
      <c r="U499" s="107"/>
      <c r="V499" s="107"/>
      <c r="W499" s="107"/>
      <c r="X499" s="107"/>
      <c r="Y499" s="107"/>
      <c r="Z499" s="107"/>
      <c r="AA499" s="107"/>
    </row>
    <row r="500">
      <c r="A500" s="110"/>
      <c r="B500" s="107"/>
      <c r="C500" s="107"/>
      <c r="D500" s="107"/>
      <c r="E500" s="107"/>
      <c r="F500" s="107"/>
      <c r="G500" s="107"/>
      <c r="H500" s="107"/>
      <c r="I500" s="107"/>
      <c r="J500" s="107"/>
      <c r="K500" s="107"/>
      <c r="L500" s="107"/>
      <c r="M500" s="107"/>
      <c r="N500" s="107"/>
      <c r="O500" s="107"/>
      <c r="P500" s="107"/>
      <c r="Q500" s="107"/>
      <c r="R500" s="107"/>
      <c r="S500" s="107"/>
      <c r="T500" s="107"/>
      <c r="U500" s="107"/>
      <c r="V500" s="107"/>
      <c r="W500" s="107"/>
      <c r="X500" s="107"/>
      <c r="Y500" s="107"/>
      <c r="Z500" s="107"/>
      <c r="AA500" s="107"/>
    </row>
    <row r="501">
      <c r="A501" s="110"/>
      <c r="B501" s="107"/>
      <c r="C501" s="107"/>
      <c r="D501" s="107"/>
      <c r="E501" s="107"/>
      <c r="F501" s="107"/>
      <c r="G501" s="107"/>
      <c r="H501" s="107"/>
      <c r="I501" s="107"/>
      <c r="J501" s="107"/>
      <c r="K501" s="107"/>
      <c r="L501" s="107"/>
      <c r="M501" s="107"/>
      <c r="N501" s="107"/>
      <c r="O501" s="107"/>
      <c r="P501" s="107"/>
      <c r="Q501" s="107"/>
      <c r="R501" s="107"/>
      <c r="S501" s="107"/>
      <c r="T501" s="107"/>
      <c r="U501" s="107"/>
      <c r="V501" s="107"/>
      <c r="W501" s="107"/>
      <c r="X501" s="107"/>
      <c r="Y501" s="107"/>
      <c r="Z501" s="107"/>
      <c r="AA501" s="107"/>
    </row>
    <row r="502">
      <c r="A502" s="110"/>
      <c r="B502" s="107"/>
      <c r="C502" s="107"/>
      <c r="D502" s="107"/>
      <c r="E502" s="107"/>
      <c r="F502" s="107"/>
      <c r="G502" s="107"/>
      <c r="H502" s="107"/>
      <c r="I502" s="107"/>
      <c r="J502" s="107"/>
      <c r="K502" s="107"/>
      <c r="L502" s="107"/>
      <c r="M502" s="107"/>
      <c r="N502" s="107"/>
      <c r="O502" s="107"/>
      <c r="P502" s="107"/>
      <c r="Q502" s="107"/>
      <c r="R502" s="107"/>
      <c r="S502" s="107"/>
      <c r="T502" s="107"/>
      <c r="U502" s="107"/>
      <c r="V502" s="107"/>
      <c r="W502" s="107"/>
      <c r="X502" s="107"/>
      <c r="Y502" s="107"/>
      <c r="Z502" s="107"/>
      <c r="AA502" s="107"/>
    </row>
    <row r="503">
      <c r="A503" s="110"/>
      <c r="B503" s="107"/>
      <c r="C503" s="107"/>
      <c r="D503" s="107"/>
      <c r="E503" s="107"/>
      <c r="F503" s="107"/>
      <c r="G503" s="107"/>
      <c r="H503" s="107"/>
      <c r="I503" s="107"/>
      <c r="J503" s="107"/>
      <c r="K503" s="107"/>
      <c r="L503" s="107"/>
      <c r="M503" s="107"/>
      <c r="N503" s="107"/>
      <c r="O503" s="107"/>
      <c r="P503" s="107"/>
      <c r="Q503" s="107"/>
      <c r="R503" s="107"/>
      <c r="S503" s="107"/>
      <c r="T503" s="107"/>
      <c r="U503" s="107"/>
      <c r="V503" s="107"/>
      <c r="W503" s="107"/>
      <c r="X503" s="107"/>
      <c r="Y503" s="107"/>
      <c r="Z503" s="107"/>
      <c r="AA503" s="107"/>
    </row>
    <row r="504">
      <c r="A504" s="110"/>
      <c r="B504" s="107"/>
      <c r="C504" s="107"/>
      <c r="D504" s="107"/>
      <c r="E504" s="107"/>
      <c r="F504" s="107"/>
      <c r="G504" s="107"/>
      <c r="H504" s="107"/>
      <c r="I504" s="107"/>
      <c r="J504" s="107"/>
      <c r="K504" s="107"/>
      <c r="L504" s="107"/>
      <c r="M504" s="107"/>
      <c r="N504" s="107"/>
      <c r="O504" s="107"/>
      <c r="P504" s="107"/>
      <c r="Q504" s="107"/>
      <c r="R504" s="107"/>
      <c r="S504" s="107"/>
      <c r="T504" s="107"/>
      <c r="U504" s="107"/>
      <c r="V504" s="107"/>
      <c r="W504" s="107"/>
      <c r="X504" s="107"/>
      <c r="Y504" s="107"/>
      <c r="Z504" s="107"/>
      <c r="AA504" s="107"/>
    </row>
    <row r="505">
      <c r="A505" s="110"/>
      <c r="B505" s="107"/>
      <c r="C505" s="107"/>
      <c r="D505" s="107"/>
      <c r="E505" s="107"/>
      <c r="F505" s="107"/>
      <c r="G505" s="107"/>
      <c r="H505" s="107"/>
      <c r="I505" s="107"/>
      <c r="J505" s="107"/>
      <c r="K505" s="107"/>
      <c r="L505" s="107"/>
      <c r="M505" s="107"/>
      <c r="N505" s="107"/>
      <c r="O505" s="107"/>
      <c r="P505" s="107"/>
      <c r="Q505" s="107"/>
      <c r="R505" s="107"/>
      <c r="S505" s="107"/>
      <c r="T505" s="107"/>
      <c r="U505" s="107"/>
      <c r="V505" s="107"/>
      <c r="W505" s="107"/>
      <c r="X505" s="107"/>
      <c r="Y505" s="107"/>
      <c r="Z505" s="107"/>
      <c r="AA505" s="107"/>
    </row>
    <row r="506">
      <c r="A506" s="110"/>
      <c r="B506" s="107"/>
      <c r="C506" s="107"/>
      <c r="D506" s="107"/>
      <c r="E506" s="107"/>
      <c r="F506" s="107"/>
      <c r="G506" s="107"/>
      <c r="H506" s="107"/>
      <c r="I506" s="107"/>
      <c r="J506" s="107"/>
      <c r="K506" s="107"/>
      <c r="L506" s="107"/>
      <c r="M506" s="107"/>
      <c r="N506" s="107"/>
      <c r="O506" s="107"/>
      <c r="P506" s="107"/>
      <c r="Q506" s="107"/>
      <c r="R506" s="107"/>
      <c r="S506" s="107"/>
      <c r="T506" s="107"/>
      <c r="U506" s="107"/>
      <c r="V506" s="107"/>
      <c r="W506" s="107"/>
      <c r="X506" s="107"/>
      <c r="Y506" s="107"/>
      <c r="Z506" s="107"/>
      <c r="AA506" s="107"/>
    </row>
    <row r="507">
      <c r="A507" s="110"/>
      <c r="B507" s="107"/>
      <c r="C507" s="107"/>
      <c r="D507" s="107"/>
      <c r="E507" s="107"/>
      <c r="F507" s="107"/>
      <c r="G507" s="107"/>
      <c r="H507" s="107"/>
      <c r="I507" s="107"/>
      <c r="J507" s="107"/>
      <c r="K507" s="107"/>
      <c r="L507" s="107"/>
      <c r="M507" s="107"/>
      <c r="N507" s="107"/>
      <c r="O507" s="107"/>
      <c r="P507" s="107"/>
      <c r="Q507" s="107"/>
      <c r="R507" s="107"/>
      <c r="S507" s="107"/>
      <c r="T507" s="107"/>
      <c r="U507" s="107"/>
      <c r="V507" s="107"/>
      <c r="W507" s="107"/>
      <c r="X507" s="107"/>
      <c r="Y507" s="107"/>
      <c r="Z507" s="107"/>
      <c r="AA507" s="107"/>
    </row>
    <row r="508">
      <c r="A508" s="110"/>
      <c r="B508" s="107"/>
      <c r="C508" s="107"/>
      <c r="D508" s="107"/>
      <c r="E508" s="107"/>
      <c r="F508" s="107"/>
      <c r="G508" s="107"/>
      <c r="H508" s="107"/>
      <c r="I508" s="107"/>
      <c r="J508" s="107"/>
      <c r="K508" s="107"/>
      <c r="L508" s="107"/>
      <c r="M508" s="107"/>
      <c r="N508" s="107"/>
      <c r="O508" s="107"/>
      <c r="P508" s="107"/>
      <c r="Q508" s="107"/>
      <c r="R508" s="107"/>
      <c r="S508" s="107"/>
      <c r="T508" s="107"/>
      <c r="U508" s="107"/>
      <c r="V508" s="107"/>
      <c r="W508" s="107"/>
      <c r="X508" s="107"/>
      <c r="Y508" s="107"/>
      <c r="Z508" s="107"/>
      <c r="AA508" s="107"/>
    </row>
    <row r="509">
      <c r="A509" s="110"/>
      <c r="B509" s="107"/>
      <c r="C509" s="107"/>
      <c r="D509" s="107"/>
      <c r="E509" s="107"/>
      <c r="F509" s="107"/>
      <c r="G509" s="107"/>
      <c r="H509" s="107"/>
      <c r="I509" s="107"/>
      <c r="J509" s="107"/>
      <c r="K509" s="107"/>
      <c r="L509" s="107"/>
      <c r="M509" s="107"/>
      <c r="N509" s="107"/>
      <c r="O509" s="107"/>
      <c r="P509" s="107"/>
      <c r="Q509" s="107"/>
      <c r="R509" s="107"/>
      <c r="S509" s="107"/>
      <c r="T509" s="107"/>
      <c r="U509" s="107"/>
      <c r="V509" s="107"/>
      <c r="W509" s="107"/>
      <c r="X509" s="107"/>
      <c r="Y509" s="107"/>
      <c r="Z509" s="107"/>
      <c r="AA509" s="107"/>
    </row>
    <row r="510">
      <c r="A510" s="110"/>
      <c r="B510" s="107"/>
      <c r="C510" s="107"/>
      <c r="D510" s="107"/>
      <c r="E510" s="107"/>
      <c r="F510" s="107"/>
      <c r="G510" s="107"/>
      <c r="H510" s="107"/>
      <c r="I510" s="107"/>
      <c r="J510" s="107"/>
      <c r="K510" s="107"/>
      <c r="L510" s="107"/>
      <c r="M510" s="107"/>
      <c r="N510" s="107"/>
      <c r="O510" s="107"/>
      <c r="P510" s="107"/>
      <c r="Q510" s="107"/>
      <c r="R510" s="107"/>
      <c r="S510" s="107"/>
      <c r="T510" s="107"/>
      <c r="U510" s="107"/>
      <c r="V510" s="107"/>
      <c r="W510" s="107"/>
      <c r="X510" s="107"/>
      <c r="Y510" s="107"/>
      <c r="Z510" s="107"/>
      <c r="AA510" s="107"/>
    </row>
    <row r="511">
      <c r="A511" s="110"/>
      <c r="B511" s="107"/>
      <c r="C511" s="107"/>
      <c r="D511" s="107"/>
      <c r="E511" s="107"/>
      <c r="F511" s="107"/>
      <c r="G511" s="107"/>
      <c r="H511" s="107"/>
      <c r="I511" s="107"/>
      <c r="J511" s="107"/>
      <c r="K511" s="107"/>
      <c r="L511" s="107"/>
      <c r="M511" s="107"/>
      <c r="N511" s="107"/>
      <c r="O511" s="107"/>
      <c r="P511" s="107"/>
      <c r="Q511" s="107"/>
      <c r="R511" s="107"/>
      <c r="S511" s="107"/>
      <c r="T511" s="107"/>
      <c r="U511" s="107"/>
      <c r="V511" s="107"/>
      <c r="W511" s="107"/>
      <c r="X511" s="107"/>
      <c r="Y511" s="107"/>
      <c r="Z511" s="107"/>
      <c r="AA511" s="107"/>
    </row>
    <row r="512">
      <c r="A512" s="110"/>
      <c r="B512" s="107"/>
      <c r="C512" s="107"/>
      <c r="D512" s="107"/>
      <c r="E512" s="107"/>
      <c r="F512" s="107"/>
      <c r="G512" s="107"/>
      <c r="H512" s="107"/>
      <c r="I512" s="107"/>
      <c r="J512" s="107"/>
      <c r="K512" s="107"/>
      <c r="L512" s="107"/>
      <c r="M512" s="107"/>
      <c r="N512" s="107"/>
      <c r="O512" s="107"/>
      <c r="P512" s="107"/>
      <c r="Q512" s="107"/>
      <c r="R512" s="107"/>
      <c r="S512" s="107"/>
      <c r="T512" s="107"/>
      <c r="U512" s="107"/>
      <c r="V512" s="107"/>
      <c r="W512" s="107"/>
      <c r="X512" s="107"/>
      <c r="Y512" s="107"/>
      <c r="Z512" s="107"/>
      <c r="AA512" s="107"/>
    </row>
    <row r="513">
      <c r="A513" s="110"/>
      <c r="B513" s="107"/>
      <c r="C513" s="107"/>
      <c r="D513" s="107"/>
      <c r="E513" s="107"/>
      <c r="F513" s="107"/>
      <c r="G513" s="107"/>
      <c r="H513" s="107"/>
      <c r="I513" s="107"/>
      <c r="J513" s="107"/>
      <c r="K513" s="107"/>
      <c r="L513" s="107"/>
      <c r="M513" s="107"/>
      <c r="N513" s="107"/>
      <c r="O513" s="107"/>
      <c r="P513" s="107"/>
      <c r="Q513" s="107"/>
      <c r="R513" s="107"/>
      <c r="S513" s="107"/>
      <c r="T513" s="107"/>
      <c r="U513" s="107"/>
      <c r="V513" s="107"/>
      <c r="W513" s="107"/>
      <c r="X513" s="107"/>
      <c r="Y513" s="107"/>
      <c r="Z513" s="107"/>
      <c r="AA513" s="107"/>
    </row>
    <row r="514">
      <c r="A514" s="110"/>
      <c r="B514" s="107"/>
      <c r="C514" s="107"/>
      <c r="D514" s="107"/>
      <c r="E514" s="107"/>
      <c r="F514" s="107"/>
      <c r="G514" s="107"/>
      <c r="H514" s="107"/>
      <c r="I514" s="107"/>
      <c r="J514" s="107"/>
      <c r="K514" s="107"/>
      <c r="L514" s="107"/>
      <c r="M514" s="107"/>
      <c r="N514" s="107"/>
      <c r="O514" s="107"/>
      <c r="P514" s="107"/>
      <c r="Q514" s="107"/>
      <c r="R514" s="107"/>
      <c r="S514" s="107"/>
      <c r="T514" s="107"/>
      <c r="U514" s="107"/>
      <c r="V514" s="107"/>
      <c r="W514" s="107"/>
      <c r="X514" s="107"/>
      <c r="Y514" s="107"/>
      <c r="Z514" s="107"/>
      <c r="AA514" s="107"/>
    </row>
    <row r="515">
      <c r="A515" s="110"/>
      <c r="B515" s="107"/>
      <c r="C515" s="107"/>
      <c r="D515" s="107"/>
      <c r="E515" s="107"/>
      <c r="F515" s="107"/>
      <c r="G515" s="107"/>
      <c r="H515" s="107"/>
      <c r="I515" s="107"/>
      <c r="J515" s="107"/>
      <c r="K515" s="107"/>
      <c r="L515" s="107"/>
      <c r="M515" s="107"/>
      <c r="N515" s="107"/>
      <c r="O515" s="107"/>
      <c r="P515" s="107"/>
      <c r="Q515" s="107"/>
      <c r="R515" s="107"/>
      <c r="S515" s="107"/>
      <c r="T515" s="107"/>
      <c r="U515" s="107"/>
      <c r="V515" s="107"/>
      <c r="W515" s="107"/>
      <c r="X515" s="107"/>
      <c r="Y515" s="107"/>
      <c r="Z515" s="107"/>
      <c r="AA515" s="107"/>
    </row>
    <row r="516">
      <c r="A516" s="110"/>
      <c r="B516" s="107"/>
      <c r="C516" s="107"/>
      <c r="D516" s="107"/>
      <c r="E516" s="107"/>
      <c r="F516" s="107"/>
      <c r="G516" s="107"/>
      <c r="H516" s="107"/>
      <c r="I516" s="107"/>
      <c r="J516" s="107"/>
      <c r="K516" s="107"/>
      <c r="L516" s="107"/>
      <c r="M516" s="107"/>
      <c r="N516" s="107"/>
      <c r="O516" s="107"/>
      <c r="P516" s="107"/>
      <c r="Q516" s="107"/>
      <c r="R516" s="107"/>
      <c r="S516" s="107"/>
      <c r="T516" s="107"/>
      <c r="U516" s="107"/>
      <c r="V516" s="107"/>
      <c r="W516" s="107"/>
      <c r="X516" s="107"/>
      <c r="Y516" s="107"/>
      <c r="Z516" s="107"/>
      <c r="AA516" s="107"/>
    </row>
    <row r="517">
      <c r="A517" s="110"/>
      <c r="B517" s="107"/>
      <c r="C517" s="107"/>
      <c r="D517" s="107"/>
      <c r="E517" s="107"/>
      <c r="F517" s="107"/>
      <c r="G517" s="107"/>
      <c r="H517" s="107"/>
      <c r="I517" s="107"/>
      <c r="J517" s="107"/>
      <c r="K517" s="107"/>
      <c r="L517" s="107"/>
      <c r="M517" s="107"/>
      <c r="N517" s="107"/>
      <c r="O517" s="107"/>
      <c r="P517" s="107"/>
      <c r="Q517" s="107"/>
      <c r="R517" s="107"/>
      <c r="S517" s="107"/>
      <c r="T517" s="107"/>
      <c r="U517" s="107"/>
      <c r="V517" s="107"/>
      <c r="W517" s="107"/>
      <c r="X517" s="107"/>
      <c r="Y517" s="107"/>
      <c r="Z517" s="107"/>
      <c r="AA517" s="107"/>
    </row>
    <row r="518">
      <c r="A518" s="110"/>
      <c r="B518" s="107"/>
      <c r="C518" s="107"/>
      <c r="D518" s="107"/>
      <c r="E518" s="107"/>
      <c r="F518" s="107"/>
      <c r="G518" s="107"/>
      <c r="H518" s="107"/>
      <c r="I518" s="107"/>
      <c r="J518" s="107"/>
      <c r="K518" s="107"/>
      <c r="L518" s="107"/>
      <c r="M518" s="107"/>
      <c r="N518" s="107"/>
      <c r="O518" s="107"/>
      <c r="P518" s="107"/>
      <c r="Q518" s="107"/>
      <c r="R518" s="107"/>
      <c r="S518" s="107"/>
      <c r="T518" s="107"/>
      <c r="U518" s="107"/>
      <c r="V518" s="107"/>
      <c r="W518" s="107"/>
      <c r="X518" s="107"/>
      <c r="Y518" s="107"/>
      <c r="Z518" s="107"/>
      <c r="AA518" s="107"/>
    </row>
    <row r="519">
      <c r="A519" s="110"/>
      <c r="B519" s="107"/>
      <c r="C519" s="107"/>
      <c r="D519" s="107"/>
      <c r="E519" s="107"/>
      <c r="F519" s="107"/>
      <c r="G519" s="107"/>
      <c r="H519" s="107"/>
      <c r="I519" s="107"/>
      <c r="J519" s="107"/>
      <c r="K519" s="107"/>
      <c r="L519" s="107"/>
      <c r="M519" s="107"/>
      <c r="N519" s="107"/>
      <c r="O519" s="107"/>
      <c r="P519" s="107"/>
      <c r="Q519" s="107"/>
      <c r="R519" s="107"/>
      <c r="S519" s="107"/>
      <c r="T519" s="107"/>
      <c r="U519" s="107"/>
      <c r="V519" s="107"/>
      <c r="W519" s="107"/>
      <c r="X519" s="107"/>
      <c r="Y519" s="107"/>
      <c r="Z519" s="107"/>
      <c r="AA519" s="107"/>
    </row>
    <row r="520">
      <c r="A520" s="110"/>
      <c r="B520" s="107"/>
      <c r="C520" s="107"/>
      <c r="D520" s="107"/>
      <c r="E520" s="107"/>
      <c r="F520" s="107"/>
      <c r="G520" s="107"/>
      <c r="H520" s="107"/>
      <c r="I520" s="107"/>
      <c r="J520" s="107"/>
      <c r="K520" s="107"/>
      <c r="L520" s="107"/>
      <c r="M520" s="107"/>
      <c r="N520" s="107"/>
      <c r="O520" s="107"/>
      <c r="P520" s="107"/>
      <c r="Q520" s="107"/>
      <c r="R520" s="107"/>
      <c r="S520" s="107"/>
      <c r="T520" s="107"/>
      <c r="U520" s="107"/>
      <c r="V520" s="107"/>
      <c r="W520" s="107"/>
      <c r="X520" s="107"/>
      <c r="Y520" s="107"/>
      <c r="Z520" s="107"/>
      <c r="AA520" s="107"/>
    </row>
    <row r="521">
      <c r="A521" s="110"/>
      <c r="B521" s="107"/>
      <c r="C521" s="107"/>
      <c r="D521" s="107"/>
      <c r="E521" s="107"/>
      <c r="F521" s="107"/>
      <c r="G521" s="107"/>
      <c r="H521" s="107"/>
      <c r="I521" s="107"/>
      <c r="J521" s="107"/>
      <c r="K521" s="107"/>
      <c r="L521" s="107"/>
      <c r="M521" s="107"/>
      <c r="N521" s="107"/>
      <c r="O521" s="107"/>
      <c r="P521" s="107"/>
      <c r="Q521" s="107"/>
      <c r="R521" s="107"/>
      <c r="S521" s="107"/>
      <c r="T521" s="107"/>
      <c r="U521" s="107"/>
      <c r="V521" s="107"/>
      <c r="W521" s="107"/>
      <c r="X521" s="107"/>
      <c r="Y521" s="107"/>
      <c r="Z521" s="107"/>
      <c r="AA521" s="107"/>
    </row>
    <row r="522">
      <c r="A522" s="110"/>
      <c r="B522" s="107"/>
      <c r="C522" s="107"/>
      <c r="D522" s="107"/>
      <c r="E522" s="107"/>
      <c r="F522" s="107"/>
      <c r="G522" s="107"/>
      <c r="H522" s="107"/>
      <c r="I522" s="107"/>
      <c r="J522" s="107"/>
      <c r="K522" s="107"/>
      <c r="L522" s="107"/>
      <c r="M522" s="107"/>
      <c r="N522" s="107"/>
      <c r="O522" s="107"/>
      <c r="P522" s="107"/>
      <c r="Q522" s="107"/>
      <c r="R522" s="107"/>
      <c r="S522" s="107"/>
      <c r="T522" s="107"/>
      <c r="U522" s="107"/>
      <c r="V522" s="107"/>
      <c r="W522" s="107"/>
      <c r="X522" s="107"/>
      <c r="Y522" s="107"/>
      <c r="Z522" s="107"/>
      <c r="AA522" s="107"/>
    </row>
    <row r="523">
      <c r="A523" s="110"/>
      <c r="B523" s="107"/>
      <c r="C523" s="107"/>
      <c r="D523" s="107"/>
      <c r="E523" s="107"/>
      <c r="F523" s="107"/>
      <c r="G523" s="107"/>
      <c r="H523" s="107"/>
      <c r="I523" s="107"/>
      <c r="J523" s="107"/>
      <c r="K523" s="107"/>
      <c r="L523" s="107"/>
      <c r="M523" s="107"/>
      <c r="N523" s="107"/>
      <c r="O523" s="107"/>
      <c r="P523" s="107"/>
      <c r="Q523" s="107"/>
      <c r="R523" s="107"/>
      <c r="S523" s="107"/>
      <c r="T523" s="107"/>
      <c r="U523" s="107"/>
      <c r="V523" s="107"/>
      <c r="W523" s="107"/>
      <c r="X523" s="107"/>
      <c r="Y523" s="107"/>
      <c r="Z523" s="107"/>
      <c r="AA523" s="107"/>
    </row>
    <row r="524">
      <c r="A524" s="110"/>
      <c r="B524" s="107"/>
      <c r="C524" s="107"/>
      <c r="D524" s="107"/>
      <c r="E524" s="107"/>
      <c r="F524" s="107"/>
      <c r="G524" s="107"/>
      <c r="H524" s="107"/>
      <c r="I524" s="107"/>
      <c r="J524" s="107"/>
      <c r="K524" s="107"/>
      <c r="L524" s="107"/>
      <c r="M524" s="107"/>
      <c r="N524" s="107"/>
      <c r="O524" s="107"/>
      <c r="P524" s="107"/>
      <c r="Q524" s="107"/>
      <c r="R524" s="107"/>
      <c r="S524" s="107"/>
      <c r="T524" s="107"/>
      <c r="U524" s="107"/>
      <c r="V524" s="107"/>
      <c r="W524" s="107"/>
      <c r="X524" s="107"/>
      <c r="Y524" s="107"/>
      <c r="Z524" s="107"/>
      <c r="AA524" s="107"/>
    </row>
    <row r="525">
      <c r="A525" s="110"/>
      <c r="B525" s="107"/>
      <c r="C525" s="107"/>
      <c r="D525" s="107"/>
      <c r="E525" s="107"/>
      <c r="F525" s="107"/>
      <c r="G525" s="107"/>
      <c r="H525" s="107"/>
      <c r="I525" s="107"/>
      <c r="J525" s="107"/>
      <c r="K525" s="107"/>
      <c r="L525" s="107"/>
      <c r="M525" s="107"/>
      <c r="N525" s="107"/>
      <c r="O525" s="107"/>
      <c r="P525" s="107"/>
      <c r="Q525" s="107"/>
      <c r="R525" s="107"/>
      <c r="S525" s="107"/>
      <c r="T525" s="107"/>
      <c r="U525" s="107"/>
      <c r="V525" s="107"/>
      <c r="W525" s="107"/>
      <c r="X525" s="107"/>
      <c r="Y525" s="107"/>
      <c r="Z525" s="107"/>
      <c r="AA525" s="107"/>
    </row>
    <row r="526">
      <c r="A526" s="110"/>
      <c r="B526" s="107"/>
      <c r="C526" s="107"/>
      <c r="D526" s="107"/>
      <c r="E526" s="107"/>
      <c r="F526" s="107"/>
      <c r="G526" s="107"/>
      <c r="H526" s="107"/>
      <c r="I526" s="107"/>
      <c r="J526" s="107"/>
      <c r="K526" s="107"/>
      <c r="L526" s="107"/>
      <c r="M526" s="107"/>
      <c r="N526" s="107"/>
      <c r="O526" s="107"/>
      <c r="P526" s="107"/>
      <c r="Q526" s="107"/>
      <c r="R526" s="107"/>
      <c r="S526" s="107"/>
      <c r="T526" s="107"/>
      <c r="U526" s="107"/>
      <c r="V526" s="107"/>
      <c r="W526" s="107"/>
      <c r="X526" s="107"/>
      <c r="Y526" s="107"/>
      <c r="Z526" s="107"/>
      <c r="AA526" s="107"/>
    </row>
    <row r="527">
      <c r="A527" s="110"/>
      <c r="B527" s="107"/>
      <c r="C527" s="107"/>
      <c r="D527" s="107"/>
      <c r="E527" s="107"/>
      <c r="F527" s="107"/>
      <c r="G527" s="107"/>
      <c r="H527" s="107"/>
      <c r="I527" s="107"/>
      <c r="J527" s="107"/>
      <c r="K527" s="107"/>
      <c r="L527" s="107"/>
      <c r="M527" s="107"/>
      <c r="N527" s="107"/>
      <c r="O527" s="107"/>
      <c r="P527" s="107"/>
      <c r="Q527" s="107"/>
      <c r="R527" s="107"/>
      <c r="S527" s="107"/>
      <c r="T527" s="107"/>
      <c r="U527" s="107"/>
      <c r="V527" s="107"/>
      <c r="W527" s="107"/>
      <c r="X527" s="107"/>
      <c r="Y527" s="107"/>
      <c r="Z527" s="107"/>
      <c r="AA527" s="107"/>
    </row>
    <row r="528">
      <c r="A528" s="110"/>
      <c r="B528" s="107"/>
      <c r="C528" s="107"/>
      <c r="D528" s="107"/>
      <c r="E528" s="107"/>
      <c r="F528" s="107"/>
      <c r="G528" s="107"/>
      <c r="H528" s="107"/>
      <c r="I528" s="107"/>
      <c r="J528" s="107"/>
      <c r="K528" s="107"/>
      <c r="L528" s="107"/>
      <c r="M528" s="107"/>
      <c r="N528" s="107"/>
      <c r="O528" s="107"/>
      <c r="P528" s="107"/>
      <c r="Q528" s="107"/>
      <c r="R528" s="107"/>
      <c r="S528" s="107"/>
      <c r="T528" s="107"/>
      <c r="U528" s="107"/>
      <c r="V528" s="107"/>
      <c r="W528" s="107"/>
      <c r="X528" s="107"/>
      <c r="Y528" s="107"/>
      <c r="Z528" s="107"/>
      <c r="AA528" s="107"/>
    </row>
    <row r="529">
      <c r="A529" s="110"/>
      <c r="B529" s="107"/>
      <c r="C529" s="107"/>
      <c r="D529" s="107"/>
      <c r="E529" s="107"/>
      <c r="F529" s="107"/>
      <c r="G529" s="107"/>
      <c r="H529" s="107"/>
      <c r="I529" s="107"/>
      <c r="J529" s="107"/>
      <c r="K529" s="107"/>
      <c r="L529" s="107"/>
      <c r="M529" s="107"/>
      <c r="N529" s="107"/>
      <c r="O529" s="107"/>
      <c r="P529" s="107"/>
      <c r="Q529" s="107"/>
      <c r="R529" s="107"/>
      <c r="S529" s="107"/>
      <c r="T529" s="107"/>
      <c r="U529" s="107"/>
      <c r="V529" s="107"/>
      <c r="W529" s="107"/>
      <c r="X529" s="107"/>
      <c r="Y529" s="107"/>
      <c r="Z529" s="107"/>
      <c r="AA529" s="107"/>
    </row>
    <row r="530">
      <c r="A530" s="110"/>
      <c r="B530" s="107"/>
      <c r="C530" s="107"/>
      <c r="D530" s="107"/>
      <c r="E530" s="107"/>
      <c r="F530" s="107"/>
      <c r="G530" s="107"/>
      <c r="H530" s="107"/>
      <c r="I530" s="107"/>
      <c r="J530" s="107"/>
      <c r="K530" s="107"/>
      <c r="L530" s="107"/>
      <c r="M530" s="107"/>
      <c r="N530" s="107"/>
      <c r="O530" s="107"/>
      <c r="P530" s="107"/>
      <c r="Q530" s="107"/>
      <c r="R530" s="107"/>
      <c r="S530" s="107"/>
      <c r="T530" s="107"/>
      <c r="U530" s="107"/>
      <c r="V530" s="107"/>
      <c r="W530" s="107"/>
      <c r="X530" s="107"/>
      <c r="Y530" s="107"/>
      <c r="Z530" s="107"/>
      <c r="AA530" s="107"/>
    </row>
    <row r="531">
      <c r="A531" s="110"/>
      <c r="B531" s="107"/>
      <c r="C531" s="107"/>
      <c r="D531" s="107"/>
      <c r="E531" s="107"/>
      <c r="F531" s="107"/>
      <c r="G531" s="107"/>
      <c r="H531" s="107"/>
      <c r="I531" s="107"/>
      <c r="J531" s="107"/>
      <c r="K531" s="107"/>
      <c r="L531" s="107"/>
      <c r="M531" s="107"/>
      <c r="N531" s="107"/>
      <c r="O531" s="107"/>
      <c r="P531" s="107"/>
      <c r="Q531" s="107"/>
      <c r="R531" s="107"/>
      <c r="S531" s="107"/>
      <c r="T531" s="107"/>
      <c r="U531" s="107"/>
      <c r="V531" s="107"/>
      <c r="W531" s="107"/>
      <c r="X531" s="107"/>
      <c r="Y531" s="107"/>
      <c r="Z531" s="107"/>
      <c r="AA531" s="107"/>
    </row>
    <row r="532">
      <c r="A532" s="110"/>
      <c r="B532" s="107"/>
      <c r="C532" s="107"/>
      <c r="D532" s="107"/>
      <c r="E532" s="107"/>
      <c r="F532" s="107"/>
      <c r="G532" s="107"/>
      <c r="H532" s="107"/>
      <c r="I532" s="107"/>
      <c r="J532" s="107"/>
      <c r="K532" s="107"/>
      <c r="L532" s="107"/>
      <c r="M532" s="107"/>
      <c r="N532" s="107"/>
      <c r="O532" s="107"/>
      <c r="P532" s="107"/>
      <c r="Q532" s="107"/>
      <c r="R532" s="107"/>
      <c r="S532" s="107"/>
      <c r="T532" s="107"/>
      <c r="U532" s="107"/>
      <c r="V532" s="107"/>
      <c r="W532" s="107"/>
      <c r="X532" s="107"/>
      <c r="Y532" s="107"/>
      <c r="Z532" s="107"/>
      <c r="AA532" s="107"/>
    </row>
    <row r="533">
      <c r="A533" s="110"/>
      <c r="B533" s="107"/>
      <c r="C533" s="107"/>
      <c r="D533" s="107"/>
      <c r="E533" s="107"/>
      <c r="F533" s="107"/>
      <c r="G533" s="107"/>
      <c r="H533" s="107"/>
      <c r="I533" s="107"/>
      <c r="J533" s="107"/>
      <c r="K533" s="107"/>
      <c r="L533" s="107"/>
      <c r="M533" s="107"/>
      <c r="N533" s="107"/>
      <c r="O533" s="107"/>
      <c r="P533" s="107"/>
      <c r="Q533" s="107"/>
      <c r="R533" s="107"/>
      <c r="S533" s="107"/>
      <c r="T533" s="107"/>
      <c r="U533" s="107"/>
      <c r="V533" s="107"/>
      <c r="W533" s="107"/>
      <c r="X533" s="107"/>
      <c r="Y533" s="107"/>
      <c r="Z533" s="107"/>
      <c r="AA533" s="107"/>
    </row>
    <row r="534">
      <c r="A534" s="110"/>
      <c r="B534" s="107"/>
      <c r="C534" s="107"/>
      <c r="D534" s="107"/>
      <c r="E534" s="107"/>
      <c r="F534" s="107"/>
      <c r="G534" s="107"/>
      <c r="H534" s="107"/>
      <c r="I534" s="107"/>
      <c r="J534" s="107"/>
      <c r="K534" s="107"/>
      <c r="L534" s="107"/>
      <c r="M534" s="107"/>
      <c r="N534" s="107"/>
      <c r="O534" s="107"/>
      <c r="P534" s="107"/>
      <c r="Q534" s="107"/>
      <c r="R534" s="107"/>
      <c r="S534" s="107"/>
      <c r="T534" s="107"/>
      <c r="U534" s="107"/>
      <c r="V534" s="107"/>
      <c r="W534" s="107"/>
      <c r="X534" s="107"/>
      <c r="Y534" s="107"/>
      <c r="Z534" s="107"/>
      <c r="AA534" s="107"/>
    </row>
    <row r="535">
      <c r="A535" s="110"/>
      <c r="B535" s="107"/>
      <c r="C535" s="107"/>
      <c r="D535" s="107"/>
      <c r="E535" s="107"/>
      <c r="F535" s="107"/>
      <c r="G535" s="107"/>
      <c r="H535" s="107"/>
      <c r="I535" s="107"/>
      <c r="J535" s="107"/>
      <c r="K535" s="107"/>
      <c r="L535" s="107"/>
      <c r="M535" s="107"/>
      <c r="N535" s="107"/>
      <c r="O535" s="107"/>
      <c r="P535" s="107"/>
      <c r="Q535" s="107"/>
      <c r="R535" s="107"/>
      <c r="S535" s="107"/>
      <c r="T535" s="107"/>
      <c r="U535" s="107"/>
      <c r="V535" s="107"/>
      <c r="W535" s="107"/>
      <c r="X535" s="107"/>
      <c r="Y535" s="107"/>
      <c r="Z535" s="107"/>
      <c r="AA535" s="107"/>
    </row>
    <row r="536">
      <c r="A536" s="110"/>
      <c r="B536" s="107"/>
      <c r="C536" s="107"/>
      <c r="D536" s="107"/>
      <c r="E536" s="107"/>
      <c r="F536" s="107"/>
      <c r="G536" s="107"/>
      <c r="H536" s="107"/>
      <c r="I536" s="107"/>
      <c r="J536" s="107"/>
      <c r="K536" s="107"/>
      <c r="L536" s="107"/>
      <c r="M536" s="107"/>
      <c r="N536" s="107"/>
      <c r="O536" s="107"/>
      <c r="P536" s="107"/>
      <c r="Q536" s="107"/>
      <c r="R536" s="107"/>
      <c r="S536" s="107"/>
      <c r="T536" s="107"/>
      <c r="U536" s="107"/>
      <c r="V536" s="107"/>
      <c r="W536" s="107"/>
      <c r="X536" s="107"/>
      <c r="Y536" s="107"/>
      <c r="Z536" s="107"/>
      <c r="AA536" s="107"/>
    </row>
    <row r="537">
      <c r="A537" s="110"/>
      <c r="B537" s="107"/>
      <c r="C537" s="107"/>
      <c r="D537" s="107"/>
      <c r="E537" s="107"/>
      <c r="F537" s="107"/>
      <c r="G537" s="107"/>
      <c r="H537" s="107"/>
      <c r="I537" s="107"/>
      <c r="J537" s="107"/>
      <c r="K537" s="107"/>
      <c r="L537" s="107"/>
      <c r="M537" s="107"/>
      <c r="N537" s="107"/>
      <c r="O537" s="107"/>
      <c r="P537" s="107"/>
      <c r="Q537" s="107"/>
      <c r="R537" s="107"/>
      <c r="S537" s="107"/>
      <c r="T537" s="107"/>
      <c r="U537" s="107"/>
      <c r="V537" s="107"/>
      <c r="W537" s="107"/>
      <c r="X537" s="107"/>
      <c r="Y537" s="107"/>
      <c r="Z537" s="107"/>
      <c r="AA537" s="107"/>
    </row>
    <row r="538">
      <c r="A538" s="110"/>
      <c r="B538" s="107"/>
      <c r="C538" s="107"/>
      <c r="D538" s="107"/>
      <c r="E538" s="107"/>
      <c r="F538" s="107"/>
      <c r="G538" s="107"/>
      <c r="H538" s="107"/>
      <c r="I538" s="107"/>
      <c r="J538" s="107"/>
      <c r="K538" s="107"/>
      <c r="L538" s="107"/>
      <c r="M538" s="107"/>
      <c r="N538" s="107"/>
      <c r="O538" s="107"/>
      <c r="P538" s="107"/>
      <c r="Q538" s="107"/>
      <c r="R538" s="107"/>
      <c r="S538" s="107"/>
      <c r="T538" s="107"/>
      <c r="U538" s="107"/>
      <c r="V538" s="107"/>
      <c r="W538" s="107"/>
      <c r="X538" s="107"/>
      <c r="Y538" s="107"/>
      <c r="Z538" s="107"/>
      <c r="AA538" s="107"/>
    </row>
    <row r="539">
      <c r="A539" s="110"/>
      <c r="B539" s="107"/>
      <c r="C539" s="107"/>
      <c r="D539" s="107"/>
      <c r="E539" s="107"/>
      <c r="F539" s="107"/>
      <c r="G539" s="107"/>
      <c r="H539" s="107"/>
      <c r="I539" s="107"/>
      <c r="J539" s="107"/>
      <c r="K539" s="107"/>
      <c r="L539" s="107"/>
      <c r="M539" s="107"/>
      <c r="N539" s="107"/>
      <c r="O539" s="107"/>
      <c r="P539" s="107"/>
      <c r="Q539" s="107"/>
      <c r="R539" s="107"/>
      <c r="S539" s="107"/>
      <c r="T539" s="107"/>
      <c r="U539" s="107"/>
      <c r="V539" s="107"/>
      <c r="W539" s="107"/>
      <c r="X539" s="107"/>
      <c r="Y539" s="107"/>
      <c r="Z539" s="107"/>
      <c r="AA539" s="107"/>
    </row>
    <row r="540">
      <c r="A540" s="110"/>
      <c r="B540" s="107"/>
      <c r="C540" s="107"/>
      <c r="D540" s="107"/>
      <c r="E540" s="107"/>
      <c r="F540" s="107"/>
      <c r="G540" s="107"/>
      <c r="H540" s="107"/>
      <c r="I540" s="107"/>
      <c r="J540" s="107"/>
      <c r="K540" s="107"/>
      <c r="L540" s="107"/>
      <c r="M540" s="107"/>
      <c r="N540" s="107"/>
      <c r="O540" s="107"/>
      <c r="P540" s="107"/>
      <c r="Q540" s="107"/>
      <c r="R540" s="107"/>
      <c r="S540" s="107"/>
      <c r="T540" s="107"/>
      <c r="U540" s="107"/>
      <c r="V540" s="107"/>
      <c r="W540" s="107"/>
      <c r="X540" s="107"/>
      <c r="Y540" s="107"/>
      <c r="Z540" s="107"/>
      <c r="AA540" s="107"/>
    </row>
    <row r="541">
      <c r="A541" s="110"/>
      <c r="B541" s="107"/>
      <c r="C541" s="107"/>
      <c r="D541" s="107"/>
      <c r="E541" s="107"/>
      <c r="F541" s="107"/>
      <c r="G541" s="107"/>
      <c r="H541" s="107"/>
      <c r="I541" s="107"/>
      <c r="J541" s="107"/>
      <c r="K541" s="107"/>
      <c r="L541" s="107"/>
      <c r="M541" s="107"/>
      <c r="N541" s="107"/>
      <c r="O541" s="107"/>
      <c r="P541" s="107"/>
      <c r="Q541" s="107"/>
      <c r="R541" s="107"/>
      <c r="S541" s="107"/>
      <c r="T541" s="107"/>
      <c r="U541" s="107"/>
      <c r="V541" s="107"/>
      <c r="W541" s="107"/>
      <c r="X541" s="107"/>
      <c r="Y541" s="107"/>
      <c r="Z541" s="107"/>
      <c r="AA541" s="107"/>
    </row>
    <row r="542">
      <c r="A542" s="110"/>
      <c r="B542" s="107"/>
      <c r="C542" s="107"/>
      <c r="D542" s="107"/>
      <c r="E542" s="107"/>
      <c r="F542" s="107"/>
      <c r="G542" s="107"/>
      <c r="H542" s="107"/>
      <c r="I542" s="107"/>
      <c r="J542" s="107"/>
      <c r="K542" s="107"/>
      <c r="L542" s="107"/>
      <c r="M542" s="107"/>
      <c r="N542" s="107"/>
      <c r="O542" s="107"/>
      <c r="P542" s="107"/>
      <c r="Q542" s="107"/>
      <c r="R542" s="107"/>
      <c r="S542" s="107"/>
      <c r="T542" s="107"/>
      <c r="U542" s="107"/>
      <c r="V542" s="107"/>
      <c r="W542" s="107"/>
      <c r="X542" s="107"/>
      <c r="Y542" s="107"/>
      <c r="Z542" s="107"/>
      <c r="AA542" s="107"/>
    </row>
    <row r="543">
      <c r="A543" s="110"/>
      <c r="B543" s="107"/>
      <c r="C543" s="107"/>
      <c r="D543" s="107"/>
      <c r="E543" s="107"/>
      <c r="F543" s="107"/>
      <c r="G543" s="107"/>
      <c r="H543" s="107"/>
      <c r="I543" s="107"/>
      <c r="J543" s="107"/>
      <c r="K543" s="107"/>
      <c r="L543" s="107"/>
      <c r="M543" s="107"/>
      <c r="N543" s="107"/>
      <c r="O543" s="107"/>
      <c r="P543" s="107"/>
      <c r="Q543" s="107"/>
      <c r="R543" s="107"/>
      <c r="S543" s="107"/>
      <c r="T543" s="107"/>
      <c r="U543" s="107"/>
      <c r="V543" s="107"/>
      <c r="W543" s="107"/>
      <c r="X543" s="107"/>
      <c r="Y543" s="107"/>
      <c r="Z543" s="107"/>
      <c r="AA543" s="107"/>
    </row>
    <row r="544">
      <c r="A544" s="110"/>
      <c r="B544" s="107"/>
      <c r="C544" s="107"/>
      <c r="D544" s="107"/>
      <c r="E544" s="107"/>
      <c r="F544" s="107"/>
      <c r="G544" s="107"/>
      <c r="H544" s="107"/>
      <c r="I544" s="107"/>
      <c r="J544" s="107"/>
      <c r="K544" s="107"/>
      <c r="L544" s="107"/>
      <c r="M544" s="107"/>
      <c r="N544" s="107"/>
      <c r="O544" s="107"/>
      <c r="P544" s="107"/>
      <c r="Q544" s="107"/>
      <c r="R544" s="107"/>
      <c r="S544" s="107"/>
      <c r="T544" s="107"/>
      <c r="U544" s="107"/>
      <c r="V544" s="107"/>
      <c r="W544" s="107"/>
      <c r="X544" s="107"/>
      <c r="Y544" s="107"/>
      <c r="Z544" s="107"/>
      <c r="AA544" s="107"/>
    </row>
    <row r="545">
      <c r="A545" s="110"/>
      <c r="B545" s="107"/>
      <c r="C545" s="107"/>
      <c r="D545" s="107"/>
      <c r="E545" s="107"/>
      <c r="F545" s="107"/>
      <c r="G545" s="107"/>
      <c r="H545" s="107"/>
      <c r="I545" s="107"/>
      <c r="J545" s="107"/>
      <c r="K545" s="107"/>
      <c r="L545" s="107"/>
      <c r="M545" s="107"/>
      <c r="N545" s="107"/>
      <c r="O545" s="107"/>
      <c r="P545" s="107"/>
      <c r="Q545" s="107"/>
      <c r="R545" s="107"/>
      <c r="S545" s="107"/>
      <c r="T545" s="107"/>
      <c r="U545" s="107"/>
      <c r="V545" s="107"/>
      <c r="W545" s="107"/>
      <c r="X545" s="107"/>
      <c r="Y545" s="107"/>
      <c r="Z545" s="107"/>
      <c r="AA545" s="107"/>
    </row>
    <row r="546">
      <c r="A546" s="110"/>
      <c r="B546" s="107"/>
      <c r="C546" s="107"/>
      <c r="D546" s="107"/>
      <c r="E546" s="107"/>
      <c r="F546" s="107"/>
      <c r="G546" s="107"/>
      <c r="H546" s="107"/>
      <c r="I546" s="107"/>
      <c r="J546" s="107"/>
      <c r="K546" s="107"/>
      <c r="L546" s="107"/>
      <c r="M546" s="107"/>
      <c r="N546" s="107"/>
      <c r="O546" s="107"/>
      <c r="P546" s="107"/>
      <c r="Q546" s="107"/>
      <c r="R546" s="107"/>
      <c r="S546" s="107"/>
      <c r="T546" s="107"/>
      <c r="U546" s="107"/>
      <c r="V546" s="107"/>
      <c r="W546" s="107"/>
      <c r="X546" s="107"/>
      <c r="Y546" s="107"/>
      <c r="Z546" s="107"/>
      <c r="AA546" s="107"/>
    </row>
    <row r="547">
      <c r="A547" s="110"/>
      <c r="B547" s="107"/>
      <c r="C547" s="107"/>
      <c r="D547" s="107"/>
      <c r="E547" s="107"/>
      <c r="F547" s="107"/>
      <c r="G547" s="107"/>
      <c r="H547" s="107"/>
      <c r="I547" s="107"/>
      <c r="J547" s="107"/>
      <c r="K547" s="107"/>
      <c r="L547" s="107"/>
      <c r="M547" s="107"/>
      <c r="N547" s="107"/>
      <c r="O547" s="107"/>
      <c r="P547" s="107"/>
      <c r="Q547" s="107"/>
      <c r="R547" s="107"/>
      <c r="S547" s="107"/>
      <c r="T547" s="107"/>
      <c r="U547" s="107"/>
      <c r="V547" s="107"/>
      <c r="W547" s="107"/>
      <c r="X547" s="107"/>
      <c r="Y547" s="107"/>
      <c r="Z547" s="107"/>
      <c r="AA547" s="107"/>
    </row>
    <row r="548">
      <c r="A548" s="110"/>
      <c r="B548" s="107"/>
      <c r="C548" s="107"/>
      <c r="D548" s="107"/>
      <c r="E548" s="107"/>
      <c r="F548" s="107"/>
      <c r="G548" s="107"/>
      <c r="H548" s="107"/>
      <c r="I548" s="107"/>
      <c r="J548" s="107"/>
      <c r="K548" s="107"/>
      <c r="L548" s="107"/>
      <c r="M548" s="107"/>
      <c r="N548" s="107"/>
      <c r="O548" s="107"/>
      <c r="P548" s="107"/>
      <c r="Q548" s="107"/>
      <c r="R548" s="107"/>
      <c r="S548" s="107"/>
      <c r="T548" s="107"/>
      <c r="U548" s="107"/>
      <c r="V548" s="107"/>
      <c r="W548" s="107"/>
      <c r="X548" s="107"/>
      <c r="Y548" s="107"/>
      <c r="Z548" s="107"/>
      <c r="AA548" s="107"/>
    </row>
    <row r="549">
      <c r="A549" s="110"/>
      <c r="B549" s="107"/>
      <c r="C549" s="107"/>
      <c r="D549" s="107"/>
      <c r="E549" s="107"/>
      <c r="F549" s="107"/>
      <c r="G549" s="107"/>
      <c r="H549" s="107"/>
      <c r="I549" s="107"/>
      <c r="J549" s="107"/>
      <c r="K549" s="107"/>
      <c r="L549" s="107"/>
      <c r="M549" s="107"/>
      <c r="N549" s="107"/>
      <c r="O549" s="107"/>
      <c r="P549" s="107"/>
      <c r="Q549" s="107"/>
      <c r="R549" s="107"/>
      <c r="S549" s="107"/>
      <c r="T549" s="107"/>
      <c r="U549" s="107"/>
      <c r="V549" s="107"/>
      <c r="W549" s="107"/>
      <c r="X549" s="107"/>
      <c r="Y549" s="107"/>
      <c r="Z549" s="107"/>
      <c r="AA549" s="107"/>
    </row>
    <row r="550">
      <c r="A550" s="110"/>
      <c r="B550" s="107"/>
      <c r="C550" s="107"/>
      <c r="D550" s="107"/>
      <c r="E550" s="107"/>
      <c r="F550" s="107"/>
      <c r="G550" s="107"/>
      <c r="H550" s="107"/>
      <c r="I550" s="107"/>
      <c r="J550" s="107"/>
      <c r="K550" s="107"/>
      <c r="L550" s="107"/>
      <c r="M550" s="107"/>
      <c r="N550" s="107"/>
      <c r="O550" s="107"/>
      <c r="P550" s="107"/>
      <c r="Q550" s="107"/>
      <c r="R550" s="107"/>
      <c r="S550" s="107"/>
      <c r="T550" s="107"/>
      <c r="U550" s="107"/>
      <c r="V550" s="107"/>
      <c r="W550" s="107"/>
      <c r="X550" s="107"/>
      <c r="Y550" s="107"/>
      <c r="Z550" s="107"/>
      <c r="AA550" s="107"/>
    </row>
    <row r="551">
      <c r="A551" s="110"/>
      <c r="B551" s="107"/>
      <c r="C551" s="107"/>
      <c r="D551" s="107"/>
      <c r="E551" s="107"/>
      <c r="F551" s="107"/>
      <c r="G551" s="107"/>
      <c r="H551" s="107"/>
      <c r="I551" s="107"/>
      <c r="J551" s="107"/>
      <c r="K551" s="107"/>
      <c r="L551" s="107"/>
      <c r="M551" s="107"/>
      <c r="N551" s="107"/>
      <c r="O551" s="107"/>
      <c r="P551" s="107"/>
      <c r="Q551" s="107"/>
      <c r="R551" s="107"/>
      <c r="S551" s="107"/>
      <c r="T551" s="107"/>
      <c r="U551" s="107"/>
      <c r="V551" s="107"/>
      <c r="W551" s="107"/>
      <c r="X551" s="107"/>
      <c r="Y551" s="107"/>
      <c r="Z551" s="107"/>
      <c r="AA551" s="107"/>
    </row>
    <row r="552">
      <c r="A552" s="110"/>
      <c r="B552" s="107"/>
      <c r="C552" s="107"/>
      <c r="D552" s="107"/>
      <c r="E552" s="107"/>
      <c r="F552" s="107"/>
      <c r="G552" s="107"/>
      <c r="H552" s="107"/>
      <c r="I552" s="107"/>
      <c r="J552" s="107"/>
      <c r="K552" s="107"/>
      <c r="L552" s="107"/>
      <c r="M552" s="107"/>
      <c r="N552" s="107"/>
      <c r="O552" s="107"/>
      <c r="P552" s="107"/>
      <c r="Q552" s="107"/>
      <c r="R552" s="107"/>
      <c r="S552" s="107"/>
      <c r="T552" s="107"/>
      <c r="U552" s="107"/>
      <c r="V552" s="107"/>
      <c r="W552" s="107"/>
      <c r="X552" s="107"/>
      <c r="Y552" s="107"/>
      <c r="Z552" s="107"/>
      <c r="AA552" s="107"/>
    </row>
    <row r="553">
      <c r="A553" s="110"/>
      <c r="B553" s="107"/>
      <c r="C553" s="107"/>
      <c r="D553" s="107"/>
      <c r="E553" s="107"/>
      <c r="F553" s="107"/>
      <c r="G553" s="107"/>
      <c r="H553" s="107"/>
      <c r="I553" s="107"/>
      <c r="J553" s="107"/>
      <c r="K553" s="107"/>
      <c r="L553" s="107"/>
      <c r="M553" s="107"/>
      <c r="N553" s="107"/>
      <c r="O553" s="107"/>
      <c r="P553" s="107"/>
      <c r="Q553" s="107"/>
      <c r="R553" s="107"/>
      <c r="S553" s="107"/>
      <c r="T553" s="107"/>
      <c r="U553" s="107"/>
      <c r="V553" s="107"/>
      <c r="W553" s="107"/>
      <c r="X553" s="107"/>
      <c r="Y553" s="107"/>
      <c r="Z553" s="107"/>
      <c r="AA553" s="107"/>
    </row>
    <row r="554">
      <c r="A554" s="110"/>
      <c r="B554" s="107"/>
      <c r="C554" s="107"/>
      <c r="D554" s="107"/>
      <c r="E554" s="107"/>
      <c r="F554" s="107"/>
      <c r="G554" s="107"/>
      <c r="H554" s="107"/>
      <c r="I554" s="107"/>
      <c r="J554" s="107"/>
      <c r="K554" s="107"/>
      <c r="L554" s="107"/>
      <c r="M554" s="107"/>
      <c r="N554" s="107"/>
      <c r="O554" s="107"/>
      <c r="P554" s="107"/>
      <c r="Q554" s="107"/>
      <c r="R554" s="107"/>
      <c r="S554" s="107"/>
      <c r="T554" s="107"/>
      <c r="U554" s="107"/>
      <c r="V554" s="107"/>
      <c r="W554" s="107"/>
      <c r="X554" s="107"/>
      <c r="Y554" s="107"/>
      <c r="Z554" s="107"/>
      <c r="AA554" s="107"/>
    </row>
    <row r="555">
      <c r="A555" s="110"/>
      <c r="B555" s="107"/>
      <c r="C555" s="107"/>
      <c r="D555" s="107"/>
      <c r="E555" s="107"/>
      <c r="F555" s="107"/>
      <c r="G555" s="107"/>
      <c r="H555" s="107"/>
      <c r="I555" s="107"/>
      <c r="J555" s="107"/>
      <c r="K555" s="107"/>
      <c r="L555" s="107"/>
      <c r="M555" s="107"/>
      <c r="N555" s="107"/>
      <c r="O555" s="107"/>
      <c r="P555" s="107"/>
      <c r="Q555" s="107"/>
      <c r="R555" s="107"/>
      <c r="S555" s="107"/>
      <c r="T555" s="107"/>
      <c r="U555" s="107"/>
      <c r="V555" s="107"/>
      <c r="W555" s="107"/>
      <c r="X555" s="107"/>
      <c r="Y555" s="107"/>
      <c r="Z555" s="107"/>
      <c r="AA555" s="107"/>
    </row>
    <row r="556">
      <c r="A556" s="110"/>
      <c r="B556" s="107"/>
      <c r="C556" s="107"/>
      <c r="D556" s="107"/>
      <c r="E556" s="107"/>
      <c r="F556" s="107"/>
      <c r="G556" s="107"/>
      <c r="H556" s="107"/>
      <c r="I556" s="107"/>
      <c r="J556" s="107"/>
      <c r="K556" s="107"/>
      <c r="L556" s="107"/>
      <c r="M556" s="107"/>
      <c r="N556" s="107"/>
      <c r="O556" s="107"/>
      <c r="P556" s="107"/>
      <c r="Q556" s="107"/>
      <c r="R556" s="107"/>
      <c r="S556" s="107"/>
      <c r="T556" s="107"/>
      <c r="U556" s="107"/>
      <c r="V556" s="107"/>
      <c r="W556" s="107"/>
      <c r="X556" s="107"/>
      <c r="Y556" s="107"/>
      <c r="Z556" s="107"/>
      <c r="AA556" s="107"/>
    </row>
    <row r="557">
      <c r="A557" s="110"/>
      <c r="B557" s="107"/>
      <c r="C557" s="107"/>
      <c r="D557" s="107"/>
      <c r="E557" s="107"/>
      <c r="F557" s="107"/>
      <c r="G557" s="107"/>
      <c r="H557" s="107"/>
      <c r="I557" s="107"/>
      <c r="J557" s="107"/>
      <c r="K557" s="107"/>
      <c r="L557" s="107"/>
      <c r="M557" s="107"/>
      <c r="N557" s="107"/>
      <c r="O557" s="107"/>
      <c r="P557" s="107"/>
      <c r="Q557" s="107"/>
      <c r="R557" s="107"/>
      <c r="S557" s="107"/>
      <c r="T557" s="107"/>
      <c r="U557" s="107"/>
      <c r="V557" s="107"/>
      <c r="W557" s="107"/>
      <c r="X557" s="107"/>
      <c r="Y557" s="107"/>
      <c r="Z557" s="107"/>
      <c r="AA557" s="107"/>
    </row>
    <row r="558">
      <c r="A558" s="110"/>
      <c r="B558" s="107"/>
      <c r="C558" s="107"/>
      <c r="D558" s="107"/>
      <c r="E558" s="107"/>
      <c r="F558" s="107"/>
      <c r="G558" s="107"/>
      <c r="H558" s="107"/>
      <c r="I558" s="107"/>
      <c r="J558" s="107"/>
      <c r="K558" s="107"/>
      <c r="L558" s="107"/>
      <c r="M558" s="107"/>
      <c r="N558" s="107"/>
      <c r="O558" s="107"/>
      <c r="P558" s="107"/>
      <c r="Q558" s="107"/>
      <c r="R558" s="107"/>
      <c r="S558" s="107"/>
      <c r="T558" s="107"/>
      <c r="U558" s="107"/>
      <c r="V558" s="107"/>
      <c r="W558" s="107"/>
      <c r="X558" s="107"/>
      <c r="Y558" s="107"/>
      <c r="Z558" s="107"/>
      <c r="AA558" s="107"/>
    </row>
    <row r="559">
      <c r="A559" s="110"/>
      <c r="B559" s="107"/>
      <c r="C559" s="107"/>
      <c r="D559" s="107"/>
      <c r="E559" s="107"/>
      <c r="F559" s="107"/>
      <c r="G559" s="107"/>
      <c r="H559" s="107"/>
      <c r="I559" s="107"/>
      <c r="J559" s="107"/>
      <c r="K559" s="107"/>
      <c r="L559" s="107"/>
      <c r="M559" s="107"/>
      <c r="N559" s="107"/>
      <c r="O559" s="107"/>
      <c r="P559" s="107"/>
      <c r="Q559" s="107"/>
      <c r="R559" s="107"/>
      <c r="S559" s="107"/>
      <c r="T559" s="107"/>
      <c r="U559" s="107"/>
      <c r="V559" s="107"/>
      <c r="W559" s="107"/>
      <c r="X559" s="107"/>
      <c r="Y559" s="107"/>
      <c r="Z559" s="107"/>
      <c r="AA559" s="107"/>
    </row>
    <row r="560">
      <c r="A560" s="110"/>
      <c r="B560" s="107"/>
      <c r="C560" s="107"/>
      <c r="D560" s="107"/>
      <c r="E560" s="107"/>
      <c r="F560" s="107"/>
      <c r="G560" s="107"/>
      <c r="H560" s="107"/>
      <c r="I560" s="107"/>
      <c r="J560" s="107"/>
      <c r="K560" s="107"/>
      <c r="L560" s="107"/>
      <c r="M560" s="107"/>
      <c r="N560" s="107"/>
      <c r="O560" s="107"/>
      <c r="P560" s="107"/>
      <c r="Q560" s="107"/>
      <c r="R560" s="107"/>
      <c r="S560" s="107"/>
      <c r="T560" s="107"/>
      <c r="U560" s="107"/>
      <c r="V560" s="107"/>
      <c r="W560" s="107"/>
      <c r="X560" s="107"/>
      <c r="Y560" s="107"/>
      <c r="Z560" s="107"/>
      <c r="AA560" s="107"/>
    </row>
    <row r="561">
      <c r="A561" s="110"/>
      <c r="B561" s="107"/>
      <c r="C561" s="107"/>
      <c r="D561" s="107"/>
      <c r="E561" s="107"/>
      <c r="F561" s="107"/>
      <c r="G561" s="107"/>
      <c r="H561" s="107"/>
      <c r="I561" s="107"/>
      <c r="J561" s="107"/>
      <c r="K561" s="107"/>
      <c r="L561" s="107"/>
      <c r="M561" s="107"/>
      <c r="N561" s="107"/>
      <c r="O561" s="107"/>
      <c r="P561" s="107"/>
      <c r="Q561" s="107"/>
      <c r="R561" s="107"/>
      <c r="S561" s="107"/>
      <c r="T561" s="107"/>
      <c r="U561" s="107"/>
      <c r="V561" s="107"/>
      <c r="W561" s="107"/>
      <c r="X561" s="107"/>
      <c r="Y561" s="107"/>
      <c r="Z561" s="107"/>
      <c r="AA561" s="107"/>
    </row>
    <row r="562">
      <c r="A562" s="110"/>
      <c r="B562" s="107"/>
      <c r="C562" s="107"/>
      <c r="D562" s="107"/>
      <c r="E562" s="107"/>
      <c r="F562" s="107"/>
      <c r="G562" s="107"/>
      <c r="H562" s="107"/>
      <c r="I562" s="107"/>
      <c r="J562" s="107"/>
      <c r="K562" s="107"/>
      <c r="L562" s="107"/>
      <c r="M562" s="107"/>
      <c r="N562" s="107"/>
      <c r="O562" s="107"/>
      <c r="P562" s="107"/>
      <c r="Q562" s="107"/>
      <c r="R562" s="107"/>
      <c r="S562" s="107"/>
      <c r="T562" s="107"/>
      <c r="U562" s="107"/>
      <c r="V562" s="107"/>
      <c r="W562" s="107"/>
      <c r="X562" s="107"/>
      <c r="Y562" s="107"/>
      <c r="Z562" s="107"/>
      <c r="AA562" s="107"/>
    </row>
    <row r="563">
      <c r="A563" s="110"/>
      <c r="B563" s="107"/>
      <c r="C563" s="107"/>
      <c r="D563" s="107"/>
      <c r="E563" s="107"/>
      <c r="F563" s="107"/>
      <c r="G563" s="107"/>
      <c r="H563" s="107"/>
      <c r="I563" s="107"/>
      <c r="J563" s="107"/>
      <c r="K563" s="107"/>
      <c r="L563" s="107"/>
      <c r="M563" s="107"/>
      <c r="N563" s="107"/>
      <c r="O563" s="107"/>
      <c r="P563" s="107"/>
      <c r="Q563" s="107"/>
      <c r="R563" s="107"/>
      <c r="S563" s="107"/>
      <c r="T563" s="107"/>
      <c r="U563" s="107"/>
      <c r="V563" s="107"/>
      <c r="W563" s="107"/>
      <c r="X563" s="107"/>
      <c r="Y563" s="107"/>
      <c r="Z563" s="107"/>
      <c r="AA563" s="107"/>
    </row>
    <row r="564">
      <c r="A564" s="110"/>
      <c r="B564" s="107"/>
      <c r="C564" s="107"/>
      <c r="D564" s="107"/>
      <c r="E564" s="107"/>
      <c r="F564" s="107"/>
      <c r="G564" s="107"/>
      <c r="H564" s="107"/>
      <c r="I564" s="107"/>
      <c r="J564" s="107"/>
      <c r="K564" s="107"/>
      <c r="L564" s="107"/>
      <c r="M564" s="107"/>
      <c r="N564" s="107"/>
      <c r="O564" s="107"/>
      <c r="P564" s="107"/>
      <c r="Q564" s="107"/>
      <c r="R564" s="107"/>
      <c r="S564" s="107"/>
      <c r="T564" s="107"/>
      <c r="U564" s="107"/>
      <c r="V564" s="107"/>
      <c r="W564" s="107"/>
      <c r="X564" s="107"/>
      <c r="Y564" s="107"/>
      <c r="Z564" s="107"/>
      <c r="AA564" s="107"/>
    </row>
    <row r="565">
      <c r="A565" s="110"/>
      <c r="B565" s="107"/>
      <c r="C565" s="107"/>
      <c r="D565" s="107"/>
      <c r="E565" s="107"/>
      <c r="F565" s="107"/>
      <c r="G565" s="107"/>
      <c r="H565" s="107"/>
      <c r="I565" s="107"/>
      <c r="J565" s="107"/>
      <c r="K565" s="107"/>
      <c r="L565" s="107"/>
      <c r="M565" s="107"/>
      <c r="N565" s="107"/>
      <c r="O565" s="107"/>
      <c r="P565" s="107"/>
      <c r="Q565" s="107"/>
      <c r="R565" s="107"/>
      <c r="S565" s="107"/>
      <c r="T565" s="107"/>
      <c r="U565" s="107"/>
      <c r="V565" s="107"/>
      <c r="W565" s="107"/>
      <c r="X565" s="107"/>
      <c r="Y565" s="107"/>
      <c r="Z565" s="107"/>
      <c r="AA565" s="107"/>
    </row>
    <row r="566">
      <c r="A566" s="110"/>
      <c r="B566" s="107"/>
      <c r="C566" s="107"/>
      <c r="D566" s="107"/>
      <c r="E566" s="107"/>
      <c r="F566" s="107"/>
      <c r="G566" s="107"/>
      <c r="H566" s="107"/>
      <c r="I566" s="107"/>
      <c r="J566" s="107"/>
      <c r="K566" s="107"/>
      <c r="L566" s="107"/>
      <c r="M566" s="107"/>
      <c r="N566" s="107"/>
      <c r="O566" s="107"/>
      <c r="P566" s="107"/>
      <c r="Q566" s="107"/>
      <c r="R566" s="107"/>
      <c r="S566" s="107"/>
      <c r="T566" s="107"/>
      <c r="U566" s="107"/>
      <c r="V566" s="107"/>
      <c r="W566" s="107"/>
      <c r="X566" s="107"/>
      <c r="Y566" s="107"/>
      <c r="Z566" s="107"/>
      <c r="AA566" s="107"/>
    </row>
    <row r="567">
      <c r="A567" s="110"/>
      <c r="B567" s="107"/>
      <c r="C567" s="107"/>
      <c r="D567" s="107"/>
      <c r="E567" s="107"/>
      <c r="F567" s="107"/>
      <c r="G567" s="107"/>
      <c r="H567" s="107"/>
      <c r="I567" s="107"/>
      <c r="J567" s="107"/>
      <c r="K567" s="107"/>
      <c r="L567" s="107"/>
      <c r="M567" s="107"/>
      <c r="N567" s="107"/>
      <c r="O567" s="107"/>
      <c r="P567" s="107"/>
      <c r="Q567" s="107"/>
      <c r="R567" s="107"/>
      <c r="S567" s="107"/>
      <c r="T567" s="107"/>
      <c r="U567" s="107"/>
      <c r="V567" s="107"/>
      <c r="W567" s="107"/>
      <c r="X567" s="107"/>
      <c r="Y567" s="107"/>
      <c r="Z567" s="107"/>
      <c r="AA567" s="107"/>
    </row>
    <row r="568">
      <c r="A568" s="110"/>
      <c r="B568" s="107"/>
      <c r="C568" s="107"/>
      <c r="D568" s="107"/>
      <c r="E568" s="107"/>
      <c r="F568" s="107"/>
      <c r="G568" s="107"/>
      <c r="H568" s="107"/>
      <c r="I568" s="107"/>
      <c r="J568" s="107"/>
      <c r="K568" s="107"/>
      <c r="L568" s="107"/>
      <c r="M568" s="107"/>
      <c r="N568" s="107"/>
      <c r="O568" s="107"/>
      <c r="P568" s="107"/>
      <c r="Q568" s="107"/>
      <c r="R568" s="107"/>
      <c r="S568" s="107"/>
      <c r="T568" s="107"/>
      <c r="U568" s="107"/>
      <c r="V568" s="107"/>
      <c r="W568" s="107"/>
      <c r="X568" s="107"/>
      <c r="Y568" s="107"/>
      <c r="Z568" s="107"/>
      <c r="AA568" s="107"/>
    </row>
    <row r="569">
      <c r="A569" s="110"/>
      <c r="B569" s="107"/>
      <c r="C569" s="107"/>
      <c r="D569" s="107"/>
      <c r="E569" s="107"/>
      <c r="F569" s="107"/>
      <c r="G569" s="107"/>
      <c r="H569" s="107"/>
      <c r="I569" s="107"/>
      <c r="J569" s="107"/>
      <c r="K569" s="107"/>
      <c r="L569" s="107"/>
      <c r="M569" s="107"/>
      <c r="N569" s="107"/>
      <c r="O569" s="107"/>
      <c r="P569" s="107"/>
      <c r="Q569" s="107"/>
      <c r="R569" s="107"/>
      <c r="S569" s="107"/>
      <c r="T569" s="107"/>
      <c r="U569" s="107"/>
      <c r="V569" s="107"/>
      <c r="W569" s="107"/>
      <c r="X569" s="107"/>
      <c r="Y569" s="107"/>
      <c r="Z569" s="107"/>
      <c r="AA569" s="107"/>
    </row>
    <row r="570">
      <c r="A570" s="110"/>
      <c r="B570" s="107"/>
      <c r="C570" s="107"/>
      <c r="D570" s="107"/>
      <c r="E570" s="107"/>
      <c r="F570" s="107"/>
      <c r="G570" s="107"/>
      <c r="H570" s="107"/>
      <c r="I570" s="107"/>
      <c r="J570" s="107"/>
      <c r="K570" s="107"/>
      <c r="L570" s="107"/>
      <c r="M570" s="107"/>
      <c r="N570" s="107"/>
      <c r="O570" s="107"/>
      <c r="P570" s="107"/>
      <c r="Q570" s="107"/>
      <c r="R570" s="107"/>
      <c r="S570" s="107"/>
      <c r="T570" s="107"/>
      <c r="U570" s="107"/>
      <c r="V570" s="107"/>
      <c r="W570" s="107"/>
      <c r="X570" s="107"/>
      <c r="Y570" s="107"/>
      <c r="Z570" s="107"/>
      <c r="AA570" s="107"/>
    </row>
    <row r="571">
      <c r="A571" s="110"/>
      <c r="B571" s="107"/>
      <c r="C571" s="107"/>
      <c r="D571" s="107"/>
      <c r="E571" s="107"/>
      <c r="F571" s="107"/>
      <c r="G571" s="107"/>
      <c r="H571" s="107"/>
      <c r="I571" s="107"/>
      <c r="J571" s="107"/>
      <c r="K571" s="107"/>
      <c r="L571" s="107"/>
      <c r="M571" s="107"/>
      <c r="N571" s="107"/>
      <c r="O571" s="107"/>
      <c r="P571" s="107"/>
      <c r="Q571" s="107"/>
      <c r="R571" s="107"/>
      <c r="S571" s="107"/>
      <c r="T571" s="107"/>
      <c r="U571" s="107"/>
      <c r="V571" s="107"/>
      <c r="W571" s="107"/>
      <c r="X571" s="107"/>
      <c r="Y571" s="107"/>
      <c r="Z571" s="107"/>
      <c r="AA571" s="107"/>
    </row>
    <row r="572">
      <c r="A572" s="110"/>
      <c r="B572" s="107"/>
      <c r="C572" s="107"/>
      <c r="D572" s="107"/>
      <c r="E572" s="107"/>
      <c r="F572" s="107"/>
      <c r="G572" s="107"/>
      <c r="H572" s="107"/>
      <c r="I572" s="107"/>
      <c r="J572" s="107"/>
      <c r="K572" s="107"/>
      <c r="L572" s="107"/>
      <c r="M572" s="107"/>
      <c r="N572" s="107"/>
      <c r="O572" s="107"/>
      <c r="P572" s="107"/>
      <c r="Q572" s="107"/>
      <c r="R572" s="107"/>
      <c r="S572" s="107"/>
      <c r="T572" s="107"/>
      <c r="U572" s="107"/>
      <c r="V572" s="107"/>
      <c r="W572" s="107"/>
      <c r="X572" s="107"/>
      <c r="Y572" s="107"/>
      <c r="Z572" s="107"/>
      <c r="AA572" s="107"/>
    </row>
    <row r="573">
      <c r="A573" s="110"/>
      <c r="B573" s="107"/>
      <c r="C573" s="107"/>
      <c r="D573" s="107"/>
      <c r="E573" s="107"/>
      <c r="F573" s="107"/>
      <c r="G573" s="107"/>
      <c r="H573" s="107"/>
      <c r="I573" s="107"/>
      <c r="J573" s="107"/>
      <c r="K573" s="107"/>
      <c r="L573" s="107"/>
      <c r="M573" s="107"/>
      <c r="N573" s="107"/>
      <c r="O573" s="107"/>
      <c r="P573" s="107"/>
      <c r="Q573" s="107"/>
      <c r="R573" s="107"/>
      <c r="S573" s="107"/>
      <c r="T573" s="107"/>
      <c r="U573" s="107"/>
      <c r="V573" s="107"/>
      <c r="W573" s="107"/>
      <c r="X573" s="107"/>
      <c r="Y573" s="107"/>
      <c r="Z573" s="107"/>
      <c r="AA573" s="107"/>
    </row>
    <row r="574">
      <c r="A574" s="110"/>
      <c r="B574" s="107"/>
      <c r="C574" s="107"/>
      <c r="D574" s="107"/>
      <c r="E574" s="107"/>
      <c r="F574" s="107"/>
      <c r="G574" s="107"/>
      <c r="H574" s="107"/>
      <c r="I574" s="107"/>
      <c r="J574" s="107"/>
      <c r="K574" s="107"/>
      <c r="L574" s="107"/>
      <c r="M574" s="107"/>
      <c r="N574" s="107"/>
      <c r="O574" s="107"/>
      <c r="P574" s="107"/>
      <c r="Q574" s="107"/>
      <c r="R574" s="107"/>
      <c r="S574" s="107"/>
      <c r="T574" s="107"/>
      <c r="U574" s="107"/>
      <c r="V574" s="107"/>
      <c r="W574" s="107"/>
      <c r="X574" s="107"/>
      <c r="Y574" s="107"/>
      <c r="Z574" s="107"/>
      <c r="AA574" s="107"/>
    </row>
    <row r="575">
      <c r="A575" s="110"/>
      <c r="B575" s="107"/>
      <c r="C575" s="107"/>
      <c r="D575" s="107"/>
      <c r="E575" s="107"/>
      <c r="F575" s="107"/>
      <c r="G575" s="107"/>
      <c r="H575" s="107"/>
      <c r="I575" s="107"/>
      <c r="J575" s="107"/>
      <c r="K575" s="107"/>
      <c r="L575" s="107"/>
      <c r="M575" s="107"/>
      <c r="N575" s="107"/>
      <c r="O575" s="107"/>
      <c r="P575" s="107"/>
      <c r="Q575" s="107"/>
      <c r="R575" s="107"/>
      <c r="S575" s="107"/>
      <c r="T575" s="107"/>
      <c r="U575" s="107"/>
      <c r="V575" s="107"/>
      <c r="W575" s="107"/>
      <c r="X575" s="107"/>
      <c r="Y575" s="107"/>
      <c r="Z575" s="107"/>
      <c r="AA575" s="107"/>
    </row>
    <row r="576">
      <c r="A576" s="110"/>
      <c r="B576" s="107"/>
      <c r="C576" s="107"/>
      <c r="D576" s="107"/>
      <c r="E576" s="107"/>
      <c r="F576" s="107"/>
      <c r="G576" s="107"/>
      <c r="H576" s="107"/>
      <c r="I576" s="107"/>
      <c r="J576" s="107"/>
      <c r="K576" s="107"/>
      <c r="L576" s="107"/>
      <c r="M576" s="107"/>
      <c r="N576" s="107"/>
      <c r="O576" s="107"/>
      <c r="P576" s="107"/>
      <c r="Q576" s="107"/>
      <c r="R576" s="107"/>
      <c r="S576" s="107"/>
      <c r="T576" s="107"/>
      <c r="U576" s="107"/>
      <c r="V576" s="107"/>
      <c r="W576" s="107"/>
      <c r="X576" s="107"/>
      <c r="Y576" s="107"/>
      <c r="Z576" s="107"/>
      <c r="AA576" s="107"/>
    </row>
    <row r="577">
      <c r="A577" s="110"/>
      <c r="B577" s="107"/>
      <c r="C577" s="107"/>
      <c r="D577" s="107"/>
      <c r="E577" s="107"/>
      <c r="F577" s="107"/>
      <c r="G577" s="107"/>
      <c r="H577" s="107"/>
      <c r="I577" s="107"/>
      <c r="J577" s="107"/>
      <c r="K577" s="107"/>
      <c r="L577" s="107"/>
      <c r="M577" s="107"/>
      <c r="N577" s="107"/>
      <c r="O577" s="107"/>
      <c r="P577" s="107"/>
      <c r="Q577" s="107"/>
      <c r="R577" s="107"/>
      <c r="S577" s="107"/>
      <c r="T577" s="107"/>
      <c r="U577" s="107"/>
      <c r="V577" s="107"/>
      <c r="W577" s="107"/>
      <c r="X577" s="107"/>
      <c r="Y577" s="107"/>
      <c r="Z577" s="107"/>
      <c r="AA577" s="107"/>
    </row>
    <row r="578">
      <c r="A578" s="110"/>
      <c r="B578" s="107"/>
      <c r="C578" s="107"/>
      <c r="D578" s="107"/>
      <c r="E578" s="107"/>
      <c r="F578" s="107"/>
      <c r="G578" s="107"/>
      <c r="H578" s="107"/>
      <c r="I578" s="107"/>
      <c r="J578" s="107"/>
      <c r="K578" s="107"/>
      <c r="L578" s="107"/>
      <c r="M578" s="107"/>
      <c r="N578" s="107"/>
      <c r="O578" s="107"/>
      <c r="P578" s="107"/>
      <c r="Q578" s="107"/>
      <c r="R578" s="107"/>
      <c r="S578" s="107"/>
      <c r="T578" s="107"/>
      <c r="U578" s="107"/>
      <c r="V578" s="107"/>
      <c r="W578" s="107"/>
      <c r="X578" s="107"/>
      <c r="Y578" s="107"/>
      <c r="Z578" s="107"/>
      <c r="AA578" s="107"/>
    </row>
    <row r="579">
      <c r="A579" s="110"/>
      <c r="B579" s="107"/>
      <c r="C579" s="107"/>
      <c r="D579" s="107"/>
      <c r="E579" s="107"/>
      <c r="F579" s="107"/>
      <c r="G579" s="107"/>
      <c r="H579" s="107"/>
      <c r="I579" s="107"/>
      <c r="J579" s="107"/>
      <c r="K579" s="107"/>
      <c r="L579" s="107"/>
      <c r="M579" s="107"/>
      <c r="N579" s="107"/>
      <c r="O579" s="107"/>
      <c r="P579" s="107"/>
      <c r="Q579" s="107"/>
      <c r="R579" s="107"/>
      <c r="S579" s="107"/>
      <c r="T579" s="107"/>
      <c r="U579" s="107"/>
      <c r="V579" s="107"/>
      <c r="W579" s="107"/>
      <c r="X579" s="107"/>
      <c r="Y579" s="107"/>
      <c r="Z579" s="107"/>
      <c r="AA579" s="107"/>
    </row>
    <row r="580">
      <c r="A580" s="110"/>
      <c r="B580" s="107"/>
      <c r="C580" s="107"/>
      <c r="D580" s="107"/>
      <c r="E580" s="107"/>
      <c r="F580" s="107"/>
      <c r="G580" s="107"/>
      <c r="H580" s="107"/>
      <c r="I580" s="107"/>
      <c r="J580" s="107"/>
      <c r="K580" s="107"/>
      <c r="L580" s="107"/>
      <c r="M580" s="107"/>
      <c r="N580" s="107"/>
      <c r="O580" s="107"/>
      <c r="P580" s="107"/>
      <c r="Q580" s="107"/>
      <c r="R580" s="107"/>
      <c r="S580" s="107"/>
      <c r="T580" s="107"/>
      <c r="U580" s="107"/>
      <c r="V580" s="107"/>
      <c r="W580" s="107"/>
      <c r="X580" s="107"/>
      <c r="Y580" s="107"/>
      <c r="Z580" s="107"/>
      <c r="AA580" s="107"/>
    </row>
    <row r="581">
      <c r="A581" s="110"/>
      <c r="B581" s="107"/>
      <c r="C581" s="107"/>
      <c r="D581" s="107"/>
      <c r="E581" s="107"/>
      <c r="F581" s="107"/>
      <c r="G581" s="107"/>
      <c r="H581" s="107"/>
      <c r="I581" s="107"/>
      <c r="J581" s="107"/>
      <c r="K581" s="107"/>
      <c r="L581" s="107"/>
      <c r="M581" s="107"/>
      <c r="N581" s="107"/>
      <c r="O581" s="107"/>
      <c r="P581" s="107"/>
      <c r="Q581" s="107"/>
      <c r="R581" s="107"/>
      <c r="S581" s="107"/>
      <c r="T581" s="107"/>
      <c r="U581" s="107"/>
      <c r="V581" s="107"/>
      <c r="W581" s="107"/>
      <c r="X581" s="107"/>
      <c r="Y581" s="107"/>
      <c r="Z581" s="107"/>
      <c r="AA581" s="107"/>
    </row>
    <row r="582">
      <c r="A582" s="110"/>
      <c r="B582" s="107"/>
      <c r="C582" s="107"/>
      <c r="D582" s="107"/>
      <c r="E582" s="107"/>
      <c r="F582" s="107"/>
      <c r="G582" s="107"/>
      <c r="H582" s="107"/>
      <c r="I582" s="107"/>
      <c r="J582" s="107"/>
      <c r="K582" s="107"/>
      <c r="L582" s="107"/>
      <c r="M582" s="107"/>
      <c r="N582" s="107"/>
      <c r="O582" s="107"/>
      <c r="P582" s="107"/>
      <c r="Q582" s="107"/>
      <c r="R582" s="107"/>
      <c r="S582" s="107"/>
      <c r="T582" s="107"/>
      <c r="U582" s="107"/>
      <c r="V582" s="107"/>
      <c r="W582" s="107"/>
      <c r="X582" s="107"/>
      <c r="Y582" s="107"/>
      <c r="Z582" s="107"/>
      <c r="AA582" s="107"/>
    </row>
    <row r="583">
      <c r="A583" s="110"/>
      <c r="B583" s="107"/>
      <c r="C583" s="107"/>
      <c r="D583" s="107"/>
      <c r="E583" s="107"/>
      <c r="F583" s="107"/>
      <c r="G583" s="107"/>
      <c r="H583" s="107"/>
      <c r="I583" s="107"/>
      <c r="J583" s="107"/>
      <c r="K583" s="107"/>
      <c r="L583" s="107"/>
      <c r="M583" s="107"/>
      <c r="N583" s="107"/>
      <c r="O583" s="107"/>
      <c r="P583" s="107"/>
      <c r="Q583" s="107"/>
      <c r="R583" s="107"/>
      <c r="S583" s="107"/>
      <c r="T583" s="107"/>
      <c r="U583" s="107"/>
      <c r="V583" s="107"/>
      <c r="W583" s="107"/>
      <c r="X583" s="107"/>
      <c r="Y583" s="107"/>
      <c r="Z583" s="107"/>
      <c r="AA583" s="107"/>
    </row>
    <row r="584">
      <c r="A584" s="110"/>
      <c r="B584" s="107"/>
      <c r="C584" s="107"/>
      <c r="D584" s="107"/>
      <c r="E584" s="107"/>
      <c r="F584" s="107"/>
      <c r="G584" s="107"/>
      <c r="H584" s="107"/>
      <c r="I584" s="107"/>
      <c r="J584" s="107"/>
      <c r="K584" s="107"/>
      <c r="L584" s="107"/>
      <c r="M584" s="107"/>
      <c r="N584" s="107"/>
      <c r="O584" s="107"/>
      <c r="P584" s="107"/>
      <c r="Q584" s="107"/>
      <c r="R584" s="107"/>
      <c r="S584" s="107"/>
      <c r="T584" s="107"/>
      <c r="U584" s="107"/>
      <c r="V584" s="107"/>
      <c r="W584" s="107"/>
      <c r="X584" s="107"/>
      <c r="Y584" s="107"/>
      <c r="Z584" s="107"/>
      <c r="AA584" s="107"/>
    </row>
    <row r="585">
      <c r="A585" s="110"/>
      <c r="B585" s="107"/>
      <c r="C585" s="107"/>
      <c r="D585" s="107"/>
      <c r="E585" s="107"/>
      <c r="F585" s="107"/>
      <c r="G585" s="107"/>
      <c r="H585" s="107"/>
      <c r="I585" s="107"/>
      <c r="J585" s="107"/>
      <c r="K585" s="107"/>
      <c r="L585" s="107"/>
      <c r="M585" s="107"/>
      <c r="N585" s="107"/>
      <c r="O585" s="107"/>
      <c r="P585" s="107"/>
      <c r="Q585" s="107"/>
      <c r="R585" s="107"/>
      <c r="S585" s="107"/>
      <c r="T585" s="107"/>
      <c r="U585" s="107"/>
      <c r="V585" s="107"/>
      <c r="W585" s="107"/>
      <c r="X585" s="107"/>
      <c r="Y585" s="107"/>
      <c r="Z585" s="107"/>
      <c r="AA585" s="107"/>
    </row>
    <row r="586">
      <c r="A586" s="110"/>
      <c r="B586" s="107"/>
      <c r="C586" s="107"/>
      <c r="D586" s="107"/>
      <c r="E586" s="107"/>
      <c r="F586" s="107"/>
      <c r="G586" s="107"/>
      <c r="H586" s="107"/>
      <c r="I586" s="107"/>
      <c r="J586" s="107"/>
      <c r="K586" s="107"/>
      <c r="L586" s="107"/>
      <c r="M586" s="107"/>
      <c r="N586" s="107"/>
      <c r="O586" s="107"/>
      <c r="P586" s="107"/>
      <c r="Q586" s="107"/>
      <c r="R586" s="107"/>
      <c r="S586" s="107"/>
      <c r="T586" s="107"/>
      <c r="U586" s="107"/>
      <c r="V586" s="107"/>
      <c r="W586" s="107"/>
      <c r="X586" s="107"/>
      <c r="Y586" s="107"/>
      <c r="Z586" s="107"/>
      <c r="AA586" s="107"/>
    </row>
    <row r="587">
      <c r="A587" s="110"/>
      <c r="B587" s="107"/>
      <c r="C587" s="107"/>
      <c r="D587" s="107"/>
      <c r="E587" s="107"/>
      <c r="F587" s="107"/>
      <c r="G587" s="107"/>
      <c r="H587" s="107"/>
      <c r="I587" s="107"/>
      <c r="J587" s="107"/>
      <c r="K587" s="107"/>
      <c r="L587" s="107"/>
      <c r="M587" s="107"/>
      <c r="N587" s="107"/>
      <c r="O587" s="107"/>
      <c r="P587" s="107"/>
      <c r="Q587" s="107"/>
      <c r="R587" s="107"/>
      <c r="S587" s="107"/>
      <c r="T587" s="107"/>
      <c r="U587" s="107"/>
      <c r="V587" s="107"/>
      <c r="W587" s="107"/>
      <c r="X587" s="107"/>
      <c r="Y587" s="107"/>
      <c r="Z587" s="107"/>
      <c r="AA587" s="107"/>
    </row>
    <row r="588">
      <c r="A588" s="110"/>
      <c r="B588" s="107"/>
      <c r="C588" s="107"/>
      <c r="D588" s="107"/>
      <c r="E588" s="107"/>
      <c r="F588" s="107"/>
      <c r="G588" s="107"/>
      <c r="H588" s="107"/>
      <c r="I588" s="107"/>
      <c r="J588" s="107"/>
      <c r="K588" s="107"/>
      <c r="L588" s="107"/>
      <c r="M588" s="107"/>
      <c r="N588" s="107"/>
      <c r="O588" s="107"/>
      <c r="P588" s="107"/>
      <c r="Q588" s="107"/>
      <c r="R588" s="107"/>
      <c r="S588" s="107"/>
      <c r="T588" s="107"/>
      <c r="U588" s="107"/>
      <c r="V588" s="107"/>
      <c r="W588" s="107"/>
      <c r="X588" s="107"/>
      <c r="Y588" s="107"/>
      <c r="Z588" s="107"/>
      <c r="AA588" s="107"/>
    </row>
    <row r="589">
      <c r="A589" s="110"/>
      <c r="B589" s="107"/>
      <c r="C589" s="107"/>
      <c r="D589" s="107"/>
      <c r="E589" s="107"/>
      <c r="F589" s="107"/>
      <c r="G589" s="107"/>
      <c r="H589" s="107"/>
      <c r="I589" s="107"/>
      <c r="J589" s="107"/>
      <c r="K589" s="107"/>
      <c r="L589" s="107"/>
      <c r="M589" s="107"/>
      <c r="N589" s="107"/>
      <c r="O589" s="107"/>
      <c r="P589" s="107"/>
      <c r="Q589" s="107"/>
      <c r="R589" s="107"/>
      <c r="S589" s="107"/>
      <c r="T589" s="107"/>
      <c r="U589" s="107"/>
      <c r="V589" s="107"/>
      <c r="W589" s="107"/>
      <c r="X589" s="107"/>
      <c r="Y589" s="107"/>
      <c r="Z589" s="107"/>
      <c r="AA589" s="107"/>
    </row>
    <row r="590">
      <c r="A590" s="110"/>
      <c r="B590" s="107"/>
      <c r="C590" s="107"/>
      <c r="D590" s="107"/>
      <c r="E590" s="107"/>
      <c r="F590" s="107"/>
      <c r="G590" s="107"/>
      <c r="H590" s="107"/>
      <c r="I590" s="107"/>
      <c r="J590" s="107"/>
      <c r="K590" s="107"/>
      <c r="L590" s="107"/>
      <c r="M590" s="107"/>
      <c r="N590" s="107"/>
      <c r="O590" s="107"/>
      <c r="P590" s="107"/>
      <c r="Q590" s="107"/>
      <c r="R590" s="107"/>
      <c r="S590" s="107"/>
      <c r="T590" s="107"/>
      <c r="U590" s="107"/>
      <c r="V590" s="107"/>
      <c r="W590" s="107"/>
      <c r="X590" s="107"/>
      <c r="Y590" s="107"/>
      <c r="Z590" s="107"/>
      <c r="AA590" s="107"/>
    </row>
    <row r="591">
      <c r="A591" s="110"/>
      <c r="B591" s="107"/>
      <c r="C591" s="107"/>
      <c r="D591" s="107"/>
      <c r="E591" s="107"/>
      <c r="F591" s="107"/>
      <c r="G591" s="107"/>
      <c r="H591" s="107"/>
      <c r="I591" s="107"/>
      <c r="J591" s="107"/>
      <c r="K591" s="107"/>
      <c r="L591" s="107"/>
      <c r="M591" s="107"/>
      <c r="N591" s="107"/>
      <c r="O591" s="107"/>
      <c r="P591" s="107"/>
      <c r="Q591" s="107"/>
      <c r="R591" s="107"/>
      <c r="S591" s="107"/>
      <c r="T591" s="107"/>
      <c r="U591" s="107"/>
      <c r="V591" s="107"/>
      <c r="W591" s="107"/>
      <c r="X591" s="107"/>
      <c r="Y591" s="107"/>
      <c r="Z591" s="107"/>
      <c r="AA591" s="107"/>
    </row>
    <row r="592">
      <c r="A592" s="110"/>
      <c r="B592" s="107"/>
      <c r="C592" s="107"/>
      <c r="D592" s="107"/>
      <c r="E592" s="107"/>
      <c r="F592" s="107"/>
      <c r="G592" s="107"/>
      <c r="H592" s="107"/>
      <c r="I592" s="107"/>
      <c r="J592" s="107"/>
      <c r="K592" s="107"/>
      <c r="L592" s="107"/>
      <c r="M592" s="107"/>
      <c r="N592" s="107"/>
      <c r="O592" s="107"/>
      <c r="P592" s="107"/>
      <c r="Q592" s="107"/>
      <c r="R592" s="107"/>
      <c r="S592" s="107"/>
      <c r="T592" s="107"/>
      <c r="U592" s="107"/>
      <c r="V592" s="107"/>
      <c r="W592" s="107"/>
      <c r="X592" s="107"/>
      <c r="Y592" s="107"/>
      <c r="Z592" s="107"/>
      <c r="AA592" s="107"/>
    </row>
    <row r="593">
      <c r="A593" s="110"/>
      <c r="B593" s="107"/>
      <c r="C593" s="107"/>
      <c r="D593" s="107"/>
      <c r="E593" s="107"/>
      <c r="F593" s="107"/>
      <c r="G593" s="107"/>
      <c r="H593" s="107"/>
      <c r="I593" s="107"/>
      <c r="J593" s="107"/>
      <c r="K593" s="107"/>
      <c r="L593" s="107"/>
      <c r="M593" s="107"/>
      <c r="N593" s="107"/>
      <c r="O593" s="107"/>
      <c r="P593" s="107"/>
      <c r="Q593" s="107"/>
      <c r="R593" s="107"/>
      <c r="S593" s="107"/>
      <c r="T593" s="107"/>
      <c r="U593" s="107"/>
      <c r="V593" s="107"/>
      <c r="W593" s="107"/>
      <c r="X593" s="107"/>
      <c r="Y593" s="107"/>
      <c r="Z593" s="107"/>
      <c r="AA593" s="107"/>
    </row>
    <row r="594">
      <c r="A594" s="110"/>
      <c r="B594" s="107"/>
      <c r="C594" s="107"/>
      <c r="D594" s="107"/>
      <c r="E594" s="107"/>
      <c r="F594" s="107"/>
      <c r="G594" s="107"/>
      <c r="H594" s="107"/>
      <c r="I594" s="107"/>
      <c r="J594" s="107"/>
      <c r="K594" s="107"/>
      <c r="L594" s="107"/>
      <c r="M594" s="107"/>
      <c r="N594" s="107"/>
      <c r="O594" s="107"/>
      <c r="P594" s="107"/>
      <c r="Q594" s="107"/>
      <c r="R594" s="107"/>
      <c r="S594" s="107"/>
      <c r="T594" s="107"/>
      <c r="U594" s="107"/>
      <c r="V594" s="107"/>
      <c r="W594" s="107"/>
      <c r="X594" s="107"/>
      <c r="Y594" s="107"/>
      <c r="Z594" s="107"/>
      <c r="AA594" s="107"/>
    </row>
    <row r="595">
      <c r="A595" s="110"/>
      <c r="B595" s="107"/>
      <c r="C595" s="107"/>
      <c r="D595" s="107"/>
      <c r="E595" s="107"/>
      <c r="F595" s="107"/>
      <c r="G595" s="107"/>
      <c r="H595" s="107"/>
      <c r="I595" s="107"/>
      <c r="J595" s="107"/>
      <c r="K595" s="107"/>
      <c r="L595" s="107"/>
      <c r="M595" s="107"/>
      <c r="N595" s="107"/>
      <c r="O595" s="107"/>
      <c r="P595" s="107"/>
      <c r="Q595" s="107"/>
      <c r="R595" s="107"/>
      <c r="S595" s="107"/>
      <c r="T595" s="107"/>
      <c r="U595" s="107"/>
      <c r="V595" s="107"/>
      <c r="W595" s="107"/>
      <c r="X595" s="107"/>
      <c r="Y595" s="107"/>
      <c r="Z595" s="107"/>
      <c r="AA595" s="107"/>
    </row>
    <row r="596">
      <c r="A596" s="110"/>
      <c r="B596" s="107"/>
      <c r="C596" s="107"/>
      <c r="D596" s="107"/>
      <c r="E596" s="107"/>
      <c r="F596" s="107"/>
      <c r="G596" s="107"/>
      <c r="H596" s="107"/>
      <c r="I596" s="107"/>
      <c r="J596" s="107"/>
      <c r="K596" s="107"/>
      <c r="L596" s="107"/>
      <c r="M596" s="107"/>
      <c r="N596" s="107"/>
      <c r="O596" s="107"/>
      <c r="P596" s="107"/>
      <c r="Q596" s="107"/>
      <c r="R596" s="107"/>
      <c r="S596" s="107"/>
      <c r="T596" s="107"/>
      <c r="U596" s="107"/>
      <c r="V596" s="107"/>
      <c r="W596" s="107"/>
      <c r="X596" s="107"/>
      <c r="Y596" s="107"/>
      <c r="Z596" s="107"/>
      <c r="AA596" s="107"/>
    </row>
    <row r="597">
      <c r="A597" s="110"/>
      <c r="B597" s="107"/>
      <c r="C597" s="107"/>
      <c r="D597" s="107"/>
      <c r="E597" s="107"/>
      <c r="F597" s="107"/>
      <c r="G597" s="107"/>
      <c r="H597" s="107"/>
      <c r="I597" s="107"/>
      <c r="J597" s="107"/>
      <c r="K597" s="107"/>
      <c r="L597" s="107"/>
      <c r="M597" s="107"/>
      <c r="N597" s="107"/>
      <c r="O597" s="107"/>
      <c r="P597" s="107"/>
      <c r="Q597" s="107"/>
      <c r="R597" s="107"/>
      <c r="S597" s="107"/>
      <c r="T597" s="107"/>
      <c r="U597" s="107"/>
      <c r="V597" s="107"/>
      <c r="W597" s="107"/>
      <c r="X597" s="107"/>
      <c r="Y597" s="107"/>
      <c r="Z597" s="107"/>
      <c r="AA597" s="107"/>
    </row>
    <row r="598">
      <c r="A598" s="110"/>
      <c r="B598" s="107"/>
      <c r="C598" s="107"/>
      <c r="D598" s="107"/>
      <c r="E598" s="107"/>
      <c r="F598" s="107"/>
      <c r="G598" s="107"/>
      <c r="H598" s="107"/>
      <c r="I598" s="107"/>
      <c r="J598" s="107"/>
      <c r="K598" s="107"/>
      <c r="L598" s="107"/>
      <c r="M598" s="107"/>
      <c r="N598" s="107"/>
      <c r="O598" s="107"/>
      <c r="P598" s="107"/>
      <c r="Q598" s="107"/>
      <c r="R598" s="107"/>
      <c r="S598" s="107"/>
      <c r="T598" s="107"/>
      <c r="U598" s="107"/>
      <c r="V598" s="107"/>
      <c r="W598" s="107"/>
      <c r="X598" s="107"/>
      <c r="Y598" s="107"/>
      <c r="Z598" s="107"/>
      <c r="AA598" s="107"/>
    </row>
    <row r="599">
      <c r="A599" s="110"/>
      <c r="B599" s="107"/>
      <c r="C599" s="107"/>
      <c r="D599" s="107"/>
      <c r="E599" s="107"/>
      <c r="F599" s="107"/>
      <c r="G599" s="107"/>
      <c r="H599" s="107"/>
      <c r="I599" s="107"/>
      <c r="J599" s="107"/>
      <c r="K599" s="107"/>
      <c r="L599" s="107"/>
      <c r="M599" s="107"/>
      <c r="N599" s="107"/>
      <c r="O599" s="107"/>
      <c r="P599" s="107"/>
      <c r="Q599" s="107"/>
      <c r="R599" s="107"/>
      <c r="S599" s="107"/>
      <c r="T599" s="107"/>
      <c r="U599" s="107"/>
      <c r="V599" s="107"/>
      <c r="W599" s="107"/>
      <c r="X599" s="107"/>
      <c r="Y599" s="107"/>
      <c r="Z599" s="107"/>
      <c r="AA599" s="107"/>
    </row>
    <row r="600">
      <c r="A600" s="110"/>
      <c r="B600" s="107"/>
      <c r="C600" s="107"/>
      <c r="D600" s="107"/>
      <c r="E600" s="107"/>
      <c r="F600" s="107"/>
      <c r="G600" s="107"/>
      <c r="H600" s="107"/>
      <c r="I600" s="107"/>
      <c r="J600" s="107"/>
      <c r="K600" s="107"/>
      <c r="L600" s="107"/>
      <c r="M600" s="107"/>
      <c r="N600" s="107"/>
      <c r="O600" s="107"/>
      <c r="P600" s="107"/>
      <c r="Q600" s="107"/>
      <c r="R600" s="107"/>
      <c r="S600" s="107"/>
      <c r="T600" s="107"/>
      <c r="U600" s="107"/>
      <c r="V600" s="107"/>
      <c r="W600" s="107"/>
      <c r="X600" s="107"/>
      <c r="Y600" s="107"/>
      <c r="Z600" s="107"/>
      <c r="AA600" s="107"/>
    </row>
    <row r="601">
      <c r="A601" s="110"/>
      <c r="B601" s="107"/>
      <c r="C601" s="107"/>
      <c r="D601" s="107"/>
      <c r="E601" s="107"/>
      <c r="F601" s="107"/>
      <c r="G601" s="107"/>
      <c r="H601" s="107"/>
      <c r="I601" s="107"/>
      <c r="J601" s="107"/>
      <c r="K601" s="107"/>
      <c r="L601" s="107"/>
      <c r="M601" s="107"/>
      <c r="N601" s="107"/>
      <c r="O601" s="107"/>
      <c r="P601" s="107"/>
      <c r="Q601" s="107"/>
      <c r="R601" s="107"/>
      <c r="S601" s="107"/>
      <c r="T601" s="107"/>
      <c r="U601" s="107"/>
      <c r="V601" s="107"/>
      <c r="W601" s="107"/>
      <c r="X601" s="107"/>
      <c r="Y601" s="107"/>
      <c r="Z601" s="107"/>
      <c r="AA601" s="107"/>
    </row>
    <row r="602">
      <c r="A602" s="110"/>
      <c r="B602" s="107"/>
      <c r="C602" s="107"/>
      <c r="D602" s="107"/>
      <c r="E602" s="107"/>
      <c r="F602" s="107"/>
      <c r="G602" s="107"/>
      <c r="H602" s="107"/>
      <c r="I602" s="107"/>
      <c r="J602" s="107"/>
      <c r="K602" s="107"/>
      <c r="L602" s="107"/>
      <c r="M602" s="107"/>
      <c r="N602" s="107"/>
      <c r="O602" s="107"/>
      <c r="P602" s="107"/>
      <c r="Q602" s="107"/>
      <c r="R602" s="107"/>
      <c r="S602" s="107"/>
      <c r="T602" s="107"/>
      <c r="U602" s="107"/>
      <c r="V602" s="107"/>
      <c r="W602" s="107"/>
      <c r="X602" s="107"/>
      <c r="Y602" s="107"/>
      <c r="Z602" s="107"/>
      <c r="AA602" s="107"/>
    </row>
    <row r="603">
      <c r="A603" s="110"/>
      <c r="B603" s="107"/>
      <c r="C603" s="107"/>
      <c r="D603" s="107"/>
      <c r="E603" s="107"/>
      <c r="F603" s="107"/>
      <c r="G603" s="107"/>
      <c r="H603" s="107"/>
      <c r="I603" s="107"/>
      <c r="J603" s="107"/>
      <c r="K603" s="107"/>
      <c r="L603" s="107"/>
      <c r="M603" s="107"/>
      <c r="N603" s="107"/>
      <c r="O603" s="107"/>
      <c r="P603" s="107"/>
      <c r="Q603" s="107"/>
      <c r="R603" s="107"/>
      <c r="S603" s="107"/>
      <c r="T603" s="107"/>
      <c r="U603" s="107"/>
      <c r="V603" s="107"/>
      <c r="W603" s="107"/>
      <c r="X603" s="107"/>
      <c r="Y603" s="107"/>
      <c r="Z603" s="107"/>
      <c r="AA603" s="107"/>
    </row>
    <row r="604">
      <c r="A604" s="110"/>
      <c r="B604" s="107"/>
      <c r="C604" s="107"/>
      <c r="D604" s="107"/>
      <c r="E604" s="107"/>
      <c r="F604" s="107"/>
      <c r="G604" s="107"/>
      <c r="H604" s="107"/>
      <c r="I604" s="107"/>
      <c r="J604" s="107"/>
      <c r="K604" s="107"/>
      <c r="L604" s="107"/>
      <c r="M604" s="107"/>
      <c r="N604" s="107"/>
      <c r="O604" s="107"/>
      <c r="P604" s="107"/>
      <c r="Q604" s="107"/>
      <c r="R604" s="107"/>
      <c r="S604" s="107"/>
      <c r="T604" s="107"/>
      <c r="U604" s="107"/>
      <c r="V604" s="107"/>
      <c r="W604" s="107"/>
      <c r="X604" s="107"/>
      <c r="Y604" s="107"/>
      <c r="Z604" s="107"/>
      <c r="AA604" s="107"/>
    </row>
    <row r="605">
      <c r="A605" s="110"/>
      <c r="B605" s="107"/>
      <c r="C605" s="107"/>
      <c r="D605" s="107"/>
      <c r="E605" s="107"/>
      <c r="F605" s="107"/>
      <c r="G605" s="107"/>
      <c r="H605" s="107"/>
      <c r="I605" s="107"/>
      <c r="J605" s="107"/>
      <c r="K605" s="107"/>
      <c r="L605" s="107"/>
      <c r="M605" s="107"/>
      <c r="N605" s="107"/>
      <c r="O605" s="107"/>
      <c r="P605" s="107"/>
      <c r="Q605" s="107"/>
      <c r="R605" s="107"/>
      <c r="S605" s="107"/>
      <c r="T605" s="107"/>
      <c r="U605" s="107"/>
      <c r="V605" s="107"/>
      <c r="W605" s="107"/>
      <c r="X605" s="107"/>
      <c r="Y605" s="107"/>
      <c r="Z605" s="107"/>
      <c r="AA605" s="107"/>
    </row>
    <row r="606">
      <c r="A606" s="110"/>
      <c r="B606" s="107"/>
      <c r="C606" s="107"/>
      <c r="D606" s="107"/>
      <c r="E606" s="107"/>
      <c r="F606" s="107"/>
      <c r="G606" s="107"/>
      <c r="H606" s="107"/>
      <c r="I606" s="107"/>
      <c r="J606" s="107"/>
      <c r="K606" s="107"/>
      <c r="L606" s="107"/>
      <c r="M606" s="107"/>
      <c r="N606" s="107"/>
      <c r="O606" s="107"/>
      <c r="P606" s="107"/>
      <c r="Q606" s="107"/>
      <c r="R606" s="107"/>
      <c r="S606" s="107"/>
      <c r="T606" s="107"/>
      <c r="U606" s="107"/>
      <c r="V606" s="107"/>
      <c r="W606" s="107"/>
      <c r="X606" s="107"/>
      <c r="Y606" s="107"/>
      <c r="Z606" s="107"/>
      <c r="AA606" s="107"/>
    </row>
    <row r="607">
      <c r="A607" s="110"/>
      <c r="B607" s="107"/>
      <c r="C607" s="107"/>
      <c r="D607" s="107"/>
      <c r="E607" s="107"/>
      <c r="F607" s="107"/>
      <c r="G607" s="107"/>
      <c r="H607" s="107"/>
      <c r="I607" s="107"/>
      <c r="J607" s="107"/>
      <c r="K607" s="107"/>
      <c r="L607" s="107"/>
      <c r="M607" s="107"/>
      <c r="N607" s="107"/>
      <c r="O607" s="107"/>
      <c r="P607" s="107"/>
      <c r="Q607" s="107"/>
      <c r="R607" s="107"/>
      <c r="S607" s="107"/>
      <c r="T607" s="107"/>
      <c r="U607" s="107"/>
      <c r="V607" s="107"/>
      <c r="W607" s="107"/>
      <c r="X607" s="107"/>
      <c r="Y607" s="107"/>
      <c r="Z607" s="107"/>
      <c r="AA607" s="107"/>
    </row>
    <row r="608">
      <c r="A608" s="110"/>
      <c r="B608" s="107"/>
      <c r="C608" s="107"/>
      <c r="D608" s="107"/>
      <c r="E608" s="107"/>
      <c r="F608" s="107"/>
      <c r="G608" s="107"/>
      <c r="H608" s="107"/>
      <c r="I608" s="107"/>
      <c r="J608" s="107"/>
      <c r="K608" s="107"/>
      <c r="L608" s="107"/>
      <c r="M608" s="107"/>
      <c r="N608" s="107"/>
      <c r="O608" s="107"/>
      <c r="P608" s="107"/>
      <c r="Q608" s="107"/>
      <c r="R608" s="107"/>
      <c r="S608" s="107"/>
      <c r="T608" s="107"/>
      <c r="U608" s="107"/>
      <c r="V608" s="107"/>
      <c r="W608" s="107"/>
      <c r="X608" s="107"/>
      <c r="Y608" s="107"/>
      <c r="Z608" s="107"/>
      <c r="AA608" s="107"/>
    </row>
    <row r="609">
      <c r="A609" s="110"/>
      <c r="B609" s="107"/>
      <c r="C609" s="107"/>
      <c r="D609" s="107"/>
      <c r="E609" s="107"/>
      <c r="F609" s="107"/>
      <c r="G609" s="107"/>
      <c r="H609" s="107"/>
      <c r="I609" s="107"/>
      <c r="J609" s="107"/>
      <c r="K609" s="107"/>
      <c r="L609" s="107"/>
      <c r="M609" s="107"/>
      <c r="N609" s="107"/>
      <c r="O609" s="107"/>
      <c r="P609" s="107"/>
      <c r="Q609" s="107"/>
      <c r="R609" s="107"/>
      <c r="S609" s="107"/>
      <c r="T609" s="107"/>
      <c r="U609" s="107"/>
      <c r="V609" s="107"/>
      <c r="W609" s="107"/>
      <c r="X609" s="107"/>
      <c r="Y609" s="107"/>
      <c r="Z609" s="107"/>
      <c r="AA609" s="107"/>
    </row>
    <row r="610">
      <c r="A610" s="110"/>
      <c r="B610" s="107"/>
      <c r="C610" s="107"/>
      <c r="D610" s="107"/>
      <c r="E610" s="107"/>
      <c r="F610" s="107"/>
      <c r="G610" s="107"/>
      <c r="H610" s="107"/>
      <c r="I610" s="107"/>
      <c r="J610" s="107"/>
      <c r="K610" s="107"/>
      <c r="L610" s="107"/>
      <c r="M610" s="107"/>
      <c r="N610" s="107"/>
      <c r="O610" s="107"/>
      <c r="P610" s="107"/>
      <c r="Q610" s="107"/>
      <c r="R610" s="107"/>
      <c r="S610" s="107"/>
      <c r="T610" s="107"/>
      <c r="U610" s="107"/>
      <c r="V610" s="107"/>
      <c r="W610" s="107"/>
      <c r="X610" s="107"/>
      <c r="Y610" s="107"/>
      <c r="Z610" s="107"/>
      <c r="AA610" s="107"/>
    </row>
    <row r="611">
      <c r="A611" s="110"/>
      <c r="B611" s="107"/>
      <c r="C611" s="107"/>
      <c r="D611" s="107"/>
      <c r="E611" s="107"/>
      <c r="F611" s="107"/>
      <c r="G611" s="107"/>
      <c r="H611" s="107"/>
      <c r="I611" s="107"/>
      <c r="J611" s="107"/>
      <c r="K611" s="107"/>
      <c r="L611" s="107"/>
      <c r="M611" s="107"/>
      <c r="N611" s="107"/>
      <c r="O611" s="107"/>
      <c r="P611" s="107"/>
      <c r="Q611" s="107"/>
      <c r="R611" s="107"/>
      <c r="S611" s="107"/>
      <c r="T611" s="107"/>
      <c r="U611" s="107"/>
      <c r="V611" s="107"/>
      <c r="W611" s="107"/>
      <c r="X611" s="107"/>
      <c r="Y611" s="107"/>
      <c r="Z611" s="107"/>
      <c r="AA611" s="107"/>
    </row>
    <row r="612">
      <c r="A612" s="110"/>
      <c r="B612" s="107"/>
      <c r="C612" s="107"/>
      <c r="D612" s="107"/>
      <c r="E612" s="107"/>
      <c r="F612" s="107"/>
      <c r="G612" s="107"/>
      <c r="H612" s="107"/>
      <c r="I612" s="107"/>
      <c r="J612" s="107"/>
      <c r="K612" s="107"/>
      <c r="L612" s="107"/>
      <c r="M612" s="107"/>
      <c r="N612" s="107"/>
      <c r="O612" s="107"/>
      <c r="P612" s="107"/>
      <c r="Q612" s="107"/>
      <c r="R612" s="107"/>
      <c r="S612" s="107"/>
      <c r="T612" s="107"/>
      <c r="U612" s="107"/>
      <c r="V612" s="107"/>
      <c r="W612" s="107"/>
      <c r="X612" s="107"/>
      <c r="Y612" s="107"/>
      <c r="Z612" s="107"/>
      <c r="AA612" s="107"/>
    </row>
    <row r="613">
      <c r="A613" s="110"/>
      <c r="B613" s="107"/>
      <c r="C613" s="107"/>
      <c r="D613" s="107"/>
      <c r="E613" s="107"/>
      <c r="F613" s="107"/>
      <c r="G613" s="107"/>
      <c r="H613" s="107"/>
      <c r="I613" s="107"/>
      <c r="J613" s="107"/>
      <c r="K613" s="107"/>
      <c r="L613" s="107"/>
      <c r="M613" s="107"/>
      <c r="N613" s="107"/>
      <c r="O613" s="107"/>
      <c r="P613" s="107"/>
      <c r="Q613" s="107"/>
      <c r="R613" s="107"/>
      <c r="S613" s="107"/>
      <c r="T613" s="107"/>
      <c r="U613" s="107"/>
      <c r="V613" s="107"/>
      <c r="W613" s="107"/>
      <c r="X613" s="107"/>
      <c r="Y613" s="107"/>
      <c r="Z613" s="107"/>
      <c r="AA613" s="107"/>
    </row>
    <row r="614">
      <c r="A614" s="110"/>
      <c r="B614" s="107"/>
      <c r="C614" s="107"/>
      <c r="D614" s="107"/>
      <c r="E614" s="107"/>
      <c r="F614" s="107"/>
      <c r="G614" s="107"/>
      <c r="H614" s="107"/>
      <c r="I614" s="107"/>
      <c r="J614" s="107"/>
      <c r="K614" s="107"/>
      <c r="L614" s="107"/>
      <c r="M614" s="107"/>
      <c r="N614" s="107"/>
      <c r="O614" s="107"/>
      <c r="P614" s="107"/>
      <c r="Q614" s="107"/>
      <c r="R614" s="107"/>
      <c r="S614" s="107"/>
      <c r="T614" s="107"/>
      <c r="U614" s="107"/>
      <c r="V614" s="107"/>
      <c r="W614" s="107"/>
      <c r="X614" s="107"/>
      <c r="Y614" s="107"/>
      <c r="Z614" s="107"/>
      <c r="AA614" s="107"/>
    </row>
    <row r="615">
      <c r="A615" s="110"/>
      <c r="B615" s="107"/>
      <c r="C615" s="107"/>
      <c r="D615" s="107"/>
      <c r="E615" s="107"/>
      <c r="F615" s="107"/>
      <c r="G615" s="107"/>
      <c r="H615" s="107"/>
      <c r="I615" s="107"/>
      <c r="J615" s="107"/>
      <c r="K615" s="107"/>
      <c r="L615" s="107"/>
      <c r="M615" s="107"/>
      <c r="N615" s="107"/>
      <c r="O615" s="107"/>
      <c r="P615" s="107"/>
      <c r="Q615" s="107"/>
      <c r="R615" s="107"/>
      <c r="S615" s="107"/>
      <c r="T615" s="107"/>
      <c r="U615" s="107"/>
      <c r="V615" s="107"/>
      <c r="W615" s="107"/>
      <c r="X615" s="107"/>
      <c r="Y615" s="107"/>
      <c r="Z615" s="107"/>
      <c r="AA615" s="107"/>
    </row>
    <row r="616">
      <c r="A616" s="110"/>
      <c r="B616" s="107"/>
      <c r="C616" s="107"/>
      <c r="D616" s="107"/>
      <c r="E616" s="107"/>
      <c r="F616" s="107"/>
      <c r="G616" s="107"/>
      <c r="H616" s="107"/>
      <c r="I616" s="107"/>
      <c r="J616" s="107"/>
      <c r="K616" s="107"/>
      <c r="L616" s="107"/>
      <c r="M616" s="107"/>
      <c r="N616" s="107"/>
      <c r="O616" s="107"/>
      <c r="P616" s="107"/>
      <c r="Q616" s="107"/>
      <c r="R616" s="107"/>
      <c r="S616" s="107"/>
      <c r="T616" s="107"/>
      <c r="U616" s="107"/>
      <c r="V616" s="107"/>
      <c r="W616" s="107"/>
      <c r="X616" s="107"/>
      <c r="Y616" s="107"/>
      <c r="Z616" s="107"/>
      <c r="AA616" s="107"/>
    </row>
    <row r="617">
      <c r="A617" s="110"/>
      <c r="B617" s="107"/>
      <c r="C617" s="107"/>
      <c r="D617" s="107"/>
      <c r="E617" s="107"/>
      <c r="F617" s="107"/>
      <c r="G617" s="107"/>
      <c r="H617" s="107"/>
      <c r="I617" s="107"/>
      <c r="J617" s="107"/>
      <c r="K617" s="107"/>
      <c r="L617" s="107"/>
      <c r="M617" s="107"/>
      <c r="N617" s="107"/>
      <c r="O617" s="107"/>
      <c r="P617" s="107"/>
      <c r="Q617" s="107"/>
      <c r="R617" s="107"/>
      <c r="S617" s="107"/>
      <c r="T617" s="107"/>
      <c r="U617" s="107"/>
      <c r="V617" s="107"/>
      <c r="W617" s="107"/>
      <c r="X617" s="107"/>
      <c r="Y617" s="107"/>
      <c r="Z617" s="107"/>
      <c r="AA617" s="107"/>
    </row>
    <row r="618">
      <c r="A618" s="110"/>
      <c r="B618" s="107"/>
      <c r="C618" s="107"/>
      <c r="D618" s="107"/>
      <c r="E618" s="107"/>
      <c r="F618" s="107"/>
      <c r="G618" s="107"/>
      <c r="H618" s="107"/>
      <c r="I618" s="107"/>
      <c r="J618" s="107"/>
      <c r="K618" s="107"/>
      <c r="L618" s="107"/>
      <c r="M618" s="107"/>
      <c r="N618" s="107"/>
      <c r="O618" s="107"/>
      <c r="P618" s="107"/>
      <c r="Q618" s="107"/>
      <c r="R618" s="107"/>
      <c r="S618" s="107"/>
      <c r="T618" s="107"/>
      <c r="U618" s="107"/>
      <c r="V618" s="107"/>
      <c r="W618" s="107"/>
      <c r="X618" s="107"/>
      <c r="Y618" s="107"/>
      <c r="Z618" s="107"/>
      <c r="AA618" s="107"/>
    </row>
    <row r="619">
      <c r="A619" s="110"/>
      <c r="B619" s="107"/>
      <c r="C619" s="107"/>
      <c r="D619" s="107"/>
      <c r="E619" s="107"/>
      <c r="F619" s="107"/>
      <c r="G619" s="107"/>
      <c r="H619" s="107"/>
      <c r="I619" s="107"/>
      <c r="J619" s="107"/>
      <c r="K619" s="107"/>
      <c r="L619" s="107"/>
      <c r="M619" s="107"/>
      <c r="N619" s="107"/>
      <c r="O619" s="107"/>
      <c r="P619" s="107"/>
      <c r="Q619" s="107"/>
      <c r="R619" s="107"/>
      <c r="S619" s="107"/>
      <c r="T619" s="107"/>
      <c r="U619" s="107"/>
      <c r="V619" s="107"/>
      <c r="W619" s="107"/>
      <c r="X619" s="107"/>
      <c r="Y619" s="107"/>
      <c r="Z619" s="107"/>
      <c r="AA619" s="107"/>
    </row>
    <row r="620">
      <c r="A620" s="110"/>
      <c r="B620" s="107"/>
      <c r="C620" s="107"/>
      <c r="D620" s="107"/>
      <c r="E620" s="107"/>
      <c r="F620" s="107"/>
      <c r="G620" s="107"/>
      <c r="H620" s="107"/>
      <c r="I620" s="107"/>
      <c r="J620" s="107"/>
      <c r="K620" s="107"/>
      <c r="L620" s="107"/>
      <c r="M620" s="107"/>
      <c r="N620" s="107"/>
      <c r="O620" s="107"/>
      <c r="P620" s="107"/>
      <c r="Q620" s="107"/>
      <c r="R620" s="107"/>
      <c r="S620" s="107"/>
      <c r="T620" s="107"/>
      <c r="U620" s="107"/>
      <c r="V620" s="107"/>
      <c r="W620" s="107"/>
      <c r="X620" s="107"/>
      <c r="Y620" s="107"/>
      <c r="Z620" s="107"/>
      <c r="AA620" s="107"/>
    </row>
    <row r="621">
      <c r="A621" s="110"/>
      <c r="B621" s="107"/>
      <c r="C621" s="107"/>
      <c r="D621" s="107"/>
      <c r="E621" s="107"/>
      <c r="F621" s="107"/>
      <c r="G621" s="107"/>
      <c r="H621" s="107"/>
      <c r="I621" s="107"/>
      <c r="J621" s="107"/>
      <c r="K621" s="107"/>
      <c r="L621" s="107"/>
      <c r="M621" s="107"/>
      <c r="N621" s="107"/>
      <c r="O621" s="107"/>
      <c r="P621" s="107"/>
      <c r="Q621" s="107"/>
      <c r="R621" s="107"/>
      <c r="S621" s="107"/>
      <c r="T621" s="107"/>
      <c r="U621" s="107"/>
      <c r="V621" s="107"/>
      <c r="W621" s="107"/>
      <c r="X621" s="107"/>
      <c r="Y621" s="107"/>
      <c r="Z621" s="107"/>
      <c r="AA621" s="107"/>
    </row>
    <row r="622">
      <c r="A622" s="110"/>
      <c r="B622" s="107"/>
      <c r="C622" s="107"/>
      <c r="D622" s="107"/>
      <c r="E622" s="107"/>
      <c r="F622" s="107"/>
      <c r="G622" s="107"/>
      <c r="H622" s="107"/>
      <c r="I622" s="107"/>
      <c r="J622" s="107"/>
      <c r="K622" s="107"/>
      <c r="L622" s="107"/>
      <c r="M622" s="107"/>
      <c r="N622" s="107"/>
      <c r="O622" s="107"/>
      <c r="P622" s="107"/>
      <c r="Q622" s="107"/>
      <c r="R622" s="107"/>
      <c r="S622" s="107"/>
      <c r="T622" s="107"/>
      <c r="U622" s="107"/>
      <c r="V622" s="107"/>
      <c r="W622" s="107"/>
      <c r="X622" s="107"/>
      <c r="Y622" s="107"/>
      <c r="Z622" s="107"/>
      <c r="AA622" s="107"/>
    </row>
    <row r="623">
      <c r="A623" s="110"/>
      <c r="B623" s="107"/>
      <c r="C623" s="107"/>
      <c r="D623" s="107"/>
      <c r="E623" s="107"/>
      <c r="F623" s="107"/>
      <c r="G623" s="107"/>
      <c r="H623" s="107"/>
      <c r="I623" s="107"/>
      <c r="J623" s="107"/>
      <c r="K623" s="107"/>
      <c r="L623" s="107"/>
      <c r="M623" s="107"/>
      <c r="N623" s="107"/>
      <c r="O623" s="107"/>
      <c r="P623" s="107"/>
      <c r="Q623" s="107"/>
      <c r="R623" s="107"/>
      <c r="S623" s="107"/>
      <c r="T623" s="107"/>
      <c r="U623" s="107"/>
      <c r="V623" s="107"/>
      <c r="W623" s="107"/>
      <c r="X623" s="107"/>
      <c r="Y623" s="107"/>
      <c r="Z623" s="107"/>
      <c r="AA623" s="107"/>
    </row>
    <row r="624">
      <c r="A624" s="110"/>
      <c r="B624" s="107"/>
      <c r="C624" s="107"/>
      <c r="D624" s="107"/>
      <c r="E624" s="107"/>
      <c r="F624" s="107"/>
      <c r="G624" s="107"/>
      <c r="H624" s="107"/>
      <c r="I624" s="107"/>
      <c r="J624" s="107"/>
      <c r="K624" s="107"/>
      <c r="L624" s="107"/>
      <c r="M624" s="107"/>
      <c r="N624" s="107"/>
      <c r="O624" s="107"/>
      <c r="P624" s="107"/>
      <c r="Q624" s="107"/>
      <c r="R624" s="107"/>
      <c r="S624" s="107"/>
      <c r="T624" s="107"/>
      <c r="U624" s="107"/>
      <c r="V624" s="107"/>
      <c r="W624" s="107"/>
      <c r="X624" s="107"/>
      <c r="Y624" s="107"/>
      <c r="Z624" s="107"/>
      <c r="AA624" s="107"/>
    </row>
    <row r="625">
      <c r="A625" s="110"/>
      <c r="B625" s="107"/>
      <c r="C625" s="107"/>
      <c r="D625" s="107"/>
      <c r="E625" s="107"/>
      <c r="F625" s="107"/>
      <c r="G625" s="107"/>
      <c r="H625" s="107"/>
      <c r="I625" s="107"/>
      <c r="J625" s="107"/>
      <c r="K625" s="107"/>
      <c r="L625" s="107"/>
      <c r="M625" s="107"/>
      <c r="N625" s="107"/>
      <c r="O625" s="107"/>
      <c r="P625" s="107"/>
      <c r="Q625" s="107"/>
      <c r="R625" s="107"/>
      <c r="S625" s="107"/>
      <c r="T625" s="107"/>
      <c r="U625" s="107"/>
      <c r="V625" s="107"/>
      <c r="W625" s="107"/>
      <c r="X625" s="107"/>
      <c r="Y625" s="107"/>
      <c r="Z625" s="107"/>
      <c r="AA625" s="107"/>
    </row>
    <row r="626">
      <c r="A626" s="110"/>
      <c r="B626" s="107"/>
      <c r="C626" s="107"/>
      <c r="D626" s="107"/>
      <c r="E626" s="107"/>
      <c r="F626" s="107"/>
      <c r="G626" s="107"/>
      <c r="H626" s="107"/>
      <c r="I626" s="107"/>
      <c r="J626" s="107"/>
      <c r="K626" s="107"/>
      <c r="L626" s="107"/>
      <c r="M626" s="107"/>
      <c r="N626" s="107"/>
      <c r="O626" s="107"/>
      <c r="P626" s="107"/>
      <c r="Q626" s="107"/>
      <c r="R626" s="107"/>
      <c r="S626" s="107"/>
      <c r="T626" s="107"/>
      <c r="U626" s="107"/>
      <c r="V626" s="107"/>
      <c r="W626" s="107"/>
      <c r="X626" s="107"/>
      <c r="Y626" s="107"/>
      <c r="Z626" s="107"/>
      <c r="AA626" s="107"/>
    </row>
    <row r="627">
      <c r="A627" s="110"/>
      <c r="B627" s="107"/>
      <c r="C627" s="107"/>
      <c r="D627" s="107"/>
      <c r="E627" s="107"/>
      <c r="F627" s="107"/>
      <c r="G627" s="107"/>
      <c r="H627" s="107"/>
      <c r="I627" s="107"/>
      <c r="J627" s="107"/>
      <c r="K627" s="107"/>
      <c r="L627" s="107"/>
      <c r="M627" s="107"/>
      <c r="N627" s="107"/>
      <c r="O627" s="107"/>
      <c r="P627" s="107"/>
      <c r="Q627" s="107"/>
      <c r="R627" s="107"/>
      <c r="S627" s="107"/>
      <c r="T627" s="107"/>
      <c r="U627" s="107"/>
      <c r="V627" s="107"/>
      <c r="W627" s="107"/>
      <c r="X627" s="107"/>
      <c r="Y627" s="107"/>
      <c r="Z627" s="107"/>
      <c r="AA627" s="107"/>
    </row>
    <row r="628">
      <c r="A628" s="110"/>
      <c r="B628" s="107"/>
      <c r="C628" s="107"/>
      <c r="D628" s="107"/>
      <c r="E628" s="107"/>
      <c r="F628" s="107"/>
      <c r="G628" s="107"/>
      <c r="H628" s="107"/>
      <c r="I628" s="107"/>
      <c r="J628" s="107"/>
      <c r="K628" s="107"/>
      <c r="L628" s="107"/>
      <c r="M628" s="107"/>
      <c r="N628" s="107"/>
      <c r="O628" s="107"/>
      <c r="P628" s="107"/>
      <c r="Q628" s="107"/>
      <c r="R628" s="107"/>
      <c r="S628" s="107"/>
      <c r="T628" s="107"/>
      <c r="U628" s="107"/>
      <c r="V628" s="107"/>
      <c r="W628" s="107"/>
      <c r="X628" s="107"/>
      <c r="Y628" s="107"/>
      <c r="Z628" s="107"/>
      <c r="AA628" s="107"/>
    </row>
    <row r="629">
      <c r="A629" s="110"/>
      <c r="B629" s="107"/>
      <c r="C629" s="107"/>
      <c r="D629" s="107"/>
      <c r="E629" s="107"/>
      <c r="F629" s="107"/>
      <c r="G629" s="107"/>
      <c r="H629" s="107"/>
      <c r="I629" s="107"/>
      <c r="J629" s="107"/>
      <c r="K629" s="107"/>
      <c r="L629" s="107"/>
      <c r="M629" s="107"/>
      <c r="N629" s="107"/>
      <c r="O629" s="107"/>
      <c r="P629" s="107"/>
      <c r="Q629" s="107"/>
      <c r="R629" s="107"/>
      <c r="S629" s="107"/>
      <c r="T629" s="107"/>
      <c r="U629" s="107"/>
      <c r="V629" s="107"/>
      <c r="W629" s="107"/>
      <c r="X629" s="107"/>
      <c r="Y629" s="107"/>
      <c r="Z629" s="107"/>
      <c r="AA629" s="107"/>
    </row>
    <row r="630">
      <c r="A630" s="110"/>
      <c r="B630" s="107"/>
      <c r="C630" s="107"/>
      <c r="D630" s="107"/>
      <c r="E630" s="107"/>
      <c r="F630" s="107"/>
      <c r="G630" s="107"/>
      <c r="H630" s="107"/>
      <c r="I630" s="107"/>
      <c r="J630" s="107"/>
      <c r="K630" s="107"/>
      <c r="L630" s="107"/>
      <c r="M630" s="107"/>
      <c r="N630" s="107"/>
      <c r="O630" s="107"/>
      <c r="P630" s="107"/>
      <c r="Q630" s="107"/>
      <c r="R630" s="107"/>
      <c r="S630" s="107"/>
      <c r="T630" s="107"/>
      <c r="U630" s="107"/>
      <c r="V630" s="107"/>
      <c r="W630" s="107"/>
      <c r="X630" s="107"/>
      <c r="Y630" s="107"/>
      <c r="Z630" s="107"/>
      <c r="AA630" s="107"/>
    </row>
    <row r="631">
      <c r="A631" s="110"/>
      <c r="B631" s="107"/>
      <c r="C631" s="107"/>
      <c r="D631" s="107"/>
      <c r="E631" s="107"/>
      <c r="F631" s="107"/>
      <c r="G631" s="107"/>
      <c r="H631" s="107"/>
      <c r="I631" s="107"/>
      <c r="J631" s="107"/>
      <c r="K631" s="107"/>
      <c r="L631" s="107"/>
      <c r="M631" s="107"/>
      <c r="N631" s="107"/>
      <c r="O631" s="107"/>
      <c r="P631" s="107"/>
      <c r="Q631" s="107"/>
      <c r="R631" s="107"/>
      <c r="S631" s="107"/>
      <c r="T631" s="107"/>
      <c r="U631" s="107"/>
      <c r="V631" s="107"/>
      <c r="W631" s="107"/>
      <c r="X631" s="107"/>
      <c r="Y631" s="107"/>
      <c r="Z631" s="107"/>
      <c r="AA631" s="107"/>
    </row>
    <row r="632">
      <c r="A632" s="110"/>
      <c r="B632" s="107"/>
      <c r="C632" s="107"/>
      <c r="D632" s="107"/>
      <c r="E632" s="107"/>
      <c r="F632" s="107"/>
      <c r="G632" s="107"/>
      <c r="H632" s="107"/>
      <c r="I632" s="107"/>
      <c r="J632" s="107"/>
      <c r="K632" s="107"/>
      <c r="L632" s="107"/>
      <c r="M632" s="107"/>
      <c r="N632" s="107"/>
      <c r="O632" s="107"/>
      <c r="P632" s="107"/>
      <c r="Q632" s="107"/>
      <c r="R632" s="107"/>
      <c r="S632" s="107"/>
      <c r="T632" s="107"/>
      <c r="U632" s="107"/>
      <c r="V632" s="107"/>
      <c r="W632" s="107"/>
      <c r="X632" s="107"/>
      <c r="Y632" s="107"/>
      <c r="Z632" s="107"/>
      <c r="AA632" s="107"/>
    </row>
    <row r="633">
      <c r="A633" s="110"/>
      <c r="B633" s="107"/>
      <c r="C633" s="107"/>
      <c r="D633" s="107"/>
      <c r="E633" s="107"/>
      <c r="F633" s="107"/>
      <c r="G633" s="107"/>
      <c r="H633" s="107"/>
      <c r="I633" s="107"/>
      <c r="J633" s="107"/>
      <c r="K633" s="107"/>
      <c r="L633" s="107"/>
      <c r="M633" s="107"/>
      <c r="N633" s="107"/>
      <c r="O633" s="107"/>
      <c r="P633" s="107"/>
      <c r="Q633" s="107"/>
      <c r="R633" s="107"/>
      <c r="S633" s="107"/>
      <c r="T633" s="107"/>
      <c r="U633" s="107"/>
      <c r="V633" s="107"/>
      <c r="W633" s="107"/>
      <c r="X633" s="107"/>
      <c r="Y633" s="107"/>
      <c r="Z633" s="107"/>
      <c r="AA633" s="107"/>
    </row>
    <row r="634">
      <c r="A634" s="110"/>
      <c r="B634" s="107"/>
      <c r="C634" s="107"/>
      <c r="D634" s="107"/>
      <c r="E634" s="107"/>
      <c r="F634" s="107"/>
      <c r="G634" s="107"/>
      <c r="H634" s="107"/>
      <c r="I634" s="107"/>
      <c r="J634" s="107"/>
      <c r="K634" s="107"/>
      <c r="L634" s="107"/>
      <c r="M634" s="107"/>
      <c r="N634" s="107"/>
      <c r="O634" s="107"/>
      <c r="P634" s="107"/>
      <c r="Q634" s="107"/>
      <c r="R634" s="107"/>
      <c r="S634" s="107"/>
      <c r="T634" s="107"/>
      <c r="U634" s="107"/>
      <c r="V634" s="107"/>
      <c r="W634" s="107"/>
      <c r="X634" s="107"/>
      <c r="Y634" s="107"/>
      <c r="Z634" s="107"/>
      <c r="AA634" s="107"/>
    </row>
    <row r="635">
      <c r="A635" s="110"/>
      <c r="B635" s="107"/>
      <c r="C635" s="107"/>
      <c r="D635" s="107"/>
      <c r="E635" s="107"/>
      <c r="F635" s="107"/>
      <c r="G635" s="107"/>
      <c r="H635" s="107"/>
      <c r="I635" s="107"/>
      <c r="J635" s="107"/>
      <c r="K635" s="107"/>
      <c r="L635" s="107"/>
      <c r="M635" s="107"/>
      <c r="N635" s="107"/>
      <c r="O635" s="107"/>
      <c r="P635" s="107"/>
      <c r="Q635" s="107"/>
      <c r="R635" s="107"/>
      <c r="S635" s="107"/>
      <c r="T635" s="107"/>
      <c r="U635" s="107"/>
      <c r="V635" s="107"/>
      <c r="W635" s="107"/>
      <c r="X635" s="107"/>
      <c r="Y635" s="107"/>
      <c r="Z635" s="107"/>
      <c r="AA635" s="107"/>
    </row>
    <row r="636">
      <c r="A636" s="110"/>
      <c r="B636" s="107"/>
      <c r="C636" s="107"/>
      <c r="D636" s="107"/>
      <c r="E636" s="107"/>
      <c r="F636" s="107"/>
      <c r="G636" s="107"/>
      <c r="H636" s="107"/>
      <c r="I636" s="107"/>
      <c r="J636" s="107"/>
      <c r="K636" s="107"/>
      <c r="L636" s="107"/>
      <c r="M636" s="107"/>
      <c r="N636" s="107"/>
      <c r="O636" s="107"/>
      <c r="P636" s="107"/>
      <c r="Q636" s="107"/>
      <c r="R636" s="107"/>
      <c r="S636" s="107"/>
      <c r="T636" s="107"/>
      <c r="U636" s="107"/>
      <c r="V636" s="107"/>
      <c r="W636" s="107"/>
      <c r="X636" s="107"/>
      <c r="Y636" s="107"/>
      <c r="Z636" s="107"/>
      <c r="AA636" s="107"/>
    </row>
    <row r="637">
      <c r="A637" s="110"/>
      <c r="B637" s="107"/>
      <c r="C637" s="107"/>
      <c r="D637" s="107"/>
      <c r="E637" s="107"/>
      <c r="F637" s="107"/>
      <c r="G637" s="107"/>
      <c r="H637" s="107"/>
      <c r="I637" s="107"/>
      <c r="J637" s="107"/>
      <c r="K637" s="107"/>
      <c r="L637" s="107"/>
      <c r="M637" s="107"/>
      <c r="N637" s="107"/>
      <c r="O637" s="107"/>
      <c r="P637" s="107"/>
      <c r="Q637" s="107"/>
      <c r="R637" s="107"/>
      <c r="S637" s="107"/>
      <c r="T637" s="107"/>
      <c r="U637" s="107"/>
      <c r="V637" s="107"/>
      <c r="W637" s="107"/>
      <c r="X637" s="107"/>
      <c r="Y637" s="107"/>
      <c r="Z637" s="107"/>
      <c r="AA637" s="107"/>
    </row>
    <row r="638">
      <c r="A638" s="110"/>
      <c r="B638" s="107"/>
      <c r="C638" s="107"/>
      <c r="D638" s="107"/>
      <c r="E638" s="107"/>
      <c r="F638" s="107"/>
      <c r="G638" s="107"/>
      <c r="H638" s="107"/>
      <c r="I638" s="107"/>
      <c r="J638" s="107"/>
      <c r="K638" s="107"/>
      <c r="L638" s="107"/>
      <c r="M638" s="107"/>
      <c r="N638" s="107"/>
      <c r="O638" s="107"/>
      <c r="P638" s="107"/>
      <c r="Q638" s="107"/>
      <c r="R638" s="107"/>
      <c r="S638" s="107"/>
      <c r="T638" s="107"/>
      <c r="U638" s="107"/>
      <c r="V638" s="107"/>
      <c r="W638" s="107"/>
      <c r="X638" s="107"/>
      <c r="Y638" s="107"/>
      <c r="Z638" s="107"/>
      <c r="AA638" s="107"/>
    </row>
    <row r="639">
      <c r="A639" s="110"/>
      <c r="B639" s="107"/>
      <c r="C639" s="107"/>
      <c r="D639" s="107"/>
      <c r="E639" s="107"/>
      <c r="F639" s="107"/>
      <c r="G639" s="107"/>
      <c r="H639" s="107"/>
      <c r="I639" s="107"/>
      <c r="J639" s="107"/>
      <c r="K639" s="107"/>
      <c r="L639" s="107"/>
      <c r="M639" s="107"/>
      <c r="N639" s="107"/>
      <c r="O639" s="107"/>
      <c r="P639" s="107"/>
      <c r="Q639" s="107"/>
      <c r="R639" s="107"/>
      <c r="S639" s="107"/>
      <c r="T639" s="107"/>
      <c r="U639" s="107"/>
      <c r="V639" s="107"/>
      <c r="W639" s="107"/>
      <c r="X639" s="107"/>
      <c r="Y639" s="107"/>
      <c r="Z639" s="107"/>
      <c r="AA639" s="107"/>
    </row>
    <row r="640">
      <c r="A640" s="110"/>
      <c r="B640" s="107"/>
      <c r="C640" s="107"/>
      <c r="D640" s="107"/>
      <c r="E640" s="107"/>
      <c r="F640" s="107"/>
      <c r="G640" s="107"/>
      <c r="H640" s="107"/>
      <c r="I640" s="107"/>
      <c r="J640" s="107"/>
      <c r="K640" s="107"/>
      <c r="L640" s="107"/>
      <c r="M640" s="107"/>
      <c r="N640" s="107"/>
      <c r="O640" s="107"/>
      <c r="P640" s="107"/>
      <c r="Q640" s="107"/>
      <c r="R640" s="107"/>
      <c r="S640" s="107"/>
      <c r="T640" s="107"/>
      <c r="U640" s="107"/>
      <c r="V640" s="107"/>
      <c r="W640" s="107"/>
      <c r="X640" s="107"/>
      <c r="Y640" s="107"/>
      <c r="Z640" s="107"/>
      <c r="AA640" s="107"/>
    </row>
    <row r="641">
      <c r="A641" s="110"/>
      <c r="B641" s="107"/>
      <c r="C641" s="107"/>
      <c r="D641" s="107"/>
      <c r="E641" s="107"/>
      <c r="F641" s="107"/>
      <c r="G641" s="107"/>
      <c r="H641" s="107"/>
      <c r="I641" s="107"/>
      <c r="J641" s="107"/>
      <c r="K641" s="107"/>
      <c r="L641" s="107"/>
      <c r="M641" s="107"/>
      <c r="N641" s="107"/>
      <c r="O641" s="107"/>
      <c r="P641" s="107"/>
      <c r="Q641" s="107"/>
      <c r="R641" s="107"/>
      <c r="S641" s="107"/>
      <c r="T641" s="107"/>
      <c r="U641" s="107"/>
      <c r="V641" s="107"/>
      <c r="W641" s="107"/>
      <c r="X641" s="107"/>
      <c r="Y641" s="107"/>
      <c r="Z641" s="107"/>
      <c r="AA641" s="107"/>
    </row>
    <row r="642">
      <c r="A642" s="110"/>
      <c r="B642" s="107"/>
      <c r="C642" s="107"/>
      <c r="D642" s="107"/>
      <c r="E642" s="107"/>
      <c r="F642" s="107"/>
      <c r="G642" s="107"/>
      <c r="H642" s="107"/>
      <c r="I642" s="107"/>
      <c r="J642" s="107"/>
      <c r="K642" s="107"/>
      <c r="L642" s="107"/>
      <c r="M642" s="107"/>
      <c r="N642" s="107"/>
      <c r="O642" s="107"/>
      <c r="P642" s="107"/>
      <c r="Q642" s="107"/>
      <c r="R642" s="107"/>
      <c r="S642" s="107"/>
      <c r="T642" s="107"/>
      <c r="U642" s="107"/>
      <c r="V642" s="107"/>
      <c r="W642" s="107"/>
      <c r="X642" s="107"/>
      <c r="Y642" s="107"/>
      <c r="Z642" s="107"/>
      <c r="AA642" s="107"/>
    </row>
    <row r="643">
      <c r="A643" s="110"/>
      <c r="B643" s="107"/>
      <c r="C643" s="107"/>
      <c r="D643" s="107"/>
      <c r="E643" s="107"/>
      <c r="F643" s="107"/>
      <c r="G643" s="107"/>
      <c r="H643" s="107"/>
      <c r="I643" s="107"/>
      <c r="J643" s="107"/>
      <c r="K643" s="107"/>
      <c r="L643" s="107"/>
      <c r="M643" s="107"/>
      <c r="N643" s="107"/>
      <c r="O643" s="107"/>
      <c r="P643" s="107"/>
      <c r="Q643" s="107"/>
      <c r="R643" s="107"/>
      <c r="S643" s="107"/>
      <c r="T643" s="107"/>
      <c r="U643" s="107"/>
      <c r="V643" s="107"/>
      <c r="W643" s="107"/>
      <c r="X643" s="107"/>
      <c r="Y643" s="107"/>
      <c r="Z643" s="107"/>
      <c r="AA643" s="107"/>
    </row>
    <row r="644">
      <c r="A644" s="110"/>
      <c r="B644" s="107"/>
      <c r="C644" s="107"/>
      <c r="D644" s="107"/>
      <c r="E644" s="107"/>
      <c r="F644" s="107"/>
      <c r="G644" s="107"/>
      <c r="H644" s="107"/>
      <c r="I644" s="107"/>
      <c r="J644" s="107"/>
      <c r="K644" s="107"/>
      <c r="L644" s="107"/>
      <c r="M644" s="107"/>
      <c r="N644" s="107"/>
      <c r="O644" s="107"/>
      <c r="P644" s="107"/>
      <c r="Q644" s="107"/>
      <c r="R644" s="107"/>
      <c r="S644" s="107"/>
      <c r="T644" s="107"/>
      <c r="U644" s="107"/>
      <c r="V644" s="107"/>
      <c r="W644" s="107"/>
      <c r="X644" s="107"/>
      <c r="Y644" s="107"/>
      <c r="Z644" s="107"/>
      <c r="AA644" s="107"/>
    </row>
    <row r="645">
      <c r="A645" s="110"/>
      <c r="B645" s="107"/>
      <c r="C645" s="107"/>
      <c r="D645" s="107"/>
      <c r="E645" s="107"/>
      <c r="F645" s="107"/>
      <c r="G645" s="107"/>
      <c r="H645" s="107"/>
      <c r="I645" s="107"/>
      <c r="J645" s="107"/>
      <c r="K645" s="107"/>
      <c r="L645" s="107"/>
      <c r="M645" s="107"/>
      <c r="N645" s="107"/>
      <c r="O645" s="107"/>
      <c r="P645" s="107"/>
      <c r="Q645" s="107"/>
      <c r="R645" s="107"/>
      <c r="S645" s="107"/>
      <c r="T645" s="107"/>
      <c r="U645" s="107"/>
      <c r="V645" s="107"/>
      <c r="W645" s="107"/>
      <c r="X645" s="107"/>
      <c r="Y645" s="107"/>
      <c r="Z645" s="107"/>
      <c r="AA645" s="107"/>
    </row>
    <row r="646">
      <c r="A646" s="110"/>
      <c r="B646" s="107"/>
      <c r="C646" s="107"/>
      <c r="D646" s="107"/>
      <c r="E646" s="107"/>
      <c r="F646" s="107"/>
      <c r="G646" s="107"/>
      <c r="H646" s="107"/>
      <c r="I646" s="107"/>
      <c r="J646" s="107"/>
      <c r="K646" s="107"/>
      <c r="L646" s="107"/>
      <c r="M646" s="107"/>
      <c r="N646" s="107"/>
      <c r="O646" s="107"/>
      <c r="P646" s="107"/>
      <c r="Q646" s="107"/>
      <c r="R646" s="107"/>
      <c r="S646" s="107"/>
      <c r="T646" s="107"/>
      <c r="U646" s="107"/>
      <c r="V646" s="107"/>
      <c r="W646" s="107"/>
      <c r="X646" s="107"/>
      <c r="Y646" s="107"/>
      <c r="Z646" s="107"/>
      <c r="AA646" s="107"/>
    </row>
    <row r="647">
      <c r="A647" s="110"/>
      <c r="B647" s="107"/>
      <c r="C647" s="107"/>
      <c r="D647" s="107"/>
      <c r="E647" s="107"/>
      <c r="F647" s="107"/>
      <c r="G647" s="107"/>
      <c r="H647" s="107"/>
      <c r="I647" s="107"/>
      <c r="J647" s="107"/>
      <c r="K647" s="107"/>
      <c r="L647" s="107"/>
      <c r="M647" s="107"/>
      <c r="N647" s="107"/>
      <c r="O647" s="107"/>
      <c r="P647" s="107"/>
      <c r="Q647" s="107"/>
      <c r="R647" s="107"/>
      <c r="S647" s="107"/>
      <c r="T647" s="107"/>
      <c r="U647" s="107"/>
      <c r="V647" s="107"/>
      <c r="W647" s="107"/>
      <c r="X647" s="107"/>
      <c r="Y647" s="107"/>
      <c r="Z647" s="107"/>
      <c r="AA647" s="107"/>
    </row>
    <row r="648">
      <c r="A648" s="110"/>
      <c r="B648" s="107"/>
      <c r="C648" s="107"/>
      <c r="D648" s="107"/>
      <c r="E648" s="107"/>
      <c r="F648" s="107"/>
      <c r="G648" s="107"/>
      <c r="H648" s="107"/>
      <c r="I648" s="107"/>
      <c r="J648" s="107"/>
      <c r="K648" s="107"/>
      <c r="L648" s="107"/>
      <c r="M648" s="107"/>
      <c r="N648" s="107"/>
      <c r="O648" s="107"/>
      <c r="P648" s="107"/>
      <c r="Q648" s="107"/>
      <c r="R648" s="107"/>
      <c r="S648" s="107"/>
      <c r="T648" s="107"/>
      <c r="U648" s="107"/>
      <c r="V648" s="107"/>
      <c r="W648" s="107"/>
      <c r="X648" s="107"/>
      <c r="Y648" s="107"/>
      <c r="Z648" s="107"/>
      <c r="AA648" s="107"/>
    </row>
    <row r="649">
      <c r="A649" s="110"/>
      <c r="B649" s="107"/>
      <c r="C649" s="107"/>
      <c r="D649" s="107"/>
      <c r="E649" s="107"/>
      <c r="F649" s="107"/>
      <c r="G649" s="107"/>
      <c r="H649" s="107"/>
      <c r="I649" s="107"/>
      <c r="J649" s="107"/>
      <c r="K649" s="107"/>
      <c r="L649" s="107"/>
      <c r="M649" s="107"/>
      <c r="N649" s="107"/>
      <c r="O649" s="107"/>
      <c r="P649" s="107"/>
      <c r="Q649" s="107"/>
      <c r="R649" s="107"/>
      <c r="S649" s="107"/>
      <c r="T649" s="107"/>
      <c r="U649" s="107"/>
      <c r="V649" s="107"/>
      <c r="W649" s="107"/>
      <c r="X649" s="107"/>
      <c r="Y649" s="107"/>
      <c r="Z649" s="107"/>
      <c r="AA649" s="107"/>
    </row>
    <row r="650">
      <c r="A650" s="110"/>
      <c r="B650" s="107"/>
      <c r="C650" s="107"/>
      <c r="D650" s="107"/>
      <c r="E650" s="107"/>
      <c r="F650" s="107"/>
      <c r="G650" s="107"/>
      <c r="H650" s="107"/>
      <c r="I650" s="107"/>
      <c r="J650" s="107"/>
      <c r="K650" s="107"/>
      <c r="L650" s="107"/>
      <c r="M650" s="107"/>
      <c r="N650" s="107"/>
      <c r="O650" s="107"/>
      <c r="P650" s="107"/>
      <c r="Q650" s="107"/>
      <c r="R650" s="107"/>
      <c r="S650" s="107"/>
      <c r="T650" s="107"/>
      <c r="U650" s="107"/>
      <c r="V650" s="107"/>
      <c r="W650" s="107"/>
      <c r="X650" s="107"/>
      <c r="Y650" s="107"/>
      <c r="Z650" s="107"/>
      <c r="AA650" s="107"/>
    </row>
    <row r="651">
      <c r="A651" s="110"/>
      <c r="B651" s="107"/>
      <c r="C651" s="107"/>
      <c r="D651" s="107"/>
      <c r="E651" s="107"/>
      <c r="F651" s="107"/>
      <c r="G651" s="107"/>
      <c r="H651" s="107"/>
      <c r="I651" s="107"/>
      <c r="J651" s="107"/>
      <c r="K651" s="107"/>
      <c r="L651" s="107"/>
      <c r="M651" s="107"/>
      <c r="N651" s="107"/>
      <c r="O651" s="107"/>
      <c r="P651" s="107"/>
      <c r="Q651" s="107"/>
      <c r="R651" s="107"/>
      <c r="S651" s="107"/>
      <c r="T651" s="107"/>
      <c r="U651" s="107"/>
      <c r="V651" s="107"/>
      <c r="W651" s="107"/>
      <c r="X651" s="107"/>
      <c r="Y651" s="107"/>
      <c r="Z651" s="107"/>
      <c r="AA651" s="107"/>
    </row>
    <row r="652">
      <c r="A652" s="110"/>
      <c r="B652" s="107"/>
      <c r="C652" s="107"/>
      <c r="D652" s="107"/>
      <c r="E652" s="107"/>
      <c r="F652" s="107"/>
      <c r="G652" s="107"/>
      <c r="H652" s="107"/>
      <c r="I652" s="107"/>
      <c r="J652" s="107"/>
      <c r="K652" s="107"/>
      <c r="L652" s="107"/>
      <c r="M652" s="107"/>
      <c r="N652" s="107"/>
      <c r="O652" s="107"/>
      <c r="P652" s="107"/>
      <c r="Q652" s="107"/>
      <c r="R652" s="107"/>
      <c r="S652" s="107"/>
      <c r="T652" s="107"/>
      <c r="U652" s="107"/>
      <c r="V652" s="107"/>
      <c r="W652" s="107"/>
      <c r="X652" s="107"/>
      <c r="Y652" s="107"/>
      <c r="Z652" s="107"/>
      <c r="AA652" s="107"/>
    </row>
    <row r="653">
      <c r="A653" s="110"/>
      <c r="B653" s="107"/>
      <c r="C653" s="107"/>
      <c r="D653" s="107"/>
      <c r="E653" s="107"/>
      <c r="F653" s="107"/>
      <c r="G653" s="107"/>
      <c r="H653" s="107"/>
      <c r="I653" s="107"/>
      <c r="J653" s="107"/>
      <c r="K653" s="107"/>
      <c r="L653" s="107"/>
      <c r="M653" s="107"/>
      <c r="N653" s="107"/>
      <c r="O653" s="107"/>
      <c r="P653" s="107"/>
      <c r="Q653" s="107"/>
      <c r="R653" s="107"/>
      <c r="S653" s="107"/>
      <c r="T653" s="107"/>
      <c r="U653" s="107"/>
      <c r="V653" s="107"/>
      <c r="W653" s="107"/>
      <c r="X653" s="107"/>
      <c r="Y653" s="107"/>
      <c r="Z653" s="107"/>
      <c r="AA653" s="107"/>
    </row>
    <row r="654">
      <c r="A654" s="110"/>
      <c r="B654" s="107"/>
      <c r="C654" s="107"/>
      <c r="D654" s="107"/>
      <c r="E654" s="107"/>
      <c r="F654" s="107"/>
      <c r="G654" s="107"/>
      <c r="H654" s="107"/>
      <c r="I654" s="107"/>
      <c r="J654" s="107"/>
      <c r="K654" s="107"/>
      <c r="L654" s="107"/>
      <c r="M654" s="107"/>
      <c r="N654" s="107"/>
      <c r="O654" s="107"/>
      <c r="P654" s="107"/>
      <c r="Q654" s="107"/>
      <c r="R654" s="107"/>
      <c r="S654" s="107"/>
      <c r="T654" s="107"/>
      <c r="U654" s="107"/>
      <c r="V654" s="107"/>
      <c r="W654" s="107"/>
      <c r="X654" s="107"/>
      <c r="Y654" s="107"/>
      <c r="Z654" s="107"/>
      <c r="AA654" s="107"/>
    </row>
    <row r="655">
      <c r="A655" s="110"/>
      <c r="B655" s="107"/>
      <c r="C655" s="107"/>
      <c r="D655" s="107"/>
      <c r="E655" s="107"/>
      <c r="F655" s="107"/>
      <c r="G655" s="107"/>
      <c r="H655" s="107"/>
      <c r="I655" s="107"/>
      <c r="J655" s="107"/>
      <c r="K655" s="107"/>
      <c r="L655" s="107"/>
      <c r="M655" s="107"/>
      <c r="N655" s="107"/>
      <c r="O655" s="107"/>
      <c r="P655" s="107"/>
      <c r="Q655" s="107"/>
      <c r="R655" s="107"/>
      <c r="S655" s="107"/>
      <c r="T655" s="107"/>
      <c r="U655" s="107"/>
      <c r="V655" s="107"/>
      <c r="W655" s="107"/>
      <c r="X655" s="107"/>
      <c r="Y655" s="107"/>
      <c r="Z655" s="107"/>
      <c r="AA655" s="107"/>
    </row>
    <row r="656">
      <c r="A656" s="110"/>
      <c r="B656" s="107"/>
      <c r="C656" s="107"/>
      <c r="D656" s="107"/>
      <c r="E656" s="107"/>
      <c r="F656" s="107"/>
      <c r="G656" s="107"/>
      <c r="H656" s="107"/>
      <c r="I656" s="107"/>
      <c r="J656" s="107"/>
      <c r="K656" s="107"/>
      <c r="L656" s="107"/>
      <c r="M656" s="107"/>
      <c r="N656" s="107"/>
      <c r="O656" s="107"/>
      <c r="P656" s="107"/>
      <c r="Q656" s="107"/>
      <c r="R656" s="107"/>
      <c r="S656" s="107"/>
      <c r="T656" s="107"/>
      <c r="U656" s="107"/>
      <c r="V656" s="107"/>
      <c r="W656" s="107"/>
      <c r="X656" s="107"/>
      <c r="Y656" s="107"/>
      <c r="Z656" s="107"/>
      <c r="AA656" s="107"/>
    </row>
    <row r="657">
      <c r="A657" s="110"/>
      <c r="B657" s="107"/>
      <c r="C657" s="107"/>
      <c r="D657" s="107"/>
      <c r="E657" s="107"/>
      <c r="F657" s="107"/>
      <c r="G657" s="107"/>
      <c r="H657" s="107"/>
      <c r="I657" s="107"/>
      <c r="J657" s="107"/>
      <c r="K657" s="107"/>
      <c r="L657" s="107"/>
      <c r="M657" s="107"/>
      <c r="N657" s="107"/>
      <c r="O657" s="107"/>
      <c r="P657" s="107"/>
      <c r="Q657" s="107"/>
      <c r="R657" s="107"/>
      <c r="S657" s="107"/>
      <c r="T657" s="107"/>
      <c r="U657" s="107"/>
      <c r="V657" s="107"/>
      <c r="W657" s="107"/>
      <c r="X657" s="107"/>
      <c r="Y657" s="107"/>
      <c r="Z657" s="107"/>
      <c r="AA657" s="107"/>
    </row>
    <row r="658">
      <c r="A658" s="110"/>
      <c r="B658" s="107"/>
      <c r="C658" s="107"/>
      <c r="D658" s="107"/>
      <c r="E658" s="107"/>
      <c r="F658" s="107"/>
      <c r="G658" s="107"/>
      <c r="H658" s="107"/>
      <c r="I658" s="107"/>
      <c r="J658" s="107"/>
      <c r="K658" s="107"/>
      <c r="L658" s="107"/>
      <c r="M658" s="107"/>
      <c r="N658" s="107"/>
      <c r="O658" s="107"/>
      <c r="P658" s="107"/>
      <c r="Q658" s="107"/>
      <c r="R658" s="107"/>
      <c r="S658" s="107"/>
      <c r="T658" s="107"/>
      <c r="U658" s="107"/>
      <c r="V658" s="107"/>
      <c r="W658" s="107"/>
      <c r="X658" s="107"/>
      <c r="Y658" s="107"/>
      <c r="Z658" s="107"/>
      <c r="AA658" s="107"/>
    </row>
    <row r="659">
      <c r="A659" s="110"/>
      <c r="B659" s="107"/>
      <c r="C659" s="107"/>
      <c r="D659" s="107"/>
      <c r="E659" s="107"/>
      <c r="F659" s="107"/>
      <c r="G659" s="107"/>
      <c r="H659" s="107"/>
      <c r="I659" s="107"/>
      <c r="J659" s="107"/>
      <c r="K659" s="107"/>
      <c r="L659" s="107"/>
      <c r="M659" s="107"/>
      <c r="N659" s="107"/>
      <c r="O659" s="107"/>
      <c r="P659" s="107"/>
      <c r="Q659" s="107"/>
      <c r="R659" s="107"/>
      <c r="S659" s="107"/>
      <c r="T659" s="107"/>
      <c r="U659" s="107"/>
      <c r="V659" s="107"/>
      <c r="W659" s="107"/>
      <c r="X659" s="107"/>
      <c r="Y659" s="107"/>
      <c r="Z659" s="107"/>
      <c r="AA659" s="107"/>
    </row>
    <row r="660">
      <c r="A660" s="110"/>
      <c r="B660" s="107"/>
      <c r="C660" s="107"/>
      <c r="D660" s="107"/>
      <c r="E660" s="107"/>
      <c r="F660" s="107"/>
      <c r="G660" s="107"/>
      <c r="H660" s="107"/>
      <c r="I660" s="107"/>
      <c r="J660" s="107"/>
      <c r="K660" s="107"/>
      <c r="L660" s="107"/>
      <c r="M660" s="107"/>
      <c r="N660" s="107"/>
      <c r="O660" s="107"/>
      <c r="P660" s="107"/>
      <c r="Q660" s="107"/>
      <c r="R660" s="107"/>
      <c r="S660" s="107"/>
      <c r="T660" s="107"/>
      <c r="U660" s="107"/>
      <c r="V660" s="107"/>
      <c r="W660" s="107"/>
      <c r="X660" s="107"/>
      <c r="Y660" s="107"/>
      <c r="Z660" s="107"/>
      <c r="AA660" s="107"/>
    </row>
    <row r="661">
      <c r="A661" s="110"/>
      <c r="B661" s="107"/>
      <c r="C661" s="107"/>
      <c r="D661" s="107"/>
      <c r="E661" s="107"/>
      <c r="F661" s="107"/>
      <c r="G661" s="107"/>
      <c r="H661" s="107"/>
      <c r="I661" s="107"/>
      <c r="J661" s="107"/>
      <c r="K661" s="107"/>
      <c r="L661" s="107"/>
      <c r="M661" s="107"/>
      <c r="N661" s="107"/>
      <c r="O661" s="107"/>
      <c r="P661" s="107"/>
      <c r="Q661" s="107"/>
      <c r="R661" s="107"/>
      <c r="S661" s="107"/>
      <c r="T661" s="107"/>
      <c r="U661" s="107"/>
      <c r="V661" s="107"/>
      <c r="W661" s="107"/>
      <c r="X661" s="107"/>
      <c r="Y661" s="107"/>
      <c r="Z661" s="107"/>
      <c r="AA661" s="107"/>
    </row>
    <row r="662">
      <c r="A662" s="110"/>
      <c r="B662" s="107"/>
      <c r="C662" s="107"/>
      <c r="D662" s="107"/>
      <c r="E662" s="107"/>
      <c r="F662" s="107"/>
      <c r="G662" s="107"/>
      <c r="H662" s="107"/>
      <c r="I662" s="107"/>
      <c r="J662" s="107"/>
      <c r="K662" s="107"/>
      <c r="L662" s="107"/>
      <c r="M662" s="107"/>
      <c r="N662" s="107"/>
      <c r="O662" s="107"/>
      <c r="P662" s="107"/>
      <c r="Q662" s="107"/>
      <c r="R662" s="107"/>
      <c r="S662" s="107"/>
      <c r="T662" s="107"/>
      <c r="U662" s="107"/>
      <c r="V662" s="107"/>
      <c r="W662" s="107"/>
      <c r="X662" s="107"/>
      <c r="Y662" s="107"/>
      <c r="Z662" s="107"/>
      <c r="AA662" s="107"/>
    </row>
    <row r="663">
      <c r="A663" s="110"/>
      <c r="B663" s="107"/>
      <c r="C663" s="107"/>
      <c r="D663" s="107"/>
      <c r="E663" s="107"/>
      <c r="F663" s="107"/>
      <c r="G663" s="107"/>
      <c r="H663" s="107"/>
      <c r="I663" s="107"/>
      <c r="J663" s="107"/>
      <c r="K663" s="107"/>
      <c r="L663" s="107"/>
      <c r="M663" s="107"/>
      <c r="N663" s="107"/>
      <c r="O663" s="107"/>
      <c r="P663" s="107"/>
      <c r="Q663" s="107"/>
      <c r="R663" s="107"/>
      <c r="S663" s="107"/>
      <c r="T663" s="107"/>
      <c r="U663" s="107"/>
      <c r="V663" s="107"/>
      <c r="W663" s="107"/>
      <c r="X663" s="107"/>
      <c r="Y663" s="107"/>
      <c r="Z663" s="107"/>
      <c r="AA663" s="107"/>
    </row>
    <row r="664">
      <c r="A664" s="110"/>
      <c r="B664" s="107"/>
      <c r="C664" s="107"/>
      <c r="D664" s="107"/>
      <c r="E664" s="107"/>
      <c r="F664" s="107"/>
      <c r="G664" s="107"/>
      <c r="H664" s="107"/>
      <c r="I664" s="107"/>
      <c r="J664" s="107"/>
      <c r="K664" s="107"/>
      <c r="L664" s="107"/>
      <c r="M664" s="107"/>
      <c r="N664" s="107"/>
      <c r="O664" s="107"/>
      <c r="P664" s="107"/>
      <c r="Q664" s="107"/>
      <c r="R664" s="107"/>
      <c r="S664" s="107"/>
      <c r="T664" s="107"/>
      <c r="U664" s="107"/>
      <c r="V664" s="107"/>
      <c r="W664" s="107"/>
      <c r="X664" s="107"/>
      <c r="Y664" s="107"/>
      <c r="Z664" s="107"/>
      <c r="AA664" s="107"/>
    </row>
    <row r="665">
      <c r="A665" s="110"/>
      <c r="B665" s="107"/>
      <c r="C665" s="107"/>
      <c r="D665" s="107"/>
      <c r="E665" s="107"/>
      <c r="F665" s="107"/>
      <c r="G665" s="107"/>
      <c r="H665" s="107"/>
      <c r="I665" s="107"/>
      <c r="J665" s="107"/>
      <c r="K665" s="107"/>
      <c r="L665" s="107"/>
      <c r="M665" s="107"/>
      <c r="N665" s="107"/>
      <c r="O665" s="107"/>
      <c r="P665" s="107"/>
      <c r="Q665" s="107"/>
      <c r="R665" s="107"/>
      <c r="S665" s="107"/>
      <c r="T665" s="107"/>
      <c r="U665" s="107"/>
      <c r="V665" s="107"/>
      <c r="W665" s="107"/>
      <c r="X665" s="107"/>
      <c r="Y665" s="107"/>
      <c r="Z665" s="107"/>
      <c r="AA665" s="107"/>
    </row>
    <row r="666">
      <c r="A666" s="110"/>
      <c r="B666" s="107"/>
      <c r="C666" s="107"/>
      <c r="D666" s="107"/>
      <c r="E666" s="107"/>
      <c r="F666" s="107"/>
      <c r="G666" s="107"/>
      <c r="H666" s="107"/>
      <c r="I666" s="107"/>
      <c r="J666" s="107"/>
      <c r="K666" s="107"/>
      <c r="L666" s="107"/>
      <c r="M666" s="107"/>
      <c r="N666" s="107"/>
      <c r="O666" s="107"/>
      <c r="P666" s="107"/>
      <c r="Q666" s="107"/>
      <c r="R666" s="107"/>
      <c r="S666" s="107"/>
      <c r="T666" s="107"/>
      <c r="U666" s="107"/>
      <c r="V666" s="107"/>
      <c r="W666" s="107"/>
      <c r="X666" s="107"/>
      <c r="Y666" s="107"/>
      <c r="Z666" s="107"/>
      <c r="AA666" s="107"/>
    </row>
    <row r="667">
      <c r="A667" s="110"/>
      <c r="B667" s="107"/>
      <c r="C667" s="107"/>
      <c r="D667" s="107"/>
      <c r="E667" s="107"/>
      <c r="F667" s="107"/>
      <c r="G667" s="107"/>
      <c r="H667" s="107"/>
      <c r="I667" s="107"/>
      <c r="J667" s="107"/>
      <c r="K667" s="107"/>
      <c r="L667" s="107"/>
      <c r="M667" s="107"/>
      <c r="N667" s="107"/>
      <c r="O667" s="107"/>
      <c r="P667" s="107"/>
      <c r="Q667" s="107"/>
      <c r="R667" s="107"/>
      <c r="S667" s="107"/>
      <c r="T667" s="107"/>
      <c r="U667" s="107"/>
      <c r="V667" s="107"/>
      <c r="W667" s="107"/>
      <c r="X667" s="107"/>
      <c r="Y667" s="107"/>
      <c r="Z667" s="107"/>
      <c r="AA667" s="107"/>
    </row>
    <row r="668">
      <c r="A668" s="110"/>
      <c r="B668" s="107"/>
      <c r="C668" s="107"/>
      <c r="D668" s="107"/>
      <c r="E668" s="107"/>
      <c r="F668" s="107"/>
      <c r="G668" s="107"/>
      <c r="H668" s="107"/>
      <c r="I668" s="107"/>
      <c r="J668" s="107"/>
      <c r="K668" s="107"/>
      <c r="L668" s="107"/>
      <c r="M668" s="107"/>
      <c r="N668" s="107"/>
      <c r="O668" s="107"/>
      <c r="P668" s="107"/>
      <c r="Q668" s="107"/>
      <c r="R668" s="107"/>
      <c r="S668" s="107"/>
      <c r="T668" s="107"/>
      <c r="U668" s="107"/>
      <c r="V668" s="107"/>
      <c r="W668" s="107"/>
      <c r="X668" s="107"/>
      <c r="Y668" s="107"/>
      <c r="Z668" s="107"/>
      <c r="AA668" s="107"/>
    </row>
    <row r="669">
      <c r="A669" s="110"/>
      <c r="B669" s="107"/>
      <c r="C669" s="107"/>
      <c r="D669" s="107"/>
      <c r="E669" s="107"/>
      <c r="F669" s="107"/>
      <c r="G669" s="107"/>
      <c r="H669" s="107"/>
      <c r="I669" s="107"/>
      <c r="J669" s="107"/>
      <c r="K669" s="107"/>
      <c r="L669" s="107"/>
      <c r="M669" s="107"/>
      <c r="N669" s="107"/>
      <c r="O669" s="107"/>
      <c r="P669" s="107"/>
      <c r="Q669" s="107"/>
      <c r="R669" s="107"/>
      <c r="S669" s="107"/>
      <c r="T669" s="107"/>
      <c r="U669" s="107"/>
      <c r="V669" s="107"/>
      <c r="W669" s="107"/>
      <c r="X669" s="107"/>
      <c r="Y669" s="107"/>
      <c r="Z669" s="107"/>
      <c r="AA669" s="107"/>
    </row>
    <row r="670">
      <c r="A670" s="110"/>
      <c r="B670" s="107"/>
      <c r="C670" s="107"/>
      <c r="D670" s="107"/>
      <c r="E670" s="107"/>
      <c r="F670" s="107"/>
      <c r="G670" s="107"/>
      <c r="H670" s="107"/>
      <c r="I670" s="107"/>
      <c r="J670" s="107"/>
      <c r="K670" s="107"/>
      <c r="L670" s="107"/>
      <c r="M670" s="107"/>
      <c r="N670" s="107"/>
      <c r="O670" s="107"/>
      <c r="P670" s="107"/>
      <c r="Q670" s="107"/>
      <c r="R670" s="107"/>
      <c r="S670" s="107"/>
      <c r="T670" s="107"/>
      <c r="U670" s="107"/>
      <c r="V670" s="107"/>
      <c r="W670" s="107"/>
      <c r="X670" s="107"/>
      <c r="Y670" s="107"/>
      <c r="Z670" s="107"/>
      <c r="AA670" s="107"/>
    </row>
    <row r="671">
      <c r="A671" s="110"/>
      <c r="B671" s="107"/>
      <c r="C671" s="107"/>
      <c r="D671" s="107"/>
      <c r="E671" s="107"/>
      <c r="F671" s="107"/>
      <c r="G671" s="107"/>
      <c r="H671" s="107"/>
      <c r="I671" s="107"/>
      <c r="J671" s="107"/>
      <c r="K671" s="107"/>
      <c r="L671" s="107"/>
      <c r="M671" s="107"/>
      <c r="N671" s="107"/>
      <c r="O671" s="107"/>
      <c r="P671" s="107"/>
      <c r="Q671" s="107"/>
      <c r="R671" s="107"/>
      <c r="S671" s="107"/>
      <c r="T671" s="107"/>
      <c r="U671" s="107"/>
      <c r="V671" s="107"/>
      <c r="W671" s="107"/>
      <c r="X671" s="107"/>
      <c r="Y671" s="107"/>
      <c r="Z671" s="107"/>
      <c r="AA671" s="107"/>
    </row>
    <row r="672">
      <c r="A672" s="110"/>
      <c r="B672" s="107"/>
      <c r="C672" s="107"/>
      <c r="D672" s="107"/>
      <c r="E672" s="107"/>
      <c r="F672" s="107"/>
      <c r="G672" s="107"/>
      <c r="H672" s="107"/>
      <c r="I672" s="107"/>
      <c r="J672" s="107"/>
      <c r="K672" s="107"/>
      <c r="L672" s="107"/>
      <c r="M672" s="107"/>
      <c r="N672" s="107"/>
      <c r="O672" s="107"/>
      <c r="P672" s="107"/>
      <c r="Q672" s="107"/>
      <c r="R672" s="107"/>
      <c r="S672" s="107"/>
      <c r="T672" s="107"/>
      <c r="U672" s="107"/>
      <c r="V672" s="107"/>
      <c r="W672" s="107"/>
      <c r="X672" s="107"/>
      <c r="Y672" s="107"/>
      <c r="Z672" s="107"/>
      <c r="AA672" s="107"/>
    </row>
    <row r="673">
      <c r="A673" s="110"/>
      <c r="B673" s="107"/>
      <c r="C673" s="107"/>
      <c r="D673" s="107"/>
      <c r="E673" s="107"/>
      <c r="F673" s="107"/>
      <c r="G673" s="107"/>
      <c r="H673" s="107"/>
      <c r="I673" s="107"/>
      <c r="J673" s="107"/>
      <c r="K673" s="107"/>
      <c r="L673" s="107"/>
      <c r="M673" s="107"/>
      <c r="N673" s="107"/>
      <c r="O673" s="107"/>
      <c r="P673" s="107"/>
      <c r="Q673" s="107"/>
      <c r="R673" s="107"/>
      <c r="S673" s="107"/>
      <c r="T673" s="107"/>
      <c r="U673" s="107"/>
      <c r="V673" s="107"/>
      <c r="W673" s="107"/>
      <c r="X673" s="107"/>
      <c r="Y673" s="107"/>
      <c r="Z673" s="107"/>
      <c r="AA673" s="107"/>
    </row>
    <row r="674">
      <c r="A674" s="110"/>
      <c r="B674" s="107"/>
      <c r="C674" s="107"/>
      <c r="D674" s="107"/>
      <c r="E674" s="107"/>
      <c r="F674" s="107"/>
      <c r="G674" s="107"/>
      <c r="H674" s="107"/>
      <c r="I674" s="107"/>
      <c r="J674" s="107"/>
      <c r="K674" s="107"/>
      <c r="L674" s="107"/>
      <c r="M674" s="107"/>
      <c r="N674" s="107"/>
      <c r="O674" s="107"/>
      <c r="P674" s="107"/>
      <c r="Q674" s="107"/>
      <c r="R674" s="107"/>
      <c r="S674" s="107"/>
      <c r="T674" s="107"/>
      <c r="U674" s="107"/>
      <c r="V674" s="107"/>
      <c r="W674" s="107"/>
      <c r="X674" s="107"/>
      <c r="Y674" s="107"/>
      <c r="Z674" s="107"/>
      <c r="AA674" s="107"/>
    </row>
    <row r="675">
      <c r="A675" s="110"/>
      <c r="B675" s="107"/>
      <c r="C675" s="107"/>
      <c r="D675" s="107"/>
      <c r="E675" s="107"/>
      <c r="F675" s="107"/>
      <c r="G675" s="107"/>
      <c r="H675" s="107"/>
      <c r="I675" s="107"/>
      <c r="J675" s="107"/>
      <c r="K675" s="107"/>
      <c r="L675" s="107"/>
      <c r="M675" s="107"/>
      <c r="N675" s="107"/>
      <c r="O675" s="107"/>
      <c r="P675" s="107"/>
      <c r="Q675" s="107"/>
      <c r="R675" s="107"/>
      <c r="S675" s="107"/>
      <c r="T675" s="107"/>
      <c r="U675" s="107"/>
      <c r="V675" s="107"/>
      <c r="W675" s="107"/>
      <c r="X675" s="107"/>
      <c r="Y675" s="107"/>
      <c r="Z675" s="107"/>
      <c r="AA675" s="107"/>
    </row>
    <row r="676">
      <c r="A676" s="110"/>
      <c r="B676" s="107"/>
      <c r="C676" s="107"/>
      <c r="D676" s="107"/>
      <c r="E676" s="107"/>
      <c r="F676" s="107"/>
      <c r="G676" s="107"/>
      <c r="H676" s="107"/>
      <c r="I676" s="107"/>
      <c r="J676" s="107"/>
      <c r="K676" s="107"/>
      <c r="L676" s="107"/>
      <c r="M676" s="107"/>
      <c r="N676" s="107"/>
      <c r="O676" s="107"/>
      <c r="P676" s="107"/>
      <c r="Q676" s="107"/>
      <c r="R676" s="107"/>
      <c r="S676" s="107"/>
      <c r="T676" s="107"/>
      <c r="U676" s="107"/>
      <c r="V676" s="107"/>
      <c r="W676" s="107"/>
      <c r="X676" s="107"/>
      <c r="Y676" s="107"/>
      <c r="Z676" s="107"/>
      <c r="AA676" s="107"/>
    </row>
    <row r="677">
      <c r="A677" s="110"/>
      <c r="B677" s="107"/>
      <c r="C677" s="107"/>
      <c r="D677" s="107"/>
      <c r="E677" s="107"/>
      <c r="F677" s="107"/>
      <c r="G677" s="107"/>
      <c r="H677" s="107"/>
      <c r="I677" s="107"/>
      <c r="J677" s="107"/>
      <c r="K677" s="107"/>
      <c r="L677" s="107"/>
      <c r="M677" s="107"/>
      <c r="N677" s="107"/>
      <c r="O677" s="107"/>
      <c r="P677" s="107"/>
      <c r="Q677" s="107"/>
      <c r="R677" s="107"/>
      <c r="S677" s="107"/>
      <c r="T677" s="107"/>
      <c r="U677" s="107"/>
      <c r="V677" s="107"/>
      <c r="W677" s="107"/>
      <c r="X677" s="107"/>
      <c r="Y677" s="107"/>
      <c r="Z677" s="107"/>
      <c r="AA677" s="107"/>
    </row>
    <row r="678">
      <c r="A678" s="110"/>
      <c r="B678" s="107"/>
      <c r="C678" s="107"/>
      <c r="D678" s="107"/>
      <c r="E678" s="107"/>
      <c r="F678" s="107"/>
      <c r="G678" s="107"/>
      <c r="H678" s="107"/>
      <c r="I678" s="107"/>
      <c r="J678" s="107"/>
      <c r="K678" s="107"/>
      <c r="L678" s="107"/>
      <c r="M678" s="107"/>
      <c r="N678" s="107"/>
      <c r="O678" s="107"/>
      <c r="P678" s="107"/>
      <c r="Q678" s="107"/>
      <c r="R678" s="107"/>
      <c r="S678" s="107"/>
      <c r="T678" s="107"/>
      <c r="U678" s="107"/>
      <c r="V678" s="107"/>
      <c r="W678" s="107"/>
      <c r="X678" s="107"/>
      <c r="Y678" s="107"/>
      <c r="Z678" s="107"/>
      <c r="AA678" s="107"/>
    </row>
    <row r="679">
      <c r="A679" s="110"/>
      <c r="B679" s="107"/>
      <c r="C679" s="107"/>
      <c r="D679" s="107"/>
      <c r="E679" s="107"/>
      <c r="F679" s="107"/>
      <c r="G679" s="107"/>
      <c r="H679" s="107"/>
      <c r="I679" s="107"/>
      <c r="J679" s="107"/>
      <c r="K679" s="107"/>
      <c r="L679" s="107"/>
      <c r="M679" s="107"/>
      <c r="N679" s="107"/>
      <c r="O679" s="107"/>
      <c r="P679" s="107"/>
      <c r="Q679" s="107"/>
      <c r="R679" s="107"/>
      <c r="S679" s="107"/>
      <c r="T679" s="107"/>
      <c r="U679" s="107"/>
      <c r="V679" s="107"/>
      <c r="W679" s="107"/>
      <c r="X679" s="107"/>
      <c r="Y679" s="107"/>
      <c r="Z679" s="107"/>
      <c r="AA679" s="107"/>
    </row>
    <row r="680">
      <c r="A680" s="110"/>
      <c r="B680" s="107"/>
      <c r="C680" s="107"/>
      <c r="D680" s="107"/>
      <c r="E680" s="107"/>
      <c r="F680" s="107"/>
      <c r="G680" s="107"/>
      <c r="H680" s="107"/>
      <c r="I680" s="107"/>
      <c r="J680" s="107"/>
      <c r="K680" s="107"/>
      <c r="L680" s="107"/>
      <c r="M680" s="107"/>
      <c r="N680" s="107"/>
      <c r="O680" s="107"/>
      <c r="P680" s="107"/>
      <c r="Q680" s="107"/>
      <c r="R680" s="107"/>
      <c r="S680" s="107"/>
      <c r="T680" s="107"/>
      <c r="U680" s="107"/>
      <c r="V680" s="107"/>
      <c r="W680" s="107"/>
      <c r="X680" s="107"/>
      <c r="Y680" s="107"/>
      <c r="Z680" s="107"/>
      <c r="AA680" s="107"/>
    </row>
    <row r="681">
      <c r="A681" s="110"/>
      <c r="B681" s="107"/>
      <c r="C681" s="107"/>
      <c r="D681" s="107"/>
      <c r="E681" s="107"/>
      <c r="F681" s="107"/>
      <c r="G681" s="107"/>
      <c r="H681" s="107"/>
      <c r="I681" s="107"/>
      <c r="J681" s="107"/>
      <c r="K681" s="107"/>
      <c r="L681" s="107"/>
      <c r="M681" s="107"/>
      <c r="N681" s="107"/>
      <c r="O681" s="107"/>
      <c r="P681" s="107"/>
      <c r="Q681" s="107"/>
      <c r="R681" s="107"/>
      <c r="S681" s="107"/>
      <c r="T681" s="107"/>
      <c r="U681" s="107"/>
      <c r="V681" s="107"/>
      <c r="W681" s="107"/>
      <c r="X681" s="107"/>
      <c r="Y681" s="107"/>
      <c r="Z681" s="107"/>
      <c r="AA681" s="107"/>
    </row>
    <row r="682">
      <c r="A682" s="110"/>
      <c r="B682" s="107"/>
      <c r="C682" s="107"/>
      <c r="D682" s="107"/>
      <c r="E682" s="107"/>
      <c r="F682" s="107"/>
      <c r="G682" s="107"/>
      <c r="H682" s="107"/>
      <c r="I682" s="107"/>
      <c r="J682" s="107"/>
      <c r="K682" s="107"/>
      <c r="L682" s="107"/>
      <c r="M682" s="107"/>
      <c r="N682" s="107"/>
      <c r="O682" s="107"/>
      <c r="P682" s="107"/>
      <c r="Q682" s="107"/>
      <c r="R682" s="107"/>
      <c r="S682" s="107"/>
      <c r="T682" s="107"/>
      <c r="U682" s="107"/>
      <c r="V682" s="107"/>
      <c r="W682" s="107"/>
      <c r="X682" s="107"/>
      <c r="Y682" s="107"/>
      <c r="Z682" s="107"/>
      <c r="AA682" s="107"/>
    </row>
    <row r="683">
      <c r="A683" s="110"/>
      <c r="B683" s="107"/>
      <c r="C683" s="107"/>
      <c r="D683" s="107"/>
      <c r="E683" s="107"/>
      <c r="F683" s="107"/>
      <c r="G683" s="107"/>
      <c r="H683" s="107"/>
      <c r="I683" s="107"/>
      <c r="J683" s="107"/>
      <c r="K683" s="107"/>
      <c r="L683" s="107"/>
      <c r="M683" s="107"/>
      <c r="N683" s="107"/>
      <c r="O683" s="107"/>
      <c r="P683" s="107"/>
      <c r="Q683" s="107"/>
      <c r="R683" s="107"/>
      <c r="S683" s="107"/>
      <c r="T683" s="107"/>
      <c r="U683" s="107"/>
      <c r="V683" s="107"/>
      <c r="W683" s="107"/>
      <c r="X683" s="107"/>
      <c r="Y683" s="107"/>
      <c r="Z683" s="107"/>
      <c r="AA683" s="107"/>
    </row>
    <row r="684">
      <c r="A684" s="110"/>
      <c r="B684" s="107"/>
      <c r="C684" s="107"/>
      <c r="D684" s="107"/>
      <c r="E684" s="107"/>
      <c r="F684" s="107"/>
      <c r="G684" s="107"/>
      <c r="H684" s="107"/>
      <c r="I684" s="107"/>
      <c r="J684" s="107"/>
      <c r="K684" s="107"/>
      <c r="L684" s="107"/>
      <c r="M684" s="107"/>
      <c r="N684" s="107"/>
      <c r="O684" s="107"/>
      <c r="P684" s="107"/>
      <c r="Q684" s="107"/>
      <c r="R684" s="107"/>
      <c r="S684" s="107"/>
      <c r="T684" s="107"/>
      <c r="U684" s="107"/>
      <c r="V684" s="107"/>
      <c r="W684" s="107"/>
      <c r="X684" s="107"/>
      <c r="Y684" s="107"/>
      <c r="Z684" s="107"/>
      <c r="AA684" s="107"/>
    </row>
    <row r="685">
      <c r="A685" s="110"/>
      <c r="B685" s="107"/>
      <c r="C685" s="107"/>
      <c r="D685" s="107"/>
      <c r="E685" s="107"/>
      <c r="F685" s="107"/>
      <c r="G685" s="107"/>
      <c r="H685" s="107"/>
      <c r="I685" s="107"/>
      <c r="J685" s="107"/>
      <c r="K685" s="107"/>
      <c r="L685" s="107"/>
      <c r="M685" s="107"/>
      <c r="N685" s="107"/>
      <c r="O685" s="107"/>
      <c r="P685" s="107"/>
      <c r="Q685" s="107"/>
      <c r="R685" s="107"/>
      <c r="S685" s="107"/>
      <c r="T685" s="107"/>
      <c r="U685" s="107"/>
      <c r="V685" s="107"/>
      <c r="W685" s="107"/>
      <c r="X685" s="107"/>
      <c r="Y685" s="107"/>
      <c r="Z685" s="107"/>
      <c r="AA685" s="107"/>
    </row>
    <row r="686">
      <c r="A686" s="110"/>
      <c r="B686" s="107"/>
      <c r="C686" s="107"/>
      <c r="D686" s="107"/>
      <c r="E686" s="107"/>
      <c r="F686" s="107"/>
      <c r="G686" s="107"/>
      <c r="H686" s="107"/>
      <c r="I686" s="107"/>
      <c r="J686" s="107"/>
      <c r="K686" s="107"/>
      <c r="L686" s="107"/>
      <c r="M686" s="107"/>
      <c r="N686" s="107"/>
      <c r="O686" s="107"/>
      <c r="P686" s="107"/>
      <c r="Q686" s="107"/>
      <c r="R686" s="107"/>
      <c r="S686" s="107"/>
      <c r="T686" s="107"/>
      <c r="U686" s="107"/>
      <c r="V686" s="107"/>
      <c r="W686" s="107"/>
      <c r="X686" s="107"/>
      <c r="Y686" s="107"/>
      <c r="Z686" s="107"/>
      <c r="AA686" s="107"/>
    </row>
    <row r="687">
      <c r="A687" s="110"/>
      <c r="B687" s="107"/>
      <c r="C687" s="107"/>
      <c r="D687" s="107"/>
      <c r="E687" s="107"/>
      <c r="F687" s="107"/>
      <c r="G687" s="107"/>
      <c r="H687" s="107"/>
      <c r="I687" s="107"/>
      <c r="J687" s="107"/>
      <c r="K687" s="107"/>
      <c r="L687" s="107"/>
      <c r="M687" s="107"/>
      <c r="N687" s="107"/>
      <c r="O687" s="107"/>
      <c r="P687" s="107"/>
      <c r="Q687" s="107"/>
      <c r="R687" s="107"/>
      <c r="S687" s="107"/>
      <c r="T687" s="107"/>
      <c r="U687" s="107"/>
      <c r="V687" s="107"/>
      <c r="W687" s="107"/>
      <c r="X687" s="107"/>
      <c r="Y687" s="107"/>
      <c r="Z687" s="107"/>
      <c r="AA687" s="107"/>
    </row>
    <row r="688">
      <c r="A688" s="110"/>
      <c r="B688" s="107"/>
      <c r="C688" s="107"/>
      <c r="D688" s="107"/>
      <c r="E688" s="107"/>
      <c r="F688" s="107"/>
      <c r="G688" s="107"/>
      <c r="H688" s="107"/>
      <c r="I688" s="107"/>
      <c r="J688" s="107"/>
      <c r="K688" s="107"/>
      <c r="L688" s="107"/>
      <c r="M688" s="107"/>
      <c r="N688" s="107"/>
      <c r="O688" s="107"/>
      <c r="P688" s="107"/>
      <c r="Q688" s="107"/>
      <c r="R688" s="107"/>
      <c r="S688" s="107"/>
      <c r="T688" s="107"/>
      <c r="U688" s="107"/>
      <c r="V688" s="107"/>
      <c r="W688" s="107"/>
      <c r="X688" s="107"/>
      <c r="Y688" s="107"/>
      <c r="Z688" s="107"/>
      <c r="AA688" s="107"/>
    </row>
    <row r="689">
      <c r="A689" s="110"/>
      <c r="B689" s="107"/>
      <c r="C689" s="107"/>
      <c r="D689" s="107"/>
      <c r="E689" s="107"/>
      <c r="F689" s="107"/>
      <c r="G689" s="107"/>
      <c r="H689" s="107"/>
      <c r="I689" s="107"/>
      <c r="J689" s="107"/>
      <c r="K689" s="107"/>
      <c r="L689" s="107"/>
      <c r="M689" s="107"/>
      <c r="N689" s="107"/>
      <c r="O689" s="107"/>
      <c r="P689" s="107"/>
      <c r="Q689" s="107"/>
      <c r="R689" s="107"/>
      <c r="S689" s="107"/>
      <c r="T689" s="107"/>
      <c r="U689" s="107"/>
      <c r="V689" s="107"/>
      <c r="W689" s="107"/>
      <c r="X689" s="107"/>
      <c r="Y689" s="107"/>
      <c r="Z689" s="107"/>
      <c r="AA689" s="107"/>
    </row>
    <row r="690">
      <c r="A690" s="110"/>
      <c r="B690" s="107"/>
      <c r="C690" s="107"/>
      <c r="D690" s="107"/>
      <c r="E690" s="107"/>
      <c r="F690" s="107"/>
      <c r="G690" s="107"/>
      <c r="H690" s="107"/>
      <c r="I690" s="107"/>
      <c r="J690" s="107"/>
      <c r="K690" s="107"/>
      <c r="L690" s="107"/>
      <c r="M690" s="107"/>
      <c r="N690" s="107"/>
      <c r="O690" s="107"/>
      <c r="P690" s="107"/>
      <c r="Q690" s="107"/>
      <c r="R690" s="107"/>
      <c r="S690" s="107"/>
      <c r="T690" s="107"/>
      <c r="U690" s="107"/>
      <c r="V690" s="107"/>
      <c r="W690" s="107"/>
      <c r="X690" s="107"/>
      <c r="Y690" s="107"/>
      <c r="Z690" s="107"/>
      <c r="AA690" s="107"/>
    </row>
    <row r="691">
      <c r="A691" s="110"/>
      <c r="B691" s="107"/>
      <c r="C691" s="107"/>
      <c r="D691" s="107"/>
      <c r="E691" s="107"/>
      <c r="F691" s="107"/>
      <c r="G691" s="107"/>
      <c r="H691" s="107"/>
      <c r="I691" s="107"/>
      <c r="J691" s="107"/>
      <c r="K691" s="107"/>
      <c r="L691" s="107"/>
      <c r="M691" s="107"/>
      <c r="N691" s="107"/>
      <c r="O691" s="107"/>
      <c r="P691" s="107"/>
      <c r="Q691" s="107"/>
      <c r="R691" s="107"/>
      <c r="S691" s="107"/>
      <c r="T691" s="107"/>
      <c r="U691" s="107"/>
      <c r="V691" s="107"/>
      <c r="W691" s="107"/>
      <c r="X691" s="107"/>
      <c r="Y691" s="107"/>
      <c r="Z691" s="107"/>
      <c r="AA691" s="107"/>
    </row>
    <row r="692">
      <c r="A692" s="110"/>
      <c r="B692" s="107"/>
      <c r="C692" s="107"/>
      <c r="D692" s="107"/>
      <c r="E692" s="107"/>
      <c r="F692" s="107"/>
      <c r="G692" s="107"/>
      <c r="H692" s="107"/>
      <c r="I692" s="107"/>
      <c r="J692" s="107"/>
      <c r="K692" s="107"/>
      <c r="L692" s="107"/>
      <c r="M692" s="107"/>
      <c r="N692" s="107"/>
      <c r="O692" s="107"/>
      <c r="P692" s="107"/>
      <c r="Q692" s="107"/>
      <c r="R692" s="107"/>
      <c r="S692" s="107"/>
      <c r="T692" s="107"/>
      <c r="U692" s="107"/>
      <c r="V692" s="107"/>
      <c r="W692" s="107"/>
      <c r="X692" s="107"/>
      <c r="Y692" s="107"/>
      <c r="Z692" s="107"/>
      <c r="AA692" s="107"/>
    </row>
    <row r="693">
      <c r="A693" s="110"/>
      <c r="B693" s="107"/>
      <c r="C693" s="107"/>
      <c r="D693" s="107"/>
      <c r="E693" s="107"/>
      <c r="F693" s="107"/>
      <c r="G693" s="107"/>
      <c r="H693" s="107"/>
      <c r="I693" s="107"/>
      <c r="J693" s="107"/>
      <c r="K693" s="107"/>
      <c r="L693" s="107"/>
      <c r="M693" s="107"/>
      <c r="N693" s="107"/>
      <c r="O693" s="107"/>
      <c r="P693" s="107"/>
      <c r="Q693" s="107"/>
      <c r="R693" s="107"/>
      <c r="S693" s="107"/>
      <c r="T693" s="107"/>
      <c r="U693" s="107"/>
      <c r="V693" s="107"/>
      <c r="W693" s="107"/>
      <c r="X693" s="107"/>
      <c r="Y693" s="107"/>
      <c r="Z693" s="107"/>
      <c r="AA693" s="107"/>
    </row>
    <row r="694">
      <c r="A694" s="110"/>
      <c r="B694" s="107"/>
      <c r="C694" s="107"/>
      <c r="D694" s="107"/>
      <c r="E694" s="107"/>
      <c r="F694" s="107"/>
      <c r="G694" s="107"/>
      <c r="H694" s="107"/>
      <c r="I694" s="107"/>
      <c r="J694" s="107"/>
      <c r="K694" s="107"/>
      <c r="L694" s="107"/>
      <c r="M694" s="107"/>
      <c r="N694" s="107"/>
      <c r="O694" s="107"/>
      <c r="P694" s="107"/>
      <c r="Q694" s="107"/>
      <c r="R694" s="107"/>
      <c r="S694" s="107"/>
      <c r="T694" s="107"/>
      <c r="U694" s="107"/>
      <c r="V694" s="107"/>
      <c r="W694" s="107"/>
      <c r="X694" s="107"/>
      <c r="Y694" s="107"/>
      <c r="Z694" s="107"/>
      <c r="AA694" s="107"/>
    </row>
    <row r="695">
      <c r="A695" s="110"/>
      <c r="B695" s="107"/>
      <c r="C695" s="107"/>
      <c r="D695" s="107"/>
      <c r="E695" s="107"/>
      <c r="F695" s="107"/>
      <c r="G695" s="107"/>
      <c r="H695" s="107"/>
      <c r="I695" s="107"/>
      <c r="J695" s="107"/>
      <c r="K695" s="107"/>
      <c r="L695" s="107"/>
      <c r="M695" s="107"/>
      <c r="N695" s="107"/>
      <c r="O695" s="107"/>
      <c r="P695" s="107"/>
      <c r="Q695" s="107"/>
      <c r="R695" s="107"/>
      <c r="S695" s="107"/>
      <c r="T695" s="107"/>
      <c r="U695" s="107"/>
      <c r="V695" s="107"/>
      <c r="W695" s="107"/>
      <c r="X695" s="107"/>
      <c r="Y695" s="107"/>
      <c r="Z695" s="107"/>
      <c r="AA695" s="107"/>
    </row>
    <row r="696">
      <c r="A696" s="110"/>
      <c r="B696" s="107"/>
      <c r="C696" s="107"/>
      <c r="D696" s="107"/>
      <c r="E696" s="107"/>
      <c r="F696" s="107"/>
      <c r="G696" s="107"/>
      <c r="H696" s="107"/>
      <c r="I696" s="107"/>
      <c r="J696" s="107"/>
      <c r="K696" s="107"/>
      <c r="L696" s="107"/>
      <c r="M696" s="107"/>
      <c r="N696" s="107"/>
      <c r="O696" s="107"/>
      <c r="P696" s="107"/>
      <c r="Q696" s="107"/>
      <c r="R696" s="107"/>
      <c r="S696" s="107"/>
      <c r="T696" s="107"/>
      <c r="U696" s="107"/>
      <c r="V696" s="107"/>
      <c r="W696" s="107"/>
      <c r="X696" s="107"/>
      <c r="Y696" s="107"/>
      <c r="Z696" s="107"/>
      <c r="AA696" s="107"/>
    </row>
    <row r="697">
      <c r="A697" s="110"/>
      <c r="B697" s="107"/>
      <c r="C697" s="107"/>
      <c r="D697" s="107"/>
      <c r="E697" s="107"/>
      <c r="F697" s="107"/>
      <c r="G697" s="107"/>
      <c r="H697" s="107"/>
      <c r="I697" s="107"/>
      <c r="J697" s="107"/>
      <c r="K697" s="107"/>
      <c r="L697" s="107"/>
      <c r="M697" s="107"/>
      <c r="N697" s="107"/>
      <c r="O697" s="107"/>
      <c r="P697" s="107"/>
      <c r="Q697" s="107"/>
      <c r="R697" s="107"/>
      <c r="S697" s="107"/>
      <c r="T697" s="107"/>
      <c r="U697" s="107"/>
      <c r="V697" s="107"/>
      <c r="W697" s="107"/>
      <c r="X697" s="107"/>
      <c r="Y697" s="107"/>
      <c r="Z697" s="107"/>
      <c r="AA697" s="107"/>
    </row>
    <row r="698">
      <c r="A698" s="110"/>
      <c r="B698" s="107"/>
      <c r="C698" s="107"/>
      <c r="D698" s="107"/>
      <c r="E698" s="107"/>
      <c r="F698" s="107"/>
      <c r="G698" s="107"/>
      <c r="H698" s="107"/>
      <c r="I698" s="107"/>
      <c r="J698" s="107"/>
      <c r="K698" s="107"/>
      <c r="L698" s="107"/>
      <c r="M698" s="107"/>
      <c r="N698" s="107"/>
      <c r="O698" s="107"/>
      <c r="P698" s="107"/>
      <c r="Q698" s="107"/>
      <c r="R698" s="107"/>
      <c r="S698" s="107"/>
      <c r="T698" s="107"/>
      <c r="U698" s="107"/>
      <c r="V698" s="107"/>
      <c r="W698" s="107"/>
      <c r="X698" s="107"/>
      <c r="Y698" s="107"/>
      <c r="Z698" s="107"/>
      <c r="AA698" s="107"/>
    </row>
    <row r="699">
      <c r="A699" s="110"/>
      <c r="B699" s="107"/>
      <c r="C699" s="107"/>
      <c r="D699" s="107"/>
      <c r="E699" s="107"/>
      <c r="F699" s="107"/>
      <c r="G699" s="107"/>
      <c r="H699" s="107"/>
      <c r="I699" s="107"/>
      <c r="J699" s="107"/>
      <c r="K699" s="107"/>
      <c r="L699" s="107"/>
      <c r="M699" s="107"/>
      <c r="N699" s="107"/>
      <c r="O699" s="107"/>
      <c r="P699" s="107"/>
      <c r="Q699" s="107"/>
      <c r="R699" s="107"/>
      <c r="S699" s="107"/>
      <c r="T699" s="107"/>
      <c r="U699" s="107"/>
      <c r="V699" s="107"/>
      <c r="W699" s="107"/>
      <c r="X699" s="107"/>
      <c r="Y699" s="107"/>
      <c r="Z699" s="107"/>
      <c r="AA699" s="107"/>
    </row>
    <row r="700">
      <c r="A700" s="110"/>
      <c r="B700" s="107"/>
      <c r="C700" s="107"/>
      <c r="D700" s="107"/>
      <c r="E700" s="107"/>
      <c r="F700" s="107"/>
      <c r="G700" s="107"/>
      <c r="H700" s="107"/>
      <c r="I700" s="107"/>
      <c r="J700" s="107"/>
      <c r="K700" s="107"/>
      <c r="L700" s="107"/>
      <c r="M700" s="107"/>
      <c r="N700" s="107"/>
      <c r="O700" s="107"/>
      <c r="P700" s="107"/>
      <c r="Q700" s="107"/>
      <c r="R700" s="107"/>
      <c r="S700" s="107"/>
      <c r="T700" s="107"/>
      <c r="U700" s="107"/>
      <c r="V700" s="107"/>
      <c r="W700" s="107"/>
      <c r="X700" s="107"/>
      <c r="Y700" s="107"/>
      <c r="Z700" s="107"/>
      <c r="AA700" s="107"/>
    </row>
    <row r="701">
      <c r="A701" s="110"/>
      <c r="B701" s="107"/>
      <c r="C701" s="107"/>
      <c r="D701" s="107"/>
      <c r="E701" s="107"/>
      <c r="F701" s="107"/>
      <c r="G701" s="107"/>
      <c r="H701" s="107"/>
      <c r="I701" s="107"/>
      <c r="J701" s="107"/>
      <c r="K701" s="107"/>
      <c r="L701" s="107"/>
      <c r="M701" s="107"/>
      <c r="N701" s="107"/>
      <c r="O701" s="107"/>
      <c r="P701" s="107"/>
      <c r="Q701" s="107"/>
      <c r="R701" s="107"/>
      <c r="S701" s="107"/>
      <c r="T701" s="107"/>
      <c r="U701" s="107"/>
      <c r="V701" s="107"/>
      <c r="W701" s="107"/>
      <c r="X701" s="107"/>
      <c r="Y701" s="107"/>
      <c r="Z701" s="107"/>
      <c r="AA701" s="107"/>
    </row>
    <row r="702">
      <c r="A702" s="110"/>
      <c r="B702" s="107"/>
      <c r="C702" s="107"/>
      <c r="D702" s="107"/>
      <c r="E702" s="107"/>
      <c r="F702" s="107"/>
      <c r="G702" s="107"/>
      <c r="H702" s="107"/>
      <c r="I702" s="107"/>
      <c r="J702" s="107"/>
      <c r="K702" s="107"/>
      <c r="L702" s="107"/>
      <c r="M702" s="107"/>
      <c r="N702" s="107"/>
      <c r="O702" s="107"/>
      <c r="P702" s="107"/>
      <c r="Q702" s="107"/>
      <c r="R702" s="107"/>
      <c r="S702" s="107"/>
      <c r="T702" s="107"/>
      <c r="U702" s="107"/>
      <c r="V702" s="107"/>
      <c r="W702" s="107"/>
      <c r="X702" s="107"/>
      <c r="Y702" s="107"/>
      <c r="Z702" s="107"/>
      <c r="AA702" s="107"/>
    </row>
    <row r="703">
      <c r="A703" s="110"/>
      <c r="B703" s="107"/>
      <c r="C703" s="107"/>
      <c r="D703" s="107"/>
      <c r="E703" s="107"/>
      <c r="F703" s="107"/>
      <c r="G703" s="107"/>
      <c r="H703" s="107"/>
      <c r="I703" s="107"/>
      <c r="J703" s="107"/>
      <c r="K703" s="107"/>
      <c r="L703" s="107"/>
      <c r="M703" s="107"/>
      <c r="N703" s="107"/>
      <c r="O703" s="107"/>
      <c r="P703" s="107"/>
      <c r="Q703" s="107"/>
      <c r="R703" s="107"/>
      <c r="S703" s="107"/>
      <c r="T703" s="107"/>
      <c r="U703" s="107"/>
      <c r="V703" s="107"/>
      <c r="W703" s="107"/>
      <c r="X703" s="107"/>
      <c r="Y703" s="107"/>
      <c r="Z703" s="107"/>
      <c r="AA703" s="107"/>
    </row>
    <row r="704">
      <c r="A704" s="110"/>
      <c r="B704" s="107"/>
      <c r="C704" s="107"/>
      <c r="D704" s="107"/>
      <c r="E704" s="107"/>
      <c r="F704" s="107"/>
      <c r="G704" s="107"/>
      <c r="H704" s="107"/>
      <c r="I704" s="107"/>
      <c r="J704" s="107"/>
      <c r="K704" s="107"/>
      <c r="L704" s="107"/>
      <c r="M704" s="107"/>
      <c r="N704" s="107"/>
      <c r="O704" s="107"/>
      <c r="P704" s="107"/>
      <c r="Q704" s="107"/>
      <c r="R704" s="107"/>
      <c r="S704" s="107"/>
      <c r="T704" s="107"/>
      <c r="U704" s="107"/>
      <c r="V704" s="107"/>
      <c r="W704" s="107"/>
      <c r="X704" s="107"/>
      <c r="Y704" s="107"/>
      <c r="Z704" s="107"/>
      <c r="AA704" s="107"/>
    </row>
    <row r="705">
      <c r="A705" s="110"/>
      <c r="B705" s="107"/>
      <c r="C705" s="107"/>
      <c r="D705" s="107"/>
      <c r="E705" s="107"/>
      <c r="F705" s="107"/>
      <c r="G705" s="107"/>
      <c r="H705" s="107"/>
      <c r="I705" s="107"/>
      <c r="J705" s="107"/>
      <c r="K705" s="107"/>
      <c r="L705" s="107"/>
      <c r="M705" s="107"/>
      <c r="N705" s="107"/>
      <c r="O705" s="107"/>
      <c r="P705" s="107"/>
      <c r="Q705" s="107"/>
      <c r="R705" s="107"/>
      <c r="S705" s="107"/>
      <c r="T705" s="107"/>
      <c r="U705" s="107"/>
      <c r="V705" s="107"/>
      <c r="W705" s="107"/>
      <c r="X705" s="107"/>
      <c r="Y705" s="107"/>
      <c r="Z705" s="107"/>
      <c r="AA705" s="107"/>
    </row>
    <row r="706">
      <c r="A706" s="110"/>
      <c r="B706" s="107"/>
      <c r="C706" s="107"/>
      <c r="D706" s="107"/>
      <c r="E706" s="107"/>
      <c r="F706" s="107"/>
      <c r="G706" s="107"/>
      <c r="H706" s="107"/>
      <c r="I706" s="107"/>
      <c r="J706" s="107"/>
      <c r="K706" s="107"/>
      <c r="L706" s="107"/>
      <c r="M706" s="107"/>
      <c r="N706" s="107"/>
      <c r="O706" s="107"/>
      <c r="P706" s="107"/>
      <c r="Q706" s="107"/>
      <c r="R706" s="107"/>
      <c r="S706" s="107"/>
      <c r="T706" s="107"/>
      <c r="U706" s="107"/>
      <c r="V706" s="107"/>
      <c r="W706" s="107"/>
      <c r="X706" s="107"/>
      <c r="Y706" s="107"/>
      <c r="Z706" s="107"/>
      <c r="AA706" s="107"/>
    </row>
    <row r="707">
      <c r="A707" s="110"/>
      <c r="B707" s="107"/>
      <c r="C707" s="107"/>
      <c r="D707" s="107"/>
      <c r="E707" s="107"/>
      <c r="F707" s="107"/>
      <c r="G707" s="107"/>
      <c r="H707" s="107"/>
      <c r="I707" s="107"/>
      <c r="J707" s="107"/>
      <c r="K707" s="107"/>
      <c r="L707" s="107"/>
      <c r="M707" s="107"/>
      <c r="N707" s="107"/>
      <c r="O707" s="107"/>
      <c r="P707" s="107"/>
      <c r="Q707" s="107"/>
      <c r="R707" s="107"/>
      <c r="S707" s="107"/>
      <c r="T707" s="107"/>
      <c r="U707" s="107"/>
      <c r="V707" s="107"/>
      <c r="W707" s="107"/>
      <c r="X707" s="107"/>
      <c r="Y707" s="107"/>
      <c r="Z707" s="107"/>
      <c r="AA707" s="107"/>
    </row>
    <row r="708">
      <c r="A708" s="110"/>
      <c r="B708" s="107"/>
      <c r="C708" s="107"/>
      <c r="D708" s="107"/>
      <c r="E708" s="107"/>
      <c r="F708" s="107"/>
      <c r="G708" s="107"/>
      <c r="H708" s="107"/>
      <c r="I708" s="107"/>
      <c r="J708" s="107"/>
      <c r="K708" s="107"/>
      <c r="L708" s="107"/>
      <c r="M708" s="107"/>
      <c r="N708" s="107"/>
      <c r="O708" s="107"/>
      <c r="P708" s="107"/>
      <c r="Q708" s="107"/>
      <c r="R708" s="107"/>
      <c r="S708" s="107"/>
      <c r="T708" s="107"/>
      <c r="U708" s="107"/>
      <c r="V708" s="107"/>
      <c r="W708" s="107"/>
      <c r="X708" s="107"/>
      <c r="Y708" s="107"/>
      <c r="Z708" s="107"/>
      <c r="AA708" s="107"/>
    </row>
    <row r="709">
      <c r="A709" s="110"/>
      <c r="B709" s="107"/>
      <c r="C709" s="107"/>
      <c r="D709" s="107"/>
      <c r="E709" s="107"/>
      <c r="F709" s="107"/>
      <c r="G709" s="107"/>
      <c r="H709" s="107"/>
      <c r="I709" s="107"/>
      <c r="J709" s="107"/>
      <c r="K709" s="107"/>
      <c r="L709" s="107"/>
      <c r="M709" s="107"/>
      <c r="N709" s="107"/>
      <c r="O709" s="107"/>
      <c r="P709" s="107"/>
      <c r="Q709" s="107"/>
      <c r="R709" s="107"/>
      <c r="S709" s="107"/>
      <c r="T709" s="107"/>
      <c r="U709" s="107"/>
      <c r="V709" s="107"/>
      <c r="W709" s="107"/>
      <c r="X709" s="107"/>
      <c r="Y709" s="107"/>
      <c r="Z709" s="107"/>
      <c r="AA709" s="107"/>
    </row>
    <row r="710">
      <c r="A710" s="110"/>
      <c r="B710" s="107"/>
      <c r="C710" s="107"/>
      <c r="D710" s="107"/>
      <c r="E710" s="107"/>
      <c r="F710" s="107"/>
      <c r="G710" s="107"/>
      <c r="H710" s="107"/>
      <c r="I710" s="107"/>
      <c r="J710" s="107"/>
      <c r="K710" s="107"/>
      <c r="L710" s="107"/>
      <c r="M710" s="107"/>
      <c r="N710" s="107"/>
      <c r="O710" s="107"/>
      <c r="P710" s="107"/>
      <c r="Q710" s="107"/>
      <c r="R710" s="107"/>
      <c r="S710" s="107"/>
      <c r="T710" s="107"/>
      <c r="U710" s="107"/>
      <c r="V710" s="107"/>
      <c r="W710" s="107"/>
      <c r="X710" s="107"/>
      <c r="Y710" s="107"/>
      <c r="Z710" s="107"/>
      <c r="AA710" s="107"/>
    </row>
    <row r="711">
      <c r="A711" s="110"/>
      <c r="B711" s="107"/>
      <c r="C711" s="107"/>
      <c r="D711" s="107"/>
      <c r="E711" s="107"/>
      <c r="F711" s="107"/>
      <c r="G711" s="107"/>
      <c r="H711" s="107"/>
      <c r="I711" s="107"/>
      <c r="J711" s="107"/>
      <c r="K711" s="107"/>
      <c r="L711" s="107"/>
      <c r="M711" s="107"/>
      <c r="N711" s="107"/>
      <c r="O711" s="107"/>
      <c r="P711" s="107"/>
      <c r="Q711" s="107"/>
      <c r="R711" s="107"/>
      <c r="S711" s="107"/>
      <c r="T711" s="107"/>
      <c r="U711" s="107"/>
      <c r="V711" s="107"/>
      <c r="W711" s="107"/>
      <c r="X711" s="107"/>
      <c r="Y711" s="107"/>
      <c r="Z711" s="107"/>
      <c r="AA711" s="107"/>
    </row>
    <row r="712">
      <c r="A712" s="110"/>
      <c r="B712" s="107"/>
      <c r="C712" s="107"/>
      <c r="D712" s="107"/>
      <c r="E712" s="107"/>
      <c r="F712" s="107"/>
      <c r="G712" s="107"/>
      <c r="H712" s="107"/>
      <c r="I712" s="107"/>
      <c r="J712" s="107"/>
      <c r="K712" s="107"/>
      <c r="L712" s="107"/>
      <c r="M712" s="107"/>
      <c r="N712" s="107"/>
      <c r="O712" s="107"/>
      <c r="P712" s="107"/>
      <c r="Q712" s="107"/>
      <c r="R712" s="107"/>
      <c r="S712" s="107"/>
      <c r="T712" s="107"/>
      <c r="U712" s="107"/>
      <c r="V712" s="107"/>
      <c r="W712" s="107"/>
      <c r="X712" s="107"/>
      <c r="Y712" s="107"/>
      <c r="Z712" s="107"/>
      <c r="AA712" s="107"/>
    </row>
    <row r="713">
      <c r="A713" s="110"/>
      <c r="B713" s="107"/>
      <c r="C713" s="107"/>
      <c r="D713" s="107"/>
      <c r="E713" s="107"/>
      <c r="F713" s="107"/>
      <c r="G713" s="107"/>
      <c r="H713" s="107"/>
      <c r="I713" s="107"/>
      <c r="J713" s="107"/>
      <c r="K713" s="107"/>
      <c r="L713" s="107"/>
      <c r="M713" s="107"/>
      <c r="N713" s="107"/>
      <c r="O713" s="107"/>
      <c r="P713" s="107"/>
      <c r="Q713" s="107"/>
      <c r="R713" s="107"/>
      <c r="S713" s="107"/>
      <c r="T713" s="107"/>
      <c r="U713" s="107"/>
      <c r="V713" s="107"/>
      <c r="W713" s="107"/>
      <c r="X713" s="107"/>
      <c r="Y713" s="107"/>
      <c r="Z713" s="107"/>
      <c r="AA713" s="107"/>
    </row>
    <row r="714">
      <c r="A714" s="110"/>
      <c r="B714" s="107"/>
      <c r="C714" s="107"/>
      <c r="D714" s="107"/>
      <c r="E714" s="107"/>
      <c r="F714" s="107"/>
      <c r="G714" s="107"/>
      <c r="H714" s="107"/>
      <c r="I714" s="107"/>
      <c r="J714" s="107"/>
      <c r="K714" s="107"/>
      <c r="L714" s="107"/>
      <c r="M714" s="107"/>
      <c r="N714" s="107"/>
      <c r="O714" s="107"/>
      <c r="P714" s="107"/>
      <c r="Q714" s="107"/>
      <c r="R714" s="107"/>
      <c r="S714" s="107"/>
      <c r="T714" s="107"/>
      <c r="U714" s="107"/>
      <c r="V714" s="107"/>
      <c r="W714" s="107"/>
      <c r="X714" s="107"/>
      <c r="Y714" s="107"/>
      <c r="Z714" s="107"/>
      <c r="AA714" s="107"/>
    </row>
    <row r="715">
      <c r="A715" s="110"/>
      <c r="B715" s="107"/>
      <c r="C715" s="107"/>
      <c r="D715" s="107"/>
      <c r="E715" s="107"/>
      <c r="F715" s="107"/>
      <c r="G715" s="107"/>
      <c r="H715" s="107"/>
      <c r="I715" s="107"/>
      <c r="J715" s="107"/>
      <c r="K715" s="107"/>
      <c r="L715" s="107"/>
      <c r="M715" s="107"/>
      <c r="N715" s="107"/>
      <c r="O715" s="107"/>
      <c r="P715" s="107"/>
      <c r="Q715" s="107"/>
      <c r="R715" s="107"/>
      <c r="S715" s="107"/>
      <c r="T715" s="107"/>
      <c r="U715" s="107"/>
      <c r="V715" s="107"/>
      <c r="W715" s="107"/>
      <c r="X715" s="107"/>
      <c r="Y715" s="107"/>
      <c r="Z715" s="107"/>
      <c r="AA715" s="107"/>
    </row>
    <row r="716">
      <c r="A716" s="110"/>
      <c r="B716" s="107"/>
      <c r="C716" s="107"/>
      <c r="D716" s="107"/>
      <c r="E716" s="107"/>
      <c r="F716" s="107"/>
      <c r="G716" s="107"/>
      <c r="H716" s="107"/>
      <c r="I716" s="107"/>
      <c r="J716" s="107"/>
      <c r="K716" s="107"/>
      <c r="L716" s="107"/>
      <c r="M716" s="107"/>
      <c r="N716" s="107"/>
      <c r="O716" s="107"/>
      <c r="P716" s="107"/>
      <c r="Q716" s="107"/>
      <c r="R716" s="107"/>
      <c r="S716" s="107"/>
      <c r="T716" s="107"/>
      <c r="U716" s="107"/>
      <c r="V716" s="107"/>
      <c r="W716" s="107"/>
      <c r="X716" s="107"/>
      <c r="Y716" s="107"/>
      <c r="Z716" s="107"/>
      <c r="AA716" s="107"/>
    </row>
    <row r="717">
      <c r="A717" s="110"/>
      <c r="B717" s="107"/>
      <c r="C717" s="107"/>
      <c r="D717" s="107"/>
      <c r="E717" s="107"/>
      <c r="F717" s="107"/>
      <c r="G717" s="107"/>
      <c r="H717" s="107"/>
      <c r="I717" s="107"/>
      <c r="J717" s="107"/>
      <c r="K717" s="107"/>
      <c r="L717" s="107"/>
      <c r="M717" s="107"/>
      <c r="N717" s="107"/>
      <c r="O717" s="107"/>
      <c r="P717" s="107"/>
      <c r="Q717" s="107"/>
      <c r="R717" s="107"/>
      <c r="S717" s="107"/>
      <c r="T717" s="107"/>
      <c r="U717" s="107"/>
      <c r="V717" s="107"/>
      <c r="W717" s="107"/>
      <c r="X717" s="107"/>
      <c r="Y717" s="107"/>
      <c r="Z717" s="107"/>
      <c r="AA717" s="107"/>
    </row>
    <row r="718">
      <c r="A718" s="110"/>
      <c r="B718" s="107"/>
      <c r="C718" s="107"/>
      <c r="D718" s="107"/>
      <c r="E718" s="107"/>
      <c r="F718" s="107"/>
      <c r="G718" s="107"/>
      <c r="H718" s="107"/>
      <c r="I718" s="107"/>
      <c r="J718" s="107"/>
      <c r="K718" s="107"/>
      <c r="L718" s="107"/>
      <c r="M718" s="107"/>
      <c r="N718" s="107"/>
      <c r="O718" s="107"/>
      <c r="P718" s="107"/>
      <c r="Q718" s="107"/>
      <c r="R718" s="107"/>
      <c r="S718" s="107"/>
      <c r="T718" s="107"/>
      <c r="U718" s="107"/>
      <c r="V718" s="107"/>
      <c r="W718" s="107"/>
      <c r="X718" s="107"/>
      <c r="Y718" s="107"/>
      <c r="Z718" s="107"/>
      <c r="AA718" s="107"/>
    </row>
    <row r="719">
      <c r="A719" s="110"/>
      <c r="B719" s="107"/>
      <c r="C719" s="107"/>
      <c r="D719" s="107"/>
      <c r="E719" s="107"/>
      <c r="F719" s="107"/>
      <c r="G719" s="107"/>
      <c r="H719" s="107"/>
      <c r="I719" s="107"/>
      <c r="J719" s="107"/>
      <c r="K719" s="107"/>
      <c r="L719" s="107"/>
      <c r="M719" s="107"/>
      <c r="N719" s="107"/>
      <c r="O719" s="107"/>
      <c r="P719" s="107"/>
      <c r="Q719" s="107"/>
      <c r="R719" s="107"/>
      <c r="S719" s="107"/>
      <c r="T719" s="107"/>
      <c r="U719" s="107"/>
      <c r="V719" s="107"/>
      <c r="W719" s="107"/>
      <c r="X719" s="107"/>
      <c r="Y719" s="107"/>
      <c r="Z719" s="107"/>
      <c r="AA719" s="107"/>
    </row>
    <row r="720">
      <c r="A720" s="110"/>
      <c r="B720" s="107"/>
      <c r="C720" s="107"/>
      <c r="D720" s="107"/>
      <c r="E720" s="107"/>
      <c r="F720" s="107"/>
      <c r="G720" s="107"/>
      <c r="H720" s="107"/>
      <c r="I720" s="107"/>
      <c r="J720" s="107"/>
      <c r="K720" s="107"/>
      <c r="L720" s="107"/>
      <c r="M720" s="107"/>
      <c r="N720" s="107"/>
      <c r="O720" s="107"/>
      <c r="P720" s="107"/>
      <c r="Q720" s="107"/>
      <c r="R720" s="107"/>
      <c r="S720" s="107"/>
      <c r="T720" s="107"/>
      <c r="U720" s="107"/>
      <c r="V720" s="107"/>
      <c r="W720" s="107"/>
      <c r="X720" s="107"/>
      <c r="Y720" s="107"/>
      <c r="Z720" s="107"/>
      <c r="AA720" s="107"/>
    </row>
    <row r="721">
      <c r="A721" s="110"/>
      <c r="B721" s="107"/>
      <c r="C721" s="107"/>
      <c r="D721" s="107"/>
      <c r="E721" s="107"/>
      <c r="F721" s="107"/>
      <c r="G721" s="107"/>
      <c r="H721" s="107"/>
      <c r="I721" s="107"/>
      <c r="J721" s="107"/>
      <c r="K721" s="107"/>
      <c r="L721" s="107"/>
      <c r="M721" s="107"/>
      <c r="N721" s="107"/>
      <c r="O721" s="107"/>
      <c r="P721" s="107"/>
      <c r="Q721" s="107"/>
      <c r="R721" s="107"/>
      <c r="S721" s="107"/>
      <c r="T721" s="107"/>
      <c r="U721" s="107"/>
      <c r="V721" s="107"/>
      <c r="W721" s="107"/>
      <c r="X721" s="107"/>
      <c r="Y721" s="107"/>
      <c r="Z721" s="107"/>
      <c r="AA721" s="107"/>
    </row>
    <row r="722">
      <c r="A722" s="110"/>
      <c r="B722" s="107"/>
      <c r="C722" s="107"/>
      <c r="D722" s="107"/>
      <c r="E722" s="107"/>
      <c r="F722" s="107"/>
      <c r="G722" s="107"/>
      <c r="H722" s="107"/>
      <c r="I722" s="107"/>
      <c r="J722" s="107"/>
      <c r="K722" s="107"/>
      <c r="L722" s="107"/>
      <c r="M722" s="107"/>
      <c r="N722" s="107"/>
      <c r="O722" s="107"/>
      <c r="P722" s="107"/>
      <c r="Q722" s="107"/>
      <c r="R722" s="107"/>
      <c r="S722" s="107"/>
      <c r="T722" s="107"/>
      <c r="U722" s="107"/>
      <c r="V722" s="107"/>
      <c r="W722" s="107"/>
      <c r="X722" s="107"/>
      <c r="Y722" s="107"/>
      <c r="Z722" s="107"/>
      <c r="AA722" s="107"/>
    </row>
    <row r="723">
      <c r="A723" s="110"/>
      <c r="B723" s="107"/>
      <c r="C723" s="107"/>
      <c r="D723" s="107"/>
      <c r="E723" s="107"/>
      <c r="F723" s="107"/>
      <c r="G723" s="107"/>
      <c r="H723" s="107"/>
      <c r="I723" s="107"/>
      <c r="J723" s="107"/>
      <c r="K723" s="107"/>
      <c r="L723" s="107"/>
      <c r="M723" s="107"/>
      <c r="N723" s="107"/>
      <c r="O723" s="107"/>
      <c r="P723" s="107"/>
      <c r="Q723" s="107"/>
      <c r="R723" s="107"/>
      <c r="S723" s="107"/>
      <c r="T723" s="107"/>
      <c r="U723" s="107"/>
      <c r="V723" s="107"/>
      <c r="W723" s="107"/>
      <c r="X723" s="107"/>
      <c r="Y723" s="107"/>
      <c r="Z723" s="107"/>
      <c r="AA723" s="107"/>
    </row>
    <row r="724">
      <c r="A724" s="110"/>
      <c r="B724" s="107"/>
      <c r="C724" s="107"/>
      <c r="D724" s="107"/>
      <c r="E724" s="107"/>
      <c r="F724" s="107"/>
      <c r="G724" s="107"/>
      <c r="H724" s="107"/>
      <c r="I724" s="107"/>
      <c r="J724" s="107"/>
      <c r="K724" s="107"/>
      <c r="L724" s="107"/>
      <c r="M724" s="107"/>
      <c r="N724" s="107"/>
      <c r="O724" s="107"/>
      <c r="P724" s="107"/>
      <c r="Q724" s="107"/>
      <c r="R724" s="107"/>
      <c r="S724" s="107"/>
      <c r="T724" s="107"/>
      <c r="U724" s="107"/>
      <c r="V724" s="107"/>
      <c r="W724" s="107"/>
      <c r="X724" s="107"/>
      <c r="Y724" s="107"/>
      <c r="Z724" s="107"/>
      <c r="AA724" s="107"/>
    </row>
    <row r="725">
      <c r="A725" s="110"/>
      <c r="B725" s="107"/>
      <c r="C725" s="107"/>
      <c r="D725" s="107"/>
      <c r="E725" s="107"/>
      <c r="F725" s="107"/>
      <c r="G725" s="107"/>
      <c r="H725" s="107"/>
      <c r="I725" s="107"/>
      <c r="J725" s="107"/>
      <c r="K725" s="107"/>
      <c r="L725" s="107"/>
      <c r="M725" s="107"/>
      <c r="N725" s="107"/>
      <c r="O725" s="107"/>
      <c r="P725" s="107"/>
      <c r="Q725" s="107"/>
      <c r="R725" s="107"/>
      <c r="S725" s="107"/>
      <c r="T725" s="107"/>
      <c r="U725" s="107"/>
      <c r="V725" s="107"/>
      <c r="W725" s="107"/>
      <c r="X725" s="107"/>
      <c r="Y725" s="107"/>
      <c r="Z725" s="107"/>
      <c r="AA725" s="107"/>
    </row>
    <row r="726">
      <c r="A726" s="110"/>
      <c r="B726" s="107"/>
      <c r="C726" s="107"/>
      <c r="D726" s="107"/>
      <c r="E726" s="107"/>
      <c r="F726" s="107"/>
      <c r="G726" s="107"/>
      <c r="H726" s="107"/>
      <c r="I726" s="107"/>
      <c r="J726" s="107"/>
      <c r="K726" s="107"/>
      <c r="L726" s="107"/>
      <c r="M726" s="107"/>
      <c r="N726" s="107"/>
      <c r="O726" s="107"/>
      <c r="P726" s="107"/>
      <c r="Q726" s="107"/>
      <c r="R726" s="107"/>
      <c r="S726" s="107"/>
      <c r="T726" s="107"/>
      <c r="U726" s="107"/>
      <c r="V726" s="107"/>
      <c r="W726" s="107"/>
      <c r="X726" s="107"/>
      <c r="Y726" s="107"/>
      <c r="Z726" s="107"/>
      <c r="AA726" s="107"/>
    </row>
    <row r="727">
      <c r="A727" s="110"/>
      <c r="B727" s="107"/>
      <c r="C727" s="107"/>
      <c r="D727" s="107"/>
      <c r="E727" s="107"/>
      <c r="F727" s="107"/>
      <c r="G727" s="107"/>
      <c r="H727" s="107"/>
      <c r="I727" s="107"/>
      <c r="J727" s="107"/>
      <c r="K727" s="107"/>
      <c r="L727" s="107"/>
      <c r="M727" s="107"/>
      <c r="N727" s="107"/>
      <c r="O727" s="107"/>
      <c r="P727" s="107"/>
      <c r="Q727" s="107"/>
      <c r="R727" s="107"/>
      <c r="S727" s="107"/>
      <c r="T727" s="107"/>
      <c r="U727" s="107"/>
      <c r="V727" s="107"/>
      <c r="W727" s="107"/>
      <c r="X727" s="107"/>
      <c r="Y727" s="107"/>
      <c r="Z727" s="107"/>
      <c r="AA727" s="107"/>
    </row>
    <row r="728">
      <c r="A728" s="110"/>
      <c r="B728" s="107"/>
      <c r="C728" s="107"/>
      <c r="D728" s="107"/>
      <c r="E728" s="107"/>
      <c r="F728" s="107"/>
      <c r="G728" s="107"/>
      <c r="H728" s="107"/>
      <c r="I728" s="107"/>
      <c r="J728" s="107"/>
      <c r="K728" s="107"/>
      <c r="L728" s="107"/>
      <c r="M728" s="107"/>
      <c r="N728" s="107"/>
      <c r="O728" s="107"/>
      <c r="P728" s="107"/>
      <c r="Q728" s="107"/>
      <c r="R728" s="107"/>
      <c r="S728" s="107"/>
      <c r="T728" s="107"/>
      <c r="U728" s="107"/>
      <c r="V728" s="107"/>
      <c r="W728" s="107"/>
      <c r="X728" s="107"/>
      <c r="Y728" s="107"/>
      <c r="Z728" s="107"/>
      <c r="AA728" s="107"/>
    </row>
    <row r="729">
      <c r="A729" s="110"/>
      <c r="B729" s="107"/>
      <c r="C729" s="107"/>
      <c r="D729" s="107"/>
      <c r="E729" s="107"/>
      <c r="F729" s="107"/>
      <c r="G729" s="107"/>
      <c r="H729" s="107"/>
      <c r="I729" s="107"/>
      <c r="J729" s="107"/>
      <c r="K729" s="107"/>
      <c r="L729" s="107"/>
      <c r="M729" s="107"/>
      <c r="N729" s="107"/>
      <c r="O729" s="107"/>
      <c r="P729" s="107"/>
      <c r="Q729" s="107"/>
      <c r="R729" s="107"/>
      <c r="S729" s="107"/>
      <c r="T729" s="107"/>
      <c r="U729" s="107"/>
      <c r="V729" s="107"/>
      <c r="W729" s="107"/>
      <c r="X729" s="107"/>
      <c r="Y729" s="107"/>
      <c r="Z729" s="107"/>
      <c r="AA729" s="107"/>
    </row>
    <row r="730">
      <c r="A730" s="110"/>
      <c r="B730" s="107"/>
      <c r="C730" s="107"/>
      <c r="D730" s="107"/>
      <c r="E730" s="107"/>
      <c r="F730" s="107"/>
      <c r="G730" s="107"/>
      <c r="H730" s="107"/>
      <c r="I730" s="107"/>
      <c r="J730" s="107"/>
      <c r="K730" s="107"/>
      <c r="L730" s="107"/>
      <c r="M730" s="107"/>
      <c r="N730" s="107"/>
      <c r="O730" s="107"/>
      <c r="P730" s="107"/>
      <c r="Q730" s="107"/>
      <c r="R730" s="107"/>
      <c r="S730" s="107"/>
      <c r="T730" s="107"/>
      <c r="U730" s="107"/>
      <c r="V730" s="107"/>
      <c r="W730" s="107"/>
      <c r="X730" s="107"/>
      <c r="Y730" s="107"/>
      <c r="Z730" s="107"/>
      <c r="AA730" s="107"/>
    </row>
    <row r="731">
      <c r="A731" s="110"/>
      <c r="B731" s="107"/>
      <c r="C731" s="107"/>
      <c r="D731" s="107"/>
      <c r="E731" s="107"/>
      <c r="F731" s="107"/>
      <c r="G731" s="107"/>
      <c r="H731" s="107"/>
      <c r="I731" s="107"/>
      <c r="J731" s="107"/>
      <c r="K731" s="107"/>
      <c r="L731" s="107"/>
      <c r="M731" s="107"/>
      <c r="N731" s="107"/>
      <c r="O731" s="107"/>
      <c r="P731" s="107"/>
      <c r="Q731" s="107"/>
      <c r="R731" s="107"/>
      <c r="S731" s="107"/>
      <c r="T731" s="107"/>
      <c r="U731" s="107"/>
      <c r="V731" s="107"/>
      <c r="W731" s="107"/>
      <c r="X731" s="107"/>
      <c r="Y731" s="107"/>
      <c r="Z731" s="107"/>
      <c r="AA731" s="107"/>
    </row>
    <row r="732">
      <c r="A732" s="110"/>
      <c r="B732" s="107"/>
      <c r="C732" s="107"/>
      <c r="D732" s="107"/>
      <c r="E732" s="107"/>
      <c r="F732" s="107"/>
      <c r="G732" s="107"/>
      <c r="H732" s="107"/>
      <c r="I732" s="107"/>
      <c r="J732" s="107"/>
      <c r="K732" s="107"/>
      <c r="L732" s="107"/>
      <c r="M732" s="107"/>
      <c r="N732" s="107"/>
      <c r="O732" s="107"/>
      <c r="P732" s="107"/>
      <c r="Q732" s="107"/>
      <c r="R732" s="107"/>
      <c r="S732" s="107"/>
      <c r="T732" s="107"/>
      <c r="U732" s="107"/>
      <c r="V732" s="107"/>
      <c r="W732" s="107"/>
      <c r="X732" s="107"/>
      <c r="Y732" s="107"/>
      <c r="Z732" s="107"/>
      <c r="AA732" s="107"/>
    </row>
    <row r="733">
      <c r="A733" s="110"/>
      <c r="B733" s="107"/>
      <c r="C733" s="107"/>
      <c r="D733" s="107"/>
      <c r="E733" s="107"/>
      <c r="F733" s="107"/>
      <c r="G733" s="107"/>
      <c r="H733" s="107"/>
      <c r="I733" s="107"/>
      <c r="J733" s="107"/>
      <c r="K733" s="107"/>
      <c r="L733" s="107"/>
      <c r="M733" s="107"/>
      <c r="N733" s="107"/>
      <c r="O733" s="107"/>
      <c r="P733" s="107"/>
      <c r="Q733" s="107"/>
      <c r="R733" s="107"/>
      <c r="S733" s="107"/>
      <c r="T733" s="107"/>
      <c r="U733" s="107"/>
      <c r="V733" s="107"/>
      <c r="W733" s="107"/>
      <c r="X733" s="107"/>
      <c r="Y733" s="107"/>
      <c r="Z733" s="107"/>
      <c r="AA733" s="107"/>
    </row>
    <row r="734">
      <c r="A734" s="110"/>
      <c r="B734" s="107"/>
      <c r="C734" s="107"/>
      <c r="D734" s="107"/>
      <c r="E734" s="107"/>
      <c r="F734" s="107"/>
      <c r="G734" s="107"/>
      <c r="H734" s="107"/>
      <c r="I734" s="107"/>
      <c r="J734" s="107"/>
      <c r="K734" s="107"/>
      <c r="L734" s="107"/>
      <c r="M734" s="107"/>
      <c r="N734" s="107"/>
      <c r="O734" s="107"/>
      <c r="P734" s="107"/>
      <c r="Q734" s="107"/>
      <c r="R734" s="107"/>
      <c r="S734" s="107"/>
      <c r="T734" s="107"/>
      <c r="U734" s="107"/>
      <c r="V734" s="107"/>
      <c r="W734" s="107"/>
      <c r="X734" s="107"/>
      <c r="Y734" s="107"/>
      <c r="Z734" s="107"/>
      <c r="AA734" s="107"/>
    </row>
    <row r="735">
      <c r="A735" s="110"/>
      <c r="B735" s="107"/>
      <c r="C735" s="107"/>
      <c r="D735" s="107"/>
      <c r="E735" s="107"/>
      <c r="F735" s="107"/>
      <c r="G735" s="107"/>
      <c r="H735" s="107"/>
      <c r="I735" s="107"/>
      <c r="J735" s="107"/>
      <c r="K735" s="107"/>
      <c r="L735" s="107"/>
      <c r="M735" s="107"/>
      <c r="N735" s="107"/>
      <c r="O735" s="107"/>
      <c r="P735" s="107"/>
      <c r="Q735" s="107"/>
      <c r="R735" s="107"/>
      <c r="S735" s="107"/>
      <c r="T735" s="107"/>
      <c r="U735" s="107"/>
      <c r="V735" s="107"/>
      <c r="W735" s="107"/>
      <c r="X735" s="107"/>
      <c r="Y735" s="107"/>
      <c r="Z735" s="107"/>
      <c r="AA735" s="107"/>
    </row>
    <row r="736">
      <c r="A736" s="110"/>
      <c r="B736" s="107"/>
      <c r="C736" s="107"/>
      <c r="D736" s="107"/>
      <c r="E736" s="107"/>
      <c r="F736" s="107"/>
      <c r="G736" s="107"/>
      <c r="H736" s="107"/>
      <c r="I736" s="107"/>
      <c r="J736" s="107"/>
      <c r="K736" s="107"/>
      <c r="L736" s="107"/>
      <c r="M736" s="107"/>
      <c r="N736" s="107"/>
      <c r="O736" s="107"/>
      <c r="P736" s="107"/>
      <c r="Q736" s="107"/>
      <c r="R736" s="107"/>
      <c r="S736" s="107"/>
      <c r="T736" s="107"/>
      <c r="U736" s="107"/>
      <c r="V736" s="107"/>
      <c r="W736" s="107"/>
      <c r="X736" s="107"/>
      <c r="Y736" s="107"/>
      <c r="Z736" s="107"/>
      <c r="AA736" s="107"/>
    </row>
    <row r="737">
      <c r="A737" s="110"/>
      <c r="B737" s="107"/>
      <c r="C737" s="107"/>
      <c r="D737" s="107"/>
      <c r="E737" s="107"/>
      <c r="F737" s="107"/>
      <c r="G737" s="107"/>
      <c r="H737" s="107"/>
      <c r="I737" s="107"/>
      <c r="J737" s="107"/>
      <c r="K737" s="107"/>
      <c r="L737" s="107"/>
      <c r="M737" s="107"/>
      <c r="N737" s="107"/>
      <c r="O737" s="107"/>
      <c r="P737" s="107"/>
      <c r="Q737" s="107"/>
      <c r="R737" s="107"/>
      <c r="S737" s="107"/>
      <c r="T737" s="107"/>
      <c r="U737" s="107"/>
      <c r="V737" s="107"/>
      <c r="W737" s="107"/>
      <c r="X737" s="107"/>
      <c r="Y737" s="107"/>
      <c r="Z737" s="107"/>
      <c r="AA737" s="107"/>
    </row>
    <row r="738">
      <c r="A738" s="110"/>
      <c r="B738" s="107"/>
      <c r="C738" s="107"/>
      <c r="D738" s="107"/>
      <c r="E738" s="107"/>
      <c r="F738" s="107"/>
      <c r="G738" s="107"/>
      <c r="H738" s="107"/>
      <c r="I738" s="107"/>
      <c r="J738" s="107"/>
      <c r="K738" s="107"/>
      <c r="L738" s="107"/>
      <c r="M738" s="107"/>
      <c r="N738" s="107"/>
      <c r="O738" s="107"/>
      <c r="P738" s="107"/>
      <c r="Q738" s="107"/>
      <c r="R738" s="107"/>
      <c r="S738" s="107"/>
      <c r="T738" s="107"/>
      <c r="U738" s="107"/>
      <c r="V738" s="107"/>
      <c r="W738" s="107"/>
      <c r="X738" s="107"/>
      <c r="Y738" s="107"/>
      <c r="Z738" s="107"/>
      <c r="AA738" s="107"/>
    </row>
    <row r="739">
      <c r="A739" s="110"/>
      <c r="B739" s="107"/>
      <c r="C739" s="107"/>
      <c r="D739" s="107"/>
      <c r="E739" s="107"/>
      <c r="F739" s="107"/>
      <c r="G739" s="107"/>
      <c r="H739" s="107"/>
      <c r="I739" s="107"/>
      <c r="J739" s="107"/>
      <c r="K739" s="107"/>
      <c r="L739" s="107"/>
      <c r="M739" s="107"/>
      <c r="N739" s="107"/>
      <c r="O739" s="107"/>
      <c r="P739" s="107"/>
      <c r="Q739" s="107"/>
      <c r="R739" s="107"/>
      <c r="S739" s="107"/>
      <c r="T739" s="107"/>
      <c r="U739" s="107"/>
      <c r="V739" s="107"/>
      <c r="W739" s="107"/>
      <c r="X739" s="107"/>
      <c r="Y739" s="107"/>
      <c r="Z739" s="107"/>
      <c r="AA739" s="107"/>
    </row>
    <row r="740">
      <c r="A740" s="110"/>
      <c r="B740" s="107"/>
      <c r="C740" s="107"/>
      <c r="D740" s="107"/>
      <c r="E740" s="107"/>
      <c r="F740" s="107"/>
      <c r="G740" s="107"/>
      <c r="H740" s="107"/>
      <c r="I740" s="107"/>
      <c r="J740" s="107"/>
      <c r="K740" s="107"/>
      <c r="L740" s="107"/>
      <c r="M740" s="107"/>
      <c r="N740" s="107"/>
      <c r="O740" s="107"/>
      <c r="P740" s="107"/>
      <c r="Q740" s="107"/>
      <c r="R740" s="107"/>
      <c r="S740" s="107"/>
      <c r="T740" s="107"/>
      <c r="U740" s="107"/>
      <c r="V740" s="107"/>
      <c r="W740" s="107"/>
      <c r="X740" s="107"/>
      <c r="Y740" s="107"/>
      <c r="Z740" s="107"/>
      <c r="AA740" s="107"/>
    </row>
    <row r="741">
      <c r="A741" s="110"/>
      <c r="B741" s="107"/>
      <c r="C741" s="107"/>
      <c r="D741" s="107"/>
      <c r="E741" s="107"/>
      <c r="F741" s="107"/>
      <c r="G741" s="107"/>
      <c r="H741" s="107"/>
      <c r="I741" s="107"/>
      <c r="J741" s="107"/>
      <c r="K741" s="107"/>
      <c r="L741" s="107"/>
      <c r="M741" s="107"/>
      <c r="N741" s="107"/>
      <c r="O741" s="107"/>
      <c r="P741" s="107"/>
      <c r="Q741" s="107"/>
      <c r="R741" s="107"/>
      <c r="S741" s="107"/>
      <c r="T741" s="107"/>
      <c r="U741" s="107"/>
      <c r="V741" s="107"/>
      <c r="W741" s="107"/>
      <c r="X741" s="107"/>
      <c r="Y741" s="107"/>
      <c r="Z741" s="107"/>
      <c r="AA741" s="107"/>
    </row>
    <row r="742">
      <c r="A742" s="110"/>
      <c r="B742" s="107"/>
      <c r="C742" s="107"/>
      <c r="D742" s="107"/>
      <c r="E742" s="107"/>
      <c r="F742" s="107"/>
      <c r="G742" s="107"/>
      <c r="H742" s="107"/>
      <c r="I742" s="107"/>
      <c r="J742" s="107"/>
      <c r="K742" s="107"/>
      <c r="L742" s="107"/>
      <c r="M742" s="107"/>
      <c r="N742" s="107"/>
      <c r="O742" s="107"/>
      <c r="P742" s="107"/>
      <c r="Q742" s="107"/>
      <c r="R742" s="107"/>
      <c r="S742" s="107"/>
      <c r="T742" s="107"/>
      <c r="U742" s="107"/>
      <c r="V742" s="107"/>
      <c r="W742" s="107"/>
      <c r="X742" s="107"/>
      <c r="Y742" s="107"/>
      <c r="Z742" s="107"/>
      <c r="AA742" s="107"/>
    </row>
    <row r="743">
      <c r="A743" s="110"/>
      <c r="B743" s="107"/>
      <c r="C743" s="107"/>
      <c r="D743" s="107"/>
      <c r="E743" s="107"/>
      <c r="F743" s="107"/>
      <c r="G743" s="107"/>
      <c r="H743" s="107"/>
      <c r="I743" s="107"/>
      <c r="J743" s="107"/>
      <c r="K743" s="107"/>
      <c r="L743" s="107"/>
      <c r="M743" s="107"/>
      <c r="N743" s="107"/>
      <c r="O743" s="107"/>
      <c r="P743" s="107"/>
      <c r="Q743" s="107"/>
      <c r="R743" s="107"/>
      <c r="S743" s="107"/>
      <c r="T743" s="107"/>
      <c r="U743" s="107"/>
      <c r="V743" s="107"/>
      <c r="W743" s="107"/>
      <c r="X743" s="107"/>
      <c r="Y743" s="107"/>
      <c r="Z743" s="107"/>
      <c r="AA743" s="107"/>
    </row>
    <row r="744">
      <c r="A744" s="110"/>
      <c r="B744" s="107"/>
      <c r="C744" s="107"/>
      <c r="D744" s="107"/>
      <c r="E744" s="107"/>
      <c r="F744" s="107"/>
      <c r="G744" s="107"/>
      <c r="H744" s="107"/>
      <c r="I744" s="107"/>
      <c r="J744" s="107"/>
      <c r="K744" s="107"/>
      <c r="L744" s="107"/>
      <c r="M744" s="107"/>
      <c r="N744" s="107"/>
      <c r="O744" s="107"/>
      <c r="P744" s="107"/>
      <c r="Q744" s="107"/>
      <c r="R744" s="107"/>
      <c r="S744" s="107"/>
      <c r="T744" s="107"/>
      <c r="U744" s="107"/>
      <c r="V744" s="107"/>
      <c r="W744" s="107"/>
      <c r="X744" s="107"/>
      <c r="Y744" s="107"/>
      <c r="Z744" s="107"/>
      <c r="AA744" s="107"/>
    </row>
    <row r="745">
      <c r="A745" s="110"/>
      <c r="B745" s="107"/>
      <c r="C745" s="107"/>
      <c r="D745" s="107"/>
      <c r="E745" s="107"/>
      <c r="F745" s="107"/>
      <c r="G745" s="107"/>
      <c r="H745" s="107"/>
      <c r="I745" s="107"/>
      <c r="J745" s="107"/>
      <c r="K745" s="107"/>
      <c r="L745" s="107"/>
      <c r="M745" s="107"/>
      <c r="N745" s="107"/>
      <c r="O745" s="107"/>
      <c r="P745" s="107"/>
      <c r="Q745" s="107"/>
      <c r="R745" s="107"/>
      <c r="S745" s="107"/>
      <c r="T745" s="107"/>
      <c r="U745" s="107"/>
      <c r="V745" s="107"/>
      <c r="W745" s="107"/>
      <c r="X745" s="107"/>
      <c r="Y745" s="107"/>
      <c r="Z745" s="107"/>
      <c r="AA745" s="107"/>
    </row>
    <row r="746">
      <c r="A746" s="110"/>
      <c r="B746" s="107"/>
      <c r="C746" s="107"/>
      <c r="D746" s="107"/>
      <c r="E746" s="107"/>
      <c r="F746" s="107"/>
      <c r="G746" s="107"/>
      <c r="H746" s="107"/>
      <c r="I746" s="107"/>
      <c r="J746" s="107"/>
      <c r="K746" s="107"/>
      <c r="L746" s="107"/>
      <c r="M746" s="107"/>
      <c r="N746" s="107"/>
      <c r="O746" s="107"/>
      <c r="P746" s="107"/>
      <c r="Q746" s="107"/>
      <c r="R746" s="107"/>
      <c r="S746" s="107"/>
      <c r="T746" s="107"/>
      <c r="U746" s="107"/>
      <c r="V746" s="107"/>
      <c r="W746" s="107"/>
      <c r="X746" s="107"/>
      <c r="Y746" s="107"/>
      <c r="Z746" s="107"/>
      <c r="AA746" s="107"/>
    </row>
    <row r="747">
      <c r="A747" s="110"/>
      <c r="B747" s="107"/>
      <c r="C747" s="107"/>
      <c r="D747" s="107"/>
      <c r="E747" s="107"/>
      <c r="F747" s="107"/>
      <c r="G747" s="107"/>
      <c r="H747" s="107"/>
      <c r="I747" s="107"/>
      <c r="J747" s="107"/>
      <c r="K747" s="107"/>
      <c r="L747" s="107"/>
      <c r="M747" s="107"/>
      <c r="N747" s="107"/>
      <c r="O747" s="107"/>
      <c r="P747" s="107"/>
      <c r="Q747" s="107"/>
      <c r="R747" s="107"/>
      <c r="S747" s="107"/>
      <c r="T747" s="107"/>
      <c r="U747" s="107"/>
      <c r="V747" s="107"/>
      <c r="W747" s="107"/>
      <c r="X747" s="107"/>
      <c r="Y747" s="107"/>
      <c r="Z747" s="107"/>
      <c r="AA747" s="107"/>
    </row>
    <row r="748">
      <c r="A748" s="110"/>
      <c r="B748" s="107"/>
      <c r="C748" s="107"/>
      <c r="D748" s="107"/>
      <c r="E748" s="107"/>
      <c r="F748" s="107"/>
      <c r="G748" s="107"/>
      <c r="H748" s="107"/>
      <c r="I748" s="107"/>
      <c r="J748" s="107"/>
      <c r="K748" s="107"/>
      <c r="L748" s="107"/>
      <c r="M748" s="107"/>
      <c r="N748" s="107"/>
      <c r="O748" s="107"/>
      <c r="P748" s="107"/>
      <c r="Q748" s="107"/>
      <c r="R748" s="107"/>
      <c r="S748" s="107"/>
      <c r="T748" s="107"/>
      <c r="U748" s="107"/>
      <c r="V748" s="107"/>
      <c r="W748" s="107"/>
      <c r="X748" s="107"/>
      <c r="Y748" s="107"/>
      <c r="Z748" s="107"/>
      <c r="AA748" s="107"/>
    </row>
    <row r="749">
      <c r="A749" s="110"/>
      <c r="B749" s="107"/>
      <c r="C749" s="107"/>
      <c r="D749" s="107"/>
      <c r="E749" s="107"/>
      <c r="F749" s="107"/>
      <c r="G749" s="107"/>
      <c r="H749" s="107"/>
      <c r="I749" s="107"/>
      <c r="J749" s="107"/>
      <c r="K749" s="107"/>
      <c r="L749" s="107"/>
      <c r="M749" s="107"/>
      <c r="N749" s="107"/>
      <c r="O749" s="107"/>
      <c r="P749" s="107"/>
      <c r="Q749" s="107"/>
      <c r="R749" s="107"/>
      <c r="S749" s="107"/>
      <c r="T749" s="107"/>
      <c r="U749" s="107"/>
      <c r="V749" s="107"/>
      <c r="W749" s="107"/>
      <c r="X749" s="107"/>
      <c r="Y749" s="107"/>
      <c r="Z749" s="107"/>
      <c r="AA749" s="107"/>
    </row>
    <row r="750">
      <c r="A750" s="110"/>
      <c r="B750" s="107"/>
      <c r="C750" s="107"/>
      <c r="D750" s="107"/>
      <c r="E750" s="107"/>
      <c r="F750" s="107"/>
      <c r="G750" s="107"/>
      <c r="H750" s="107"/>
      <c r="I750" s="107"/>
      <c r="J750" s="107"/>
      <c r="K750" s="107"/>
      <c r="L750" s="107"/>
      <c r="M750" s="107"/>
      <c r="N750" s="107"/>
      <c r="O750" s="107"/>
      <c r="P750" s="107"/>
      <c r="Q750" s="107"/>
      <c r="R750" s="107"/>
      <c r="S750" s="107"/>
      <c r="T750" s="107"/>
      <c r="U750" s="107"/>
      <c r="V750" s="107"/>
      <c r="W750" s="107"/>
      <c r="X750" s="107"/>
      <c r="Y750" s="107"/>
      <c r="Z750" s="107"/>
      <c r="AA750" s="107"/>
    </row>
    <row r="751">
      <c r="A751" s="110"/>
      <c r="B751" s="107"/>
      <c r="C751" s="107"/>
      <c r="D751" s="107"/>
      <c r="E751" s="107"/>
      <c r="F751" s="107"/>
      <c r="G751" s="107"/>
      <c r="H751" s="107"/>
      <c r="I751" s="107"/>
      <c r="J751" s="107"/>
      <c r="K751" s="107"/>
      <c r="L751" s="107"/>
      <c r="M751" s="107"/>
      <c r="N751" s="107"/>
      <c r="O751" s="107"/>
      <c r="P751" s="107"/>
      <c r="Q751" s="107"/>
      <c r="R751" s="107"/>
      <c r="S751" s="107"/>
      <c r="T751" s="107"/>
      <c r="U751" s="107"/>
      <c r="V751" s="107"/>
      <c r="W751" s="107"/>
      <c r="X751" s="107"/>
      <c r="Y751" s="107"/>
      <c r="Z751" s="107"/>
      <c r="AA751" s="107"/>
    </row>
    <row r="752">
      <c r="A752" s="110"/>
      <c r="B752" s="107"/>
      <c r="C752" s="107"/>
      <c r="D752" s="107"/>
      <c r="E752" s="107"/>
      <c r="F752" s="107"/>
      <c r="G752" s="107"/>
      <c r="H752" s="107"/>
      <c r="I752" s="107"/>
      <c r="J752" s="107"/>
      <c r="K752" s="107"/>
      <c r="L752" s="107"/>
      <c r="M752" s="107"/>
      <c r="N752" s="107"/>
      <c r="O752" s="107"/>
      <c r="P752" s="107"/>
      <c r="Q752" s="107"/>
      <c r="R752" s="107"/>
      <c r="S752" s="107"/>
      <c r="T752" s="107"/>
      <c r="U752" s="107"/>
      <c r="V752" s="107"/>
      <c r="W752" s="107"/>
      <c r="X752" s="107"/>
      <c r="Y752" s="107"/>
      <c r="Z752" s="107"/>
      <c r="AA752" s="107"/>
    </row>
    <row r="753">
      <c r="A753" s="110"/>
      <c r="B753" s="107"/>
      <c r="C753" s="107"/>
      <c r="D753" s="107"/>
      <c r="E753" s="107"/>
      <c r="F753" s="107"/>
      <c r="G753" s="107"/>
      <c r="H753" s="107"/>
      <c r="I753" s="107"/>
      <c r="J753" s="107"/>
      <c r="K753" s="107"/>
      <c r="L753" s="107"/>
      <c r="M753" s="107"/>
      <c r="N753" s="107"/>
      <c r="O753" s="107"/>
      <c r="P753" s="107"/>
      <c r="Q753" s="107"/>
      <c r="R753" s="107"/>
      <c r="S753" s="107"/>
      <c r="T753" s="107"/>
      <c r="U753" s="107"/>
      <c r="V753" s="107"/>
      <c r="W753" s="107"/>
      <c r="X753" s="107"/>
      <c r="Y753" s="107"/>
      <c r="Z753" s="107"/>
      <c r="AA753" s="107"/>
    </row>
    <row r="754">
      <c r="A754" s="110"/>
      <c r="B754" s="107"/>
      <c r="C754" s="107"/>
      <c r="D754" s="107"/>
      <c r="E754" s="107"/>
      <c r="F754" s="107"/>
      <c r="G754" s="107"/>
      <c r="H754" s="107"/>
      <c r="I754" s="107"/>
      <c r="J754" s="107"/>
      <c r="K754" s="107"/>
      <c r="L754" s="107"/>
      <c r="M754" s="107"/>
      <c r="N754" s="107"/>
      <c r="O754" s="107"/>
      <c r="P754" s="107"/>
      <c r="Q754" s="107"/>
      <c r="R754" s="107"/>
      <c r="S754" s="107"/>
      <c r="T754" s="107"/>
      <c r="U754" s="107"/>
      <c r="V754" s="107"/>
      <c r="W754" s="107"/>
      <c r="X754" s="107"/>
      <c r="Y754" s="107"/>
      <c r="Z754" s="107"/>
      <c r="AA754" s="107"/>
    </row>
    <row r="755">
      <c r="A755" s="110"/>
      <c r="B755" s="107"/>
      <c r="C755" s="107"/>
      <c r="D755" s="107"/>
      <c r="E755" s="107"/>
      <c r="F755" s="107"/>
      <c r="G755" s="107"/>
      <c r="H755" s="107"/>
      <c r="I755" s="107"/>
      <c r="J755" s="107"/>
      <c r="K755" s="107"/>
      <c r="L755" s="107"/>
      <c r="M755" s="107"/>
      <c r="N755" s="107"/>
      <c r="O755" s="107"/>
      <c r="P755" s="107"/>
      <c r="Q755" s="107"/>
      <c r="R755" s="107"/>
      <c r="S755" s="107"/>
      <c r="T755" s="107"/>
      <c r="U755" s="107"/>
      <c r="V755" s="107"/>
      <c r="W755" s="107"/>
      <c r="X755" s="107"/>
      <c r="Y755" s="107"/>
      <c r="Z755" s="107"/>
      <c r="AA755" s="107"/>
    </row>
    <row r="756">
      <c r="A756" s="110"/>
      <c r="B756" s="107"/>
      <c r="C756" s="107"/>
      <c r="D756" s="107"/>
      <c r="E756" s="107"/>
      <c r="F756" s="107"/>
      <c r="G756" s="107"/>
      <c r="H756" s="107"/>
      <c r="I756" s="107"/>
      <c r="J756" s="107"/>
      <c r="K756" s="107"/>
      <c r="L756" s="107"/>
      <c r="M756" s="107"/>
      <c r="N756" s="107"/>
      <c r="O756" s="107"/>
      <c r="P756" s="107"/>
      <c r="Q756" s="107"/>
      <c r="R756" s="107"/>
      <c r="S756" s="107"/>
      <c r="T756" s="107"/>
      <c r="U756" s="107"/>
      <c r="V756" s="107"/>
      <c r="W756" s="107"/>
      <c r="X756" s="107"/>
      <c r="Y756" s="107"/>
      <c r="Z756" s="107"/>
      <c r="AA756" s="107"/>
    </row>
    <row r="757">
      <c r="A757" s="110"/>
      <c r="B757" s="107"/>
      <c r="C757" s="107"/>
      <c r="D757" s="107"/>
      <c r="E757" s="107"/>
      <c r="F757" s="107"/>
      <c r="G757" s="107"/>
      <c r="H757" s="107"/>
      <c r="I757" s="107"/>
      <c r="J757" s="107"/>
      <c r="K757" s="107"/>
      <c r="L757" s="107"/>
      <c r="M757" s="107"/>
      <c r="N757" s="107"/>
      <c r="O757" s="107"/>
      <c r="P757" s="107"/>
      <c r="Q757" s="107"/>
      <c r="R757" s="107"/>
      <c r="S757" s="107"/>
      <c r="T757" s="107"/>
      <c r="U757" s="107"/>
      <c r="V757" s="107"/>
      <c r="W757" s="107"/>
      <c r="X757" s="107"/>
      <c r="Y757" s="107"/>
      <c r="Z757" s="107"/>
      <c r="AA757" s="107"/>
    </row>
    <row r="758">
      <c r="A758" s="110"/>
      <c r="B758" s="107"/>
      <c r="C758" s="107"/>
      <c r="D758" s="107"/>
      <c r="E758" s="107"/>
      <c r="F758" s="107"/>
      <c r="G758" s="107"/>
      <c r="H758" s="107"/>
      <c r="I758" s="107"/>
      <c r="J758" s="107"/>
      <c r="K758" s="107"/>
      <c r="L758" s="107"/>
      <c r="M758" s="107"/>
      <c r="N758" s="107"/>
      <c r="O758" s="107"/>
      <c r="P758" s="107"/>
      <c r="Q758" s="107"/>
      <c r="R758" s="107"/>
      <c r="S758" s="107"/>
      <c r="T758" s="107"/>
      <c r="U758" s="107"/>
      <c r="V758" s="107"/>
      <c r="W758" s="107"/>
      <c r="X758" s="107"/>
      <c r="Y758" s="107"/>
      <c r="Z758" s="107"/>
      <c r="AA758" s="107"/>
    </row>
    <row r="759">
      <c r="A759" s="110"/>
      <c r="B759" s="107"/>
      <c r="C759" s="107"/>
      <c r="D759" s="107"/>
      <c r="E759" s="107"/>
      <c r="F759" s="107"/>
      <c r="G759" s="107"/>
      <c r="H759" s="107"/>
      <c r="I759" s="107"/>
      <c r="J759" s="107"/>
      <c r="K759" s="107"/>
      <c r="L759" s="107"/>
      <c r="M759" s="107"/>
      <c r="N759" s="107"/>
      <c r="O759" s="107"/>
      <c r="P759" s="107"/>
      <c r="Q759" s="107"/>
      <c r="R759" s="107"/>
      <c r="S759" s="107"/>
      <c r="T759" s="107"/>
      <c r="U759" s="107"/>
      <c r="V759" s="107"/>
      <c r="W759" s="107"/>
      <c r="X759" s="107"/>
      <c r="Y759" s="107"/>
      <c r="Z759" s="107"/>
      <c r="AA759" s="107"/>
    </row>
    <row r="760">
      <c r="A760" s="110"/>
      <c r="B760" s="107"/>
      <c r="C760" s="107"/>
      <c r="D760" s="107"/>
      <c r="E760" s="107"/>
      <c r="F760" s="107"/>
      <c r="G760" s="107"/>
      <c r="H760" s="107"/>
      <c r="I760" s="107"/>
      <c r="J760" s="107"/>
      <c r="K760" s="107"/>
      <c r="L760" s="107"/>
      <c r="M760" s="107"/>
      <c r="N760" s="107"/>
      <c r="O760" s="107"/>
      <c r="P760" s="107"/>
      <c r="Q760" s="107"/>
      <c r="R760" s="107"/>
      <c r="S760" s="107"/>
      <c r="T760" s="107"/>
      <c r="U760" s="107"/>
      <c r="V760" s="107"/>
      <c r="W760" s="107"/>
      <c r="X760" s="107"/>
      <c r="Y760" s="107"/>
      <c r="Z760" s="107"/>
      <c r="AA760" s="107"/>
    </row>
    <row r="761">
      <c r="A761" s="110"/>
      <c r="B761" s="107"/>
      <c r="C761" s="107"/>
      <c r="D761" s="107"/>
      <c r="E761" s="107"/>
      <c r="F761" s="107"/>
      <c r="G761" s="107"/>
      <c r="H761" s="107"/>
      <c r="I761" s="107"/>
      <c r="J761" s="107"/>
      <c r="K761" s="107"/>
      <c r="L761" s="107"/>
      <c r="M761" s="107"/>
      <c r="N761" s="107"/>
      <c r="O761" s="107"/>
      <c r="P761" s="107"/>
      <c r="Q761" s="107"/>
      <c r="R761" s="107"/>
      <c r="S761" s="107"/>
      <c r="T761" s="107"/>
      <c r="U761" s="107"/>
      <c r="V761" s="107"/>
      <c r="W761" s="107"/>
      <c r="X761" s="107"/>
      <c r="Y761" s="107"/>
      <c r="Z761" s="107"/>
      <c r="AA761" s="107"/>
    </row>
    <row r="762">
      <c r="A762" s="110"/>
      <c r="B762" s="107"/>
      <c r="C762" s="107"/>
      <c r="D762" s="107"/>
      <c r="E762" s="107"/>
      <c r="F762" s="107"/>
      <c r="G762" s="107"/>
      <c r="H762" s="107"/>
      <c r="I762" s="107"/>
      <c r="J762" s="107"/>
      <c r="K762" s="107"/>
      <c r="L762" s="107"/>
      <c r="M762" s="107"/>
      <c r="N762" s="107"/>
      <c r="O762" s="107"/>
      <c r="P762" s="107"/>
      <c r="Q762" s="107"/>
      <c r="R762" s="107"/>
      <c r="S762" s="107"/>
      <c r="T762" s="107"/>
      <c r="U762" s="107"/>
      <c r="V762" s="107"/>
      <c r="W762" s="107"/>
      <c r="X762" s="107"/>
      <c r="Y762" s="107"/>
      <c r="Z762" s="107"/>
      <c r="AA762" s="107"/>
    </row>
    <row r="763">
      <c r="A763" s="110"/>
      <c r="B763" s="107"/>
      <c r="C763" s="107"/>
      <c r="D763" s="107"/>
      <c r="E763" s="107"/>
      <c r="F763" s="107"/>
      <c r="G763" s="107"/>
      <c r="H763" s="107"/>
      <c r="I763" s="107"/>
      <c r="J763" s="107"/>
      <c r="K763" s="107"/>
      <c r="L763" s="107"/>
      <c r="M763" s="107"/>
      <c r="N763" s="107"/>
      <c r="O763" s="107"/>
      <c r="P763" s="107"/>
      <c r="Q763" s="107"/>
      <c r="R763" s="107"/>
      <c r="S763" s="107"/>
      <c r="T763" s="107"/>
      <c r="U763" s="107"/>
      <c r="V763" s="107"/>
      <c r="W763" s="107"/>
      <c r="X763" s="107"/>
      <c r="Y763" s="107"/>
      <c r="Z763" s="107"/>
      <c r="AA763" s="107"/>
    </row>
    <row r="764">
      <c r="A764" s="110"/>
      <c r="B764" s="107"/>
      <c r="C764" s="107"/>
      <c r="D764" s="107"/>
      <c r="E764" s="107"/>
      <c r="F764" s="107"/>
      <c r="G764" s="107"/>
      <c r="H764" s="107"/>
      <c r="I764" s="107"/>
      <c r="J764" s="107"/>
      <c r="K764" s="107"/>
      <c r="L764" s="107"/>
      <c r="M764" s="107"/>
      <c r="N764" s="107"/>
      <c r="O764" s="107"/>
      <c r="P764" s="107"/>
      <c r="Q764" s="107"/>
      <c r="R764" s="107"/>
      <c r="S764" s="107"/>
      <c r="T764" s="107"/>
      <c r="U764" s="107"/>
      <c r="V764" s="107"/>
      <c r="W764" s="107"/>
      <c r="X764" s="107"/>
      <c r="Y764" s="107"/>
      <c r="Z764" s="107"/>
      <c r="AA764" s="107"/>
    </row>
    <row r="765">
      <c r="A765" s="110"/>
      <c r="B765" s="107"/>
      <c r="C765" s="107"/>
      <c r="D765" s="107"/>
      <c r="E765" s="107"/>
      <c r="F765" s="107"/>
      <c r="G765" s="107"/>
      <c r="H765" s="107"/>
      <c r="I765" s="107"/>
      <c r="J765" s="107"/>
      <c r="K765" s="107"/>
      <c r="L765" s="107"/>
      <c r="M765" s="107"/>
      <c r="N765" s="107"/>
      <c r="O765" s="107"/>
      <c r="P765" s="107"/>
      <c r="Q765" s="107"/>
      <c r="R765" s="107"/>
      <c r="S765" s="107"/>
      <c r="T765" s="107"/>
      <c r="U765" s="107"/>
      <c r="V765" s="107"/>
      <c r="W765" s="107"/>
      <c r="X765" s="107"/>
      <c r="Y765" s="107"/>
      <c r="Z765" s="107"/>
      <c r="AA765" s="107"/>
    </row>
    <row r="766">
      <c r="A766" s="110"/>
      <c r="B766" s="107"/>
      <c r="C766" s="107"/>
      <c r="D766" s="107"/>
      <c r="E766" s="107"/>
      <c r="F766" s="107"/>
      <c r="G766" s="107"/>
      <c r="H766" s="107"/>
      <c r="I766" s="107"/>
      <c r="J766" s="107"/>
      <c r="K766" s="107"/>
      <c r="L766" s="107"/>
      <c r="M766" s="107"/>
      <c r="N766" s="107"/>
      <c r="O766" s="107"/>
      <c r="P766" s="107"/>
      <c r="Q766" s="107"/>
      <c r="R766" s="107"/>
      <c r="S766" s="107"/>
      <c r="T766" s="107"/>
      <c r="U766" s="107"/>
      <c r="V766" s="107"/>
      <c r="W766" s="107"/>
      <c r="X766" s="107"/>
      <c r="Y766" s="107"/>
      <c r="Z766" s="107"/>
      <c r="AA766" s="107"/>
    </row>
    <row r="767">
      <c r="A767" s="110"/>
      <c r="B767" s="107"/>
      <c r="C767" s="107"/>
      <c r="D767" s="107"/>
      <c r="E767" s="107"/>
      <c r="F767" s="107"/>
      <c r="G767" s="107"/>
      <c r="H767" s="107"/>
      <c r="I767" s="107"/>
      <c r="J767" s="107"/>
      <c r="K767" s="107"/>
      <c r="L767" s="107"/>
      <c r="M767" s="107"/>
      <c r="N767" s="107"/>
      <c r="O767" s="107"/>
      <c r="P767" s="107"/>
      <c r="Q767" s="107"/>
      <c r="R767" s="107"/>
      <c r="S767" s="107"/>
      <c r="T767" s="107"/>
      <c r="U767" s="107"/>
      <c r="V767" s="107"/>
      <c r="W767" s="107"/>
      <c r="X767" s="107"/>
      <c r="Y767" s="107"/>
      <c r="Z767" s="107"/>
      <c r="AA767" s="107"/>
    </row>
    <row r="768">
      <c r="A768" s="110"/>
      <c r="B768" s="107"/>
      <c r="C768" s="107"/>
      <c r="D768" s="107"/>
      <c r="E768" s="107"/>
      <c r="F768" s="107"/>
      <c r="G768" s="107"/>
      <c r="H768" s="107"/>
      <c r="I768" s="107"/>
      <c r="J768" s="107"/>
      <c r="K768" s="107"/>
      <c r="L768" s="107"/>
      <c r="M768" s="107"/>
      <c r="N768" s="107"/>
      <c r="O768" s="107"/>
      <c r="P768" s="107"/>
      <c r="Q768" s="107"/>
      <c r="R768" s="107"/>
      <c r="S768" s="107"/>
      <c r="T768" s="107"/>
      <c r="U768" s="107"/>
      <c r="V768" s="107"/>
      <c r="W768" s="107"/>
      <c r="X768" s="107"/>
      <c r="Y768" s="107"/>
      <c r="Z768" s="107"/>
      <c r="AA768" s="107"/>
    </row>
    <row r="769">
      <c r="A769" s="110"/>
      <c r="B769" s="107"/>
      <c r="C769" s="107"/>
      <c r="D769" s="107"/>
      <c r="E769" s="107"/>
      <c r="F769" s="107"/>
      <c r="G769" s="107"/>
      <c r="H769" s="107"/>
      <c r="I769" s="107"/>
      <c r="J769" s="107"/>
      <c r="K769" s="107"/>
      <c r="L769" s="107"/>
      <c r="M769" s="107"/>
      <c r="N769" s="107"/>
      <c r="O769" s="107"/>
      <c r="P769" s="107"/>
      <c r="Q769" s="107"/>
      <c r="R769" s="107"/>
      <c r="S769" s="107"/>
      <c r="T769" s="107"/>
      <c r="U769" s="107"/>
      <c r="V769" s="107"/>
      <c r="W769" s="107"/>
      <c r="X769" s="107"/>
      <c r="Y769" s="107"/>
      <c r="Z769" s="107"/>
      <c r="AA769" s="107"/>
    </row>
    <row r="770">
      <c r="A770" s="110"/>
      <c r="B770" s="107"/>
      <c r="C770" s="107"/>
      <c r="D770" s="107"/>
      <c r="E770" s="107"/>
      <c r="F770" s="107"/>
      <c r="G770" s="107"/>
      <c r="H770" s="107"/>
      <c r="I770" s="107"/>
      <c r="J770" s="107"/>
      <c r="K770" s="107"/>
      <c r="L770" s="107"/>
      <c r="M770" s="107"/>
      <c r="N770" s="107"/>
      <c r="O770" s="107"/>
      <c r="P770" s="107"/>
      <c r="Q770" s="107"/>
      <c r="R770" s="107"/>
      <c r="S770" s="107"/>
      <c r="T770" s="107"/>
      <c r="U770" s="107"/>
      <c r="V770" s="107"/>
      <c r="W770" s="107"/>
      <c r="X770" s="107"/>
      <c r="Y770" s="107"/>
      <c r="Z770" s="107"/>
      <c r="AA770" s="107"/>
    </row>
    <row r="771">
      <c r="A771" s="110"/>
      <c r="B771" s="107"/>
      <c r="C771" s="107"/>
      <c r="D771" s="107"/>
      <c r="E771" s="107"/>
      <c r="F771" s="107"/>
      <c r="G771" s="107"/>
      <c r="H771" s="107"/>
      <c r="I771" s="107"/>
      <c r="J771" s="107"/>
      <c r="K771" s="107"/>
      <c r="L771" s="107"/>
      <c r="M771" s="107"/>
      <c r="N771" s="107"/>
      <c r="O771" s="107"/>
      <c r="P771" s="107"/>
      <c r="Q771" s="107"/>
      <c r="R771" s="107"/>
      <c r="S771" s="107"/>
      <c r="T771" s="107"/>
      <c r="U771" s="107"/>
      <c r="V771" s="107"/>
      <c r="W771" s="107"/>
      <c r="X771" s="107"/>
      <c r="Y771" s="107"/>
      <c r="Z771" s="107"/>
      <c r="AA771" s="107"/>
    </row>
    <row r="772">
      <c r="A772" s="110"/>
      <c r="B772" s="107"/>
      <c r="C772" s="107"/>
      <c r="D772" s="107"/>
      <c r="E772" s="107"/>
      <c r="F772" s="107"/>
      <c r="G772" s="107"/>
      <c r="H772" s="107"/>
      <c r="I772" s="107"/>
      <c r="J772" s="107"/>
      <c r="K772" s="107"/>
      <c r="L772" s="107"/>
      <c r="M772" s="107"/>
      <c r="N772" s="107"/>
      <c r="O772" s="107"/>
      <c r="P772" s="107"/>
      <c r="Q772" s="107"/>
      <c r="R772" s="107"/>
      <c r="S772" s="107"/>
      <c r="T772" s="107"/>
      <c r="U772" s="107"/>
      <c r="V772" s="107"/>
      <c r="W772" s="107"/>
      <c r="X772" s="107"/>
      <c r="Y772" s="107"/>
      <c r="Z772" s="107"/>
      <c r="AA772" s="107"/>
    </row>
    <row r="773">
      <c r="A773" s="110"/>
      <c r="B773" s="107"/>
      <c r="C773" s="107"/>
      <c r="D773" s="107"/>
      <c r="E773" s="107"/>
      <c r="F773" s="107"/>
      <c r="G773" s="107"/>
      <c r="H773" s="107"/>
      <c r="I773" s="107"/>
      <c r="J773" s="107"/>
      <c r="K773" s="107"/>
      <c r="L773" s="107"/>
      <c r="M773" s="107"/>
      <c r="N773" s="107"/>
      <c r="O773" s="107"/>
      <c r="P773" s="107"/>
      <c r="Q773" s="107"/>
      <c r="R773" s="107"/>
      <c r="S773" s="107"/>
      <c r="T773" s="107"/>
      <c r="U773" s="107"/>
      <c r="V773" s="107"/>
      <c r="W773" s="107"/>
      <c r="X773" s="107"/>
      <c r="Y773" s="107"/>
      <c r="Z773" s="107"/>
      <c r="AA773" s="107"/>
    </row>
    <row r="774">
      <c r="A774" s="110"/>
      <c r="B774" s="107"/>
      <c r="C774" s="107"/>
      <c r="D774" s="107"/>
      <c r="E774" s="107"/>
      <c r="F774" s="107"/>
      <c r="G774" s="107"/>
      <c r="H774" s="107"/>
      <c r="I774" s="107"/>
      <c r="J774" s="107"/>
      <c r="K774" s="107"/>
      <c r="L774" s="107"/>
      <c r="M774" s="107"/>
      <c r="N774" s="107"/>
      <c r="O774" s="107"/>
      <c r="P774" s="107"/>
      <c r="Q774" s="107"/>
      <c r="R774" s="107"/>
      <c r="S774" s="107"/>
      <c r="T774" s="107"/>
      <c r="U774" s="107"/>
      <c r="V774" s="107"/>
      <c r="W774" s="107"/>
      <c r="X774" s="107"/>
      <c r="Y774" s="107"/>
      <c r="Z774" s="107"/>
      <c r="AA774" s="107"/>
    </row>
    <row r="775">
      <c r="A775" s="110"/>
      <c r="B775" s="107"/>
      <c r="C775" s="107"/>
      <c r="D775" s="107"/>
      <c r="E775" s="107"/>
      <c r="F775" s="107"/>
      <c r="G775" s="107"/>
      <c r="H775" s="107"/>
      <c r="I775" s="107"/>
      <c r="J775" s="107"/>
      <c r="K775" s="107"/>
      <c r="L775" s="107"/>
      <c r="M775" s="107"/>
      <c r="N775" s="107"/>
      <c r="O775" s="107"/>
      <c r="P775" s="107"/>
      <c r="Q775" s="107"/>
      <c r="R775" s="107"/>
      <c r="S775" s="107"/>
      <c r="T775" s="107"/>
      <c r="U775" s="107"/>
      <c r="V775" s="107"/>
      <c r="W775" s="107"/>
      <c r="X775" s="107"/>
      <c r="Y775" s="107"/>
      <c r="Z775" s="107"/>
      <c r="AA775" s="107"/>
    </row>
    <row r="776">
      <c r="A776" s="110"/>
      <c r="B776" s="107"/>
      <c r="C776" s="107"/>
      <c r="D776" s="107"/>
      <c r="E776" s="107"/>
      <c r="F776" s="107"/>
      <c r="G776" s="107"/>
      <c r="H776" s="107"/>
      <c r="I776" s="107"/>
      <c r="J776" s="107"/>
      <c r="K776" s="107"/>
      <c r="L776" s="107"/>
      <c r="M776" s="107"/>
      <c r="N776" s="107"/>
      <c r="O776" s="107"/>
      <c r="P776" s="107"/>
      <c r="Q776" s="107"/>
      <c r="R776" s="107"/>
      <c r="S776" s="107"/>
      <c r="T776" s="107"/>
      <c r="U776" s="107"/>
      <c r="V776" s="107"/>
      <c r="W776" s="107"/>
      <c r="X776" s="107"/>
      <c r="Y776" s="107"/>
      <c r="Z776" s="107"/>
      <c r="AA776" s="107"/>
    </row>
    <row r="777">
      <c r="A777" s="110"/>
      <c r="B777" s="107"/>
      <c r="C777" s="107"/>
      <c r="D777" s="107"/>
      <c r="E777" s="107"/>
      <c r="F777" s="107"/>
      <c r="G777" s="107"/>
      <c r="H777" s="107"/>
      <c r="I777" s="107"/>
      <c r="J777" s="107"/>
      <c r="K777" s="107"/>
      <c r="L777" s="107"/>
      <c r="M777" s="107"/>
      <c r="N777" s="107"/>
      <c r="O777" s="107"/>
      <c r="P777" s="107"/>
      <c r="Q777" s="107"/>
      <c r="R777" s="107"/>
      <c r="S777" s="107"/>
      <c r="T777" s="107"/>
      <c r="U777" s="107"/>
      <c r="V777" s="107"/>
      <c r="W777" s="107"/>
      <c r="X777" s="107"/>
      <c r="Y777" s="107"/>
      <c r="Z777" s="107"/>
      <c r="AA777" s="107"/>
    </row>
    <row r="778">
      <c r="A778" s="110"/>
      <c r="B778" s="107"/>
      <c r="C778" s="107"/>
      <c r="D778" s="107"/>
      <c r="E778" s="107"/>
      <c r="F778" s="107"/>
      <c r="G778" s="107"/>
      <c r="H778" s="107"/>
      <c r="I778" s="107"/>
      <c r="J778" s="107"/>
      <c r="K778" s="107"/>
      <c r="L778" s="107"/>
      <c r="M778" s="107"/>
      <c r="N778" s="107"/>
      <c r="O778" s="107"/>
      <c r="P778" s="107"/>
      <c r="Q778" s="107"/>
      <c r="R778" s="107"/>
      <c r="S778" s="107"/>
      <c r="T778" s="107"/>
      <c r="U778" s="107"/>
      <c r="V778" s="107"/>
      <c r="W778" s="107"/>
      <c r="X778" s="107"/>
      <c r="Y778" s="107"/>
      <c r="Z778" s="107"/>
      <c r="AA778" s="107"/>
    </row>
    <row r="779">
      <c r="A779" s="110"/>
      <c r="B779" s="107"/>
      <c r="C779" s="107"/>
      <c r="D779" s="107"/>
      <c r="E779" s="107"/>
      <c r="F779" s="107"/>
      <c r="G779" s="107"/>
      <c r="H779" s="107"/>
      <c r="I779" s="107"/>
      <c r="J779" s="107"/>
      <c r="K779" s="107"/>
      <c r="L779" s="107"/>
      <c r="M779" s="107"/>
      <c r="N779" s="107"/>
      <c r="O779" s="107"/>
      <c r="P779" s="107"/>
      <c r="Q779" s="107"/>
      <c r="R779" s="107"/>
      <c r="S779" s="107"/>
      <c r="T779" s="107"/>
      <c r="U779" s="107"/>
      <c r="V779" s="107"/>
      <c r="W779" s="107"/>
      <c r="X779" s="107"/>
      <c r="Y779" s="107"/>
      <c r="Z779" s="107"/>
      <c r="AA779" s="107"/>
    </row>
    <row r="780">
      <c r="A780" s="110"/>
      <c r="B780" s="107"/>
      <c r="C780" s="107"/>
      <c r="D780" s="107"/>
      <c r="E780" s="107"/>
      <c r="F780" s="107"/>
      <c r="G780" s="107"/>
      <c r="H780" s="107"/>
      <c r="I780" s="107"/>
      <c r="J780" s="107"/>
      <c r="K780" s="107"/>
      <c r="L780" s="107"/>
      <c r="M780" s="107"/>
      <c r="N780" s="107"/>
      <c r="O780" s="107"/>
      <c r="P780" s="107"/>
      <c r="Q780" s="107"/>
      <c r="R780" s="107"/>
      <c r="S780" s="107"/>
      <c r="T780" s="107"/>
      <c r="U780" s="107"/>
      <c r="V780" s="107"/>
      <c r="W780" s="107"/>
      <c r="X780" s="107"/>
      <c r="Y780" s="107"/>
      <c r="Z780" s="107"/>
      <c r="AA780" s="107"/>
    </row>
    <row r="781">
      <c r="A781" s="110"/>
      <c r="B781" s="107"/>
      <c r="C781" s="107"/>
      <c r="D781" s="107"/>
      <c r="E781" s="107"/>
      <c r="F781" s="107"/>
      <c r="G781" s="107"/>
      <c r="H781" s="107"/>
      <c r="I781" s="107"/>
      <c r="J781" s="107"/>
      <c r="K781" s="107"/>
      <c r="L781" s="107"/>
      <c r="M781" s="107"/>
      <c r="N781" s="107"/>
      <c r="O781" s="107"/>
      <c r="P781" s="107"/>
      <c r="Q781" s="107"/>
      <c r="R781" s="107"/>
      <c r="S781" s="107"/>
      <c r="T781" s="107"/>
      <c r="U781" s="107"/>
      <c r="V781" s="107"/>
      <c r="W781" s="107"/>
      <c r="X781" s="107"/>
      <c r="Y781" s="107"/>
      <c r="Z781" s="107"/>
      <c r="AA781" s="107"/>
    </row>
    <row r="782">
      <c r="A782" s="110"/>
      <c r="B782" s="107"/>
      <c r="C782" s="107"/>
      <c r="D782" s="107"/>
      <c r="E782" s="107"/>
      <c r="F782" s="107"/>
      <c r="G782" s="107"/>
      <c r="H782" s="107"/>
      <c r="I782" s="107"/>
      <c r="J782" s="107"/>
      <c r="K782" s="107"/>
      <c r="L782" s="107"/>
      <c r="M782" s="107"/>
      <c r="N782" s="107"/>
      <c r="O782" s="107"/>
      <c r="P782" s="107"/>
      <c r="Q782" s="107"/>
      <c r="R782" s="107"/>
      <c r="S782" s="107"/>
      <c r="T782" s="107"/>
      <c r="U782" s="107"/>
      <c r="V782" s="107"/>
      <c r="W782" s="107"/>
      <c r="X782" s="107"/>
      <c r="Y782" s="107"/>
      <c r="Z782" s="107"/>
      <c r="AA782" s="107"/>
    </row>
    <row r="783">
      <c r="A783" s="110"/>
      <c r="B783" s="107"/>
      <c r="C783" s="107"/>
      <c r="D783" s="107"/>
      <c r="E783" s="107"/>
      <c r="F783" s="107"/>
      <c r="G783" s="107"/>
      <c r="H783" s="107"/>
      <c r="I783" s="107"/>
      <c r="J783" s="107"/>
      <c r="K783" s="107"/>
      <c r="L783" s="107"/>
      <c r="M783" s="107"/>
      <c r="N783" s="107"/>
      <c r="O783" s="107"/>
      <c r="P783" s="107"/>
      <c r="Q783" s="107"/>
      <c r="R783" s="107"/>
      <c r="S783" s="107"/>
      <c r="T783" s="107"/>
      <c r="U783" s="107"/>
      <c r="V783" s="107"/>
      <c r="W783" s="107"/>
      <c r="X783" s="107"/>
      <c r="Y783" s="107"/>
      <c r="Z783" s="107"/>
      <c r="AA783" s="107"/>
    </row>
    <row r="784">
      <c r="A784" s="110"/>
      <c r="B784" s="107"/>
      <c r="C784" s="107"/>
      <c r="D784" s="107"/>
      <c r="E784" s="107"/>
      <c r="F784" s="107"/>
      <c r="G784" s="107"/>
      <c r="H784" s="107"/>
      <c r="I784" s="107"/>
      <c r="J784" s="107"/>
      <c r="K784" s="107"/>
      <c r="L784" s="107"/>
      <c r="M784" s="107"/>
      <c r="N784" s="107"/>
      <c r="O784" s="107"/>
      <c r="P784" s="107"/>
      <c r="Q784" s="107"/>
      <c r="R784" s="107"/>
      <c r="S784" s="107"/>
      <c r="T784" s="107"/>
      <c r="U784" s="107"/>
      <c r="V784" s="107"/>
      <c r="W784" s="107"/>
      <c r="X784" s="107"/>
      <c r="Y784" s="107"/>
      <c r="Z784" s="107"/>
      <c r="AA784" s="107"/>
    </row>
    <row r="785">
      <c r="A785" s="110"/>
      <c r="B785" s="107"/>
      <c r="C785" s="107"/>
      <c r="D785" s="107"/>
      <c r="E785" s="107"/>
      <c r="F785" s="107"/>
      <c r="G785" s="107"/>
      <c r="H785" s="107"/>
      <c r="I785" s="107"/>
      <c r="J785" s="107"/>
      <c r="K785" s="107"/>
      <c r="L785" s="107"/>
      <c r="M785" s="107"/>
      <c r="N785" s="107"/>
      <c r="O785" s="107"/>
      <c r="P785" s="107"/>
      <c r="Q785" s="107"/>
      <c r="R785" s="107"/>
      <c r="S785" s="107"/>
      <c r="T785" s="107"/>
      <c r="U785" s="107"/>
      <c r="V785" s="107"/>
      <c r="W785" s="107"/>
      <c r="X785" s="107"/>
      <c r="Y785" s="107"/>
      <c r="Z785" s="107"/>
      <c r="AA785" s="107"/>
    </row>
    <row r="786">
      <c r="A786" s="110"/>
      <c r="B786" s="107"/>
      <c r="C786" s="107"/>
      <c r="D786" s="107"/>
      <c r="E786" s="107"/>
      <c r="F786" s="107"/>
      <c r="G786" s="107"/>
      <c r="H786" s="107"/>
      <c r="I786" s="107"/>
      <c r="J786" s="107"/>
      <c r="K786" s="107"/>
      <c r="L786" s="107"/>
      <c r="M786" s="107"/>
      <c r="N786" s="107"/>
      <c r="O786" s="107"/>
      <c r="P786" s="107"/>
      <c r="Q786" s="107"/>
      <c r="R786" s="107"/>
      <c r="S786" s="107"/>
      <c r="T786" s="107"/>
      <c r="U786" s="107"/>
      <c r="V786" s="107"/>
      <c r="W786" s="107"/>
      <c r="X786" s="107"/>
      <c r="Y786" s="107"/>
      <c r="Z786" s="107"/>
      <c r="AA786" s="107"/>
    </row>
    <row r="787">
      <c r="A787" s="110"/>
      <c r="B787" s="107"/>
      <c r="C787" s="107"/>
      <c r="D787" s="107"/>
      <c r="E787" s="107"/>
      <c r="F787" s="107"/>
      <c r="G787" s="107"/>
      <c r="H787" s="107"/>
      <c r="I787" s="107"/>
      <c r="J787" s="107"/>
      <c r="K787" s="107"/>
      <c r="L787" s="107"/>
      <c r="M787" s="107"/>
      <c r="N787" s="107"/>
      <c r="O787" s="107"/>
      <c r="P787" s="107"/>
      <c r="Q787" s="107"/>
      <c r="R787" s="107"/>
      <c r="S787" s="107"/>
      <c r="T787" s="107"/>
      <c r="U787" s="107"/>
      <c r="V787" s="107"/>
      <c r="W787" s="107"/>
      <c r="X787" s="107"/>
      <c r="Y787" s="107"/>
      <c r="Z787" s="107"/>
      <c r="AA787" s="107"/>
    </row>
    <row r="788">
      <c r="A788" s="110"/>
      <c r="B788" s="107"/>
      <c r="C788" s="107"/>
      <c r="D788" s="107"/>
      <c r="E788" s="107"/>
      <c r="F788" s="107"/>
      <c r="G788" s="107"/>
      <c r="H788" s="107"/>
      <c r="I788" s="107"/>
      <c r="J788" s="107"/>
      <c r="K788" s="107"/>
      <c r="L788" s="107"/>
      <c r="M788" s="107"/>
      <c r="N788" s="107"/>
      <c r="O788" s="107"/>
      <c r="P788" s="107"/>
      <c r="Q788" s="107"/>
      <c r="R788" s="107"/>
      <c r="S788" s="107"/>
      <c r="T788" s="107"/>
      <c r="U788" s="107"/>
      <c r="V788" s="107"/>
      <c r="W788" s="107"/>
      <c r="X788" s="107"/>
      <c r="Y788" s="107"/>
      <c r="Z788" s="107"/>
      <c r="AA788" s="107"/>
    </row>
    <row r="789">
      <c r="A789" s="110"/>
      <c r="B789" s="107"/>
      <c r="C789" s="107"/>
      <c r="D789" s="107"/>
      <c r="E789" s="107"/>
      <c r="F789" s="107"/>
      <c r="G789" s="107"/>
      <c r="H789" s="107"/>
      <c r="I789" s="107"/>
      <c r="J789" s="107"/>
      <c r="K789" s="107"/>
      <c r="L789" s="107"/>
      <c r="M789" s="107"/>
      <c r="N789" s="107"/>
      <c r="O789" s="107"/>
      <c r="P789" s="107"/>
      <c r="Q789" s="107"/>
      <c r="R789" s="107"/>
      <c r="S789" s="107"/>
      <c r="T789" s="107"/>
      <c r="U789" s="107"/>
      <c r="V789" s="107"/>
      <c r="W789" s="107"/>
      <c r="X789" s="107"/>
      <c r="Y789" s="107"/>
      <c r="Z789" s="107"/>
      <c r="AA789" s="107"/>
    </row>
    <row r="790">
      <c r="A790" s="110"/>
      <c r="B790" s="107"/>
      <c r="C790" s="107"/>
      <c r="D790" s="107"/>
      <c r="E790" s="107"/>
      <c r="F790" s="107"/>
      <c r="G790" s="107"/>
      <c r="H790" s="107"/>
      <c r="I790" s="107"/>
      <c r="J790" s="107"/>
      <c r="K790" s="107"/>
      <c r="L790" s="107"/>
      <c r="M790" s="107"/>
      <c r="N790" s="107"/>
      <c r="O790" s="107"/>
      <c r="P790" s="107"/>
      <c r="Q790" s="107"/>
      <c r="R790" s="107"/>
      <c r="S790" s="107"/>
      <c r="T790" s="107"/>
      <c r="U790" s="107"/>
      <c r="V790" s="107"/>
      <c r="W790" s="107"/>
      <c r="X790" s="107"/>
      <c r="Y790" s="107"/>
      <c r="Z790" s="107"/>
      <c r="AA790" s="107"/>
    </row>
    <row r="791">
      <c r="A791" s="110"/>
      <c r="B791" s="107"/>
      <c r="C791" s="107"/>
      <c r="D791" s="107"/>
      <c r="E791" s="107"/>
      <c r="F791" s="107"/>
      <c r="G791" s="107"/>
      <c r="H791" s="107"/>
      <c r="I791" s="107"/>
      <c r="J791" s="107"/>
      <c r="K791" s="107"/>
      <c r="L791" s="107"/>
      <c r="M791" s="107"/>
      <c r="N791" s="107"/>
      <c r="O791" s="107"/>
      <c r="P791" s="107"/>
      <c r="Q791" s="107"/>
      <c r="R791" s="107"/>
      <c r="S791" s="107"/>
      <c r="T791" s="107"/>
      <c r="U791" s="107"/>
      <c r="V791" s="107"/>
      <c r="W791" s="107"/>
      <c r="X791" s="107"/>
      <c r="Y791" s="107"/>
      <c r="Z791" s="107"/>
      <c r="AA791" s="107"/>
    </row>
    <row r="792">
      <c r="A792" s="110"/>
      <c r="B792" s="107"/>
      <c r="C792" s="107"/>
      <c r="D792" s="107"/>
      <c r="E792" s="107"/>
      <c r="F792" s="107"/>
      <c r="G792" s="107"/>
      <c r="H792" s="107"/>
      <c r="I792" s="107"/>
      <c r="J792" s="107"/>
      <c r="K792" s="107"/>
      <c r="L792" s="107"/>
      <c r="M792" s="107"/>
      <c r="N792" s="107"/>
      <c r="O792" s="107"/>
      <c r="P792" s="107"/>
      <c r="Q792" s="107"/>
      <c r="R792" s="107"/>
      <c r="S792" s="107"/>
      <c r="T792" s="107"/>
      <c r="U792" s="107"/>
      <c r="V792" s="107"/>
      <c r="W792" s="107"/>
      <c r="X792" s="107"/>
      <c r="Y792" s="107"/>
      <c r="Z792" s="107"/>
      <c r="AA792" s="107"/>
    </row>
    <row r="793">
      <c r="A793" s="110"/>
      <c r="B793" s="107"/>
      <c r="C793" s="107"/>
      <c r="D793" s="107"/>
      <c r="E793" s="107"/>
      <c r="F793" s="107"/>
      <c r="G793" s="107"/>
      <c r="H793" s="107"/>
      <c r="I793" s="107"/>
      <c r="J793" s="107"/>
      <c r="K793" s="107"/>
      <c r="L793" s="107"/>
      <c r="M793" s="107"/>
      <c r="N793" s="107"/>
      <c r="O793" s="107"/>
      <c r="P793" s="107"/>
      <c r="Q793" s="107"/>
      <c r="R793" s="107"/>
      <c r="S793" s="107"/>
      <c r="T793" s="107"/>
      <c r="U793" s="107"/>
      <c r="V793" s="107"/>
      <c r="W793" s="107"/>
      <c r="X793" s="107"/>
      <c r="Y793" s="107"/>
      <c r="Z793" s="107"/>
      <c r="AA793" s="107"/>
    </row>
    <row r="794">
      <c r="A794" s="110"/>
      <c r="B794" s="107"/>
      <c r="C794" s="107"/>
      <c r="D794" s="107"/>
      <c r="E794" s="107"/>
      <c r="F794" s="107"/>
      <c r="G794" s="107"/>
      <c r="H794" s="107"/>
      <c r="I794" s="107"/>
      <c r="J794" s="107"/>
      <c r="K794" s="107"/>
      <c r="L794" s="107"/>
      <c r="M794" s="107"/>
      <c r="N794" s="107"/>
      <c r="O794" s="107"/>
      <c r="P794" s="107"/>
      <c r="Q794" s="107"/>
      <c r="R794" s="107"/>
      <c r="S794" s="107"/>
      <c r="T794" s="107"/>
      <c r="U794" s="107"/>
      <c r="V794" s="107"/>
      <c r="W794" s="107"/>
      <c r="X794" s="107"/>
      <c r="Y794" s="107"/>
      <c r="Z794" s="107"/>
      <c r="AA794" s="107"/>
    </row>
    <row r="795">
      <c r="A795" s="110"/>
      <c r="B795" s="107"/>
      <c r="C795" s="107"/>
      <c r="D795" s="107"/>
      <c r="E795" s="107"/>
      <c r="F795" s="107"/>
      <c r="G795" s="107"/>
      <c r="H795" s="107"/>
      <c r="I795" s="107"/>
      <c r="J795" s="107"/>
      <c r="K795" s="107"/>
      <c r="L795" s="107"/>
      <c r="M795" s="107"/>
      <c r="N795" s="107"/>
      <c r="O795" s="107"/>
      <c r="P795" s="107"/>
      <c r="Q795" s="107"/>
      <c r="R795" s="107"/>
      <c r="S795" s="107"/>
      <c r="T795" s="107"/>
      <c r="U795" s="107"/>
      <c r="V795" s="107"/>
      <c r="W795" s="107"/>
      <c r="X795" s="107"/>
      <c r="Y795" s="107"/>
      <c r="Z795" s="107"/>
      <c r="AA795" s="107"/>
    </row>
    <row r="796">
      <c r="A796" s="110"/>
      <c r="B796" s="107"/>
      <c r="C796" s="107"/>
      <c r="D796" s="107"/>
      <c r="E796" s="107"/>
      <c r="F796" s="107"/>
      <c r="G796" s="107"/>
      <c r="H796" s="107"/>
      <c r="I796" s="107"/>
      <c r="J796" s="107"/>
      <c r="K796" s="107"/>
      <c r="L796" s="107"/>
      <c r="M796" s="107"/>
      <c r="N796" s="107"/>
      <c r="O796" s="107"/>
      <c r="P796" s="107"/>
      <c r="Q796" s="107"/>
      <c r="R796" s="107"/>
      <c r="S796" s="107"/>
      <c r="T796" s="107"/>
      <c r="U796" s="107"/>
      <c r="V796" s="107"/>
      <c r="W796" s="107"/>
      <c r="X796" s="107"/>
      <c r="Y796" s="107"/>
      <c r="Z796" s="107"/>
      <c r="AA796" s="107"/>
    </row>
    <row r="797">
      <c r="A797" s="110"/>
      <c r="B797" s="107"/>
      <c r="C797" s="107"/>
      <c r="D797" s="107"/>
      <c r="E797" s="107"/>
      <c r="F797" s="107"/>
      <c r="G797" s="107"/>
      <c r="H797" s="107"/>
      <c r="I797" s="107"/>
      <c r="J797" s="107"/>
      <c r="K797" s="107"/>
      <c r="L797" s="107"/>
      <c r="M797" s="107"/>
      <c r="N797" s="107"/>
      <c r="O797" s="107"/>
      <c r="P797" s="107"/>
      <c r="Q797" s="107"/>
      <c r="R797" s="107"/>
      <c r="S797" s="107"/>
      <c r="T797" s="107"/>
      <c r="U797" s="107"/>
      <c r="V797" s="107"/>
      <c r="W797" s="107"/>
      <c r="X797" s="107"/>
      <c r="Y797" s="107"/>
      <c r="Z797" s="107"/>
      <c r="AA797" s="107"/>
    </row>
    <row r="798">
      <c r="A798" s="110"/>
      <c r="B798" s="107"/>
      <c r="C798" s="107"/>
      <c r="D798" s="107"/>
      <c r="E798" s="107"/>
      <c r="F798" s="107"/>
      <c r="G798" s="107"/>
      <c r="H798" s="107"/>
      <c r="I798" s="107"/>
      <c r="J798" s="107"/>
      <c r="K798" s="107"/>
      <c r="L798" s="107"/>
      <c r="M798" s="107"/>
      <c r="N798" s="107"/>
      <c r="O798" s="107"/>
      <c r="P798" s="107"/>
      <c r="Q798" s="107"/>
      <c r="R798" s="107"/>
      <c r="S798" s="107"/>
      <c r="T798" s="107"/>
      <c r="U798" s="107"/>
      <c r="V798" s="107"/>
      <c r="W798" s="107"/>
      <c r="X798" s="107"/>
      <c r="Y798" s="107"/>
      <c r="Z798" s="107"/>
      <c r="AA798" s="107"/>
    </row>
    <row r="799">
      <c r="A799" s="110"/>
      <c r="B799" s="107"/>
      <c r="C799" s="107"/>
      <c r="D799" s="107"/>
      <c r="E799" s="107"/>
      <c r="F799" s="107"/>
      <c r="G799" s="107"/>
      <c r="H799" s="107"/>
      <c r="I799" s="107"/>
      <c r="J799" s="107"/>
      <c r="K799" s="107"/>
      <c r="L799" s="107"/>
      <c r="M799" s="107"/>
      <c r="N799" s="107"/>
      <c r="O799" s="107"/>
      <c r="P799" s="107"/>
      <c r="Q799" s="107"/>
      <c r="R799" s="107"/>
      <c r="S799" s="107"/>
      <c r="T799" s="107"/>
      <c r="U799" s="107"/>
      <c r="V799" s="107"/>
      <c r="W799" s="107"/>
      <c r="X799" s="107"/>
      <c r="Y799" s="107"/>
      <c r="Z799" s="107"/>
      <c r="AA799" s="107"/>
    </row>
    <row r="800">
      <c r="A800" s="110"/>
      <c r="B800" s="107"/>
      <c r="C800" s="107"/>
      <c r="D800" s="107"/>
      <c r="E800" s="107"/>
      <c r="F800" s="107"/>
      <c r="G800" s="107"/>
      <c r="H800" s="107"/>
      <c r="I800" s="107"/>
      <c r="J800" s="107"/>
      <c r="K800" s="107"/>
      <c r="L800" s="107"/>
      <c r="M800" s="107"/>
      <c r="N800" s="107"/>
      <c r="O800" s="107"/>
      <c r="P800" s="107"/>
      <c r="Q800" s="107"/>
      <c r="R800" s="107"/>
      <c r="S800" s="107"/>
      <c r="T800" s="107"/>
      <c r="U800" s="107"/>
      <c r="V800" s="107"/>
      <c r="W800" s="107"/>
      <c r="X800" s="107"/>
      <c r="Y800" s="107"/>
      <c r="Z800" s="107"/>
      <c r="AA800" s="107"/>
    </row>
    <row r="801">
      <c r="A801" s="110"/>
      <c r="B801" s="107"/>
      <c r="C801" s="107"/>
      <c r="D801" s="107"/>
      <c r="E801" s="107"/>
      <c r="F801" s="107"/>
      <c r="G801" s="107"/>
      <c r="H801" s="107"/>
      <c r="I801" s="107"/>
      <c r="J801" s="107"/>
      <c r="K801" s="107"/>
      <c r="L801" s="107"/>
      <c r="M801" s="107"/>
      <c r="N801" s="107"/>
      <c r="O801" s="107"/>
      <c r="P801" s="107"/>
      <c r="Q801" s="107"/>
      <c r="R801" s="107"/>
      <c r="S801" s="107"/>
      <c r="T801" s="107"/>
      <c r="U801" s="107"/>
      <c r="V801" s="107"/>
      <c r="W801" s="107"/>
      <c r="X801" s="107"/>
      <c r="Y801" s="107"/>
      <c r="Z801" s="107"/>
      <c r="AA801" s="107"/>
    </row>
    <row r="802">
      <c r="A802" s="110"/>
      <c r="B802" s="107"/>
      <c r="C802" s="107"/>
      <c r="D802" s="107"/>
      <c r="E802" s="107"/>
      <c r="F802" s="107"/>
      <c r="G802" s="107"/>
      <c r="H802" s="107"/>
      <c r="I802" s="107"/>
      <c r="J802" s="107"/>
      <c r="K802" s="107"/>
      <c r="L802" s="107"/>
      <c r="M802" s="107"/>
      <c r="N802" s="107"/>
      <c r="O802" s="107"/>
      <c r="P802" s="107"/>
      <c r="Q802" s="107"/>
      <c r="R802" s="107"/>
      <c r="S802" s="107"/>
      <c r="T802" s="107"/>
      <c r="U802" s="107"/>
      <c r="V802" s="107"/>
      <c r="W802" s="107"/>
      <c r="X802" s="107"/>
      <c r="Y802" s="107"/>
      <c r="Z802" s="107"/>
      <c r="AA802" s="107"/>
    </row>
    <row r="803">
      <c r="A803" s="110"/>
      <c r="B803" s="107"/>
      <c r="C803" s="107"/>
      <c r="D803" s="107"/>
      <c r="E803" s="107"/>
      <c r="F803" s="107"/>
      <c r="G803" s="107"/>
      <c r="H803" s="107"/>
      <c r="I803" s="107"/>
      <c r="J803" s="107"/>
      <c r="K803" s="107"/>
      <c r="L803" s="107"/>
      <c r="M803" s="107"/>
      <c r="N803" s="107"/>
      <c r="O803" s="107"/>
      <c r="P803" s="107"/>
      <c r="Q803" s="107"/>
      <c r="R803" s="107"/>
      <c r="S803" s="107"/>
      <c r="T803" s="107"/>
      <c r="U803" s="107"/>
      <c r="V803" s="107"/>
      <c r="W803" s="107"/>
      <c r="X803" s="107"/>
      <c r="Y803" s="107"/>
      <c r="Z803" s="107"/>
      <c r="AA803" s="107"/>
    </row>
    <row r="804">
      <c r="A804" s="110"/>
      <c r="B804" s="107"/>
      <c r="C804" s="107"/>
      <c r="D804" s="107"/>
      <c r="E804" s="107"/>
      <c r="F804" s="107"/>
      <c r="G804" s="107"/>
      <c r="H804" s="107"/>
      <c r="I804" s="107"/>
      <c r="J804" s="107"/>
      <c r="K804" s="107"/>
      <c r="L804" s="107"/>
      <c r="M804" s="107"/>
      <c r="N804" s="107"/>
      <c r="O804" s="107"/>
      <c r="P804" s="107"/>
      <c r="Q804" s="107"/>
      <c r="R804" s="107"/>
      <c r="S804" s="107"/>
      <c r="T804" s="107"/>
      <c r="U804" s="107"/>
      <c r="V804" s="107"/>
      <c r="W804" s="107"/>
      <c r="X804" s="107"/>
      <c r="Y804" s="107"/>
      <c r="Z804" s="107"/>
      <c r="AA804" s="107"/>
    </row>
    <row r="805">
      <c r="A805" s="110"/>
      <c r="B805" s="107"/>
      <c r="C805" s="107"/>
      <c r="D805" s="107"/>
      <c r="E805" s="107"/>
      <c r="F805" s="107"/>
      <c r="G805" s="107"/>
      <c r="H805" s="107"/>
      <c r="I805" s="107"/>
      <c r="J805" s="107"/>
      <c r="K805" s="107"/>
      <c r="L805" s="107"/>
      <c r="M805" s="107"/>
      <c r="N805" s="107"/>
      <c r="O805" s="107"/>
      <c r="P805" s="107"/>
      <c r="Q805" s="107"/>
      <c r="R805" s="107"/>
      <c r="S805" s="107"/>
      <c r="T805" s="107"/>
      <c r="U805" s="107"/>
      <c r="V805" s="107"/>
      <c r="W805" s="107"/>
      <c r="X805" s="107"/>
      <c r="Y805" s="107"/>
      <c r="Z805" s="107"/>
      <c r="AA805" s="107"/>
    </row>
    <row r="806">
      <c r="A806" s="110"/>
      <c r="B806" s="107"/>
      <c r="C806" s="107"/>
      <c r="D806" s="107"/>
      <c r="E806" s="107"/>
      <c r="F806" s="107"/>
      <c r="G806" s="107"/>
      <c r="H806" s="107"/>
      <c r="I806" s="107"/>
      <c r="J806" s="107"/>
      <c r="K806" s="107"/>
      <c r="L806" s="107"/>
      <c r="M806" s="107"/>
      <c r="N806" s="107"/>
      <c r="O806" s="107"/>
      <c r="P806" s="107"/>
      <c r="Q806" s="107"/>
      <c r="R806" s="107"/>
      <c r="S806" s="107"/>
      <c r="T806" s="107"/>
      <c r="U806" s="107"/>
      <c r="V806" s="107"/>
      <c r="W806" s="107"/>
      <c r="X806" s="107"/>
      <c r="Y806" s="107"/>
      <c r="Z806" s="107"/>
      <c r="AA806" s="107"/>
    </row>
    <row r="807">
      <c r="A807" s="110"/>
      <c r="B807" s="107"/>
      <c r="C807" s="107"/>
      <c r="D807" s="107"/>
      <c r="E807" s="107"/>
      <c r="F807" s="107"/>
      <c r="G807" s="107"/>
      <c r="H807" s="107"/>
      <c r="I807" s="107"/>
      <c r="J807" s="107"/>
      <c r="K807" s="107"/>
      <c r="L807" s="107"/>
      <c r="M807" s="107"/>
      <c r="N807" s="107"/>
      <c r="O807" s="107"/>
      <c r="P807" s="107"/>
      <c r="Q807" s="107"/>
      <c r="R807" s="107"/>
      <c r="S807" s="107"/>
      <c r="T807" s="107"/>
      <c r="U807" s="107"/>
      <c r="V807" s="107"/>
      <c r="W807" s="107"/>
      <c r="X807" s="107"/>
      <c r="Y807" s="107"/>
      <c r="Z807" s="107"/>
      <c r="AA807" s="107"/>
    </row>
    <row r="808">
      <c r="A808" s="110"/>
      <c r="B808" s="107"/>
      <c r="C808" s="107"/>
      <c r="D808" s="107"/>
      <c r="E808" s="107"/>
      <c r="F808" s="107"/>
      <c r="G808" s="107"/>
      <c r="H808" s="107"/>
      <c r="I808" s="107"/>
      <c r="J808" s="107"/>
      <c r="K808" s="107"/>
      <c r="L808" s="107"/>
      <c r="M808" s="107"/>
      <c r="N808" s="107"/>
      <c r="O808" s="107"/>
      <c r="P808" s="107"/>
      <c r="Q808" s="107"/>
      <c r="R808" s="107"/>
      <c r="S808" s="107"/>
      <c r="T808" s="107"/>
      <c r="U808" s="107"/>
      <c r="V808" s="107"/>
      <c r="W808" s="107"/>
      <c r="X808" s="107"/>
      <c r="Y808" s="107"/>
      <c r="Z808" s="107"/>
      <c r="AA808" s="107"/>
    </row>
    <row r="809">
      <c r="A809" s="110"/>
      <c r="B809" s="107"/>
      <c r="C809" s="107"/>
      <c r="D809" s="107"/>
      <c r="E809" s="107"/>
      <c r="F809" s="107"/>
      <c r="G809" s="107"/>
      <c r="H809" s="107"/>
      <c r="I809" s="107"/>
      <c r="J809" s="107"/>
      <c r="K809" s="107"/>
      <c r="L809" s="107"/>
      <c r="M809" s="107"/>
      <c r="N809" s="107"/>
      <c r="O809" s="107"/>
      <c r="P809" s="107"/>
      <c r="Q809" s="107"/>
      <c r="R809" s="107"/>
      <c r="S809" s="107"/>
      <c r="T809" s="107"/>
      <c r="U809" s="107"/>
      <c r="V809" s="107"/>
      <c r="W809" s="107"/>
      <c r="X809" s="107"/>
      <c r="Y809" s="107"/>
      <c r="Z809" s="107"/>
      <c r="AA809" s="107"/>
    </row>
    <row r="810">
      <c r="A810" s="110"/>
      <c r="B810" s="107"/>
      <c r="C810" s="107"/>
      <c r="D810" s="107"/>
      <c r="E810" s="107"/>
      <c r="F810" s="107"/>
      <c r="G810" s="107"/>
      <c r="H810" s="107"/>
      <c r="I810" s="107"/>
      <c r="J810" s="107"/>
      <c r="K810" s="107"/>
      <c r="L810" s="107"/>
      <c r="M810" s="107"/>
      <c r="N810" s="107"/>
      <c r="O810" s="107"/>
      <c r="P810" s="107"/>
      <c r="Q810" s="107"/>
      <c r="R810" s="107"/>
      <c r="S810" s="107"/>
      <c r="T810" s="107"/>
      <c r="U810" s="107"/>
      <c r="V810" s="107"/>
      <c r="W810" s="107"/>
      <c r="X810" s="107"/>
      <c r="Y810" s="107"/>
      <c r="Z810" s="107"/>
      <c r="AA810" s="107"/>
    </row>
    <row r="811">
      <c r="A811" s="110"/>
      <c r="B811" s="107"/>
      <c r="C811" s="107"/>
      <c r="D811" s="107"/>
      <c r="E811" s="107"/>
      <c r="F811" s="107"/>
      <c r="G811" s="107"/>
      <c r="H811" s="107"/>
      <c r="I811" s="107"/>
      <c r="J811" s="107"/>
      <c r="K811" s="107"/>
      <c r="L811" s="107"/>
      <c r="M811" s="107"/>
      <c r="N811" s="107"/>
      <c r="O811" s="107"/>
      <c r="P811" s="107"/>
      <c r="Q811" s="107"/>
      <c r="R811" s="107"/>
      <c r="S811" s="107"/>
      <c r="T811" s="107"/>
      <c r="U811" s="107"/>
      <c r="V811" s="107"/>
      <c r="W811" s="107"/>
      <c r="X811" s="107"/>
      <c r="Y811" s="107"/>
      <c r="Z811" s="107"/>
      <c r="AA811" s="107"/>
    </row>
    <row r="812">
      <c r="A812" s="110"/>
      <c r="B812" s="107"/>
      <c r="C812" s="107"/>
      <c r="D812" s="107"/>
      <c r="E812" s="107"/>
      <c r="F812" s="107"/>
      <c r="G812" s="107"/>
      <c r="H812" s="107"/>
      <c r="I812" s="107"/>
      <c r="J812" s="107"/>
      <c r="K812" s="107"/>
      <c r="L812" s="107"/>
      <c r="M812" s="107"/>
      <c r="N812" s="107"/>
      <c r="O812" s="107"/>
      <c r="P812" s="107"/>
      <c r="Q812" s="107"/>
      <c r="R812" s="107"/>
      <c r="S812" s="107"/>
      <c r="T812" s="107"/>
      <c r="U812" s="107"/>
      <c r="V812" s="107"/>
      <c r="W812" s="107"/>
      <c r="X812" s="107"/>
      <c r="Y812" s="107"/>
      <c r="Z812" s="107"/>
      <c r="AA812" s="107"/>
    </row>
    <row r="813">
      <c r="A813" s="110"/>
      <c r="B813" s="107"/>
      <c r="C813" s="107"/>
      <c r="D813" s="107"/>
      <c r="E813" s="107"/>
      <c r="F813" s="107"/>
      <c r="G813" s="107"/>
      <c r="H813" s="107"/>
      <c r="I813" s="107"/>
      <c r="J813" s="107"/>
      <c r="K813" s="107"/>
      <c r="L813" s="107"/>
      <c r="M813" s="107"/>
      <c r="N813" s="107"/>
      <c r="O813" s="107"/>
      <c r="P813" s="107"/>
      <c r="Q813" s="107"/>
      <c r="R813" s="107"/>
      <c r="S813" s="107"/>
      <c r="T813" s="107"/>
      <c r="U813" s="107"/>
      <c r="V813" s="107"/>
      <c r="W813" s="107"/>
      <c r="X813" s="107"/>
      <c r="Y813" s="107"/>
      <c r="Z813" s="107"/>
      <c r="AA813" s="107"/>
    </row>
    <row r="814">
      <c r="A814" s="110"/>
      <c r="B814" s="107"/>
      <c r="C814" s="107"/>
      <c r="D814" s="107"/>
      <c r="E814" s="107"/>
      <c r="F814" s="107"/>
      <c r="G814" s="107"/>
      <c r="H814" s="107"/>
      <c r="I814" s="107"/>
      <c r="J814" s="107"/>
      <c r="K814" s="107"/>
      <c r="L814" s="107"/>
      <c r="M814" s="107"/>
      <c r="N814" s="107"/>
      <c r="O814" s="107"/>
      <c r="P814" s="107"/>
      <c r="Q814" s="107"/>
      <c r="R814" s="107"/>
      <c r="S814" s="107"/>
      <c r="T814" s="107"/>
      <c r="U814" s="107"/>
      <c r="V814" s="107"/>
      <c r="W814" s="107"/>
      <c r="X814" s="107"/>
      <c r="Y814" s="107"/>
      <c r="Z814" s="107"/>
      <c r="AA814" s="107"/>
    </row>
    <row r="815">
      <c r="A815" s="110"/>
      <c r="B815" s="107"/>
      <c r="C815" s="107"/>
      <c r="D815" s="107"/>
      <c r="E815" s="107"/>
      <c r="F815" s="107"/>
      <c r="G815" s="107"/>
      <c r="H815" s="107"/>
      <c r="I815" s="107"/>
      <c r="J815" s="107"/>
      <c r="K815" s="107"/>
      <c r="L815" s="107"/>
      <c r="M815" s="107"/>
      <c r="N815" s="107"/>
      <c r="O815" s="107"/>
      <c r="P815" s="107"/>
      <c r="Q815" s="107"/>
      <c r="R815" s="107"/>
      <c r="S815" s="107"/>
      <c r="T815" s="107"/>
      <c r="U815" s="107"/>
      <c r="V815" s="107"/>
      <c r="W815" s="107"/>
      <c r="X815" s="107"/>
      <c r="Y815" s="107"/>
      <c r="Z815" s="107"/>
      <c r="AA815" s="107"/>
    </row>
    <row r="816">
      <c r="A816" s="110"/>
      <c r="B816" s="107"/>
      <c r="C816" s="107"/>
      <c r="D816" s="107"/>
      <c r="E816" s="107"/>
      <c r="F816" s="107"/>
      <c r="G816" s="107"/>
      <c r="H816" s="107"/>
      <c r="I816" s="107"/>
      <c r="J816" s="107"/>
      <c r="K816" s="107"/>
      <c r="L816" s="107"/>
      <c r="M816" s="107"/>
      <c r="N816" s="107"/>
      <c r="O816" s="107"/>
      <c r="P816" s="107"/>
      <c r="Q816" s="107"/>
      <c r="R816" s="107"/>
      <c r="S816" s="107"/>
      <c r="T816" s="107"/>
      <c r="U816" s="107"/>
      <c r="V816" s="107"/>
      <c r="W816" s="107"/>
      <c r="X816" s="107"/>
      <c r="Y816" s="107"/>
      <c r="Z816" s="107"/>
      <c r="AA816" s="107"/>
    </row>
    <row r="817">
      <c r="A817" s="110"/>
      <c r="B817" s="107"/>
      <c r="C817" s="107"/>
      <c r="D817" s="107"/>
      <c r="E817" s="107"/>
      <c r="F817" s="107"/>
      <c r="G817" s="107"/>
      <c r="H817" s="107"/>
      <c r="I817" s="107"/>
      <c r="J817" s="107"/>
      <c r="K817" s="107"/>
      <c r="L817" s="107"/>
      <c r="M817" s="107"/>
      <c r="N817" s="107"/>
      <c r="O817" s="107"/>
      <c r="P817" s="107"/>
      <c r="Q817" s="107"/>
      <c r="R817" s="107"/>
      <c r="S817" s="107"/>
      <c r="T817" s="107"/>
      <c r="U817" s="107"/>
      <c r="V817" s="107"/>
      <c r="W817" s="107"/>
      <c r="X817" s="107"/>
      <c r="Y817" s="107"/>
      <c r="Z817" s="107"/>
      <c r="AA817" s="107"/>
    </row>
    <row r="818">
      <c r="A818" s="110"/>
      <c r="B818" s="107"/>
      <c r="C818" s="107"/>
      <c r="D818" s="107"/>
      <c r="E818" s="107"/>
      <c r="F818" s="107"/>
      <c r="G818" s="107"/>
      <c r="H818" s="107"/>
      <c r="I818" s="107"/>
      <c r="J818" s="107"/>
      <c r="K818" s="107"/>
      <c r="L818" s="107"/>
      <c r="M818" s="107"/>
      <c r="N818" s="107"/>
      <c r="O818" s="107"/>
      <c r="P818" s="107"/>
      <c r="Q818" s="107"/>
      <c r="R818" s="107"/>
      <c r="S818" s="107"/>
      <c r="T818" s="107"/>
      <c r="U818" s="107"/>
      <c r="V818" s="107"/>
      <c r="W818" s="107"/>
      <c r="X818" s="107"/>
      <c r="Y818" s="107"/>
      <c r="Z818" s="107"/>
      <c r="AA818" s="107"/>
    </row>
    <row r="819">
      <c r="A819" s="110"/>
      <c r="B819" s="107"/>
      <c r="C819" s="107"/>
      <c r="D819" s="107"/>
      <c r="E819" s="107"/>
      <c r="F819" s="107"/>
      <c r="G819" s="107"/>
      <c r="H819" s="107"/>
      <c r="I819" s="107"/>
      <c r="J819" s="107"/>
      <c r="K819" s="107"/>
      <c r="L819" s="107"/>
      <c r="M819" s="107"/>
      <c r="N819" s="107"/>
      <c r="O819" s="107"/>
      <c r="P819" s="107"/>
      <c r="Q819" s="107"/>
      <c r="R819" s="107"/>
      <c r="S819" s="107"/>
      <c r="T819" s="107"/>
      <c r="U819" s="107"/>
      <c r="V819" s="107"/>
      <c r="W819" s="107"/>
      <c r="X819" s="107"/>
      <c r="Y819" s="107"/>
      <c r="Z819" s="107"/>
      <c r="AA819" s="107"/>
    </row>
    <row r="820">
      <c r="A820" s="110"/>
      <c r="B820" s="107"/>
      <c r="C820" s="107"/>
      <c r="D820" s="107"/>
      <c r="E820" s="107"/>
      <c r="F820" s="107"/>
      <c r="G820" s="107"/>
      <c r="H820" s="107"/>
      <c r="I820" s="107"/>
      <c r="J820" s="107"/>
      <c r="K820" s="107"/>
      <c r="L820" s="107"/>
      <c r="M820" s="107"/>
      <c r="N820" s="107"/>
      <c r="O820" s="107"/>
      <c r="P820" s="107"/>
      <c r="Q820" s="107"/>
      <c r="R820" s="107"/>
      <c r="S820" s="107"/>
      <c r="T820" s="107"/>
      <c r="U820" s="107"/>
      <c r="V820" s="107"/>
      <c r="W820" s="107"/>
      <c r="X820" s="107"/>
      <c r="Y820" s="107"/>
      <c r="Z820" s="107"/>
      <c r="AA820" s="107"/>
    </row>
    <row r="821">
      <c r="A821" s="110"/>
      <c r="B821" s="107"/>
      <c r="C821" s="107"/>
      <c r="D821" s="107"/>
      <c r="E821" s="107"/>
      <c r="F821" s="107"/>
      <c r="G821" s="107"/>
      <c r="H821" s="107"/>
      <c r="I821" s="107"/>
      <c r="J821" s="107"/>
      <c r="K821" s="107"/>
      <c r="L821" s="107"/>
      <c r="M821" s="107"/>
      <c r="N821" s="107"/>
      <c r="O821" s="107"/>
      <c r="P821" s="107"/>
      <c r="Q821" s="107"/>
      <c r="R821" s="107"/>
      <c r="S821" s="107"/>
      <c r="T821" s="107"/>
      <c r="U821" s="107"/>
      <c r="V821" s="107"/>
      <c r="W821" s="107"/>
      <c r="X821" s="107"/>
      <c r="Y821" s="107"/>
      <c r="Z821" s="107"/>
      <c r="AA821" s="107"/>
    </row>
    <row r="822">
      <c r="A822" s="110"/>
      <c r="B822" s="107"/>
      <c r="C822" s="107"/>
      <c r="D822" s="107"/>
      <c r="E822" s="107"/>
      <c r="F822" s="107"/>
      <c r="G822" s="107"/>
      <c r="H822" s="107"/>
      <c r="I822" s="107"/>
      <c r="J822" s="107"/>
      <c r="K822" s="107"/>
      <c r="L822" s="107"/>
      <c r="M822" s="107"/>
      <c r="N822" s="107"/>
      <c r="O822" s="107"/>
      <c r="P822" s="107"/>
      <c r="Q822" s="107"/>
      <c r="R822" s="107"/>
      <c r="S822" s="107"/>
      <c r="T822" s="107"/>
      <c r="U822" s="107"/>
      <c r="V822" s="107"/>
      <c r="W822" s="107"/>
      <c r="X822" s="107"/>
      <c r="Y822" s="107"/>
      <c r="Z822" s="107"/>
      <c r="AA822" s="107"/>
    </row>
    <row r="823">
      <c r="A823" s="110"/>
      <c r="B823" s="107"/>
      <c r="C823" s="107"/>
      <c r="D823" s="107"/>
      <c r="E823" s="107"/>
      <c r="F823" s="107"/>
      <c r="G823" s="107"/>
      <c r="H823" s="107"/>
      <c r="I823" s="107"/>
      <c r="J823" s="107"/>
      <c r="K823" s="107"/>
      <c r="L823" s="107"/>
      <c r="M823" s="107"/>
      <c r="N823" s="107"/>
      <c r="O823" s="107"/>
      <c r="P823" s="107"/>
      <c r="Q823" s="107"/>
      <c r="R823" s="107"/>
      <c r="S823" s="107"/>
      <c r="T823" s="107"/>
      <c r="U823" s="107"/>
      <c r="V823" s="107"/>
      <c r="W823" s="107"/>
      <c r="X823" s="107"/>
      <c r="Y823" s="107"/>
      <c r="Z823" s="107"/>
      <c r="AA823" s="107"/>
    </row>
    <row r="824">
      <c r="A824" s="110"/>
      <c r="B824" s="107"/>
      <c r="C824" s="107"/>
      <c r="D824" s="107"/>
      <c r="E824" s="107"/>
      <c r="F824" s="107"/>
      <c r="G824" s="107"/>
      <c r="H824" s="107"/>
      <c r="I824" s="107"/>
      <c r="J824" s="107"/>
      <c r="K824" s="107"/>
      <c r="L824" s="107"/>
      <c r="M824" s="107"/>
      <c r="N824" s="107"/>
      <c r="O824" s="107"/>
      <c r="P824" s="107"/>
      <c r="Q824" s="107"/>
      <c r="R824" s="107"/>
      <c r="S824" s="107"/>
      <c r="T824" s="107"/>
      <c r="U824" s="107"/>
      <c r="V824" s="107"/>
      <c r="W824" s="107"/>
      <c r="X824" s="107"/>
      <c r="Y824" s="107"/>
      <c r="Z824" s="107"/>
      <c r="AA824" s="107"/>
    </row>
    <row r="825">
      <c r="A825" s="110"/>
      <c r="B825" s="107"/>
      <c r="C825" s="107"/>
      <c r="D825" s="107"/>
      <c r="E825" s="107"/>
      <c r="F825" s="107"/>
      <c r="G825" s="107"/>
      <c r="H825" s="107"/>
      <c r="I825" s="107"/>
      <c r="J825" s="107"/>
      <c r="K825" s="107"/>
      <c r="L825" s="107"/>
      <c r="M825" s="107"/>
      <c r="N825" s="107"/>
      <c r="O825" s="107"/>
      <c r="P825" s="107"/>
      <c r="Q825" s="107"/>
      <c r="R825" s="107"/>
      <c r="S825" s="107"/>
      <c r="T825" s="107"/>
      <c r="U825" s="107"/>
      <c r="V825" s="107"/>
      <c r="W825" s="107"/>
      <c r="X825" s="107"/>
      <c r="Y825" s="107"/>
      <c r="Z825" s="107"/>
      <c r="AA825" s="107"/>
    </row>
    <row r="826">
      <c r="A826" s="110"/>
      <c r="B826" s="107"/>
      <c r="C826" s="107"/>
      <c r="D826" s="107"/>
      <c r="E826" s="107"/>
      <c r="F826" s="107"/>
      <c r="G826" s="107"/>
      <c r="H826" s="107"/>
      <c r="I826" s="107"/>
      <c r="J826" s="107"/>
      <c r="K826" s="107"/>
      <c r="L826" s="107"/>
      <c r="M826" s="107"/>
      <c r="N826" s="107"/>
      <c r="O826" s="107"/>
      <c r="P826" s="107"/>
      <c r="Q826" s="107"/>
      <c r="R826" s="107"/>
      <c r="S826" s="107"/>
      <c r="T826" s="107"/>
      <c r="U826" s="107"/>
      <c r="V826" s="107"/>
      <c r="W826" s="107"/>
      <c r="X826" s="107"/>
      <c r="Y826" s="107"/>
      <c r="Z826" s="107"/>
      <c r="AA826" s="107"/>
    </row>
    <row r="827">
      <c r="A827" s="110"/>
      <c r="B827" s="107"/>
      <c r="C827" s="107"/>
      <c r="D827" s="107"/>
      <c r="E827" s="107"/>
      <c r="F827" s="107"/>
      <c r="G827" s="107"/>
      <c r="H827" s="107"/>
      <c r="I827" s="107"/>
      <c r="J827" s="107"/>
      <c r="K827" s="107"/>
      <c r="L827" s="107"/>
      <c r="M827" s="107"/>
      <c r="N827" s="107"/>
      <c r="O827" s="107"/>
      <c r="P827" s="107"/>
      <c r="Q827" s="107"/>
      <c r="R827" s="107"/>
      <c r="S827" s="107"/>
      <c r="T827" s="107"/>
      <c r="U827" s="107"/>
      <c r="V827" s="107"/>
      <c r="W827" s="107"/>
      <c r="X827" s="107"/>
      <c r="Y827" s="107"/>
      <c r="Z827" s="107"/>
      <c r="AA827" s="107"/>
    </row>
    <row r="828">
      <c r="A828" s="110"/>
      <c r="B828" s="107"/>
      <c r="C828" s="107"/>
      <c r="D828" s="107"/>
      <c r="E828" s="107"/>
      <c r="F828" s="107"/>
      <c r="G828" s="107"/>
      <c r="H828" s="107"/>
      <c r="I828" s="107"/>
      <c r="J828" s="107"/>
      <c r="K828" s="107"/>
      <c r="L828" s="107"/>
      <c r="M828" s="107"/>
      <c r="N828" s="107"/>
      <c r="O828" s="107"/>
      <c r="P828" s="107"/>
      <c r="Q828" s="107"/>
      <c r="R828" s="107"/>
      <c r="S828" s="107"/>
      <c r="T828" s="107"/>
      <c r="U828" s="107"/>
      <c r="V828" s="107"/>
      <c r="W828" s="107"/>
      <c r="X828" s="107"/>
      <c r="Y828" s="107"/>
      <c r="Z828" s="107"/>
      <c r="AA828" s="107"/>
    </row>
    <row r="829">
      <c r="A829" s="110"/>
      <c r="B829" s="107"/>
      <c r="C829" s="107"/>
      <c r="D829" s="107"/>
      <c r="E829" s="107"/>
      <c r="F829" s="107"/>
      <c r="G829" s="107"/>
      <c r="H829" s="107"/>
      <c r="I829" s="107"/>
      <c r="J829" s="107"/>
      <c r="K829" s="107"/>
      <c r="L829" s="107"/>
      <c r="M829" s="107"/>
      <c r="N829" s="107"/>
      <c r="O829" s="107"/>
      <c r="P829" s="107"/>
      <c r="Q829" s="107"/>
      <c r="R829" s="107"/>
      <c r="S829" s="107"/>
      <c r="T829" s="107"/>
      <c r="U829" s="107"/>
      <c r="V829" s="107"/>
      <c r="W829" s="107"/>
      <c r="X829" s="107"/>
      <c r="Y829" s="107"/>
      <c r="Z829" s="107"/>
      <c r="AA829" s="107"/>
    </row>
    <row r="830">
      <c r="A830" s="110"/>
      <c r="B830" s="107"/>
      <c r="C830" s="107"/>
      <c r="D830" s="107"/>
      <c r="E830" s="107"/>
      <c r="F830" s="107"/>
      <c r="G830" s="107"/>
      <c r="H830" s="107"/>
      <c r="I830" s="107"/>
      <c r="J830" s="107"/>
      <c r="K830" s="107"/>
      <c r="L830" s="107"/>
      <c r="M830" s="107"/>
      <c r="N830" s="107"/>
      <c r="O830" s="107"/>
      <c r="P830" s="107"/>
      <c r="Q830" s="107"/>
      <c r="R830" s="107"/>
      <c r="S830" s="107"/>
      <c r="T830" s="107"/>
      <c r="U830" s="107"/>
      <c r="V830" s="107"/>
      <c r="W830" s="107"/>
      <c r="X830" s="107"/>
      <c r="Y830" s="107"/>
      <c r="Z830" s="107"/>
      <c r="AA830" s="107"/>
    </row>
    <row r="831">
      <c r="A831" s="110"/>
      <c r="B831" s="107"/>
      <c r="C831" s="107"/>
      <c r="D831" s="107"/>
      <c r="E831" s="107"/>
      <c r="F831" s="107"/>
      <c r="G831" s="107"/>
      <c r="H831" s="107"/>
      <c r="I831" s="107"/>
      <c r="J831" s="107"/>
      <c r="K831" s="107"/>
      <c r="L831" s="107"/>
      <c r="M831" s="107"/>
      <c r="N831" s="107"/>
      <c r="O831" s="107"/>
      <c r="P831" s="107"/>
      <c r="Q831" s="107"/>
      <c r="R831" s="107"/>
      <c r="S831" s="107"/>
      <c r="T831" s="107"/>
      <c r="U831" s="107"/>
      <c r="V831" s="107"/>
      <c r="W831" s="107"/>
      <c r="X831" s="107"/>
      <c r="Y831" s="107"/>
      <c r="Z831" s="107"/>
      <c r="AA831" s="107"/>
    </row>
    <row r="832">
      <c r="A832" s="110"/>
      <c r="B832" s="107"/>
      <c r="C832" s="107"/>
      <c r="D832" s="107"/>
      <c r="E832" s="107"/>
      <c r="F832" s="107"/>
      <c r="G832" s="107"/>
      <c r="H832" s="107"/>
      <c r="I832" s="107"/>
      <c r="J832" s="107"/>
      <c r="K832" s="107"/>
      <c r="L832" s="107"/>
      <c r="M832" s="107"/>
      <c r="N832" s="107"/>
      <c r="O832" s="107"/>
      <c r="P832" s="107"/>
      <c r="Q832" s="107"/>
      <c r="R832" s="107"/>
      <c r="S832" s="107"/>
      <c r="T832" s="107"/>
      <c r="U832" s="107"/>
      <c r="V832" s="107"/>
      <c r="W832" s="107"/>
      <c r="X832" s="107"/>
      <c r="Y832" s="107"/>
      <c r="Z832" s="107"/>
      <c r="AA832" s="107"/>
    </row>
    <row r="833">
      <c r="A833" s="110"/>
      <c r="B833" s="107"/>
      <c r="C833" s="107"/>
      <c r="D833" s="107"/>
      <c r="E833" s="107"/>
      <c r="F833" s="107"/>
      <c r="G833" s="107"/>
      <c r="H833" s="107"/>
      <c r="I833" s="107"/>
      <c r="J833" s="107"/>
      <c r="K833" s="107"/>
      <c r="L833" s="107"/>
      <c r="M833" s="107"/>
      <c r="N833" s="107"/>
      <c r="O833" s="107"/>
      <c r="P833" s="107"/>
      <c r="Q833" s="107"/>
      <c r="R833" s="107"/>
      <c r="S833" s="107"/>
      <c r="T833" s="107"/>
      <c r="U833" s="107"/>
      <c r="V833" s="107"/>
      <c r="W833" s="107"/>
      <c r="X833" s="107"/>
      <c r="Y833" s="107"/>
      <c r="Z833" s="107"/>
      <c r="AA833" s="107"/>
    </row>
    <row r="834">
      <c r="A834" s="110"/>
      <c r="B834" s="107"/>
      <c r="C834" s="107"/>
      <c r="D834" s="107"/>
      <c r="E834" s="107"/>
      <c r="F834" s="107"/>
      <c r="G834" s="107"/>
      <c r="H834" s="107"/>
      <c r="I834" s="107"/>
      <c r="J834" s="107"/>
      <c r="K834" s="107"/>
      <c r="L834" s="107"/>
      <c r="M834" s="107"/>
      <c r="N834" s="107"/>
      <c r="O834" s="107"/>
      <c r="P834" s="107"/>
      <c r="Q834" s="107"/>
      <c r="R834" s="107"/>
      <c r="S834" s="107"/>
      <c r="T834" s="107"/>
      <c r="U834" s="107"/>
      <c r="V834" s="107"/>
      <c r="W834" s="107"/>
      <c r="X834" s="107"/>
      <c r="Y834" s="107"/>
      <c r="Z834" s="107"/>
      <c r="AA834" s="107"/>
    </row>
    <row r="835">
      <c r="A835" s="110"/>
      <c r="B835" s="107"/>
      <c r="C835" s="107"/>
      <c r="D835" s="107"/>
      <c r="E835" s="107"/>
      <c r="F835" s="107"/>
      <c r="G835" s="107"/>
      <c r="H835" s="107"/>
      <c r="I835" s="107"/>
      <c r="J835" s="107"/>
      <c r="K835" s="107"/>
      <c r="L835" s="107"/>
      <c r="M835" s="107"/>
      <c r="N835" s="107"/>
      <c r="O835" s="107"/>
      <c r="P835" s="107"/>
      <c r="Q835" s="107"/>
      <c r="R835" s="107"/>
      <c r="S835" s="107"/>
      <c r="T835" s="107"/>
      <c r="U835" s="107"/>
      <c r="V835" s="107"/>
      <c r="W835" s="107"/>
      <c r="X835" s="107"/>
      <c r="Y835" s="107"/>
      <c r="Z835" s="107"/>
      <c r="AA835" s="107"/>
    </row>
    <row r="836">
      <c r="A836" s="110"/>
      <c r="B836" s="107"/>
      <c r="C836" s="107"/>
      <c r="D836" s="107"/>
      <c r="E836" s="107"/>
      <c r="F836" s="107"/>
      <c r="G836" s="107"/>
      <c r="H836" s="107"/>
      <c r="I836" s="107"/>
      <c r="J836" s="107"/>
      <c r="K836" s="107"/>
      <c r="L836" s="107"/>
      <c r="M836" s="107"/>
      <c r="N836" s="107"/>
      <c r="O836" s="107"/>
      <c r="P836" s="107"/>
      <c r="Q836" s="107"/>
      <c r="R836" s="107"/>
      <c r="S836" s="107"/>
      <c r="T836" s="107"/>
      <c r="U836" s="107"/>
      <c r="V836" s="107"/>
      <c r="W836" s="107"/>
      <c r="X836" s="107"/>
      <c r="Y836" s="107"/>
      <c r="Z836" s="107"/>
      <c r="AA836" s="107"/>
    </row>
    <row r="837">
      <c r="A837" s="110"/>
      <c r="B837" s="107"/>
      <c r="C837" s="107"/>
      <c r="D837" s="107"/>
      <c r="E837" s="107"/>
      <c r="F837" s="107"/>
      <c r="G837" s="107"/>
      <c r="H837" s="107"/>
      <c r="I837" s="107"/>
      <c r="J837" s="107"/>
      <c r="K837" s="107"/>
      <c r="L837" s="107"/>
      <c r="M837" s="107"/>
      <c r="N837" s="107"/>
      <c r="O837" s="107"/>
      <c r="P837" s="107"/>
      <c r="Q837" s="107"/>
      <c r="R837" s="107"/>
      <c r="S837" s="107"/>
      <c r="T837" s="107"/>
      <c r="U837" s="107"/>
      <c r="V837" s="107"/>
      <c r="W837" s="107"/>
      <c r="X837" s="107"/>
      <c r="Y837" s="107"/>
      <c r="Z837" s="107"/>
      <c r="AA837" s="107"/>
    </row>
    <row r="838">
      <c r="A838" s="110"/>
      <c r="B838" s="107"/>
      <c r="C838" s="107"/>
      <c r="D838" s="107"/>
      <c r="E838" s="107"/>
      <c r="F838" s="107"/>
      <c r="G838" s="107"/>
      <c r="H838" s="107"/>
      <c r="I838" s="107"/>
      <c r="J838" s="107"/>
      <c r="K838" s="107"/>
      <c r="L838" s="107"/>
      <c r="M838" s="107"/>
      <c r="N838" s="107"/>
      <c r="O838" s="107"/>
      <c r="P838" s="107"/>
      <c r="Q838" s="107"/>
      <c r="R838" s="107"/>
      <c r="S838" s="107"/>
      <c r="T838" s="107"/>
      <c r="U838" s="107"/>
      <c r="V838" s="107"/>
      <c r="W838" s="107"/>
      <c r="X838" s="107"/>
      <c r="Y838" s="107"/>
      <c r="Z838" s="107"/>
      <c r="AA838" s="107"/>
    </row>
    <row r="839">
      <c r="A839" s="110"/>
      <c r="B839" s="107"/>
      <c r="C839" s="107"/>
      <c r="D839" s="107"/>
      <c r="E839" s="107"/>
      <c r="F839" s="107"/>
      <c r="G839" s="107"/>
      <c r="H839" s="107"/>
      <c r="I839" s="107"/>
      <c r="J839" s="107"/>
      <c r="K839" s="107"/>
      <c r="L839" s="107"/>
      <c r="M839" s="107"/>
      <c r="N839" s="107"/>
      <c r="O839" s="107"/>
      <c r="P839" s="107"/>
      <c r="Q839" s="107"/>
      <c r="R839" s="107"/>
      <c r="S839" s="107"/>
      <c r="T839" s="107"/>
      <c r="U839" s="107"/>
      <c r="V839" s="107"/>
      <c r="W839" s="107"/>
      <c r="X839" s="107"/>
      <c r="Y839" s="107"/>
      <c r="Z839" s="107"/>
      <c r="AA839" s="107"/>
    </row>
    <row r="840">
      <c r="A840" s="110"/>
      <c r="B840" s="107"/>
      <c r="C840" s="107"/>
      <c r="D840" s="107"/>
      <c r="E840" s="107"/>
      <c r="F840" s="107"/>
      <c r="G840" s="107"/>
      <c r="H840" s="107"/>
      <c r="I840" s="107"/>
      <c r="J840" s="107"/>
      <c r="K840" s="107"/>
      <c r="L840" s="107"/>
      <c r="M840" s="107"/>
      <c r="N840" s="107"/>
      <c r="O840" s="107"/>
      <c r="P840" s="107"/>
      <c r="Q840" s="107"/>
      <c r="R840" s="107"/>
      <c r="S840" s="107"/>
      <c r="T840" s="107"/>
      <c r="U840" s="107"/>
      <c r="V840" s="107"/>
      <c r="W840" s="107"/>
      <c r="X840" s="107"/>
      <c r="Y840" s="107"/>
      <c r="Z840" s="107"/>
      <c r="AA840" s="107"/>
    </row>
    <row r="841">
      <c r="A841" s="110"/>
      <c r="B841" s="107"/>
      <c r="C841" s="107"/>
      <c r="D841" s="107"/>
      <c r="E841" s="107"/>
      <c r="F841" s="107"/>
      <c r="G841" s="107"/>
      <c r="H841" s="107"/>
      <c r="I841" s="107"/>
      <c r="J841" s="107"/>
      <c r="K841" s="107"/>
      <c r="L841" s="107"/>
      <c r="M841" s="107"/>
      <c r="N841" s="107"/>
      <c r="O841" s="107"/>
      <c r="P841" s="107"/>
      <c r="Q841" s="107"/>
      <c r="R841" s="107"/>
      <c r="S841" s="107"/>
      <c r="T841" s="107"/>
      <c r="U841" s="107"/>
      <c r="V841" s="107"/>
      <c r="W841" s="107"/>
      <c r="X841" s="107"/>
      <c r="Y841" s="107"/>
      <c r="Z841" s="107"/>
      <c r="AA841" s="107"/>
    </row>
    <row r="842">
      <c r="A842" s="110"/>
      <c r="B842" s="107"/>
      <c r="C842" s="107"/>
      <c r="D842" s="107"/>
      <c r="E842" s="107"/>
      <c r="F842" s="107"/>
      <c r="G842" s="107"/>
      <c r="H842" s="107"/>
      <c r="I842" s="107"/>
      <c r="J842" s="107"/>
      <c r="K842" s="107"/>
      <c r="L842" s="107"/>
      <c r="M842" s="107"/>
      <c r="N842" s="107"/>
      <c r="O842" s="107"/>
      <c r="P842" s="107"/>
      <c r="Q842" s="107"/>
      <c r="R842" s="107"/>
      <c r="S842" s="107"/>
      <c r="T842" s="107"/>
      <c r="U842" s="107"/>
      <c r="V842" s="107"/>
      <c r="W842" s="107"/>
      <c r="X842" s="107"/>
      <c r="Y842" s="107"/>
      <c r="Z842" s="107"/>
      <c r="AA842" s="107"/>
    </row>
    <row r="843">
      <c r="A843" s="110"/>
      <c r="B843" s="107"/>
      <c r="C843" s="107"/>
      <c r="D843" s="107"/>
      <c r="E843" s="107"/>
      <c r="F843" s="107"/>
      <c r="G843" s="107"/>
      <c r="H843" s="107"/>
      <c r="I843" s="107"/>
      <c r="J843" s="107"/>
      <c r="K843" s="107"/>
      <c r="L843" s="107"/>
      <c r="M843" s="107"/>
      <c r="N843" s="107"/>
      <c r="O843" s="107"/>
      <c r="P843" s="107"/>
      <c r="Q843" s="107"/>
      <c r="R843" s="107"/>
      <c r="S843" s="107"/>
      <c r="T843" s="107"/>
      <c r="U843" s="107"/>
      <c r="V843" s="107"/>
      <c r="W843" s="107"/>
      <c r="X843" s="107"/>
      <c r="Y843" s="107"/>
      <c r="Z843" s="107"/>
      <c r="AA843" s="107"/>
    </row>
    <row r="844">
      <c r="A844" s="110"/>
      <c r="B844" s="107"/>
      <c r="C844" s="107"/>
      <c r="D844" s="107"/>
      <c r="E844" s="107"/>
      <c r="F844" s="107"/>
      <c r="G844" s="107"/>
      <c r="H844" s="107"/>
      <c r="I844" s="107"/>
      <c r="J844" s="107"/>
      <c r="K844" s="107"/>
      <c r="L844" s="107"/>
      <c r="M844" s="107"/>
      <c r="N844" s="107"/>
      <c r="O844" s="107"/>
      <c r="P844" s="107"/>
      <c r="Q844" s="107"/>
      <c r="R844" s="107"/>
      <c r="S844" s="107"/>
      <c r="T844" s="107"/>
      <c r="U844" s="107"/>
      <c r="V844" s="107"/>
      <c r="W844" s="107"/>
      <c r="X844" s="107"/>
      <c r="Y844" s="107"/>
      <c r="Z844" s="107"/>
      <c r="AA844" s="107"/>
    </row>
    <row r="845">
      <c r="A845" s="110"/>
      <c r="B845" s="107"/>
      <c r="C845" s="107"/>
      <c r="D845" s="107"/>
      <c r="E845" s="107"/>
      <c r="F845" s="107"/>
      <c r="G845" s="107"/>
      <c r="H845" s="107"/>
      <c r="I845" s="107"/>
      <c r="J845" s="107"/>
      <c r="K845" s="107"/>
      <c r="L845" s="107"/>
      <c r="M845" s="107"/>
      <c r="N845" s="107"/>
      <c r="O845" s="107"/>
      <c r="P845" s="107"/>
      <c r="Q845" s="107"/>
      <c r="R845" s="107"/>
      <c r="S845" s="107"/>
      <c r="T845" s="107"/>
      <c r="U845" s="107"/>
      <c r="V845" s="107"/>
      <c r="W845" s="107"/>
      <c r="X845" s="107"/>
      <c r="Y845" s="107"/>
      <c r="Z845" s="107"/>
      <c r="AA845" s="107"/>
    </row>
    <row r="846">
      <c r="A846" s="110"/>
      <c r="B846" s="107"/>
      <c r="C846" s="107"/>
      <c r="D846" s="107"/>
      <c r="E846" s="107"/>
      <c r="F846" s="107"/>
      <c r="G846" s="107"/>
      <c r="H846" s="107"/>
      <c r="I846" s="107"/>
      <c r="J846" s="107"/>
      <c r="K846" s="107"/>
      <c r="L846" s="107"/>
      <c r="M846" s="107"/>
      <c r="N846" s="107"/>
      <c r="O846" s="107"/>
      <c r="P846" s="107"/>
      <c r="Q846" s="107"/>
      <c r="R846" s="107"/>
      <c r="S846" s="107"/>
      <c r="T846" s="107"/>
      <c r="U846" s="107"/>
      <c r="V846" s="107"/>
      <c r="W846" s="107"/>
      <c r="X846" s="107"/>
      <c r="Y846" s="107"/>
      <c r="Z846" s="107"/>
      <c r="AA846" s="107"/>
    </row>
    <row r="847">
      <c r="A847" s="110"/>
      <c r="B847" s="107"/>
      <c r="C847" s="107"/>
      <c r="D847" s="107"/>
      <c r="E847" s="107"/>
      <c r="F847" s="107"/>
      <c r="G847" s="107"/>
      <c r="H847" s="107"/>
      <c r="I847" s="107"/>
      <c r="J847" s="107"/>
      <c r="K847" s="107"/>
      <c r="L847" s="107"/>
      <c r="M847" s="107"/>
      <c r="N847" s="107"/>
      <c r="O847" s="107"/>
      <c r="P847" s="107"/>
      <c r="Q847" s="107"/>
      <c r="R847" s="107"/>
      <c r="S847" s="107"/>
      <c r="T847" s="107"/>
      <c r="U847" s="107"/>
      <c r="V847" s="107"/>
      <c r="W847" s="107"/>
      <c r="X847" s="107"/>
      <c r="Y847" s="107"/>
      <c r="Z847" s="107"/>
      <c r="AA847" s="107"/>
    </row>
    <row r="848">
      <c r="A848" s="110"/>
      <c r="B848" s="107"/>
      <c r="C848" s="107"/>
      <c r="D848" s="107"/>
      <c r="E848" s="107"/>
      <c r="F848" s="107"/>
      <c r="G848" s="107"/>
      <c r="H848" s="107"/>
      <c r="I848" s="107"/>
      <c r="J848" s="107"/>
      <c r="K848" s="107"/>
      <c r="L848" s="107"/>
      <c r="M848" s="107"/>
      <c r="N848" s="107"/>
      <c r="O848" s="107"/>
      <c r="P848" s="107"/>
      <c r="Q848" s="107"/>
      <c r="R848" s="107"/>
      <c r="S848" s="107"/>
      <c r="T848" s="107"/>
      <c r="U848" s="107"/>
      <c r="V848" s="107"/>
      <c r="W848" s="107"/>
      <c r="X848" s="107"/>
      <c r="Y848" s="107"/>
      <c r="Z848" s="107"/>
      <c r="AA848" s="107"/>
    </row>
    <row r="849">
      <c r="A849" s="110"/>
      <c r="B849" s="107"/>
      <c r="C849" s="107"/>
      <c r="D849" s="107"/>
      <c r="E849" s="107"/>
      <c r="F849" s="107"/>
      <c r="G849" s="107"/>
      <c r="H849" s="107"/>
      <c r="I849" s="107"/>
      <c r="J849" s="107"/>
      <c r="K849" s="107"/>
      <c r="L849" s="107"/>
      <c r="M849" s="107"/>
      <c r="N849" s="107"/>
      <c r="O849" s="107"/>
      <c r="P849" s="107"/>
      <c r="Q849" s="107"/>
      <c r="R849" s="107"/>
      <c r="S849" s="107"/>
      <c r="T849" s="107"/>
      <c r="U849" s="107"/>
      <c r="V849" s="107"/>
      <c r="W849" s="107"/>
      <c r="X849" s="107"/>
      <c r="Y849" s="107"/>
      <c r="Z849" s="107"/>
      <c r="AA849" s="107"/>
    </row>
    <row r="850">
      <c r="A850" s="110"/>
      <c r="B850" s="107"/>
      <c r="C850" s="107"/>
      <c r="D850" s="107"/>
      <c r="E850" s="107"/>
      <c r="F850" s="107"/>
      <c r="G850" s="107"/>
      <c r="H850" s="107"/>
      <c r="I850" s="107"/>
      <c r="J850" s="107"/>
      <c r="K850" s="107"/>
      <c r="L850" s="107"/>
      <c r="M850" s="107"/>
      <c r="N850" s="107"/>
      <c r="O850" s="107"/>
      <c r="P850" s="107"/>
      <c r="Q850" s="107"/>
      <c r="R850" s="107"/>
      <c r="S850" s="107"/>
      <c r="T850" s="107"/>
      <c r="U850" s="107"/>
      <c r="V850" s="107"/>
      <c r="W850" s="107"/>
      <c r="X850" s="107"/>
      <c r="Y850" s="107"/>
      <c r="Z850" s="107"/>
      <c r="AA850" s="107"/>
    </row>
    <row r="851">
      <c r="A851" s="110"/>
      <c r="B851" s="107"/>
      <c r="C851" s="107"/>
      <c r="D851" s="107"/>
      <c r="E851" s="107"/>
      <c r="F851" s="107"/>
      <c r="G851" s="107"/>
      <c r="H851" s="107"/>
      <c r="I851" s="107"/>
      <c r="J851" s="107"/>
      <c r="K851" s="107"/>
      <c r="L851" s="107"/>
      <c r="M851" s="107"/>
      <c r="N851" s="107"/>
      <c r="O851" s="107"/>
      <c r="P851" s="107"/>
      <c r="Q851" s="107"/>
      <c r="R851" s="107"/>
      <c r="S851" s="107"/>
      <c r="T851" s="107"/>
      <c r="U851" s="107"/>
      <c r="V851" s="107"/>
      <c r="W851" s="107"/>
      <c r="X851" s="107"/>
      <c r="Y851" s="107"/>
      <c r="Z851" s="107"/>
      <c r="AA851" s="107"/>
    </row>
    <row r="852">
      <c r="A852" s="110"/>
      <c r="B852" s="107"/>
      <c r="C852" s="107"/>
      <c r="D852" s="107"/>
      <c r="E852" s="107"/>
      <c r="F852" s="107"/>
      <c r="G852" s="107"/>
      <c r="H852" s="107"/>
      <c r="I852" s="107"/>
      <c r="J852" s="107"/>
      <c r="K852" s="107"/>
      <c r="L852" s="107"/>
      <c r="M852" s="107"/>
      <c r="N852" s="107"/>
      <c r="O852" s="107"/>
      <c r="P852" s="107"/>
      <c r="Q852" s="107"/>
      <c r="R852" s="107"/>
      <c r="S852" s="107"/>
      <c r="T852" s="107"/>
      <c r="U852" s="107"/>
      <c r="V852" s="107"/>
      <c r="W852" s="107"/>
      <c r="X852" s="107"/>
      <c r="Y852" s="107"/>
      <c r="Z852" s="107"/>
      <c r="AA852" s="107"/>
    </row>
    <row r="853">
      <c r="A853" s="110"/>
      <c r="B853" s="107"/>
      <c r="C853" s="107"/>
      <c r="D853" s="107"/>
      <c r="E853" s="107"/>
      <c r="F853" s="107"/>
      <c r="G853" s="107"/>
      <c r="H853" s="107"/>
      <c r="I853" s="107"/>
      <c r="J853" s="107"/>
      <c r="K853" s="107"/>
      <c r="L853" s="107"/>
      <c r="M853" s="107"/>
      <c r="N853" s="107"/>
      <c r="O853" s="107"/>
      <c r="P853" s="107"/>
      <c r="Q853" s="107"/>
      <c r="R853" s="107"/>
      <c r="S853" s="107"/>
      <c r="T853" s="107"/>
      <c r="U853" s="107"/>
      <c r="V853" s="107"/>
      <c r="W853" s="107"/>
      <c r="X853" s="107"/>
      <c r="Y853" s="107"/>
      <c r="Z853" s="107"/>
      <c r="AA853" s="107"/>
    </row>
    <row r="854">
      <c r="A854" s="110"/>
      <c r="B854" s="107"/>
      <c r="C854" s="107"/>
      <c r="D854" s="107"/>
      <c r="E854" s="107"/>
      <c r="F854" s="107"/>
      <c r="G854" s="107"/>
      <c r="H854" s="107"/>
      <c r="I854" s="107"/>
      <c r="J854" s="107"/>
      <c r="K854" s="107"/>
      <c r="L854" s="107"/>
      <c r="M854" s="107"/>
      <c r="N854" s="107"/>
      <c r="O854" s="107"/>
      <c r="P854" s="107"/>
      <c r="Q854" s="107"/>
      <c r="R854" s="107"/>
      <c r="S854" s="107"/>
      <c r="T854" s="107"/>
      <c r="U854" s="107"/>
      <c r="V854" s="107"/>
      <c r="W854" s="107"/>
      <c r="X854" s="107"/>
      <c r="Y854" s="107"/>
      <c r="Z854" s="107"/>
      <c r="AA854" s="107"/>
    </row>
    <row r="855">
      <c r="A855" s="110"/>
      <c r="B855" s="107"/>
      <c r="C855" s="107"/>
      <c r="D855" s="107"/>
      <c r="E855" s="107"/>
      <c r="F855" s="107"/>
      <c r="G855" s="107"/>
      <c r="H855" s="107"/>
      <c r="I855" s="107"/>
      <c r="J855" s="107"/>
      <c r="K855" s="107"/>
      <c r="L855" s="107"/>
      <c r="M855" s="107"/>
      <c r="N855" s="107"/>
      <c r="O855" s="107"/>
      <c r="P855" s="107"/>
      <c r="Q855" s="107"/>
      <c r="R855" s="107"/>
      <c r="S855" s="107"/>
      <c r="T855" s="107"/>
      <c r="U855" s="107"/>
      <c r="V855" s="107"/>
      <c r="W855" s="107"/>
      <c r="X855" s="107"/>
      <c r="Y855" s="107"/>
      <c r="Z855" s="107"/>
      <c r="AA855" s="107"/>
    </row>
    <row r="856">
      <c r="A856" s="110"/>
      <c r="B856" s="107"/>
      <c r="C856" s="107"/>
      <c r="D856" s="107"/>
      <c r="E856" s="107"/>
      <c r="F856" s="107"/>
      <c r="G856" s="107"/>
      <c r="H856" s="107"/>
      <c r="I856" s="107"/>
      <c r="J856" s="107"/>
      <c r="K856" s="107"/>
      <c r="L856" s="107"/>
      <c r="M856" s="107"/>
      <c r="N856" s="107"/>
      <c r="O856" s="107"/>
      <c r="P856" s="107"/>
      <c r="Q856" s="107"/>
      <c r="R856" s="107"/>
      <c r="S856" s="107"/>
      <c r="T856" s="107"/>
      <c r="U856" s="107"/>
      <c r="V856" s="107"/>
      <c r="W856" s="107"/>
      <c r="X856" s="107"/>
      <c r="Y856" s="107"/>
      <c r="Z856" s="107"/>
      <c r="AA856" s="107"/>
    </row>
    <row r="857">
      <c r="A857" s="110"/>
      <c r="B857" s="107"/>
      <c r="C857" s="107"/>
      <c r="D857" s="107"/>
      <c r="E857" s="107"/>
      <c r="F857" s="107"/>
      <c r="G857" s="107"/>
      <c r="H857" s="107"/>
      <c r="I857" s="107"/>
      <c r="J857" s="107"/>
      <c r="K857" s="107"/>
      <c r="L857" s="107"/>
      <c r="M857" s="107"/>
      <c r="N857" s="107"/>
      <c r="O857" s="107"/>
      <c r="P857" s="107"/>
      <c r="Q857" s="107"/>
      <c r="R857" s="107"/>
      <c r="S857" s="107"/>
      <c r="T857" s="107"/>
      <c r="U857" s="107"/>
      <c r="V857" s="107"/>
      <c r="W857" s="107"/>
      <c r="X857" s="107"/>
      <c r="Y857" s="107"/>
      <c r="Z857" s="107"/>
      <c r="AA857" s="107"/>
    </row>
    <row r="858">
      <c r="A858" s="110"/>
      <c r="B858" s="107"/>
      <c r="C858" s="107"/>
      <c r="D858" s="107"/>
      <c r="E858" s="107"/>
      <c r="F858" s="107"/>
      <c r="G858" s="107"/>
      <c r="H858" s="107"/>
      <c r="I858" s="107"/>
      <c r="J858" s="107"/>
      <c r="K858" s="107"/>
      <c r="L858" s="107"/>
      <c r="M858" s="107"/>
      <c r="N858" s="107"/>
      <c r="O858" s="107"/>
      <c r="P858" s="107"/>
      <c r="Q858" s="107"/>
      <c r="R858" s="107"/>
      <c r="S858" s="107"/>
      <c r="T858" s="107"/>
      <c r="U858" s="107"/>
      <c r="V858" s="107"/>
      <c r="W858" s="107"/>
      <c r="X858" s="107"/>
      <c r="Y858" s="107"/>
      <c r="Z858" s="107"/>
      <c r="AA858" s="107"/>
    </row>
    <row r="859">
      <c r="A859" s="110"/>
      <c r="B859" s="107"/>
      <c r="C859" s="107"/>
      <c r="D859" s="107"/>
      <c r="E859" s="107"/>
      <c r="F859" s="107"/>
      <c r="G859" s="107"/>
      <c r="H859" s="107"/>
      <c r="I859" s="107"/>
      <c r="J859" s="107"/>
      <c r="K859" s="107"/>
      <c r="L859" s="107"/>
      <c r="M859" s="107"/>
      <c r="N859" s="107"/>
      <c r="O859" s="107"/>
      <c r="P859" s="107"/>
      <c r="Q859" s="107"/>
      <c r="R859" s="107"/>
      <c r="S859" s="107"/>
      <c r="T859" s="107"/>
      <c r="U859" s="107"/>
      <c r="V859" s="107"/>
      <c r="W859" s="107"/>
      <c r="X859" s="107"/>
      <c r="Y859" s="107"/>
      <c r="Z859" s="107"/>
      <c r="AA859" s="107"/>
    </row>
    <row r="860">
      <c r="A860" s="110"/>
      <c r="B860" s="107"/>
      <c r="C860" s="107"/>
      <c r="D860" s="107"/>
      <c r="E860" s="107"/>
      <c r="F860" s="107"/>
      <c r="G860" s="107"/>
      <c r="H860" s="107"/>
      <c r="I860" s="107"/>
      <c r="J860" s="107"/>
      <c r="K860" s="107"/>
      <c r="L860" s="107"/>
      <c r="M860" s="107"/>
      <c r="N860" s="107"/>
      <c r="O860" s="107"/>
      <c r="P860" s="107"/>
      <c r="Q860" s="107"/>
      <c r="R860" s="107"/>
      <c r="S860" s="107"/>
      <c r="T860" s="107"/>
      <c r="U860" s="107"/>
      <c r="V860" s="107"/>
      <c r="W860" s="107"/>
      <c r="X860" s="107"/>
      <c r="Y860" s="107"/>
      <c r="Z860" s="107"/>
      <c r="AA860" s="107"/>
    </row>
    <row r="861">
      <c r="A861" s="110"/>
      <c r="B861" s="107"/>
      <c r="C861" s="107"/>
      <c r="D861" s="107"/>
      <c r="E861" s="107"/>
      <c r="F861" s="107"/>
      <c r="G861" s="107"/>
      <c r="H861" s="107"/>
      <c r="I861" s="107"/>
      <c r="J861" s="107"/>
      <c r="K861" s="107"/>
      <c r="L861" s="107"/>
      <c r="M861" s="107"/>
      <c r="N861" s="107"/>
      <c r="O861" s="107"/>
      <c r="P861" s="107"/>
      <c r="Q861" s="107"/>
      <c r="R861" s="107"/>
      <c r="S861" s="107"/>
      <c r="T861" s="107"/>
      <c r="U861" s="107"/>
      <c r="V861" s="107"/>
      <c r="W861" s="107"/>
      <c r="X861" s="107"/>
      <c r="Y861" s="107"/>
      <c r="Z861" s="107"/>
      <c r="AA861" s="107"/>
    </row>
    <row r="862">
      <c r="A862" s="110"/>
      <c r="B862" s="107"/>
      <c r="C862" s="107"/>
      <c r="D862" s="107"/>
      <c r="E862" s="107"/>
      <c r="F862" s="107"/>
      <c r="G862" s="107"/>
      <c r="H862" s="107"/>
      <c r="I862" s="107"/>
      <c r="J862" s="107"/>
      <c r="K862" s="107"/>
      <c r="L862" s="107"/>
      <c r="M862" s="107"/>
      <c r="N862" s="107"/>
      <c r="O862" s="107"/>
      <c r="P862" s="107"/>
      <c r="Q862" s="107"/>
      <c r="R862" s="107"/>
      <c r="S862" s="107"/>
      <c r="T862" s="107"/>
      <c r="U862" s="107"/>
      <c r="V862" s="107"/>
      <c r="W862" s="107"/>
      <c r="X862" s="107"/>
      <c r="Y862" s="107"/>
      <c r="Z862" s="107"/>
      <c r="AA862" s="107"/>
    </row>
    <row r="863">
      <c r="A863" s="110"/>
      <c r="B863" s="107"/>
      <c r="C863" s="107"/>
      <c r="D863" s="107"/>
      <c r="E863" s="107"/>
      <c r="F863" s="107"/>
      <c r="G863" s="107"/>
      <c r="H863" s="107"/>
      <c r="I863" s="107"/>
      <c r="J863" s="107"/>
      <c r="K863" s="107"/>
      <c r="L863" s="107"/>
      <c r="M863" s="107"/>
      <c r="N863" s="107"/>
      <c r="O863" s="107"/>
      <c r="P863" s="107"/>
      <c r="Q863" s="107"/>
      <c r="R863" s="107"/>
      <c r="S863" s="107"/>
      <c r="T863" s="107"/>
      <c r="U863" s="107"/>
      <c r="V863" s="107"/>
      <c r="W863" s="107"/>
      <c r="X863" s="107"/>
      <c r="Y863" s="107"/>
      <c r="Z863" s="107"/>
      <c r="AA863" s="107"/>
    </row>
    <row r="864">
      <c r="A864" s="110"/>
      <c r="B864" s="107"/>
      <c r="C864" s="107"/>
      <c r="D864" s="107"/>
      <c r="E864" s="107"/>
      <c r="F864" s="107"/>
      <c r="G864" s="107"/>
      <c r="H864" s="107"/>
      <c r="I864" s="107"/>
      <c r="J864" s="107"/>
      <c r="K864" s="107"/>
      <c r="L864" s="107"/>
      <c r="M864" s="107"/>
      <c r="N864" s="107"/>
      <c r="O864" s="107"/>
      <c r="P864" s="107"/>
      <c r="Q864" s="107"/>
      <c r="R864" s="107"/>
      <c r="S864" s="107"/>
      <c r="T864" s="107"/>
      <c r="U864" s="107"/>
      <c r="V864" s="107"/>
      <c r="W864" s="107"/>
      <c r="X864" s="107"/>
      <c r="Y864" s="107"/>
      <c r="Z864" s="107"/>
      <c r="AA864" s="107"/>
    </row>
    <row r="865">
      <c r="A865" s="110"/>
      <c r="B865" s="107"/>
      <c r="C865" s="107"/>
      <c r="D865" s="107"/>
      <c r="E865" s="107"/>
      <c r="F865" s="107"/>
      <c r="G865" s="107"/>
      <c r="H865" s="107"/>
      <c r="I865" s="107"/>
      <c r="J865" s="107"/>
      <c r="K865" s="107"/>
      <c r="L865" s="107"/>
      <c r="M865" s="107"/>
      <c r="N865" s="107"/>
      <c r="O865" s="107"/>
      <c r="P865" s="107"/>
      <c r="Q865" s="107"/>
      <c r="R865" s="107"/>
      <c r="S865" s="107"/>
      <c r="T865" s="107"/>
      <c r="U865" s="107"/>
      <c r="V865" s="107"/>
      <c r="W865" s="107"/>
      <c r="X865" s="107"/>
      <c r="Y865" s="107"/>
      <c r="Z865" s="107"/>
      <c r="AA865" s="107"/>
    </row>
    <row r="866">
      <c r="A866" s="110"/>
      <c r="B866" s="107"/>
      <c r="C866" s="107"/>
      <c r="D866" s="107"/>
      <c r="E866" s="107"/>
      <c r="F866" s="107"/>
      <c r="G866" s="107"/>
      <c r="H866" s="107"/>
      <c r="I866" s="107"/>
      <c r="J866" s="107"/>
      <c r="K866" s="107"/>
      <c r="L866" s="107"/>
      <c r="M866" s="107"/>
      <c r="N866" s="107"/>
      <c r="O866" s="107"/>
      <c r="P866" s="107"/>
      <c r="Q866" s="107"/>
      <c r="R866" s="107"/>
      <c r="S866" s="107"/>
      <c r="T866" s="107"/>
      <c r="U866" s="107"/>
      <c r="V866" s="107"/>
      <c r="W866" s="107"/>
      <c r="X866" s="107"/>
      <c r="Y866" s="107"/>
      <c r="Z866" s="107"/>
      <c r="AA866" s="107"/>
    </row>
    <row r="867">
      <c r="A867" s="110"/>
      <c r="B867" s="107"/>
      <c r="C867" s="107"/>
      <c r="D867" s="107"/>
      <c r="E867" s="107"/>
      <c r="F867" s="107"/>
      <c r="G867" s="107"/>
      <c r="H867" s="107"/>
      <c r="I867" s="107"/>
      <c r="J867" s="107"/>
      <c r="K867" s="107"/>
      <c r="L867" s="107"/>
      <c r="M867" s="107"/>
      <c r="N867" s="107"/>
      <c r="O867" s="107"/>
      <c r="P867" s="107"/>
      <c r="Q867" s="107"/>
      <c r="R867" s="107"/>
      <c r="S867" s="107"/>
      <c r="T867" s="107"/>
      <c r="U867" s="107"/>
      <c r="V867" s="107"/>
      <c r="W867" s="107"/>
      <c r="X867" s="107"/>
      <c r="Y867" s="107"/>
      <c r="Z867" s="107"/>
      <c r="AA867" s="107"/>
    </row>
    <row r="868">
      <c r="A868" s="110"/>
      <c r="B868" s="107"/>
      <c r="C868" s="107"/>
      <c r="D868" s="107"/>
      <c r="E868" s="107"/>
      <c r="F868" s="107"/>
      <c r="G868" s="107"/>
      <c r="H868" s="107"/>
      <c r="I868" s="107"/>
      <c r="J868" s="107"/>
      <c r="K868" s="107"/>
      <c r="L868" s="107"/>
      <c r="M868" s="107"/>
      <c r="N868" s="107"/>
      <c r="O868" s="107"/>
      <c r="P868" s="107"/>
      <c r="Q868" s="107"/>
      <c r="R868" s="107"/>
      <c r="S868" s="107"/>
      <c r="T868" s="107"/>
      <c r="U868" s="107"/>
      <c r="V868" s="107"/>
      <c r="W868" s="107"/>
      <c r="X868" s="107"/>
      <c r="Y868" s="107"/>
      <c r="Z868" s="107"/>
      <c r="AA868" s="107"/>
    </row>
    <row r="869">
      <c r="A869" s="110"/>
      <c r="B869" s="107"/>
      <c r="C869" s="107"/>
      <c r="D869" s="107"/>
      <c r="E869" s="107"/>
      <c r="F869" s="107"/>
      <c r="G869" s="107"/>
      <c r="H869" s="107"/>
      <c r="I869" s="107"/>
      <c r="J869" s="107"/>
      <c r="K869" s="107"/>
      <c r="L869" s="107"/>
      <c r="M869" s="107"/>
      <c r="N869" s="107"/>
      <c r="O869" s="107"/>
      <c r="P869" s="107"/>
      <c r="Q869" s="107"/>
      <c r="R869" s="107"/>
      <c r="S869" s="107"/>
      <c r="T869" s="107"/>
      <c r="U869" s="107"/>
      <c r="V869" s="107"/>
      <c r="W869" s="107"/>
      <c r="X869" s="107"/>
      <c r="Y869" s="107"/>
      <c r="Z869" s="107"/>
      <c r="AA869" s="107"/>
    </row>
    <row r="870">
      <c r="A870" s="110"/>
      <c r="B870" s="107"/>
      <c r="C870" s="107"/>
      <c r="D870" s="107"/>
      <c r="E870" s="107"/>
      <c r="F870" s="107"/>
      <c r="G870" s="107"/>
      <c r="H870" s="107"/>
      <c r="I870" s="107"/>
      <c r="J870" s="107"/>
      <c r="K870" s="107"/>
      <c r="L870" s="107"/>
      <c r="M870" s="107"/>
      <c r="N870" s="107"/>
      <c r="O870" s="107"/>
      <c r="P870" s="107"/>
      <c r="Q870" s="107"/>
      <c r="R870" s="107"/>
      <c r="S870" s="107"/>
      <c r="T870" s="107"/>
      <c r="U870" s="107"/>
      <c r="V870" s="107"/>
      <c r="W870" s="107"/>
      <c r="X870" s="107"/>
      <c r="Y870" s="107"/>
      <c r="Z870" s="107"/>
      <c r="AA870" s="107"/>
    </row>
    <row r="871">
      <c r="A871" s="110"/>
      <c r="B871" s="107"/>
      <c r="C871" s="107"/>
      <c r="D871" s="107"/>
      <c r="E871" s="107"/>
      <c r="F871" s="107"/>
      <c r="G871" s="107"/>
      <c r="H871" s="107"/>
      <c r="I871" s="107"/>
      <c r="J871" s="107"/>
      <c r="K871" s="107"/>
      <c r="L871" s="107"/>
      <c r="M871" s="107"/>
      <c r="N871" s="107"/>
      <c r="O871" s="107"/>
      <c r="P871" s="107"/>
      <c r="Q871" s="107"/>
      <c r="R871" s="107"/>
      <c r="S871" s="107"/>
      <c r="T871" s="107"/>
      <c r="U871" s="107"/>
      <c r="V871" s="107"/>
      <c r="W871" s="107"/>
      <c r="X871" s="107"/>
      <c r="Y871" s="107"/>
      <c r="Z871" s="107"/>
      <c r="AA871" s="107"/>
    </row>
    <row r="872">
      <c r="A872" s="110"/>
      <c r="B872" s="107"/>
      <c r="C872" s="107"/>
      <c r="D872" s="107"/>
      <c r="E872" s="107"/>
      <c r="F872" s="107"/>
      <c r="G872" s="107"/>
      <c r="H872" s="107"/>
      <c r="I872" s="107"/>
      <c r="J872" s="107"/>
      <c r="K872" s="107"/>
      <c r="L872" s="107"/>
      <c r="M872" s="107"/>
      <c r="N872" s="107"/>
      <c r="O872" s="107"/>
      <c r="P872" s="107"/>
      <c r="Q872" s="107"/>
      <c r="R872" s="107"/>
      <c r="S872" s="107"/>
      <c r="T872" s="107"/>
      <c r="U872" s="107"/>
      <c r="V872" s="107"/>
      <c r="W872" s="107"/>
      <c r="X872" s="107"/>
      <c r="Y872" s="107"/>
      <c r="Z872" s="107"/>
      <c r="AA872" s="107"/>
    </row>
    <row r="873">
      <c r="A873" s="110"/>
      <c r="B873" s="107"/>
      <c r="C873" s="107"/>
      <c r="D873" s="107"/>
      <c r="E873" s="107"/>
      <c r="F873" s="107"/>
      <c r="G873" s="107"/>
      <c r="H873" s="107"/>
      <c r="I873" s="107"/>
      <c r="J873" s="107"/>
      <c r="K873" s="107"/>
      <c r="L873" s="107"/>
      <c r="M873" s="107"/>
      <c r="N873" s="107"/>
      <c r="O873" s="107"/>
      <c r="P873" s="107"/>
      <c r="Q873" s="107"/>
      <c r="R873" s="107"/>
      <c r="S873" s="107"/>
      <c r="T873" s="107"/>
      <c r="U873" s="107"/>
      <c r="V873" s="107"/>
      <c r="W873" s="107"/>
      <c r="X873" s="107"/>
      <c r="Y873" s="107"/>
      <c r="Z873" s="107"/>
      <c r="AA873" s="107"/>
    </row>
    <row r="874">
      <c r="A874" s="110"/>
      <c r="B874" s="107"/>
      <c r="C874" s="107"/>
      <c r="D874" s="107"/>
      <c r="E874" s="107"/>
      <c r="F874" s="107"/>
      <c r="G874" s="107"/>
      <c r="H874" s="107"/>
      <c r="I874" s="107"/>
      <c r="J874" s="107"/>
      <c r="K874" s="107"/>
      <c r="L874" s="107"/>
      <c r="M874" s="107"/>
      <c r="N874" s="107"/>
      <c r="O874" s="107"/>
      <c r="P874" s="107"/>
      <c r="Q874" s="107"/>
      <c r="R874" s="107"/>
      <c r="S874" s="107"/>
      <c r="T874" s="107"/>
      <c r="U874" s="107"/>
      <c r="V874" s="107"/>
      <c r="W874" s="107"/>
      <c r="X874" s="107"/>
      <c r="Y874" s="107"/>
      <c r="Z874" s="107"/>
      <c r="AA874" s="107"/>
    </row>
    <row r="875">
      <c r="A875" s="110"/>
      <c r="B875" s="107"/>
      <c r="C875" s="107"/>
      <c r="D875" s="107"/>
      <c r="E875" s="107"/>
      <c r="F875" s="107"/>
      <c r="G875" s="107"/>
      <c r="H875" s="107"/>
      <c r="I875" s="107"/>
      <c r="J875" s="107"/>
      <c r="K875" s="107"/>
      <c r="L875" s="107"/>
      <c r="M875" s="107"/>
      <c r="N875" s="107"/>
      <c r="O875" s="107"/>
      <c r="P875" s="107"/>
      <c r="Q875" s="107"/>
      <c r="R875" s="107"/>
      <c r="S875" s="107"/>
      <c r="T875" s="107"/>
      <c r="U875" s="107"/>
      <c r="V875" s="107"/>
      <c r="W875" s="107"/>
      <c r="X875" s="107"/>
      <c r="Y875" s="107"/>
      <c r="Z875" s="107"/>
      <c r="AA875" s="107"/>
    </row>
    <row r="876">
      <c r="A876" s="110"/>
      <c r="B876" s="107"/>
      <c r="C876" s="107"/>
      <c r="D876" s="107"/>
      <c r="E876" s="107"/>
      <c r="F876" s="107"/>
      <c r="G876" s="107"/>
      <c r="H876" s="107"/>
      <c r="I876" s="107"/>
      <c r="J876" s="107"/>
      <c r="K876" s="107"/>
      <c r="L876" s="107"/>
      <c r="M876" s="107"/>
      <c r="N876" s="107"/>
      <c r="O876" s="107"/>
      <c r="P876" s="107"/>
      <c r="Q876" s="107"/>
      <c r="R876" s="107"/>
      <c r="S876" s="107"/>
      <c r="T876" s="107"/>
      <c r="U876" s="107"/>
      <c r="V876" s="107"/>
      <c r="W876" s="107"/>
      <c r="X876" s="107"/>
      <c r="Y876" s="107"/>
      <c r="Z876" s="107"/>
      <c r="AA876" s="107"/>
    </row>
    <row r="877">
      <c r="A877" s="110"/>
      <c r="B877" s="107"/>
      <c r="C877" s="107"/>
      <c r="D877" s="107"/>
      <c r="E877" s="107"/>
      <c r="F877" s="107"/>
      <c r="G877" s="107"/>
      <c r="H877" s="107"/>
      <c r="I877" s="107"/>
      <c r="J877" s="107"/>
      <c r="K877" s="107"/>
      <c r="L877" s="107"/>
      <c r="M877" s="107"/>
      <c r="N877" s="107"/>
      <c r="O877" s="107"/>
      <c r="P877" s="107"/>
      <c r="Q877" s="107"/>
      <c r="R877" s="107"/>
      <c r="S877" s="107"/>
      <c r="T877" s="107"/>
      <c r="U877" s="107"/>
      <c r="V877" s="107"/>
      <c r="W877" s="107"/>
      <c r="X877" s="107"/>
      <c r="Y877" s="107"/>
      <c r="Z877" s="107"/>
      <c r="AA877" s="107"/>
    </row>
    <row r="878">
      <c r="A878" s="110"/>
      <c r="B878" s="107"/>
      <c r="C878" s="107"/>
      <c r="D878" s="107"/>
      <c r="E878" s="107"/>
      <c r="F878" s="107"/>
      <c r="G878" s="107"/>
      <c r="H878" s="107"/>
      <c r="I878" s="107"/>
      <c r="J878" s="107"/>
      <c r="K878" s="107"/>
      <c r="L878" s="107"/>
      <c r="M878" s="107"/>
      <c r="N878" s="107"/>
      <c r="O878" s="107"/>
      <c r="P878" s="107"/>
      <c r="Q878" s="107"/>
      <c r="R878" s="107"/>
      <c r="S878" s="107"/>
      <c r="T878" s="107"/>
      <c r="U878" s="107"/>
      <c r="V878" s="107"/>
      <c r="W878" s="107"/>
      <c r="X878" s="107"/>
      <c r="Y878" s="107"/>
      <c r="Z878" s="107"/>
      <c r="AA878" s="107"/>
    </row>
    <row r="879">
      <c r="A879" s="110"/>
      <c r="B879" s="107"/>
      <c r="C879" s="107"/>
      <c r="D879" s="107"/>
      <c r="E879" s="107"/>
      <c r="F879" s="107"/>
      <c r="G879" s="107"/>
      <c r="H879" s="107"/>
      <c r="I879" s="107"/>
      <c r="J879" s="107"/>
      <c r="K879" s="107"/>
      <c r="L879" s="107"/>
      <c r="M879" s="107"/>
      <c r="N879" s="107"/>
      <c r="O879" s="107"/>
      <c r="P879" s="107"/>
      <c r="Q879" s="107"/>
      <c r="R879" s="107"/>
      <c r="S879" s="107"/>
      <c r="T879" s="107"/>
      <c r="U879" s="107"/>
      <c r="V879" s="107"/>
      <c r="W879" s="107"/>
      <c r="X879" s="107"/>
      <c r="Y879" s="107"/>
      <c r="Z879" s="107"/>
      <c r="AA879" s="107"/>
    </row>
    <row r="880">
      <c r="A880" s="110"/>
      <c r="B880" s="107"/>
      <c r="C880" s="107"/>
      <c r="D880" s="107"/>
      <c r="E880" s="107"/>
      <c r="F880" s="107"/>
      <c r="G880" s="107"/>
      <c r="H880" s="107"/>
      <c r="I880" s="107"/>
      <c r="J880" s="107"/>
      <c r="K880" s="107"/>
      <c r="L880" s="107"/>
      <c r="M880" s="107"/>
      <c r="N880" s="107"/>
      <c r="O880" s="107"/>
      <c r="P880" s="107"/>
      <c r="Q880" s="107"/>
      <c r="R880" s="107"/>
      <c r="S880" s="107"/>
      <c r="T880" s="107"/>
      <c r="U880" s="107"/>
      <c r="V880" s="107"/>
      <c r="W880" s="107"/>
      <c r="X880" s="107"/>
      <c r="Y880" s="107"/>
      <c r="Z880" s="107"/>
      <c r="AA880" s="107"/>
    </row>
    <row r="881">
      <c r="A881" s="110"/>
      <c r="B881" s="107"/>
      <c r="C881" s="107"/>
      <c r="D881" s="107"/>
      <c r="E881" s="107"/>
      <c r="F881" s="107"/>
      <c r="G881" s="107"/>
      <c r="H881" s="107"/>
      <c r="I881" s="107"/>
      <c r="J881" s="107"/>
      <c r="K881" s="107"/>
      <c r="L881" s="107"/>
      <c r="M881" s="107"/>
      <c r="N881" s="107"/>
      <c r="O881" s="107"/>
      <c r="P881" s="107"/>
      <c r="Q881" s="107"/>
      <c r="R881" s="107"/>
      <c r="S881" s="107"/>
      <c r="T881" s="107"/>
      <c r="U881" s="107"/>
      <c r="V881" s="107"/>
      <c r="W881" s="107"/>
      <c r="X881" s="107"/>
      <c r="Y881" s="107"/>
      <c r="Z881" s="107"/>
      <c r="AA881" s="107"/>
    </row>
    <row r="882">
      <c r="A882" s="110"/>
      <c r="B882" s="107"/>
      <c r="C882" s="107"/>
      <c r="D882" s="107"/>
      <c r="E882" s="107"/>
      <c r="F882" s="107"/>
      <c r="G882" s="107"/>
      <c r="H882" s="107"/>
      <c r="I882" s="107"/>
      <c r="J882" s="107"/>
      <c r="K882" s="107"/>
      <c r="L882" s="107"/>
      <c r="M882" s="107"/>
      <c r="N882" s="107"/>
      <c r="O882" s="107"/>
      <c r="P882" s="107"/>
      <c r="Q882" s="107"/>
      <c r="R882" s="107"/>
      <c r="S882" s="107"/>
      <c r="T882" s="107"/>
      <c r="U882" s="107"/>
      <c r="V882" s="107"/>
      <c r="W882" s="107"/>
      <c r="X882" s="107"/>
      <c r="Y882" s="107"/>
      <c r="Z882" s="107"/>
      <c r="AA882" s="107"/>
    </row>
    <row r="883">
      <c r="A883" s="110"/>
      <c r="B883" s="107"/>
      <c r="C883" s="107"/>
      <c r="D883" s="107"/>
      <c r="E883" s="107"/>
      <c r="F883" s="107"/>
      <c r="G883" s="107"/>
      <c r="H883" s="107"/>
      <c r="I883" s="107"/>
      <c r="J883" s="107"/>
      <c r="K883" s="107"/>
      <c r="L883" s="107"/>
      <c r="M883" s="107"/>
      <c r="N883" s="107"/>
      <c r="O883" s="107"/>
      <c r="P883" s="107"/>
      <c r="Q883" s="107"/>
      <c r="R883" s="107"/>
      <c r="S883" s="107"/>
      <c r="T883" s="107"/>
      <c r="U883" s="107"/>
      <c r="V883" s="107"/>
      <c r="W883" s="107"/>
      <c r="X883" s="107"/>
      <c r="Y883" s="107"/>
      <c r="Z883" s="107"/>
      <c r="AA883" s="107"/>
    </row>
    <row r="884">
      <c r="A884" s="110"/>
      <c r="B884" s="107"/>
      <c r="C884" s="107"/>
      <c r="D884" s="107"/>
      <c r="E884" s="107"/>
      <c r="F884" s="107"/>
      <c r="G884" s="107"/>
      <c r="H884" s="107"/>
      <c r="I884" s="107"/>
      <c r="J884" s="107"/>
      <c r="K884" s="107"/>
      <c r="L884" s="107"/>
      <c r="M884" s="107"/>
      <c r="N884" s="107"/>
      <c r="O884" s="107"/>
      <c r="P884" s="107"/>
      <c r="Q884" s="107"/>
      <c r="R884" s="107"/>
      <c r="S884" s="107"/>
      <c r="T884" s="107"/>
      <c r="U884" s="107"/>
      <c r="V884" s="107"/>
      <c r="W884" s="107"/>
      <c r="X884" s="107"/>
      <c r="Y884" s="107"/>
      <c r="Z884" s="107"/>
      <c r="AA884" s="107"/>
    </row>
    <row r="885">
      <c r="A885" s="110"/>
      <c r="B885" s="107"/>
      <c r="C885" s="107"/>
      <c r="D885" s="107"/>
      <c r="E885" s="107"/>
      <c r="F885" s="107"/>
      <c r="G885" s="107"/>
      <c r="H885" s="107"/>
      <c r="I885" s="107"/>
      <c r="J885" s="107"/>
      <c r="K885" s="107"/>
      <c r="L885" s="107"/>
      <c r="M885" s="107"/>
      <c r="N885" s="107"/>
      <c r="O885" s="107"/>
      <c r="P885" s="107"/>
      <c r="Q885" s="107"/>
      <c r="R885" s="107"/>
      <c r="S885" s="107"/>
      <c r="T885" s="107"/>
      <c r="U885" s="107"/>
      <c r="V885" s="107"/>
      <c r="W885" s="107"/>
      <c r="X885" s="107"/>
      <c r="Y885" s="107"/>
      <c r="Z885" s="107"/>
      <c r="AA885" s="107"/>
    </row>
    <row r="886">
      <c r="A886" s="110"/>
      <c r="B886" s="107"/>
      <c r="C886" s="107"/>
      <c r="D886" s="107"/>
      <c r="E886" s="107"/>
      <c r="F886" s="107"/>
      <c r="G886" s="107"/>
      <c r="H886" s="107"/>
      <c r="I886" s="107"/>
      <c r="J886" s="107"/>
      <c r="K886" s="107"/>
      <c r="L886" s="107"/>
      <c r="M886" s="107"/>
      <c r="N886" s="107"/>
      <c r="O886" s="107"/>
      <c r="P886" s="107"/>
      <c r="Q886" s="107"/>
      <c r="R886" s="107"/>
      <c r="S886" s="107"/>
      <c r="T886" s="107"/>
      <c r="U886" s="107"/>
      <c r="V886" s="107"/>
      <c r="W886" s="107"/>
      <c r="X886" s="107"/>
      <c r="Y886" s="107"/>
      <c r="Z886" s="107"/>
      <c r="AA886" s="107"/>
    </row>
    <row r="887">
      <c r="A887" s="110"/>
      <c r="B887" s="107"/>
      <c r="C887" s="107"/>
      <c r="D887" s="107"/>
      <c r="E887" s="107"/>
      <c r="F887" s="107"/>
      <c r="G887" s="107"/>
      <c r="H887" s="107"/>
      <c r="I887" s="107"/>
      <c r="J887" s="107"/>
      <c r="K887" s="107"/>
      <c r="L887" s="107"/>
      <c r="M887" s="107"/>
      <c r="N887" s="107"/>
      <c r="O887" s="107"/>
      <c r="P887" s="107"/>
      <c r="Q887" s="107"/>
      <c r="R887" s="107"/>
      <c r="S887" s="107"/>
      <c r="T887" s="107"/>
      <c r="U887" s="107"/>
      <c r="V887" s="107"/>
      <c r="W887" s="107"/>
      <c r="X887" s="107"/>
      <c r="Y887" s="107"/>
      <c r="Z887" s="107"/>
      <c r="AA887" s="107"/>
    </row>
    <row r="888">
      <c r="A888" s="110"/>
      <c r="B888" s="107"/>
      <c r="C888" s="107"/>
      <c r="D888" s="107"/>
      <c r="E888" s="107"/>
      <c r="F888" s="107"/>
      <c r="G888" s="107"/>
      <c r="H888" s="107"/>
      <c r="I888" s="107"/>
      <c r="J888" s="107"/>
      <c r="K888" s="107"/>
      <c r="L888" s="107"/>
      <c r="M888" s="107"/>
      <c r="N888" s="107"/>
      <c r="O888" s="107"/>
      <c r="P888" s="107"/>
      <c r="Q888" s="107"/>
      <c r="R888" s="107"/>
      <c r="S888" s="107"/>
      <c r="T888" s="107"/>
      <c r="U888" s="107"/>
      <c r="V888" s="107"/>
      <c r="W888" s="107"/>
      <c r="X888" s="107"/>
      <c r="Y888" s="107"/>
      <c r="Z888" s="107"/>
      <c r="AA888" s="107"/>
    </row>
    <row r="889">
      <c r="A889" s="110"/>
      <c r="B889" s="107"/>
      <c r="C889" s="107"/>
      <c r="D889" s="107"/>
      <c r="E889" s="107"/>
      <c r="F889" s="107"/>
      <c r="G889" s="107"/>
      <c r="H889" s="107"/>
      <c r="I889" s="107"/>
      <c r="J889" s="107"/>
      <c r="K889" s="107"/>
      <c r="L889" s="107"/>
      <c r="M889" s="107"/>
      <c r="N889" s="107"/>
      <c r="O889" s="107"/>
      <c r="P889" s="107"/>
      <c r="Q889" s="107"/>
      <c r="R889" s="107"/>
      <c r="S889" s="107"/>
      <c r="T889" s="107"/>
      <c r="U889" s="107"/>
      <c r="V889" s="107"/>
      <c r="W889" s="107"/>
      <c r="X889" s="107"/>
      <c r="Y889" s="107"/>
      <c r="Z889" s="107"/>
      <c r="AA889" s="107"/>
    </row>
    <row r="890">
      <c r="A890" s="110"/>
      <c r="B890" s="107"/>
      <c r="C890" s="107"/>
      <c r="D890" s="107"/>
      <c r="E890" s="107"/>
      <c r="F890" s="107"/>
      <c r="G890" s="107"/>
      <c r="H890" s="107"/>
      <c r="I890" s="107"/>
      <c r="J890" s="107"/>
      <c r="K890" s="107"/>
      <c r="L890" s="107"/>
      <c r="M890" s="107"/>
      <c r="N890" s="107"/>
      <c r="O890" s="107"/>
      <c r="P890" s="107"/>
      <c r="Q890" s="107"/>
      <c r="R890" s="107"/>
      <c r="S890" s="107"/>
      <c r="T890" s="107"/>
      <c r="U890" s="107"/>
      <c r="V890" s="107"/>
      <c r="W890" s="107"/>
      <c r="X890" s="107"/>
      <c r="Y890" s="107"/>
      <c r="Z890" s="107"/>
      <c r="AA890" s="107"/>
    </row>
    <row r="891">
      <c r="A891" s="110"/>
      <c r="B891" s="107"/>
      <c r="C891" s="107"/>
      <c r="D891" s="107"/>
      <c r="E891" s="107"/>
      <c r="F891" s="107"/>
      <c r="G891" s="107"/>
      <c r="H891" s="107"/>
      <c r="I891" s="107"/>
      <c r="J891" s="107"/>
      <c r="K891" s="107"/>
      <c r="L891" s="107"/>
      <c r="M891" s="107"/>
      <c r="N891" s="107"/>
      <c r="O891" s="107"/>
      <c r="P891" s="107"/>
      <c r="Q891" s="107"/>
      <c r="R891" s="107"/>
      <c r="S891" s="107"/>
      <c r="T891" s="107"/>
      <c r="U891" s="107"/>
      <c r="V891" s="107"/>
      <c r="W891" s="107"/>
      <c r="X891" s="107"/>
      <c r="Y891" s="107"/>
      <c r="Z891" s="107"/>
      <c r="AA891" s="107"/>
    </row>
    <row r="892">
      <c r="A892" s="110"/>
      <c r="B892" s="107"/>
      <c r="C892" s="107"/>
      <c r="D892" s="107"/>
      <c r="E892" s="107"/>
      <c r="F892" s="107"/>
      <c r="G892" s="107"/>
      <c r="H892" s="107"/>
      <c r="I892" s="107"/>
      <c r="J892" s="107"/>
      <c r="K892" s="107"/>
      <c r="L892" s="107"/>
      <c r="M892" s="107"/>
      <c r="N892" s="107"/>
      <c r="O892" s="107"/>
      <c r="P892" s="107"/>
      <c r="Q892" s="107"/>
      <c r="R892" s="107"/>
      <c r="S892" s="107"/>
      <c r="T892" s="107"/>
      <c r="U892" s="107"/>
      <c r="V892" s="107"/>
      <c r="W892" s="107"/>
      <c r="X892" s="107"/>
      <c r="Y892" s="107"/>
      <c r="Z892" s="107"/>
      <c r="AA892" s="107"/>
    </row>
    <row r="893">
      <c r="A893" s="110"/>
      <c r="B893" s="107"/>
      <c r="C893" s="107"/>
      <c r="D893" s="107"/>
      <c r="E893" s="107"/>
      <c r="F893" s="107"/>
      <c r="G893" s="107"/>
      <c r="H893" s="107"/>
      <c r="I893" s="107"/>
      <c r="J893" s="107"/>
      <c r="K893" s="107"/>
      <c r="L893" s="107"/>
      <c r="M893" s="107"/>
      <c r="N893" s="107"/>
      <c r="O893" s="107"/>
      <c r="P893" s="107"/>
      <c r="Q893" s="107"/>
      <c r="R893" s="107"/>
      <c r="S893" s="107"/>
      <c r="T893" s="107"/>
      <c r="U893" s="107"/>
      <c r="V893" s="107"/>
      <c r="W893" s="107"/>
      <c r="X893" s="107"/>
      <c r="Y893" s="107"/>
      <c r="Z893" s="107"/>
      <c r="AA893" s="107"/>
    </row>
    <row r="894">
      <c r="A894" s="110"/>
      <c r="B894" s="107"/>
      <c r="C894" s="107"/>
      <c r="D894" s="107"/>
      <c r="E894" s="107"/>
      <c r="F894" s="107"/>
      <c r="G894" s="107"/>
      <c r="H894" s="107"/>
      <c r="I894" s="107"/>
      <c r="J894" s="107"/>
      <c r="K894" s="107"/>
      <c r="L894" s="107"/>
      <c r="M894" s="107"/>
      <c r="N894" s="107"/>
      <c r="O894" s="107"/>
      <c r="P894" s="107"/>
      <c r="Q894" s="107"/>
      <c r="R894" s="107"/>
      <c r="S894" s="107"/>
      <c r="T894" s="107"/>
      <c r="U894" s="107"/>
      <c r="V894" s="107"/>
      <c r="W894" s="107"/>
      <c r="X894" s="107"/>
      <c r="Y894" s="107"/>
      <c r="Z894" s="107"/>
      <c r="AA894" s="107"/>
    </row>
    <row r="895">
      <c r="A895" s="110"/>
      <c r="B895" s="107"/>
      <c r="C895" s="107"/>
      <c r="D895" s="107"/>
      <c r="E895" s="107"/>
      <c r="F895" s="107"/>
      <c r="G895" s="107"/>
      <c r="H895" s="107"/>
      <c r="I895" s="107"/>
      <c r="J895" s="107"/>
      <c r="K895" s="107"/>
      <c r="L895" s="107"/>
      <c r="M895" s="107"/>
      <c r="N895" s="107"/>
      <c r="O895" s="107"/>
      <c r="P895" s="107"/>
      <c r="Q895" s="107"/>
      <c r="R895" s="107"/>
      <c r="S895" s="107"/>
      <c r="T895" s="107"/>
      <c r="U895" s="107"/>
      <c r="V895" s="107"/>
      <c r="W895" s="107"/>
      <c r="X895" s="107"/>
      <c r="Y895" s="107"/>
      <c r="Z895" s="107"/>
      <c r="AA895" s="107"/>
    </row>
    <row r="896">
      <c r="A896" s="110"/>
      <c r="B896" s="107"/>
      <c r="C896" s="107"/>
      <c r="D896" s="107"/>
      <c r="E896" s="107"/>
      <c r="F896" s="107"/>
      <c r="G896" s="107"/>
      <c r="H896" s="107"/>
      <c r="I896" s="107"/>
      <c r="J896" s="107"/>
      <c r="K896" s="107"/>
      <c r="L896" s="107"/>
      <c r="M896" s="107"/>
      <c r="N896" s="107"/>
      <c r="O896" s="107"/>
      <c r="P896" s="107"/>
      <c r="Q896" s="107"/>
      <c r="R896" s="107"/>
      <c r="S896" s="107"/>
      <c r="T896" s="107"/>
      <c r="U896" s="107"/>
      <c r="V896" s="107"/>
      <c r="W896" s="107"/>
      <c r="X896" s="107"/>
      <c r="Y896" s="107"/>
      <c r="Z896" s="107"/>
      <c r="AA896" s="107"/>
    </row>
    <row r="897">
      <c r="A897" s="110"/>
      <c r="B897" s="107"/>
      <c r="C897" s="107"/>
      <c r="D897" s="107"/>
      <c r="E897" s="107"/>
      <c r="F897" s="107"/>
      <c r="G897" s="107"/>
      <c r="H897" s="107"/>
      <c r="I897" s="107"/>
      <c r="J897" s="107"/>
      <c r="K897" s="107"/>
      <c r="L897" s="107"/>
      <c r="M897" s="107"/>
      <c r="N897" s="107"/>
      <c r="O897" s="107"/>
      <c r="P897" s="107"/>
      <c r="Q897" s="107"/>
      <c r="R897" s="107"/>
      <c r="S897" s="107"/>
      <c r="T897" s="107"/>
      <c r="U897" s="107"/>
      <c r="V897" s="107"/>
      <c r="W897" s="107"/>
      <c r="X897" s="107"/>
      <c r="Y897" s="107"/>
      <c r="Z897" s="107"/>
      <c r="AA897" s="107"/>
    </row>
    <row r="898">
      <c r="A898" s="110"/>
      <c r="B898" s="107"/>
      <c r="C898" s="107"/>
      <c r="D898" s="107"/>
      <c r="E898" s="107"/>
      <c r="F898" s="107"/>
      <c r="G898" s="107"/>
      <c r="H898" s="107"/>
      <c r="I898" s="107"/>
      <c r="J898" s="107"/>
      <c r="K898" s="107"/>
      <c r="L898" s="107"/>
      <c r="M898" s="107"/>
      <c r="N898" s="107"/>
      <c r="O898" s="107"/>
      <c r="P898" s="107"/>
      <c r="Q898" s="107"/>
      <c r="R898" s="107"/>
      <c r="S898" s="107"/>
      <c r="T898" s="107"/>
      <c r="U898" s="107"/>
      <c r="V898" s="107"/>
      <c r="W898" s="107"/>
      <c r="X898" s="107"/>
      <c r="Y898" s="107"/>
      <c r="Z898" s="107"/>
      <c r="AA898" s="107"/>
    </row>
    <row r="899">
      <c r="A899" s="110"/>
      <c r="B899" s="107"/>
      <c r="C899" s="107"/>
      <c r="D899" s="107"/>
      <c r="E899" s="107"/>
      <c r="F899" s="107"/>
      <c r="G899" s="107"/>
      <c r="H899" s="107"/>
      <c r="I899" s="107"/>
      <c r="J899" s="107"/>
      <c r="K899" s="107"/>
      <c r="L899" s="107"/>
      <c r="M899" s="107"/>
      <c r="N899" s="107"/>
      <c r="O899" s="107"/>
      <c r="P899" s="107"/>
      <c r="Q899" s="107"/>
      <c r="R899" s="107"/>
      <c r="S899" s="107"/>
      <c r="T899" s="107"/>
      <c r="U899" s="107"/>
      <c r="V899" s="107"/>
      <c r="W899" s="107"/>
      <c r="X899" s="107"/>
      <c r="Y899" s="107"/>
      <c r="Z899" s="107"/>
      <c r="AA899" s="107"/>
    </row>
    <row r="900">
      <c r="A900" s="110"/>
      <c r="B900" s="107"/>
      <c r="C900" s="107"/>
      <c r="D900" s="107"/>
      <c r="E900" s="107"/>
      <c r="F900" s="107"/>
      <c r="G900" s="107"/>
      <c r="H900" s="107"/>
      <c r="I900" s="107"/>
      <c r="J900" s="107"/>
      <c r="K900" s="107"/>
      <c r="L900" s="107"/>
      <c r="M900" s="107"/>
      <c r="N900" s="107"/>
      <c r="O900" s="107"/>
      <c r="P900" s="107"/>
      <c r="Q900" s="107"/>
      <c r="R900" s="107"/>
      <c r="S900" s="107"/>
      <c r="T900" s="107"/>
      <c r="U900" s="107"/>
      <c r="V900" s="107"/>
      <c r="W900" s="107"/>
      <c r="X900" s="107"/>
      <c r="Y900" s="107"/>
      <c r="Z900" s="107"/>
      <c r="AA900" s="107"/>
    </row>
    <row r="901">
      <c r="A901" s="110"/>
      <c r="B901" s="107"/>
      <c r="C901" s="107"/>
      <c r="D901" s="107"/>
      <c r="E901" s="107"/>
      <c r="F901" s="107"/>
      <c r="G901" s="107"/>
      <c r="H901" s="107"/>
      <c r="I901" s="107"/>
      <c r="J901" s="107"/>
      <c r="K901" s="107"/>
      <c r="L901" s="107"/>
      <c r="M901" s="107"/>
      <c r="N901" s="107"/>
      <c r="O901" s="107"/>
      <c r="P901" s="107"/>
      <c r="Q901" s="107"/>
      <c r="R901" s="107"/>
      <c r="S901" s="107"/>
      <c r="T901" s="107"/>
      <c r="U901" s="107"/>
      <c r="V901" s="107"/>
      <c r="W901" s="107"/>
      <c r="X901" s="107"/>
      <c r="Y901" s="107"/>
      <c r="Z901" s="107"/>
      <c r="AA901" s="107"/>
    </row>
    <row r="902">
      <c r="A902" s="110"/>
      <c r="B902" s="107"/>
      <c r="C902" s="107"/>
      <c r="D902" s="107"/>
      <c r="E902" s="107"/>
      <c r="F902" s="107"/>
      <c r="G902" s="107"/>
      <c r="H902" s="107"/>
      <c r="I902" s="107"/>
      <c r="J902" s="107"/>
      <c r="K902" s="107"/>
      <c r="L902" s="107"/>
      <c r="M902" s="107"/>
      <c r="N902" s="107"/>
      <c r="O902" s="107"/>
      <c r="P902" s="107"/>
      <c r="Q902" s="107"/>
      <c r="R902" s="107"/>
      <c r="S902" s="107"/>
      <c r="T902" s="107"/>
      <c r="U902" s="107"/>
      <c r="V902" s="107"/>
      <c r="W902" s="107"/>
      <c r="X902" s="107"/>
      <c r="Y902" s="107"/>
      <c r="Z902" s="107"/>
      <c r="AA902" s="107"/>
    </row>
    <row r="903">
      <c r="A903" s="110"/>
      <c r="B903" s="107"/>
      <c r="C903" s="107"/>
      <c r="D903" s="107"/>
      <c r="E903" s="107"/>
      <c r="F903" s="107"/>
      <c r="G903" s="107"/>
      <c r="H903" s="107"/>
      <c r="I903" s="107"/>
      <c r="J903" s="107"/>
      <c r="K903" s="107"/>
      <c r="L903" s="107"/>
      <c r="M903" s="107"/>
      <c r="N903" s="107"/>
      <c r="O903" s="107"/>
      <c r="P903" s="107"/>
      <c r="Q903" s="107"/>
      <c r="R903" s="107"/>
      <c r="S903" s="107"/>
      <c r="T903" s="107"/>
      <c r="U903" s="107"/>
      <c r="V903" s="107"/>
      <c r="W903" s="107"/>
      <c r="X903" s="107"/>
      <c r="Y903" s="107"/>
      <c r="Z903" s="107"/>
      <c r="AA903" s="107"/>
    </row>
    <row r="904">
      <c r="A904" s="110"/>
      <c r="B904" s="107"/>
      <c r="C904" s="107"/>
      <c r="D904" s="107"/>
      <c r="E904" s="107"/>
      <c r="F904" s="107"/>
      <c r="G904" s="107"/>
      <c r="H904" s="107"/>
      <c r="I904" s="107"/>
      <c r="J904" s="107"/>
      <c r="K904" s="107"/>
      <c r="L904" s="107"/>
      <c r="M904" s="107"/>
      <c r="N904" s="107"/>
      <c r="O904" s="107"/>
      <c r="P904" s="107"/>
      <c r="Q904" s="107"/>
      <c r="R904" s="107"/>
      <c r="S904" s="107"/>
      <c r="T904" s="107"/>
      <c r="U904" s="107"/>
      <c r="V904" s="107"/>
      <c r="W904" s="107"/>
      <c r="X904" s="107"/>
      <c r="Y904" s="107"/>
      <c r="Z904" s="107"/>
      <c r="AA904" s="107"/>
    </row>
    <row r="905">
      <c r="A905" s="110"/>
      <c r="B905" s="107"/>
      <c r="C905" s="107"/>
      <c r="D905" s="107"/>
      <c r="E905" s="107"/>
      <c r="F905" s="107"/>
      <c r="G905" s="107"/>
      <c r="H905" s="107"/>
      <c r="I905" s="107"/>
      <c r="J905" s="107"/>
      <c r="K905" s="107"/>
      <c r="L905" s="107"/>
      <c r="M905" s="107"/>
      <c r="N905" s="107"/>
      <c r="O905" s="107"/>
      <c r="P905" s="107"/>
      <c r="Q905" s="107"/>
      <c r="R905" s="107"/>
      <c r="S905" s="107"/>
      <c r="T905" s="107"/>
      <c r="U905" s="107"/>
      <c r="V905" s="107"/>
      <c r="W905" s="107"/>
      <c r="X905" s="107"/>
      <c r="Y905" s="107"/>
      <c r="Z905" s="107"/>
      <c r="AA905" s="107"/>
    </row>
    <row r="906">
      <c r="A906" s="110"/>
      <c r="B906" s="107"/>
      <c r="C906" s="107"/>
      <c r="D906" s="107"/>
      <c r="E906" s="107"/>
      <c r="F906" s="107"/>
      <c r="G906" s="107"/>
      <c r="H906" s="107"/>
      <c r="I906" s="107"/>
      <c r="J906" s="107"/>
      <c r="K906" s="107"/>
      <c r="L906" s="107"/>
      <c r="M906" s="107"/>
      <c r="N906" s="107"/>
      <c r="O906" s="107"/>
      <c r="P906" s="107"/>
      <c r="Q906" s="107"/>
      <c r="R906" s="107"/>
      <c r="S906" s="107"/>
      <c r="T906" s="107"/>
      <c r="U906" s="107"/>
      <c r="V906" s="107"/>
      <c r="W906" s="107"/>
      <c r="X906" s="107"/>
      <c r="Y906" s="107"/>
      <c r="Z906" s="107"/>
      <c r="AA906" s="107"/>
    </row>
    <row r="907">
      <c r="A907" s="110"/>
      <c r="B907" s="107"/>
      <c r="C907" s="107"/>
      <c r="D907" s="107"/>
      <c r="E907" s="107"/>
      <c r="F907" s="107"/>
      <c r="G907" s="107"/>
      <c r="H907" s="107"/>
      <c r="I907" s="107"/>
      <c r="J907" s="107"/>
      <c r="K907" s="107"/>
      <c r="L907" s="107"/>
      <c r="M907" s="107"/>
      <c r="N907" s="107"/>
      <c r="O907" s="107"/>
      <c r="P907" s="107"/>
      <c r="Q907" s="107"/>
      <c r="R907" s="107"/>
      <c r="S907" s="107"/>
      <c r="T907" s="107"/>
      <c r="U907" s="107"/>
      <c r="V907" s="107"/>
      <c r="W907" s="107"/>
      <c r="X907" s="107"/>
      <c r="Y907" s="107"/>
      <c r="Z907" s="107"/>
      <c r="AA907" s="107"/>
    </row>
    <row r="908">
      <c r="A908" s="110"/>
      <c r="B908" s="107"/>
      <c r="C908" s="107"/>
      <c r="D908" s="107"/>
      <c r="E908" s="107"/>
      <c r="F908" s="107"/>
      <c r="G908" s="107"/>
      <c r="H908" s="107"/>
      <c r="I908" s="107"/>
      <c r="J908" s="107"/>
      <c r="K908" s="107"/>
      <c r="L908" s="107"/>
      <c r="M908" s="107"/>
      <c r="N908" s="107"/>
      <c r="O908" s="107"/>
      <c r="P908" s="107"/>
      <c r="Q908" s="107"/>
      <c r="R908" s="107"/>
      <c r="S908" s="107"/>
      <c r="T908" s="107"/>
      <c r="U908" s="107"/>
      <c r="V908" s="107"/>
      <c r="W908" s="107"/>
      <c r="X908" s="107"/>
      <c r="Y908" s="107"/>
      <c r="Z908" s="107"/>
      <c r="AA908" s="107"/>
    </row>
    <row r="909">
      <c r="A909" s="110"/>
      <c r="B909" s="107"/>
      <c r="C909" s="107"/>
      <c r="D909" s="107"/>
      <c r="E909" s="107"/>
      <c r="F909" s="107"/>
      <c r="G909" s="107"/>
      <c r="H909" s="107"/>
      <c r="I909" s="107"/>
      <c r="J909" s="107"/>
      <c r="K909" s="107"/>
      <c r="L909" s="107"/>
      <c r="M909" s="107"/>
      <c r="N909" s="107"/>
      <c r="O909" s="107"/>
      <c r="P909" s="107"/>
      <c r="Q909" s="107"/>
      <c r="R909" s="107"/>
      <c r="S909" s="107"/>
      <c r="T909" s="107"/>
      <c r="U909" s="107"/>
      <c r="V909" s="107"/>
      <c r="W909" s="107"/>
      <c r="X909" s="107"/>
      <c r="Y909" s="107"/>
      <c r="Z909" s="107"/>
      <c r="AA909" s="107"/>
    </row>
    <row r="910">
      <c r="A910" s="110"/>
      <c r="B910" s="107"/>
      <c r="C910" s="107"/>
      <c r="D910" s="107"/>
      <c r="E910" s="107"/>
      <c r="F910" s="107"/>
      <c r="G910" s="107"/>
      <c r="H910" s="107"/>
      <c r="I910" s="107"/>
      <c r="J910" s="107"/>
      <c r="K910" s="107"/>
      <c r="L910" s="107"/>
      <c r="M910" s="107"/>
      <c r="N910" s="107"/>
      <c r="O910" s="107"/>
      <c r="P910" s="107"/>
      <c r="Q910" s="107"/>
      <c r="R910" s="107"/>
      <c r="S910" s="107"/>
      <c r="T910" s="107"/>
      <c r="U910" s="107"/>
      <c r="V910" s="107"/>
      <c r="W910" s="107"/>
      <c r="X910" s="107"/>
      <c r="Y910" s="107"/>
      <c r="Z910" s="107"/>
      <c r="AA910" s="107"/>
    </row>
    <row r="911">
      <c r="A911" s="110"/>
      <c r="B911" s="107"/>
      <c r="C911" s="107"/>
      <c r="D911" s="107"/>
      <c r="E911" s="107"/>
      <c r="F911" s="107"/>
      <c r="G911" s="107"/>
      <c r="H911" s="107"/>
      <c r="I911" s="107"/>
      <c r="J911" s="107"/>
      <c r="K911" s="107"/>
      <c r="L911" s="107"/>
      <c r="M911" s="107"/>
      <c r="N911" s="107"/>
      <c r="O911" s="107"/>
      <c r="P911" s="107"/>
      <c r="Q911" s="107"/>
      <c r="R911" s="107"/>
      <c r="S911" s="107"/>
      <c r="T911" s="107"/>
      <c r="U911" s="107"/>
      <c r="V911" s="107"/>
      <c r="W911" s="107"/>
      <c r="X911" s="107"/>
      <c r="Y911" s="107"/>
      <c r="Z911" s="107"/>
      <c r="AA911" s="107"/>
    </row>
    <row r="912">
      <c r="A912" s="110"/>
      <c r="B912" s="107"/>
      <c r="C912" s="107"/>
      <c r="D912" s="107"/>
      <c r="E912" s="107"/>
      <c r="F912" s="107"/>
      <c r="G912" s="107"/>
      <c r="H912" s="107"/>
      <c r="I912" s="107"/>
      <c r="J912" s="107"/>
      <c r="K912" s="107"/>
      <c r="L912" s="107"/>
      <c r="M912" s="107"/>
      <c r="N912" s="107"/>
      <c r="O912" s="107"/>
      <c r="P912" s="107"/>
      <c r="Q912" s="107"/>
      <c r="R912" s="107"/>
      <c r="S912" s="107"/>
      <c r="T912" s="107"/>
      <c r="U912" s="107"/>
      <c r="V912" s="107"/>
      <c r="W912" s="107"/>
      <c r="X912" s="107"/>
      <c r="Y912" s="107"/>
      <c r="Z912" s="107"/>
      <c r="AA912" s="107"/>
    </row>
    <row r="913">
      <c r="A913" s="110"/>
      <c r="B913" s="107"/>
      <c r="C913" s="107"/>
      <c r="D913" s="107"/>
      <c r="E913" s="107"/>
      <c r="F913" s="107"/>
      <c r="G913" s="107"/>
      <c r="H913" s="107"/>
      <c r="I913" s="107"/>
      <c r="J913" s="107"/>
      <c r="K913" s="107"/>
      <c r="L913" s="107"/>
      <c r="M913" s="107"/>
      <c r="N913" s="107"/>
      <c r="O913" s="107"/>
      <c r="P913" s="107"/>
      <c r="Q913" s="107"/>
      <c r="R913" s="107"/>
      <c r="S913" s="107"/>
      <c r="T913" s="107"/>
      <c r="U913" s="107"/>
      <c r="V913" s="107"/>
      <c r="W913" s="107"/>
      <c r="X913" s="107"/>
      <c r="Y913" s="107"/>
      <c r="Z913" s="107"/>
      <c r="AA913" s="107"/>
    </row>
    <row r="914">
      <c r="A914" s="110"/>
      <c r="B914" s="107"/>
      <c r="C914" s="107"/>
      <c r="D914" s="107"/>
      <c r="E914" s="107"/>
      <c r="F914" s="107"/>
      <c r="G914" s="107"/>
      <c r="H914" s="107"/>
      <c r="I914" s="107"/>
      <c r="J914" s="107"/>
      <c r="K914" s="107"/>
      <c r="L914" s="107"/>
      <c r="M914" s="107"/>
      <c r="N914" s="107"/>
      <c r="O914" s="107"/>
      <c r="P914" s="107"/>
      <c r="Q914" s="107"/>
      <c r="R914" s="107"/>
      <c r="S914" s="107"/>
      <c r="T914" s="107"/>
      <c r="U914" s="107"/>
      <c r="V914" s="107"/>
      <c r="W914" s="107"/>
      <c r="X914" s="107"/>
      <c r="Y914" s="107"/>
      <c r="Z914" s="107"/>
      <c r="AA914" s="107"/>
    </row>
    <row r="915">
      <c r="A915" s="110"/>
      <c r="B915" s="107"/>
      <c r="C915" s="107"/>
      <c r="D915" s="107"/>
      <c r="E915" s="107"/>
      <c r="F915" s="107"/>
      <c r="G915" s="107"/>
      <c r="H915" s="107"/>
      <c r="I915" s="107"/>
      <c r="J915" s="107"/>
      <c r="K915" s="107"/>
      <c r="L915" s="107"/>
      <c r="M915" s="107"/>
      <c r="N915" s="107"/>
      <c r="O915" s="107"/>
      <c r="P915" s="107"/>
      <c r="Q915" s="107"/>
      <c r="R915" s="107"/>
      <c r="S915" s="107"/>
      <c r="T915" s="107"/>
      <c r="U915" s="107"/>
      <c r="V915" s="107"/>
      <c r="W915" s="107"/>
      <c r="X915" s="107"/>
      <c r="Y915" s="107"/>
      <c r="Z915" s="107"/>
      <c r="AA915" s="107"/>
    </row>
    <row r="916">
      <c r="A916" s="110"/>
      <c r="B916" s="107"/>
      <c r="C916" s="107"/>
      <c r="D916" s="107"/>
      <c r="E916" s="107"/>
      <c r="F916" s="107"/>
      <c r="G916" s="107"/>
      <c r="H916" s="107"/>
      <c r="I916" s="107"/>
      <c r="J916" s="107"/>
      <c r="K916" s="107"/>
      <c r="L916" s="107"/>
      <c r="M916" s="107"/>
      <c r="N916" s="107"/>
      <c r="O916" s="107"/>
      <c r="P916" s="107"/>
      <c r="Q916" s="107"/>
      <c r="R916" s="107"/>
      <c r="S916" s="107"/>
      <c r="T916" s="107"/>
      <c r="U916" s="107"/>
      <c r="V916" s="107"/>
      <c r="W916" s="107"/>
      <c r="X916" s="107"/>
      <c r="Y916" s="107"/>
      <c r="Z916" s="107"/>
      <c r="AA916" s="107"/>
    </row>
    <row r="917">
      <c r="A917" s="110"/>
      <c r="B917" s="107"/>
      <c r="C917" s="107"/>
      <c r="D917" s="107"/>
      <c r="E917" s="107"/>
      <c r="F917" s="107"/>
      <c r="G917" s="107"/>
      <c r="H917" s="107"/>
      <c r="I917" s="107"/>
      <c r="J917" s="107"/>
      <c r="K917" s="107"/>
      <c r="L917" s="107"/>
      <c r="M917" s="107"/>
      <c r="N917" s="107"/>
      <c r="O917" s="107"/>
      <c r="P917" s="107"/>
      <c r="Q917" s="107"/>
      <c r="R917" s="107"/>
      <c r="S917" s="107"/>
      <c r="T917" s="107"/>
      <c r="U917" s="107"/>
      <c r="V917" s="107"/>
      <c r="W917" s="107"/>
      <c r="X917" s="107"/>
      <c r="Y917" s="107"/>
      <c r="Z917" s="107"/>
      <c r="AA917" s="107"/>
    </row>
    <row r="918">
      <c r="A918" s="110"/>
      <c r="B918" s="107"/>
      <c r="C918" s="107"/>
      <c r="D918" s="107"/>
      <c r="E918" s="107"/>
      <c r="F918" s="107"/>
      <c r="G918" s="107"/>
      <c r="H918" s="107"/>
      <c r="I918" s="107"/>
      <c r="J918" s="107"/>
      <c r="K918" s="107"/>
      <c r="L918" s="107"/>
      <c r="M918" s="107"/>
      <c r="N918" s="107"/>
      <c r="O918" s="107"/>
      <c r="P918" s="107"/>
      <c r="Q918" s="107"/>
      <c r="R918" s="107"/>
      <c r="S918" s="107"/>
      <c r="T918" s="107"/>
      <c r="U918" s="107"/>
      <c r="V918" s="107"/>
      <c r="W918" s="107"/>
      <c r="X918" s="107"/>
      <c r="Y918" s="107"/>
      <c r="Z918" s="107"/>
      <c r="AA918" s="107"/>
    </row>
    <row r="919">
      <c r="A919" s="110"/>
      <c r="B919" s="107"/>
      <c r="C919" s="107"/>
      <c r="D919" s="107"/>
      <c r="E919" s="107"/>
      <c r="F919" s="107"/>
      <c r="G919" s="107"/>
      <c r="H919" s="107"/>
      <c r="I919" s="107"/>
      <c r="J919" s="107"/>
      <c r="K919" s="107"/>
      <c r="L919" s="107"/>
      <c r="M919" s="107"/>
      <c r="N919" s="107"/>
      <c r="O919" s="107"/>
      <c r="P919" s="107"/>
      <c r="Q919" s="107"/>
      <c r="R919" s="107"/>
      <c r="S919" s="107"/>
      <c r="T919" s="107"/>
      <c r="U919" s="107"/>
      <c r="V919" s="107"/>
      <c r="W919" s="107"/>
      <c r="X919" s="107"/>
      <c r="Y919" s="107"/>
      <c r="Z919" s="107"/>
      <c r="AA919" s="107"/>
    </row>
    <row r="920">
      <c r="A920" s="110"/>
      <c r="B920" s="107"/>
      <c r="C920" s="107"/>
      <c r="D920" s="107"/>
      <c r="E920" s="107"/>
      <c r="F920" s="107"/>
      <c r="G920" s="107"/>
      <c r="H920" s="107"/>
      <c r="I920" s="107"/>
      <c r="J920" s="107"/>
      <c r="K920" s="107"/>
      <c r="L920" s="107"/>
      <c r="M920" s="107"/>
      <c r="N920" s="107"/>
      <c r="O920" s="107"/>
      <c r="P920" s="107"/>
      <c r="Q920" s="107"/>
      <c r="R920" s="107"/>
      <c r="S920" s="107"/>
      <c r="T920" s="107"/>
      <c r="U920" s="107"/>
      <c r="V920" s="107"/>
      <c r="W920" s="107"/>
      <c r="X920" s="107"/>
      <c r="Y920" s="107"/>
      <c r="Z920" s="107"/>
      <c r="AA920" s="107"/>
    </row>
    <row r="921">
      <c r="A921" s="110"/>
      <c r="B921" s="107"/>
      <c r="C921" s="107"/>
      <c r="D921" s="107"/>
      <c r="E921" s="107"/>
      <c r="F921" s="107"/>
      <c r="G921" s="107"/>
      <c r="H921" s="107"/>
      <c r="I921" s="107"/>
      <c r="J921" s="107"/>
      <c r="K921" s="107"/>
      <c r="L921" s="107"/>
      <c r="M921" s="107"/>
      <c r="N921" s="107"/>
      <c r="O921" s="107"/>
      <c r="P921" s="107"/>
      <c r="Q921" s="107"/>
      <c r="R921" s="107"/>
      <c r="S921" s="107"/>
      <c r="T921" s="107"/>
      <c r="U921" s="107"/>
      <c r="V921" s="107"/>
      <c r="W921" s="107"/>
      <c r="X921" s="107"/>
      <c r="Y921" s="107"/>
      <c r="Z921" s="107"/>
      <c r="AA921" s="107"/>
    </row>
    <row r="922">
      <c r="A922" s="110"/>
      <c r="B922" s="107"/>
      <c r="C922" s="107"/>
      <c r="D922" s="107"/>
      <c r="E922" s="107"/>
      <c r="F922" s="107"/>
      <c r="G922" s="107"/>
      <c r="H922" s="107"/>
      <c r="I922" s="107"/>
      <c r="J922" s="107"/>
      <c r="K922" s="107"/>
      <c r="L922" s="107"/>
      <c r="M922" s="107"/>
      <c r="N922" s="107"/>
      <c r="O922" s="107"/>
      <c r="P922" s="107"/>
      <c r="Q922" s="107"/>
      <c r="R922" s="107"/>
      <c r="S922" s="107"/>
      <c r="T922" s="107"/>
      <c r="U922" s="107"/>
      <c r="V922" s="107"/>
      <c r="W922" s="107"/>
      <c r="X922" s="107"/>
      <c r="Y922" s="107"/>
      <c r="Z922" s="107"/>
      <c r="AA922" s="107"/>
    </row>
    <row r="923">
      <c r="A923" s="110"/>
      <c r="B923" s="107"/>
      <c r="C923" s="107"/>
      <c r="D923" s="107"/>
      <c r="E923" s="107"/>
      <c r="F923" s="107"/>
      <c r="G923" s="107"/>
      <c r="H923" s="107"/>
      <c r="I923" s="107"/>
      <c r="J923" s="107"/>
      <c r="K923" s="107"/>
      <c r="L923" s="107"/>
      <c r="M923" s="107"/>
      <c r="N923" s="107"/>
      <c r="O923" s="107"/>
      <c r="P923" s="107"/>
      <c r="Q923" s="107"/>
      <c r="R923" s="107"/>
      <c r="S923" s="107"/>
      <c r="T923" s="107"/>
      <c r="U923" s="107"/>
      <c r="V923" s="107"/>
      <c r="W923" s="107"/>
      <c r="X923" s="107"/>
      <c r="Y923" s="107"/>
      <c r="Z923" s="107"/>
      <c r="AA923" s="107"/>
    </row>
    <row r="924">
      <c r="A924" s="110"/>
      <c r="B924" s="107"/>
      <c r="C924" s="107"/>
      <c r="D924" s="107"/>
      <c r="E924" s="107"/>
      <c r="F924" s="107"/>
      <c r="G924" s="107"/>
      <c r="H924" s="107"/>
      <c r="I924" s="107"/>
      <c r="J924" s="107"/>
      <c r="K924" s="107"/>
      <c r="L924" s="107"/>
      <c r="M924" s="107"/>
      <c r="N924" s="107"/>
      <c r="O924" s="107"/>
      <c r="P924" s="107"/>
      <c r="Q924" s="107"/>
      <c r="R924" s="107"/>
      <c r="S924" s="107"/>
      <c r="T924" s="107"/>
      <c r="U924" s="107"/>
      <c r="V924" s="107"/>
      <c r="W924" s="107"/>
      <c r="X924" s="107"/>
      <c r="Y924" s="107"/>
      <c r="Z924" s="107"/>
      <c r="AA924" s="107"/>
    </row>
    <row r="925">
      <c r="A925" s="110"/>
      <c r="B925" s="107"/>
      <c r="C925" s="107"/>
      <c r="D925" s="107"/>
      <c r="E925" s="107"/>
      <c r="F925" s="107"/>
      <c r="G925" s="107"/>
      <c r="H925" s="107"/>
      <c r="I925" s="107"/>
      <c r="J925" s="107"/>
      <c r="K925" s="107"/>
      <c r="L925" s="107"/>
      <c r="M925" s="107"/>
      <c r="N925" s="107"/>
      <c r="O925" s="107"/>
      <c r="P925" s="107"/>
      <c r="Q925" s="107"/>
      <c r="R925" s="107"/>
      <c r="S925" s="107"/>
      <c r="T925" s="107"/>
      <c r="U925" s="107"/>
      <c r="V925" s="107"/>
      <c r="W925" s="107"/>
      <c r="X925" s="107"/>
      <c r="Y925" s="107"/>
      <c r="Z925" s="107"/>
      <c r="AA925" s="107"/>
    </row>
    <row r="926">
      <c r="A926" s="110"/>
      <c r="B926" s="107"/>
      <c r="C926" s="107"/>
      <c r="D926" s="107"/>
      <c r="E926" s="107"/>
      <c r="F926" s="107"/>
      <c r="G926" s="107"/>
      <c r="H926" s="107"/>
      <c r="I926" s="107"/>
      <c r="J926" s="107"/>
      <c r="K926" s="107"/>
      <c r="L926" s="107"/>
      <c r="M926" s="107"/>
      <c r="N926" s="107"/>
      <c r="O926" s="107"/>
      <c r="P926" s="107"/>
      <c r="Q926" s="107"/>
      <c r="R926" s="107"/>
      <c r="S926" s="107"/>
      <c r="T926" s="107"/>
      <c r="U926" s="107"/>
      <c r="V926" s="107"/>
      <c r="W926" s="107"/>
      <c r="X926" s="107"/>
      <c r="Y926" s="107"/>
      <c r="Z926" s="107"/>
      <c r="AA926" s="107"/>
    </row>
    <row r="927">
      <c r="A927" s="110"/>
      <c r="B927" s="107"/>
      <c r="C927" s="107"/>
      <c r="D927" s="107"/>
      <c r="E927" s="107"/>
      <c r="F927" s="107"/>
      <c r="G927" s="107"/>
      <c r="H927" s="107"/>
      <c r="I927" s="107"/>
      <c r="J927" s="107"/>
      <c r="K927" s="107"/>
      <c r="L927" s="107"/>
      <c r="M927" s="107"/>
      <c r="N927" s="107"/>
      <c r="O927" s="107"/>
      <c r="P927" s="107"/>
      <c r="Q927" s="107"/>
      <c r="R927" s="107"/>
      <c r="S927" s="107"/>
      <c r="T927" s="107"/>
      <c r="U927" s="107"/>
      <c r="V927" s="107"/>
      <c r="W927" s="107"/>
      <c r="X927" s="107"/>
      <c r="Y927" s="107"/>
      <c r="Z927" s="107"/>
      <c r="AA927" s="107"/>
    </row>
    <row r="928">
      <c r="A928" s="110"/>
      <c r="B928" s="107"/>
      <c r="C928" s="107"/>
      <c r="D928" s="107"/>
      <c r="E928" s="107"/>
      <c r="F928" s="107"/>
      <c r="G928" s="107"/>
      <c r="H928" s="107"/>
      <c r="I928" s="107"/>
      <c r="J928" s="107"/>
      <c r="K928" s="107"/>
      <c r="L928" s="107"/>
      <c r="M928" s="107"/>
      <c r="N928" s="107"/>
      <c r="O928" s="107"/>
      <c r="P928" s="107"/>
      <c r="Q928" s="107"/>
      <c r="R928" s="107"/>
      <c r="S928" s="107"/>
      <c r="T928" s="107"/>
      <c r="U928" s="107"/>
      <c r="V928" s="107"/>
      <c r="W928" s="107"/>
      <c r="X928" s="107"/>
      <c r="Y928" s="107"/>
      <c r="Z928" s="107"/>
      <c r="AA928" s="107"/>
    </row>
    <row r="929">
      <c r="A929" s="110"/>
      <c r="B929" s="107"/>
      <c r="C929" s="107"/>
      <c r="D929" s="107"/>
      <c r="E929" s="107"/>
      <c r="F929" s="107"/>
      <c r="G929" s="107"/>
      <c r="H929" s="107"/>
      <c r="I929" s="107"/>
      <c r="J929" s="107"/>
      <c r="K929" s="107"/>
      <c r="L929" s="107"/>
      <c r="M929" s="107"/>
      <c r="N929" s="107"/>
      <c r="O929" s="107"/>
      <c r="P929" s="107"/>
      <c r="Q929" s="107"/>
      <c r="R929" s="107"/>
      <c r="S929" s="107"/>
      <c r="T929" s="107"/>
      <c r="U929" s="107"/>
      <c r="V929" s="107"/>
      <c r="W929" s="107"/>
      <c r="X929" s="107"/>
      <c r="Y929" s="107"/>
      <c r="Z929" s="107"/>
      <c r="AA929" s="107"/>
    </row>
    <row r="930">
      <c r="A930" s="110"/>
      <c r="B930" s="107"/>
      <c r="C930" s="107"/>
      <c r="D930" s="107"/>
      <c r="E930" s="107"/>
      <c r="F930" s="107"/>
      <c r="G930" s="107"/>
      <c r="H930" s="107"/>
      <c r="I930" s="107"/>
      <c r="J930" s="107"/>
      <c r="K930" s="107"/>
      <c r="L930" s="107"/>
      <c r="M930" s="107"/>
      <c r="N930" s="107"/>
      <c r="O930" s="107"/>
      <c r="P930" s="107"/>
      <c r="Q930" s="107"/>
      <c r="R930" s="107"/>
      <c r="S930" s="107"/>
      <c r="T930" s="107"/>
      <c r="U930" s="107"/>
      <c r="V930" s="107"/>
      <c r="W930" s="107"/>
      <c r="X930" s="107"/>
      <c r="Y930" s="107"/>
      <c r="Z930" s="107"/>
      <c r="AA930" s="107"/>
    </row>
    <row r="931">
      <c r="A931" s="110"/>
      <c r="B931" s="107"/>
      <c r="C931" s="107"/>
      <c r="D931" s="107"/>
      <c r="E931" s="107"/>
      <c r="F931" s="107"/>
      <c r="G931" s="107"/>
      <c r="H931" s="107"/>
      <c r="I931" s="107"/>
      <c r="J931" s="107"/>
      <c r="K931" s="107"/>
      <c r="L931" s="107"/>
      <c r="M931" s="107"/>
      <c r="N931" s="107"/>
      <c r="O931" s="107"/>
      <c r="P931" s="107"/>
      <c r="Q931" s="107"/>
      <c r="R931" s="107"/>
      <c r="S931" s="107"/>
      <c r="T931" s="107"/>
      <c r="U931" s="107"/>
      <c r="V931" s="107"/>
      <c r="W931" s="107"/>
      <c r="X931" s="107"/>
      <c r="Y931" s="107"/>
      <c r="Z931" s="107"/>
      <c r="AA931" s="107"/>
    </row>
    <row r="932">
      <c r="A932" s="110"/>
      <c r="B932" s="107"/>
      <c r="C932" s="107"/>
      <c r="D932" s="107"/>
      <c r="E932" s="107"/>
      <c r="F932" s="107"/>
      <c r="G932" s="107"/>
      <c r="H932" s="107"/>
      <c r="I932" s="107"/>
      <c r="J932" s="107"/>
      <c r="K932" s="107"/>
      <c r="L932" s="107"/>
      <c r="M932" s="107"/>
      <c r="N932" s="107"/>
      <c r="O932" s="107"/>
      <c r="P932" s="107"/>
      <c r="Q932" s="107"/>
      <c r="R932" s="107"/>
      <c r="S932" s="107"/>
      <c r="T932" s="107"/>
      <c r="U932" s="107"/>
      <c r="V932" s="107"/>
      <c r="W932" s="107"/>
      <c r="X932" s="107"/>
      <c r="Y932" s="107"/>
      <c r="Z932" s="107"/>
      <c r="AA932" s="107"/>
    </row>
    <row r="933">
      <c r="A933" s="110"/>
      <c r="B933" s="107"/>
      <c r="C933" s="107"/>
      <c r="D933" s="107"/>
      <c r="E933" s="107"/>
      <c r="F933" s="107"/>
      <c r="G933" s="107"/>
      <c r="H933" s="107"/>
      <c r="I933" s="107"/>
      <c r="J933" s="107"/>
      <c r="K933" s="107"/>
      <c r="L933" s="107"/>
      <c r="M933" s="107"/>
      <c r="N933" s="107"/>
      <c r="O933" s="107"/>
      <c r="P933" s="107"/>
      <c r="Q933" s="107"/>
      <c r="R933" s="107"/>
      <c r="S933" s="107"/>
      <c r="T933" s="107"/>
      <c r="U933" s="107"/>
      <c r="V933" s="107"/>
      <c r="W933" s="107"/>
      <c r="X933" s="107"/>
      <c r="Y933" s="107"/>
      <c r="Z933" s="107"/>
      <c r="AA933" s="107"/>
    </row>
    <row r="934">
      <c r="A934" s="110"/>
      <c r="B934" s="107"/>
      <c r="C934" s="107"/>
      <c r="D934" s="107"/>
      <c r="E934" s="107"/>
      <c r="F934" s="107"/>
      <c r="G934" s="107"/>
      <c r="H934" s="107"/>
      <c r="I934" s="107"/>
      <c r="J934" s="107"/>
      <c r="K934" s="107"/>
      <c r="L934" s="107"/>
      <c r="M934" s="107"/>
      <c r="N934" s="107"/>
      <c r="O934" s="107"/>
      <c r="P934" s="107"/>
      <c r="Q934" s="107"/>
      <c r="R934" s="107"/>
      <c r="S934" s="107"/>
      <c r="T934" s="107"/>
      <c r="U934" s="107"/>
      <c r="V934" s="107"/>
      <c r="W934" s="107"/>
      <c r="X934" s="107"/>
      <c r="Y934" s="107"/>
      <c r="Z934" s="107"/>
      <c r="AA934" s="107"/>
    </row>
    <row r="935">
      <c r="A935" s="110"/>
      <c r="B935" s="107"/>
      <c r="C935" s="107"/>
      <c r="D935" s="107"/>
      <c r="E935" s="107"/>
      <c r="F935" s="107"/>
      <c r="G935" s="107"/>
      <c r="H935" s="107"/>
      <c r="I935" s="107"/>
      <c r="J935" s="107"/>
      <c r="K935" s="107"/>
      <c r="L935" s="107"/>
      <c r="M935" s="107"/>
      <c r="N935" s="107"/>
      <c r="O935" s="107"/>
      <c r="P935" s="107"/>
      <c r="Q935" s="107"/>
      <c r="R935" s="107"/>
      <c r="S935" s="107"/>
      <c r="T935" s="107"/>
      <c r="U935" s="107"/>
      <c r="V935" s="107"/>
      <c r="W935" s="107"/>
      <c r="X935" s="107"/>
      <c r="Y935" s="107"/>
      <c r="Z935" s="107"/>
      <c r="AA935" s="107"/>
    </row>
    <row r="936">
      <c r="A936" s="110"/>
      <c r="B936" s="107"/>
      <c r="C936" s="107"/>
      <c r="D936" s="107"/>
      <c r="E936" s="107"/>
      <c r="F936" s="107"/>
      <c r="G936" s="107"/>
      <c r="H936" s="107"/>
      <c r="I936" s="107"/>
      <c r="J936" s="107"/>
      <c r="K936" s="107"/>
      <c r="L936" s="107"/>
      <c r="M936" s="107"/>
      <c r="N936" s="107"/>
      <c r="O936" s="107"/>
      <c r="P936" s="107"/>
      <c r="Q936" s="107"/>
      <c r="R936" s="107"/>
      <c r="S936" s="107"/>
      <c r="T936" s="107"/>
      <c r="U936" s="107"/>
      <c r="V936" s="107"/>
      <c r="W936" s="107"/>
      <c r="X936" s="107"/>
      <c r="Y936" s="107"/>
      <c r="Z936" s="107"/>
      <c r="AA936" s="107"/>
    </row>
    <row r="937">
      <c r="A937" s="110"/>
      <c r="B937" s="107"/>
      <c r="C937" s="107"/>
      <c r="D937" s="107"/>
      <c r="E937" s="107"/>
      <c r="F937" s="107"/>
      <c r="G937" s="107"/>
      <c r="H937" s="107"/>
      <c r="I937" s="107"/>
      <c r="J937" s="107"/>
      <c r="K937" s="107"/>
      <c r="L937" s="107"/>
      <c r="M937" s="107"/>
      <c r="N937" s="107"/>
      <c r="O937" s="107"/>
      <c r="P937" s="107"/>
      <c r="Q937" s="107"/>
      <c r="R937" s="107"/>
      <c r="S937" s="107"/>
      <c r="T937" s="107"/>
      <c r="U937" s="107"/>
      <c r="V937" s="107"/>
      <c r="W937" s="107"/>
      <c r="X937" s="107"/>
      <c r="Y937" s="107"/>
      <c r="Z937" s="107"/>
      <c r="AA937" s="107"/>
    </row>
    <row r="938">
      <c r="A938" s="110"/>
      <c r="B938" s="107"/>
      <c r="C938" s="107"/>
      <c r="D938" s="107"/>
      <c r="E938" s="107"/>
      <c r="F938" s="107"/>
      <c r="G938" s="107"/>
      <c r="H938" s="107"/>
      <c r="I938" s="107"/>
      <c r="J938" s="107"/>
      <c r="K938" s="107"/>
      <c r="L938" s="107"/>
      <c r="M938" s="107"/>
      <c r="N938" s="107"/>
      <c r="O938" s="107"/>
      <c r="P938" s="107"/>
      <c r="Q938" s="107"/>
      <c r="R938" s="107"/>
      <c r="S938" s="107"/>
      <c r="T938" s="107"/>
      <c r="U938" s="107"/>
      <c r="V938" s="107"/>
      <c r="W938" s="107"/>
      <c r="X938" s="107"/>
      <c r="Y938" s="107"/>
      <c r="Z938" s="107"/>
      <c r="AA938" s="107"/>
    </row>
    <row r="939">
      <c r="A939" s="110"/>
      <c r="B939" s="107"/>
      <c r="C939" s="107"/>
      <c r="D939" s="107"/>
      <c r="E939" s="107"/>
      <c r="F939" s="107"/>
      <c r="G939" s="107"/>
      <c r="H939" s="107"/>
      <c r="I939" s="107"/>
      <c r="J939" s="107"/>
      <c r="K939" s="107"/>
      <c r="L939" s="107"/>
      <c r="M939" s="107"/>
      <c r="N939" s="107"/>
      <c r="O939" s="107"/>
      <c r="P939" s="107"/>
      <c r="Q939" s="107"/>
      <c r="R939" s="107"/>
      <c r="S939" s="107"/>
      <c r="T939" s="107"/>
      <c r="U939" s="107"/>
      <c r="V939" s="107"/>
      <c r="W939" s="107"/>
      <c r="X939" s="107"/>
      <c r="Y939" s="107"/>
      <c r="Z939" s="107"/>
      <c r="AA939" s="107"/>
    </row>
    <row r="940">
      <c r="A940" s="110"/>
      <c r="B940" s="107"/>
      <c r="C940" s="107"/>
      <c r="D940" s="107"/>
      <c r="E940" s="107"/>
      <c r="F940" s="107"/>
      <c r="G940" s="107"/>
      <c r="H940" s="107"/>
      <c r="I940" s="107"/>
      <c r="J940" s="107"/>
      <c r="K940" s="107"/>
      <c r="L940" s="107"/>
      <c r="M940" s="107"/>
      <c r="N940" s="107"/>
      <c r="O940" s="107"/>
      <c r="P940" s="107"/>
      <c r="Q940" s="107"/>
      <c r="R940" s="107"/>
      <c r="S940" s="107"/>
      <c r="T940" s="107"/>
      <c r="U940" s="107"/>
      <c r="V940" s="107"/>
      <c r="W940" s="107"/>
      <c r="X940" s="107"/>
      <c r="Y940" s="107"/>
      <c r="Z940" s="107"/>
      <c r="AA940" s="107"/>
    </row>
    <row r="941">
      <c r="A941" s="110"/>
      <c r="B941" s="107"/>
      <c r="C941" s="107"/>
      <c r="D941" s="107"/>
      <c r="E941" s="107"/>
      <c r="F941" s="107"/>
      <c r="G941" s="107"/>
      <c r="H941" s="107"/>
      <c r="I941" s="107"/>
      <c r="J941" s="107"/>
      <c r="K941" s="107"/>
      <c r="L941" s="107"/>
      <c r="M941" s="107"/>
      <c r="N941" s="107"/>
      <c r="O941" s="107"/>
      <c r="P941" s="107"/>
      <c r="Q941" s="107"/>
      <c r="R941" s="107"/>
      <c r="S941" s="107"/>
      <c r="T941" s="107"/>
      <c r="U941" s="107"/>
      <c r="V941" s="107"/>
      <c r="W941" s="107"/>
      <c r="X941" s="107"/>
      <c r="Y941" s="107"/>
      <c r="Z941" s="107"/>
      <c r="AA941" s="107"/>
    </row>
    <row r="942">
      <c r="A942" s="110"/>
      <c r="B942" s="107"/>
      <c r="C942" s="107"/>
      <c r="D942" s="107"/>
      <c r="E942" s="107"/>
      <c r="F942" s="107"/>
      <c r="G942" s="107"/>
      <c r="H942" s="107"/>
      <c r="I942" s="107"/>
      <c r="J942" s="107"/>
      <c r="K942" s="107"/>
      <c r="L942" s="107"/>
      <c r="M942" s="107"/>
      <c r="N942" s="107"/>
      <c r="O942" s="107"/>
      <c r="P942" s="107"/>
      <c r="Q942" s="107"/>
      <c r="R942" s="107"/>
      <c r="S942" s="107"/>
      <c r="T942" s="107"/>
      <c r="U942" s="107"/>
      <c r="V942" s="107"/>
      <c r="W942" s="107"/>
      <c r="X942" s="107"/>
      <c r="Y942" s="107"/>
      <c r="Z942" s="107"/>
      <c r="AA942" s="107"/>
    </row>
    <row r="943">
      <c r="A943" s="110"/>
      <c r="B943" s="107"/>
      <c r="C943" s="107"/>
      <c r="D943" s="107"/>
      <c r="E943" s="107"/>
      <c r="F943" s="107"/>
      <c r="G943" s="107"/>
      <c r="H943" s="107"/>
      <c r="I943" s="107"/>
      <c r="J943" s="107"/>
      <c r="K943" s="107"/>
      <c r="L943" s="107"/>
      <c r="M943" s="107"/>
      <c r="N943" s="107"/>
      <c r="O943" s="107"/>
      <c r="P943" s="107"/>
      <c r="Q943" s="107"/>
      <c r="R943" s="107"/>
      <c r="S943" s="107"/>
      <c r="T943" s="107"/>
      <c r="U943" s="107"/>
      <c r="V943" s="107"/>
      <c r="W943" s="107"/>
      <c r="X943" s="107"/>
      <c r="Y943" s="107"/>
      <c r="Z943" s="107"/>
      <c r="AA943" s="107"/>
    </row>
    <row r="944">
      <c r="A944" s="110"/>
      <c r="B944" s="107"/>
      <c r="C944" s="107"/>
      <c r="D944" s="107"/>
      <c r="E944" s="107"/>
      <c r="F944" s="107"/>
      <c r="G944" s="107"/>
      <c r="H944" s="107"/>
      <c r="I944" s="107"/>
      <c r="J944" s="107"/>
      <c r="K944" s="107"/>
      <c r="L944" s="107"/>
      <c r="M944" s="107"/>
      <c r="N944" s="107"/>
      <c r="O944" s="107"/>
      <c r="P944" s="107"/>
      <c r="Q944" s="107"/>
      <c r="R944" s="107"/>
      <c r="S944" s="107"/>
      <c r="T944" s="107"/>
      <c r="U944" s="107"/>
      <c r="V944" s="107"/>
      <c r="W944" s="107"/>
      <c r="X944" s="107"/>
      <c r="Y944" s="107"/>
      <c r="Z944" s="107"/>
      <c r="AA944" s="107"/>
    </row>
    <row r="945">
      <c r="A945" s="110"/>
      <c r="B945" s="107"/>
      <c r="C945" s="107"/>
      <c r="D945" s="107"/>
      <c r="E945" s="107"/>
      <c r="F945" s="107"/>
      <c r="G945" s="107"/>
      <c r="H945" s="107"/>
      <c r="I945" s="107"/>
      <c r="J945" s="107"/>
      <c r="K945" s="107"/>
      <c r="L945" s="107"/>
      <c r="M945" s="107"/>
      <c r="N945" s="107"/>
      <c r="O945" s="107"/>
      <c r="P945" s="107"/>
      <c r="Q945" s="107"/>
      <c r="R945" s="107"/>
      <c r="S945" s="107"/>
      <c r="T945" s="107"/>
      <c r="U945" s="107"/>
      <c r="V945" s="107"/>
      <c r="W945" s="107"/>
      <c r="X945" s="107"/>
      <c r="Y945" s="107"/>
      <c r="Z945" s="107"/>
      <c r="AA945" s="107"/>
    </row>
    <row r="946">
      <c r="A946" s="110"/>
      <c r="B946" s="107"/>
      <c r="C946" s="107"/>
      <c r="D946" s="107"/>
      <c r="E946" s="107"/>
      <c r="F946" s="107"/>
      <c r="G946" s="107"/>
      <c r="H946" s="107"/>
      <c r="I946" s="107"/>
      <c r="J946" s="107"/>
      <c r="K946" s="107"/>
      <c r="L946" s="107"/>
      <c r="M946" s="107"/>
      <c r="N946" s="107"/>
      <c r="O946" s="107"/>
      <c r="P946" s="107"/>
      <c r="Q946" s="107"/>
      <c r="R946" s="107"/>
      <c r="S946" s="107"/>
      <c r="T946" s="107"/>
      <c r="U946" s="107"/>
      <c r="V946" s="107"/>
      <c r="W946" s="107"/>
      <c r="X946" s="107"/>
      <c r="Y946" s="107"/>
      <c r="Z946" s="107"/>
      <c r="AA946" s="107"/>
    </row>
    <row r="947">
      <c r="A947" s="110"/>
      <c r="B947" s="107"/>
      <c r="C947" s="107"/>
      <c r="D947" s="107"/>
      <c r="E947" s="107"/>
      <c r="F947" s="107"/>
      <c r="G947" s="107"/>
      <c r="H947" s="107"/>
      <c r="I947" s="107"/>
      <c r="J947" s="107"/>
      <c r="K947" s="107"/>
      <c r="L947" s="107"/>
      <c r="M947" s="107"/>
      <c r="N947" s="107"/>
      <c r="O947" s="107"/>
      <c r="P947" s="107"/>
      <c r="Q947" s="107"/>
      <c r="R947" s="107"/>
      <c r="S947" s="107"/>
      <c r="T947" s="107"/>
      <c r="U947" s="107"/>
      <c r="V947" s="107"/>
      <c r="W947" s="107"/>
      <c r="X947" s="107"/>
      <c r="Y947" s="107"/>
      <c r="Z947" s="107"/>
      <c r="AA947" s="107"/>
    </row>
    <row r="948">
      <c r="A948" s="110"/>
      <c r="B948" s="107"/>
      <c r="C948" s="107"/>
      <c r="D948" s="107"/>
      <c r="E948" s="107"/>
      <c r="F948" s="107"/>
      <c r="G948" s="107"/>
      <c r="H948" s="107"/>
      <c r="I948" s="107"/>
      <c r="J948" s="107"/>
      <c r="K948" s="107"/>
      <c r="L948" s="107"/>
      <c r="M948" s="107"/>
      <c r="N948" s="107"/>
      <c r="O948" s="107"/>
      <c r="P948" s="107"/>
      <c r="Q948" s="107"/>
      <c r="R948" s="107"/>
      <c r="S948" s="107"/>
      <c r="T948" s="107"/>
      <c r="U948" s="107"/>
      <c r="V948" s="107"/>
      <c r="W948" s="107"/>
      <c r="X948" s="107"/>
      <c r="Y948" s="107"/>
      <c r="Z948" s="107"/>
      <c r="AA948" s="107"/>
    </row>
    <row r="949">
      <c r="A949" s="110"/>
      <c r="B949" s="107"/>
      <c r="C949" s="107"/>
      <c r="D949" s="107"/>
      <c r="E949" s="107"/>
      <c r="F949" s="107"/>
      <c r="G949" s="107"/>
      <c r="H949" s="107"/>
      <c r="I949" s="107"/>
      <c r="J949" s="107"/>
      <c r="K949" s="107"/>
      <c r="L949" s="107"/>
      <c r="M949" s="107"/>
      <c r="N949" s="107"/>
      <c r="O949" s="107"/>
      <c r="P949" s="107"/>
      <c r="Q949" s="107"/>
      <c r="R949" s="107"/>
      <c r="S949" s="107"/>
      <c r="T949" s="107"/>
      <c r="U949" s="107"/>
      <c r="V949" s="107"/>
      <c r="W949" s="107"/>
      <c r="X949" s="107"/>
      <c r="Y949" s="107"/>
      <c r="Z949" s="107"/>
      <c r="AA949" s="107"/>
    </row>
    <row r="950">
      <c r="A950" s="110"/>
      <c r="B950" s="107"/>
      <c r="C950" s="107"/>
      <c r="D950" s="107"/>
      <c r="E950" s="107"/>
      <c r="F950" s="107"/>
      <c r="G950" s="107"/>
      <c r="H950" s="107"/>
      <c r="I950" s="107"/>
      <c r="J950" s="107"/>
      <c r="K950" s="107"/>
      <c r="L950" s="107"/>
      <c r="M950" s="107"/>
      <c r="N950" s="107"/>
      <c r="O950" s="107"/>
      <c r="P950" s="107"/>
      <c r="Q950" s="107"/>
      <c r="R950" s="107"/>
      <c r="S950" s="107"/>
      <c r="T950" s="107"/>
      <c r="U950" s="107"/>
      <c r="V950" s="107"/>
      <c r="W950" s="107"/>
      <c r="X950" s="107"/>
      <c r="Y950" s="107"/>
      <c r="Z950" s="107"/>
      <c r="AA950" s="107"/>
    </row>
    <row r="951">
      <c r="A951" s="110"/>
      <c r="B951" s="107"/>
      <c r="C951" s="107"/>
      <c r="D951" s="107"/>
      <c r="E951" s="107"/>
      <c r="F951" s="107"/>
      <c r="G951" s="107"/>
      <c r="H951" s="107"/>
      <c r="I951" s="107"/>
      <c r="J951" s="107"/>
      <c r="K951" s="107"/>
      <c r="L951" s="107"/>
      <c r="M951" s="107"/>
      <c r="N951" s="107"/>
      <c r="O951" s="107"/>
      <c r="P951" s="107"/>
      <c r="Q951" s="107"/>
      <c r="R951" s="107"/>
      <c r="S951" s="107"/>
      <c r="T951" s="107"/>
      <c r="U951" s="107"/>
      <c r="V951" s="107"/>
      <c r="W951" s="107"/>
      <c r="X951" s="107"/>
      <c r="Y951" s="107"/>
      <c r="Z951" s="107"/>
      <c r="AA951" s="107"/>
    </row>
    <row r="952">
      <c r="A952" s="110"/>
      <c r="B952" s="107"/>
      <c r="C952" s="107"/>
      <c r="D952" s="107"/>
      <c r="E952" s="107"/>
      <c r="F952" s="107"/>
      <c r="G952" s="107"/>
      <c r="H952" s="107"/>
      <c r="I952" s="107"/>
      <c r="J952" s="107"/>
      <c r="K952" s="107"/>
      <c r="L952" s="107"/>
      <c r="M952" s="107"/>
      <c r="N952" s="107"/>
      <c r="O952" s="107"/>
      <c r="P952" s="107"/>
      <c r="Q952" s="107"/>
      <c r="R952" s="107"/>
      <c r="S952" s="107"/>
      <c r="T952" s="107"/>
      <c r="U952" s="107"/>
      <c r="V952" s="107"/>
      <c r="W952" s="107"/>
      <c r="X952" s="107"/>
      <c r="Y952" s="107"/>
      <c r="Z952" s="107"/>
      <c r="AA952" s="107"/>
    </row>
    <row r="953">
      <c r="A953" s="110"/>
      <c r="B953" s="107"/>
      <c r="C953" s="107"/>
      <c r="D953" s="107"/>
      <c r="E953" s="107"/>
      <c r="F953" s="107"/>
      <c r="G953" s="107"/>
      <c r="H953" s="107"/>
      <c r="I953" s="107"/>
      <c r="J953" s="107"/>
      <c r="K953" s="107"/>
      <c r="L953" s="107"/>
      <c r="M953" s="107"/>
      <c r="N953" s="107"/>
      <c r="O953" s="107"/>
      <c r="P953" s="107"/>
      <c r="Q953" s="107"/>
      <c r="R953" s="107"/>
      <c r="S953" s="107"/>
      <c r="T953" s="107"/>
      <c r="U953" s="107"/>
      <c r="V953" s="107"/>
      <c r="W953" s="107"/>
      <c r="X953" s="107"/>
      <c r="Y953" s="107"/>
      <c r="Z953" s="107"/>
      <c r="AA953" s="107"/>
    </row>
    <row r="954">
      <c r="A954" s="110"/>
      <c r="B954" s="107"/>
      <c r="C954" s="107"/>
      <c r="D954" s="107"/>
      <c r="E954" s="107"/>
      <c r="F954" s="107"/>
      <c r="G954" s="107"/>
      <c r="H954" s="107"/>
      <c r="I954" s="107"/>
      <c r="J954" s="107"/>
      <c r="K954" s="107"/>
      <c r="L954" s="107"/>
      <c r="M954" s="107"/>
      <c r="N954" s="107"/>
      <c r="O954" s="107"/>
      <c r="P954" s="107"/>
      <c r="Q954" s="107"/>
      <c r="R954" s="107"/>
      <c r="S954" s="107"/>
      <c r="T954" s="107"/>
      <c r="U954" s="107"/>
      <c r="V954" s="107"/>
      <c r="W954" s="107"/>
      <c r="X954" s="107"/>
      <c r="Y954" s="107"/>
      <c r="Z954" s="107"/>
      <c r="AA954" s="107"/>
    </row>
    <row r="955">
      <c r="A955" s="110"/>
      <c r="B955" s="107"/>
      <c r="C955" s="107"/>
      <c r="D955" s="107"/>
      <c r="E955" s="107"/>
      <c r="F955" s="107"/>
      <c r="G955" s="107"/>
      <c r="H955" s="107"/>
      <c r="I955" s="107"/>
      <c r="J955" s="107"/>
      <c r="K955" s="107"/>
      <c r="L955" s="107"/>
      <c r="M955" s="107"/>
      <c r="N955" s="107"/>
      <c r="O955" s="107"/>
      <c r="P955" s="107"/>
      <c r="Q955" s="107"/>
      <c r="R955" s="107"/>
      <c r="S955" s="107"/>
      <c r="T955" s="107"/>
      <c r="U955" s="107"/>
      <c r="V955" s="107"/>
      <c r="W955" s="107"/>
      <c r="X955" s="107"/>
      <c r="Y955" s="107"/>
      <c r="Z955" s="107"/>
      <c r="AA955" s="107"/>
    </row>
    <row r="956">
      <c r="A956" s="110"/>
      <c r="B956" s="107"/>
      <c r="C956" s="107"/>
      <c r="D956" s="107"/>
      <c r="E956" s="107"/>
      <c r="F956" s="107"/>
      <c r="G956" s="107"/>
      <c r="H956" s="107"/>
      <c r="I956" s="107"/>
      <c r="J956" s="107"/>
      <c r="K956" s="107"/>
      <c r="L956" s="107"/>
      <c r="M956" s="107"/>
      <c r="N956" s="107"/>
      <c r="O956" s="107"/>
      <c r="P956" s="107"/>
      <c r="Q956" s="107"/>
      <c r="R956" s="107"/>
      <c r="S956" s="107"/>
      <c r="T956" s="107"/>
      <c r="U956" s="107"/>
      <c r="V956" s="107"/>
      <c r="W956" s="107"/>
      <c r="X956" s="107"/>
      <c r="Y956" s="107"/>
      <c r="Z956" s="107"/>
      <c r="AA956" s="107"/>
    </row>
    <row r="957">
      <c r="A957" s="110"/>
      <c r="B957" s="107"/>
      <c r="C957" s="107"/>
      <c r="D957" s="107"/>
      <c r="E957" s="107"/>
      <c r="F957" s="107"/>
      <c r="G957" s="107"/>
      <c r="H957" s="107"/>
      <c r="I957" s="107"/>
      <c r="J957" s="107"/>
      <c r="K957" s="107"/>
      <c r="L957" s="107"/>
      <c r="M957" s="107"/>
      <c r="N957" s="107"/>
      <c r="O957" s="107"/>
      <c r="P957" s="107"/>
      <c r="Q957" s="107"/>
      <c r="R957" s="107"/>
      <c r="S957" s="107"/>
      <c r="T957" s="107"/>
      <c r="U957" s="107"/>
      <c r="V957" s="107"/>
      <c r="W957" s="107"/>
      <c r="X957" s="107"/>
      <c r="Y957" s="107"/>
      <c r="Z957" s="107"/>
      <c r="AA957" s="107"/>
    </row>
    <row r="958">
      <c r="A958" s="110"/>
      <c r="B958" s="107"/>
      <c r="C958" s="107"/>
      <c r="D958" s="107"/>
      <c r="E958" s="107"/>
      <c r="F958" s="107"/>
      <c r="G958" s="107"/>
      <c r="H958" s="107"/>
      <c r="I958" s="107"/>
      <c r="J958" s="107"/>
      <c r="K958" s="107"/>
      <c r="L958" s="107"/>
      <c r="M958" s="107"/>
      <c r="N958" s="107"/>
      <c r="O958" s="107"/>
      <c r="P958" s="107"/>
      <c r="Q958" s="107"/>
      <c r="R958" s="107"/>
      <c r="S958" s="107"/>
      <c r="T958" s="107"/>
      <c r="U958" s="107"/>
      <c r="V958" s="107"/>
      <c r="W958" s="107"/>
      <c r="X958" s="107"/>
      <c r="Y958" s="107"/>
      <c r="Z958" s="107"/>
      <c r="AA958" s="107"/>
    </row>
    <row r="959">
      <c r="A959" s="110"/>
      <c r="B959" s="107"/>
      <c r="C959" s="107"/>
      <c r="D959" s="107"/>
      <c r="E959" s="107"/>
      <c r="F959" s="107"/>
      <c r="G959" s="107"/>
      <c r="H959" s="107"/>
      <c r="I959" s="107"/>
      <c r="J959" s="107"/>
      <c r="K959" s="107"/>
      <c r="L959" s="107"/>
      <c r="M959" s="107"/>
      <c r="N959" s="107"/>
      <c r="O959" s="107"/>
      <c r="P959" s="107"/>
      <c r="Q959" s="107"/>
      <c r="R959" s="107"/>
      <c r="S959" s="107"/>
      <c r="T959" s="107"/>
      <c r="U959" s="107"/>
      <c r="V959" s="107"/>
      <c r="W959" s="107"/>
      <c r="X959" s="107"/>
      <c r="Y959" s="107"/>
      <c r="Z959" s="107"/>
      <c r="AA959" s="107"/>
    </row>
    <row r="960">
      <c r="A960" s="110"/>
      <c r="B960" s="107"/>
      <c r="C960" s="107"/>
      <c r="D960" s="107"/>
      <c r="E960" s="107"/>
      <c r="F960" s="107"/>
      <c r="G960" s="107"/>
      <c r="H960" s="107"/>
      <c r="I960" s="107"/>
      <c r="J960" s="107"/>
      <c r="K960" s="107"/>
      <c r="L960" s="107"/>
      <c r="M960" s="107"/>
      <c r="N960" s="107"/>
      <c r="O960" s="107"/>
      <c r="P960" s="107"/>
      <c r="Q960" s="107"/>
      <c r="R960" s="107"/>
      <c r="S960" s="107"/>
      <c r="T960" s="107"/>
      <c r="U960" s="107"/>
      <c r="V960" s="107"/>
      <c r="W960" s="107"/>
      <c r="X960" s="107"/>
      <c r="Y960" s="107"/>
      <c r="Z960" s="107"/>
      <c r="AA960" s="107"/>
    </row>
    <row r="961">
      <c r="A961" s="110"/>
      <c r="B961" s="107"/>
      <c r="C961" s="107"/>
      <c r="D961" s="107"/>
      <c r="E961" s="107"/>
      <c r="F961" s="107"/>
      <c r="G961" s="107"/>
      <c r="H961" s="107"/>
      <c r="I961" s="107"/>
      <c r="J961" s="107"/>
      <c r="K961" s="107"/>
      <c r="L961" s="107"/>
      <c r="M961" s="107"/>
      <c r="N961" s="107"/>
      <c r="O961" s="107"/>
      <c r="P961" s="107"/>
      <c r="Q961" s="107"/>
      <c r="R961" s="107"/>
      <c r="S961" s="107"/>
      <c r="T961" s="107"/>
      <c r="U961" s="107"/>
      <c r="V961" s="107"/>
      <c r="W961" s="107"/>
      <c r="X961" s="107"/>
      <c r="Y961" s="107"/>
      <c r="Z961" s="107"/>
      <c r="AA961" s="107"/>
    </row>
    <row r="962">
      <c r="A962" s="110"/>
      <c r="B962" s="107"/>
      <c r="C962" s="107"/>
      <c r="D962" s="107"/>
      <c r="E962" s="107"/>
      <c r="F962" s="107"/>
      <c r="G962" s="107"/>
      <c r="H962" s="107"/>
      <c r="I962" s="107"/>
      <c r="J962" s="107"/>
      <c r="K962" s="107"/>
      <c r="L962" s="107"/>
      <c r="M962" s="107"/>
      <c r="N962" s="107"/>
      <c r="O962" s="107"/>
      <c r="P962" s="107"/>
      <c r="Q962" s="107"/>
      <c r="R962" s="107"/>
      <c r="S962" s="107"/>
      <c r="T962" s="107"/>
      <c r="U962" s="107"/>
      <c r="V962" s="107"/>
      <c r="W962" s="107"/>
      <c r="X962" s="107"/>
      <c r="Y962" s="107"/>
      <c r="Z962" s="107"/>
      <c r="AA962" s="107"/>
    </row>
    <row r="963">
      <c r="A963" s="110"/>
      <c r="B963" s="107"/>
      <c r="C963" s="107"/>
      <c r="D963" s="107"/>
      <c r="E963" s="107"/>
      <c r="F963" s="107"/>
      <c r="G963" s="107"/>
      <c r="H963" s="107"/>
      <c r="I963" s="107"/>
      <c r="J963" s="107"/>
      <c r="K963" s="107"/>
      <c r="L963" s="107"/>
      <c r="M963" s="107"/>
      <c r="N963" s="107"/>
      <c r="O963" s="107"/>
      <c r="P963" s="107"/>
      <c r="Q963" s="107"/>
      <c r="R963" s="107"/>
      <c r="S963" s="107"/>
      <c r="T963" s="107"/>
      <c r="U963" s="107"/>
      <c r="V963" s="107"/>
      <c r="W963" s="107"/>
      <c r="X963" s="107"/>
      <c r="Y963" s="107"/>
      <c r="Z963" s="107"/>
      <c r="AA963" s="107"/>
    </row>
    <row r="964">
      <c r="A964" s="110"/>
      <c r="B964" s="107"/>
      <c r="C964" s="107"/>
      <c r="D964" s="107"/>
      <c r="E964" s="107"/>
      <c r="F964" s="107"/>
      <c r="G964" s="107"/>
      <c r="H964" s="107"/>
      <c r="I964" s="107"/>
      <c r="J964" s="107"/>
      <c r="K964" s="107"/>
      <c r="L964" s="107"/>
      <c r="M964" s="107"/>
      <c r="N964" s="107"/>
      <c r="O964" s="107"/>
      <c r="P964" s="107"/>
      <c r="Q964" s="107"/>
      <c r="R964" s="107"/>
      <c r="S964" s="107"/>
      <c r="T964" s="107"/>
      <c r="U964" s="107"/>
      <c r="V964" s="107"/>
      <c r="W964" s="107"/>
      <c r="X964" s="107"/>
      <c r="Y964" s="107"/>
      <c r="Z964" s="107"/>
      <c r="AA964" s="107"/>
    </row>
    <row r="965">
      <c r="A965" s="110"/>
      <c r="B965" s="107"/>
      <c r="C965" s="107"/>
      <c r="D965" s="107"/>
      <c r="E965" s="107"/>
      <c r="F965" s="107"/>
      <c r="G965" s="107"/>
      <c r="H965" s="107"/>
      <c r="I965" s="107"/>
      <c r="J965" s="107"/>
      <c r="K965" s="107"/>
      <c r="L965" s="107"/>
      <c r="M965" s="107"/>
      <c r="N965" s="107"/>
      <c r="O965" s="107"/>
      <c r="P965" s="107"/>
      <c r="Q965" s="107"/>
      <c r="R965" s="107"/>
      <c r="S965" s="107"/>
      <c r="T965" s="107"/>
      <c r="U965" s="107"/>
      <c r="V965" s="107"/>
      <c r="W965" s="107"/>
      <c r="X965" s="107"/>
      <c r="Y965" s="107"/>
      <c r="Z965" s="107"/>
      <c r="AA965" s="107"/>
    </row>
    <row r="966">
      <c r="A966" s="110"/>
      <c r="B966" s="107"/>
      <c r="C966" s="107"/>
      <c r="D966" s="107"/>
      <c r="E966" s="107"/>
      <c r="F966" s="107"/>
      <c r="G966" s="107"/>
      <c r="H966" s="107"/>
      <c r="I966" s="107"/>
      <c r="J966" s="107"/>
      <c r="K966" s="107"/>
      <c r="L966" s="107"/>
      <c r="M966" s="107"/>
      <c r="N966" s="107"/>
      <c r="O966" s="107"/>
      <c r="P966" s="107"/>
      <c r="Q966" s="107"/>
      <c r="R966" s="107"/>
      <c r="S966" s="107"/>
      <c r="T966" s="107"/>
      <c r="U966" s="107"/>
      <c r="V966" s="107"/>
      <c r="W966" s="107"/>
      <c r="X966" s="107"/>
      <c r="Y966" s="107"/>
      <c r="Z966" s="107"/>
      <c r="AA966" s="107"/>
    </row>
    <row r="967">
      <c r="A967" s="110"/>
      <c r="B967" s="107"/>
      <c r="C967" s="107"/>
      <c r="D967" s="107"/>
      <c r="E967" s="107"/>
      <c r="F967" s="107"/>
      <c r="G967" s="107"/>
      <c r="H967" s="107"/>
      <c r="I967" s="107"/>
      <c r="J967" s="107"/>
      <c r="K967" s="107"/>
      <c r="L967" s="107"/>
      <c r="M967" s="107"/>
      <c r="N967" s="107"/>
      <c r="O967" s="107"/>
      <c r="P967" s="107"/>
      <c r="Q967" s="107"/>
      <c r="R967" s="107"/>
      <c r="S967" s="107"/>
      <c r="T967" s="107"/>
      <c r="U967" s="107"/>
      <c r="V967" s="107"/>
      <c r="W967" s="107"/>
      <c r="X967" s="107"/>
      <c r="Y967" s="107"/>
      <c r="Z967" s="107"/>
      <c r="AA967" s="107"/>
    </row>
    <row r="968">
      <c r="A968" s="110"/>
      <c r="B968" s="107"/>
      <c r="C968" s="107"/>
      <c r="D968" s="107"/>
      <c r="E968" s="107"/>
      <c r="F968" s="107"/>
      <c r="G968" s="107"/>
      <c r="H968" s="107"/>
      <c r="I968" s="107"/>
      <c r="J968" s="107"/>
      <c r="K968" s="107"/>
      <c r="L968" s="107"/>
      <c r="M968" s="107"/>
      <c r="N968" s="107"/>
      <c r="O968" s="107"/>
      <c r="P968" s="107"/>
      <c r="Q968" s="107"/>
      <c r="R968" s="107"/>
      <c r="S968" s="107"/>
      <c r="T968" s="107"/>
      <c r="U968" s="107"/>
      <c r="V968" s="107"/>
      <c r="W968" s="107"/>
      <c r="X968" s="107"/>
      <c r="Y968" s="107"/>
      <c r="Z968" s="107"/>
      <c r="AA968" s="107"/>
    </row>
    <row r="969">
      <c r="A969" s="110"/>
      <c r="B969" s="107"/>
      <c r="C969" s="107"/>
      <c r="D969" s="107"/>
      <c r="E969" s="107"/>
      <c r="F969" s="107"/>
      <c r="G969" s="107"/>
      <c r="H969" s="107"/>
      <c r="I969" s="107"/>
      <c r="J969" s="107"/>
      <c r="K969" s="107"/>
      <c r="L969" s="107"/>
      <c r="M969" s="107"/>
      <c r="N969" s="107"/>
      <c r="O969" s="107"/>
      <c r="P969" s="107"/>
      <c r="Q969" s="107"/>
      <c r="R969" s="107"/>
      <c r="S969" s="107"/>
      <c r="T969" s="107"/>
      <c r="U969" s="107"/>
      <c r="V969" s="107"/>
      <c r="W969" s="107"/>
      <c r="X969" s="107"/>
      <c r="Y969" s="107"/>
      <c r="Z969" s="107"/>
      <c r="AA969" s="107"/>
    </row>
    <row r="970">
      <c r="A970" s="110"/>
      <c r="B970" s="107"/>
      <c r="C970" s="107"/>
      <c r="D970" s="107"/>
      <c r="E970" s="107"/>
      <c r="F970" s="107"/>
      <c r="G970" s="107"/>
      <c r="H970" s="107"/>
      <c r="I970" s="107"/>
      <c r="J970" s="107"/>
      <c r="K970" s="107"/>
      <c r="L970" s="107"/>
      <c r="M970" s="107"/>
      <c r="N970" s="107"/>
      <c r="O970" s="107"/>
      <c r="P970" s="107"/>
      <c r="Q970" s="107"/>
      <c r="R970" s="107"/>
      <c r="S970" s="107"/>
      <c r="T970" s="107"/>
      <c r="U970" s="107"/>
      <c r="V970" s="107"/>
      <c r="W970" s="107"/>
      <c r="X970" s="107"/>
      <c r="Y970" s="107"/>
      <c r="Z970" s="107"/>
      <c r="AA970" s="107"/>
    </row>
    <row r="971">
      <c r="A971" s="110"/>
      <c r="B971" s="107"/>
      <c r="C971" s="107"/>
      <c r="D971" s="107"/>
      <c r="E971" s="107"/>
      <c r="F971" s="107"/>
      <c r="G971" s="107"/>
      <c r="H971" s="107"/>
      <c r="I971" s="107"/>
      <c r="J971" s="107"/>
      <c r="K971" s="107"/>
      <c r="L971" s="107"/>
      <c r="M971" s="107"/>
      <c r="N971" s="107"/>
      <c r="O971" s="107"/>
      <c r="P971" s="107"/>
      <c r="Q971" s="107"/>
      <c r="R971" s="107"/>
      <c r="S971" s="107"/>
      <c r="T971" s="107"/>
      <c r="U971" s="107"/>
      <c r="V971" s="107"/>
      <c r="W971" s="107"/>
      <c r="X971" s="107"/>
      <c r="Y971" s="107"/>
      <c r="Z971" s="107"/>
      <c r="AA971" s="107"/>
    </row>
    <row r="972">
      <c r="A972" s="110"/>
      <c r="B972" s="107"/>
      <c r="C972" s="107"/>
      <c r="D972" s="107"/>
      <c r="E972" s="107"/>
      <c r="F972" s="107"/>
      <c r="G972" s="107"/>
      <c r="H972" s="107"/>
      <c r="I972" s="107"/>
      <c r="J972" s="107"/>
      <c r="K972" s="107"/>
      <c r="L972" s="107"/>
      <c r="M972" s="107"/>
      <c r="N972" s="107"/>
      <c r="O972" s="107"/>
      <c r="P972" s="107"/>
      <c r="Q972" s="107"/>
      <c r="R972" s="107"/>
      <c r="S972" s="107"/>
      <c r="T972" s="107"/>
      <c r="U972" s="107"/>
      <c r="V972" s="107"/>
      <c r="W972" s="107"/>
      <c r="X972" s="107"/>
      <c r="Y972" s="107"/>
      <c r="Z972" s="107"/>
      <c r="AA972" s="107"/>
    </row>
    <row r="973">
      <c r="A973" s="110"/>
      <c r="B973" s="107"/>
      <c r="C973" s="107"/>
      <c r="D973" s="107"/>
      <c r="E973" s="107"/>
      <c r="F973" s="107"/>
      <c r="G973" s="107"/>
      <c r="H973" s="107"/>
      <c r="I973" s="107"/>
      <c r="J973" s="107"/>
      <c r="K973" s="107"/>
      <c r="L973" s="107"/>
      <c r="M973" s="107"/>
      <c r="N973" s="107"/>
      <c r="O973" s="107"/>
      <c r="P973" s="107"/>
      <c r="Q973" s="107"/>
      <c r="R973" s="107"/>
      <c r="S973" s="107"/>
      <c r="T973" s="107"/>
      <c r="U973" s="107"/>
      <c r="V973" s="107"/>
      <c r="W973" s="107"/>
      <c r="X973" s="107"/>
      <c r="Y973" s="107"/>
      <c r="Z973" s="107"/>
      <c r="AA973" s="107"/>
    </row>
    <row r="974">
      <c r="A974" s="110"/>
      <c r="B974" s="107"/>
      <c r="C974" s="107"/>
      <c r="D974" s="107"/>
      <c r="E974" s="107"/>
      <c r="F974" s="107"/>
      <c r="G974" s="107"/>
      <c r="H974" s="107"/>
      <c r="I974" s="107"/>
      <c r="J974" s="107"/>
      <c r="K974" s="107"/>
      <c r="L974" s="107"/>
      <c r="M974" s="107"/>
      <c r="N974" s="107"/>
      <c r="O974" s="107"/>
      <c r="P974" s="107"/>
      <c r="Q974" s="107"/>
      <c r="R974" s="107"/>
      <c r="S974" s="107"/>
      <c r="T974" s="107"/>
      <c r="U974" s="107"/>
      <c r="V974" s="107"/>
      <c r="W974" s="107"/>
      <c r="X974" s="107"/>
      <c r="Y974" s="107"/>
      <c r="Z974" s="107"/>
      <c r="AA974" s="107"/>
    </row>
    <row r="975">
      <c r="A975" s="110"/>
      <c r="B975" s="107"/>
      <c r="C975" s="107"/>
      <c r="D975" s="107"/>
      <c r="E975" s="107"/>
      <c r="F975" s="107"/>
      <c r="G975" s="107"/>
      <c r="H975" s="107"/>
      <c r="I975" s="107"/>
      <c r="J975" s="107"/>
      <c r="K975" s="107"/>
      <c r="L975" s="107"/>
      <c r="M975" s="107"/>
      <c r="N975" s="107"/>
      <c r="O975" s="107"/>
      <c r="P975" s="107"/>
      <c r="Q975" s="107"/>
      <c r="R975" s="107"/>
      <c r="S975" s="107"/>
      <c r="T975" s="107"/>
      <c r="U975" s="107"/>
      <c r="V975" s="107"/>
      <c r="W975" s="107"/>
      <c r="X975" s="107"/>
      <c r="Y975" s="107"/>
      <c r="Z975" s="107"/>
      <c r="AA975" s="107"/>
    </row>
    <row r="976">
      <c r="A976" s="110"/>
      <c r="B976" s="107"/>
      <c r="C976" s="107"/>
      <c r="D976" s="107"/>
      <c r="E976" s="107"/>
      <c r="F976" s="107"/>
      <c r="G976" s="107"/>
      <c r="H976" s="107"/>
      <c r="I976" s="107"/>
      <c r="J976" s="107"/>
      <c r="K976" s="107"/>
      <c r="L976" s="107"/>
      <c r="M976" s="107"/>
      <c r="N976" s="107"/>
      <c r="O976" s="107"/>
      <c r="P976" s="107"/>
      <c r="Q976" s="107"/>
      <c r="R976" s="107"/>
      <c r="S976" s="107"/>
      <c r="T976" s="107"/>
      <c r="U976" s="107"/>
      <c r="V976" s="107"/>
      <c r="W976" s="107"/>
      <c r="X976" s="107"/>
      <c r="Y976" s="107"/>
      <c r="Z976" s="107"/>
      <c r="AA976" s="107"/>
    </row>
    <row r="977">
      <c r="A977" s="110"/>
      <c r="B977" s="107"/>
      <c r="C977" s="107"/>
      <c r="D977" s="107"/>
      <c r="E977" s="107"/>
      <c r="F977" s="107"/>
      <c r="G977" s="107"/>
      <c r="H977" s="107"/>
      <c r="I977" s="107"/>
      <c r="J977" s="107"/>
      <c r="K977" s="107"/>
      <c r="L977" s="107"/>
      <c r="M977" s="107"/>
      <c r="N977" s="107"/>
      <c r="O977" s="107"/>
      <c r="P977" s="107"/>
      <c r="Q977" s="107"/>
      <c r="R977" s="107"/>
      <c r="S977" s="107"/>
      <c r="T977" s="107"/>
      <c r="U977" s="107"/>
      <c r="V977" s="107"/>
      <c r="W977" s="107"/>
      <c r="X977" s="107"/>
      <c r="Y977" s="107"/>
      <c r="Z977" s="107"/>
      <c r="AA977" s="107"/>
    </row>
    <row r="978">
      <c r="A978" s="110"/>
      <c r="B978" s="107"/>
      <c r="C978" s="107"/>
      <c r="D978" s="107"/>
      <c r="E978" s="107"/>
      <c r="F978" s="107"/>
      <c r="G978" s="107"/>
      <c r="H978" s="107"/>
      <c r="I978" s="107"/>
      <c r="J978" s="107"/>
      <c r="K978" s="107"/>
      <c r="L978" s="107"/>
      <c r="M978" s="107"/>
      <c r="N978" s="107"/>
      <c r="O978" s="107"/>
      <c r="P978" s="107"/>
      <c r="Q978" s="107"/>
      <c r="R978" s="107"/>
      <c r="S978" s="107"/>
      <c r="T978" s="107"/>
      <c r="U978" s="107"/>
      <c r="V978" s="107"/>
      <c r="W978" s="107"/>
      <c r="X978" s="107"/>
      <c r="Y978" s="107"/>
      <c r="Z978" s="107"/>
      <c r="AA978" s="107"/>
    </row>
    <row r="979">
      <c r="A979" s="110"/>
      <c r="B979" s="107"/>
      <c r="C979" s="107"/>
      <c r="D979" s="107"/>
      <c r="E979" s="107"/>
      <c r="F979" s="107"/>
      <c r="G979" s="107"/>
      <c r="H979" s="107"/>
      <c r="I979" s="107"/>
      <c r="J979" s="107"/>
      <c r="K979" s="107"/>
      <c r="L979" s="107"/>
      <c r="M979" s="107"/>
      <c r="N979" s="107"/>
      <c r="O979" s="107"/>
      <c r="P979" s="107"/>
      <c r="Q979" s="107"/>
      <c r="R979" s="107"/>
      <c r="S979" s="107"/>
      <c r="T979" s="107"/>
      <c r="U979" s="107"/>
      <c r="V979" s="107"/>
      <c r="W979" s="107"/>
      <c r="X979" s="107"/>
      <c r="Y979" s="107"/>
      <c r="Z979" s="107"/>
      <c r="AA979" s="107"/>
    </row>
    <row r="980">
      <c r="A980" s="110"/>
      <c r="B980" s="107"/>
      <c r="C980" s="107"/>
      <c r="D980" s="107"/>
      <c r="E980" s="107"/>
      <c r="F980" s="107"/>
      <c r="G980" s="107"/>
      <c r="H980" s="107"/>
      <c r="I980" s="107"/>
      <c r="J980" s="107"/>
      <c r="K980" s="107"/>
      <c r="L980" s="107"/>
      <c r="M980" s="107"/>
      <c r="N980" s="107"/>
      <c r="O980" s="107"/>
      <c r="P980" s="107"/>
      <c r="Q980" s="107"/>
      <c r="R980" s="107"/>
      <c r="S980" s="107"/>
      <c r="T980" s="107"/>
      <c r="U980" s="107"/>
      <c r="V980" s="107"/>
      <c r="W980" s="107"/>
      <c r="X980" s="107"/>
      <c r="Y980" s="107"/>
      <c r="Z980" s="107"/>
      <c r="AA980" s="107"/>
    </row>
    <row r="981">
      <c r="A981" s="110"/>
      <c r="B981" s="107"/>
      <c r="C981" s="107"/>
      <c r="D981" s="107"/>
      <c r="E981" s="107"/>
      <c r="F981" s="107"/>
      <c r="G981" s="107"/>
      <c r="H981" s="107"/>
      <c r="I981" s="107"/>
      <c r="J981" s="107"/>
      <c r="K981" s="107"/>
      <c r="L981" s="107"/>
      <c r="M981" s="107"/>
      <c r="N981" s="107"/>
      <c r="O981" s="107"/>
      <c r="P981" s="107"/>
      <c r="Q981" s="107"/>
      <c r="R981" s="107"/>
      <c r="S981" s="107"/>
      <c r="T981" s="107"/>
      <c r="U981" s="107"/>
      <c r="V981" s="107"/>
      <c r="W981" s="107"/>
      <c r="X981" s="107"/>
      <c r="Y981" s="107"/>
      <c r="Z981" s="107"/>
      <c r="AA981" s="107"/>
    </row>
    <row r="982">
      <c r="A982" s="110"/>
      <c r="B982" s="107"/>
      <c r="C982" s="107"/>
      <c r="D982" s="107"/>
      <c r="E982" s="107"/>
      <c r="F982" s="107"/>
      <c r="G982" s="107"/>
      <c r="H982" s="107"/>
      <c r="I982" s="107"/>
      <c r="J982" s="107"/>
      <c r="K982" s="107"/>
      <c r="L982" s="107"/>
      <c r="M982" s="107"/>
      <c r="N982" s="107"/>
      <c r="O982" s="107"/>
      <c r="P982" s="107"/>
      <c r="Q982" s="107"/>
      <c r="R982" s="107"/>
      <c r="S982" s="107"/>
      <c r="T982" s="107"/>
      <c r="U982" s="107"/>
      <c r="V982" s="107"/>
      <c r="W982" s="107"/>
      <c r="X982" s="107"/>
      <c r="Y982" s="107"/>
      <c r="Z982" s="107"/>
      <c r="AA982" s="107"/>
    </row>
    <row r="983">
      <c r="A983" s="110"/>
      <c r="B983" s="107"/>
      <c r="C983" s="107"/>
      <c r="D983" s="107"/>
      <c r="E983" s="107"/>
      <c r="F983" s="107"/>
      <c r="G983" s="107"/>
      <c r="H983" s="107"/>
      <c r="I983" s="107"/>
      <c r="J983" s="107"/>
      <c r="K983" s="107"/>
      <c r="L983" s="107"/>
      <c r="M983" s="107"/>
      <c r="N983" s="107"/>
      <c r="O983" s="107"/>
      <c r="P983" s="107"/>
      <c r="Q983" s="107"/>
      <c r="R983" s="107"/>
      <c r="S983" s="107"/>
      <c r="T983" s="107"/>
      <c r="U983" s="107"/>
      <c r="V983" s="107"/>
      <c r="W983" s="107"/>
      <c r="X983" s="107"/>
      <c r="Y983" s="107"/>
      <c r="Z983" s="107"/>
      <c r="AA983" s="107"/>
    </row>
    <row r="984">
      <c r="A984" s="110"/>
      <c r="B984" s="107"/>
      <c r="C984" s="107"/>
      <c r="D984" s="107"/>
      <c r="E984" s="107"/>
      <c r="F984" s="107"/>
      <c r="G984" s="107"/>
      <c r="H984" s="107"/>
      <c r="I984" s="107"/>
      <c r="J984" s="107"/>
      <c r="K984" s="107"/>
      <c r="L984" s="107"/>
      <c r="M984" s="107"/>
      <c r="N984" s="107"/>
      <c r="O984" s="107"/>
      <c r="P984" s="107"/>
      <c r="Q984" s="107"/>
      <c r="R984" s="107"/>
      <c r="S984" s="107"/>
      <c r="T984" s="107"/>
      <c r="U984" s="107"/>
      <c r="V984" s="107"/>
      <c r="W984" s="107"/>
      <c r="X984" s="107"/>
      <c r="Y984" s="107"/>
      <c r="Z984" s="107"/>
      <c r="AA984" s="107"/>
    </row>
    <row r="985">
      <c r="A985" s="110"/>
      <c r="B985" s="107"/>
      <c r="C985" s="107"/>
      <c r="D985" s="107"/>
      <c r="E985" s="107"/>
      <c r="F985" s="107"/>
      <c r="G985" s="107"/>
      <c r="H985" s="107"/>
      <c r="I985" s="107"/>
      <c r="J985" s="107"/>
      <c r="K985" s="107"/>
      <c r="L985" s="107"/>
      <c r="M985" s="107"/>
      <c r="N985" s="107"/>
      <c r="O985" s="107"/>
      <c r="P985" s="107"/>
      <c r="Q985" s="107"/>
      <c r="R985" s="107"/>
      <c r="S985" s="107"/>
      <c r="T985" s="107"/>
      <c r="U985" s="107"/>
      <c r="V985" s="107"/>
      <c r="W985" s="107"/>
      <c r="X985" s="107"/>
      <c r="Y985" s="107"/>
      <c r="Z985" s="107"/>
      <c r="AA985" s="107"/>
    </row>
    <row r="986">
      <c r="A986" s="110"/>
      <c r="B986" s="107"/>
      <c r="C986" s="107"/>
      <c r="D986" s="107"/>
      <c r="E986" s="107"/>
      <c r="F986" s="107"/>
      <c r="G986" s="107"/>
      <c r="H986" s="107"/>
      <c r="I986" s="107"/>
      <c r="J986" s="107"/>
      <c r="K986" s="107"/>
      <c r="L986" s="107"/>
      <c r="M986" s="107"/>
      <c r="N986" s="107"/>
      <c r="O986" s="107"/>
      <c r="P986" s="107"/>
      <c r="Q986" s="107"/>
      <c r="R986" s="107"/>
      <c r="S986" s="107"/>
      <c r="T986" s="107"/>
      <c r="U986" s="107"/>
      <c r="V986" s="107"/>
      <c r="W986" s="107"/>
      <c r="X986" s="107"/>
      <c r="Y986" s="107"/>
      <c r="Z986" s="107"/>
      <c r="AA986" s="107"/>
    </row>
    <row r="987">
      <c r="A987" s="110"/>
      <c r="B987" s="107"/>
      <c r="C987" s="107"/>
      <c r="D987" s="107"/>
      <c r="E987" s="107"/>
      <c r="F987" s="107"/>
      <c r="G987" s="107"/>
      <c r="H987" s="107"/>
      <c r="I987" s="107"/>
      <c r="J987" s="107"/>
      <c r="K987" s="107"/>
      <c r="L987" s="107"/>
      <c r="M987" s="107"/>
      <c r="N987" s="107"/>
      <c r="O987" s="107"/>
      <c r="P987" s="107"/>
      <c r="Q987" s="107"/>
      <c r="R987" s="107"/>
      <c r="S987" s="107"/>
      <c r="T987" s="107"/>
      <c r="U987" s="107"/>
      <c r="V987" s="107"/>
      <c r="W987" s="107"/>
      <c r="X987" s="107"/>
      <c r="Y987" s="107"/>
      <c r="Z987" s="107"/>
      <c r="AA987" s="107"/>
    </row>
    <row r="988">
      <c r="A988" s="110"/>
      <c r="B988" s="107"/>
      <c r="C988" s="107"/>
      <c r="D988" s="107"/>
      <c r="E988" s="107"/>
      <c r="F988" s="107"/>
      <c r="G988" s="107"/>
      <c r="H988" s="107"/>
      <c r="I988" s="107"/>
      <c r="J988" s="107"/>
      <c r="K988" s="107"/>
      <c r="L988" s="107"/>
      <c r="M988" s="107"/>
      <c r="N988" s="107"/>
      <c r="O988" s="107"/>
      <c r="P988" s="107"/>
      <c r="Q988" s="107"/>
      <c r="R988" s="107"/>
      <c r="S988" s="107"/>
      <c r="T988" s="107"/>
      <c r="U988" s="107"/>
      <c r="V988" s="107"/>
      <c r="W988" s="107"/>
      <c r="X988" s="107"/>
      <c r="Y988" s="107"/>
      <c r="Z988" s="107"/>
      <c r="AA988" s="107"/>
    </row>
    <row r="989">
      <c r="A989" s="110"/>
      <c r="B989" s="107"/>
      <c r="C989" s="107"/>
      <c r="D989" s="107"/>
      <c r="E989" s="107"/>
      <c r="F989" s="107"/>
      <c r="G989" s="107"/>
      <c r="H989" s="107"/>
      <c r="I989" s="107"/>
      <c r="J989" s="107"/>
      <c r="K989" s="107"/>
      <c r="L989" s="107"/>
      <c r="M989" s="107"/>
      <c r="N989" s="107"/>
      <c r="O989" s="107"/>
      <c r="P989" s="107"/>
      <c r="Q989" s="107"/>
      <c r="R989" s="107"/>
      <c r="S989" s="107"/>
      <c r="T989" s="107"/>
      <c r="U989" s="107"/>
      <c r="V989" s="107"/>
      <c r="W989" s="107"/>
      <c r="X989" s="107"/>
      <c r="Y989" s="107"/>
      <c r="Z989" s="107"/>
      <c r="AA989" s="107"/>
    </row>
    <row r="990">
      <c r="A990" s="110"/>
      <c r="B990" s="107"/>
      <c r="C990" s="107"/>
      <c r="D990" s="107"/>
      <c r="E990" s="107"/>
      <c r="F990" s="107"/>
      <c r="G990" s="107"/>
      <c r="H990" s="107"/>
      <c r="I990" s="107"/>
      <c r="J990" s="107"/>
      <c r="K990" s="107"/>
      <c r="L990" s="107"/>
      <c r="M990" s="107"/>
      <c r="N990" s="107"/>
      <c r="O990" s="107"/>
      <c r="P990" s="107"/>
      <c r="Q990" s="107"/>
      <c r="R990" s="107"/>
      <c r="S990" s="107"/>
      <c r="T990" s="107"/>
      <c r="U990" s="107"/>
      <c r="V990" s="107"/>
      <c r="W990" s="107"/>
      <c r="X990" s="107"/>
      <c r="Y990" s="107"/>
      <c r="Z990" s="107"/>
      <c r="AA990" s="107"/>
    </row>
    <row r="991">
      <c r="A991" s="110"/>
      <c r="B991" s="107"/>
      <c r="C991" s="107"/>
      <c r="D991" s="107"/>
      <c r="E991" s="107"/>
      <c r="F991" s="107"/>
      <c r="G991" s="107"/>
      <c r="H991" s="107"/>
      <c r="I991" s="107"/>
      <c r="J991" s="107"/>
      <c r="K991" s="107"/>
      <c r="L991" s="107"/>
      <c r="M991" s="107"/>
      <c r="N991" s="107"/>
      <c r="O991" s="107"/>
      <c r="P991" s="107"/>
      <c r="Q991" s="107"/>
      <c r="R991" s="107"/>
      <c r="S991" s="107"/>
      <c r="T991" s="107"/>
      <c r="U991" s="107"/>
      <c r="V991" s="107"/>
      <c r="W991" s="107"/>
      <c r="X991" s="107"/>
      <c r="Y991" s="107"/>
      <c r="Z991" s="107"/>
      <c r="AA991" s="107"/>
    </row>
    <row r="992">
      <c r="A992" s="110"/>
      <c r="B992" s="107"/>
      <c r="C992" s="107"/>
      <c r="D992" s="107"/>
      <c r="E992" s="107"/>
      <c r="F992" s="107"/>
      <c r="G992" s="107"/>
      <c r="H992" s="107"/>
      <c r="I992" s="107"/>
      <c r="J992" s="107"/>
      <c r="K992" s="107"/>
      <c r="L992" s="107"/>
      <c r="M992" s="107"/>
      <c r="N992" s="107"/>
      <c r="O992" s="107"/>
      <c r="P992" s="107"/>
      <c r="Q992" s="107"/>
      <c r="R992" s="107"/>
      <c r="S992" s="107"/>
      <c r="T992" s="107"/>
      <c r="U992" s="107"/>
      <c r="V992" s="107"/>
      <c r="W992" s="107"/>
      <c r="X992" s="107"/>
      <c r="Y992" s="107"/>
      <c r="Z992" s="107"/>
      <c r="AA992" s="107"/>
    </row>
    <row r="993">
      <c r="A993" s="110"/>
      <c r="B993" s="107"/>
      <c r="C993" s="107"/>
      <c r="D993" s="107"/>
      <c r="E993" s="107"/>
      <c r="F993" s="107"/>
      <c r="G993" s="107"/>
      <c r="H993" s="107"/>
      <c r="I993" s="107"/>
      <c r="J993" s="107"/>
      <c r="K993" s="107"/>
      <c r="L993" s="107"/>
      <c r="M993" s="107"/>
      <c r="N993" s="107"/>
      <c r="O993" s="107"/>
      <c r="P993" s="107"/>
      <c r="Q993" s="107"/>
      <c r="R993" s="107"/>
      <c r="S993" s="107"/>
      <c r="T993" s="107"/>
      <c r="U993" s="107"/>
      <c r="V993" s="107"/>
      <c r="W993" s="107"/>
      <c r="X993" s="107"/>
      <c r="Y993" s="107"/>
      <c r="Z993" s="107"/>
      <c r="AA993" s="107"/>
    </row>
    <row r="994">
      <c r="A994" s="110"/>
      <c r="B994" s="107"/>
      <c r="C994" s="107"/>
      <c r="D994" s="107"/>
      <c r="E994" s="107"/>
      <c r="F994" s="107"/>
      <c r="G994" s="107"/>
      <c r="H994" s="107"/>
      <c r="I994" s="107"/>
      <c r="J994" s="107"/>
      <c r="K994" s="107"/>
      <c r="L994" s="107"/>
      <c r="M994" s="107"/>
      <c r="N994" s="107"/>
      <c r="O994" s="107"/>
      <c r="P994" s="107"/>
      <c r="Q994" s="107"/>
      <c r="R994" s="107"/>
      <c r="S994" s="107"/>
      <c r="T994" s="107"/>
      <c r="U994" s="107"/>
      <c r="V994" s="107"/>
      <c r="W994" s="107"/>
      <c r="X994" s="107"/>
      <c r="Y994" s="107"/>
      <c r="Z994" s="107"/>
      <c r="AA994" s="107"/>
    </row>
    <row r="995">
      <c r="A995" s="110"/>
      <c r="B995" s="107"/>
      <c r="C995" s="107"/>
      <c r="D995" s="107"/>
      <c r="E995" s="107"/>
      <c r="F995" s="107"/>
      <c r="G995" s="107"/>
      <c r="H995" s="107"/>
      <c r="I995" s="107"/>
      <c r="J995" s="107"/>
      <c r="K995" s="107"/>
      <c r="L995" s="107"/>
      <c r="M995" s="107"/>
      <c r="N995" s="107"/>
      <c r="O995" s="107"/>
      <c r="P995" s="107"/>
      <c r="Q995" s="107"/>
      <c r="R995" s="107"/>
      <c r="S995" s="107"/>
      <c r="T995" s="107"/>
      <c r="U995" s="107"/>
      <c r="V995" s="107"/>
      <c r="W995" s="107"/>
      <c r="X995" s="107"/>
      <c r="Y995" s="107"/>
      <c r="Z995" s="107"/>
      <c r="AA995" s="107"/>
    </row>
    <row r="996">
      <c r="A996" s="110"/>
      <c r="B996" s="107"/>
      <c r="C996" s="107"/>
      <c r="D996" s="107"/>
      <c r="E996" s="107"/>
      <c r="F996" s="107"/>
      <c r="G996" s="107"/>
      <c r="H996" s="107"/>
      <c r="I996" s="107"/>
      <c r="J996" s="107"/>
      <c r="K996" s="107"/>
      <c r="L996" s="107"/>
      <c r="M996" s="107"/>
      <c r="N996" s="107"/>
      <c r="O996" s="107"/>
      <c r="P996" s="107"/>
      <c r="Q996" s="107"/>
      <c r="R996" s="107"/>
      <c r="S996" s="107"/>
      <c r="T996" s="107"/>
      <c r="U996" s="107"/>
      <c r="V996" s="107"/>
      <c r="W996" s="107"/>
      <c r="X996" s="107"/>
      <c r="Y996" s="107"/>
      <c r="Z996" s="107"/>
      <c r="AA996" s="107"/>
    </row>
    <row r="997">
      <c r="A997" s="110"/>
      <c r="B997" s="107"/>
      <c r="C997" s="107"/>
      <c r="D997" s="107"/>
      <c r="E997" s="107"/>
      <c r="F997" s="107"/>
      <c r="G997" s="107"/>
      <c r="H997" s="107"/>
      <c r="I997" s="107"/>
      <c r="J997" s="107"/>
      <c r="K997" s="107"/>
      <c r="L997" s="107"/>
      <c r="M997" s="107"/>
      <c r="N997" s="107"/>
      <c r="O997" s="107"/>
      <c r="P997" s="107"/>
      <c r="Q997" s="107"/>
      <c r="R997" s="107"/>
      <c r="S997" s="107"/>
      <c r="T997" s="107"/>
      <c r="U997" s="107"/>
      <c r="V997" s="107"/>
      <c r="W997" s="107"/>
      <c r="X997" s="107"/>
      <c r="Y997" s="107"/>
      <c r="Z997" s="107"/>
      <c r="AA997" s="107"/>
    </row>
    <row r="998">
      <c r="A998" s="110"/>
      <c r="B998" s="107"/>
      <c r="C998" s="107"/>
      <c r="D998" s="107"/>
      <c r="E998" s="107"/>
      <c r="F998" s="107"/>
      <c r="G998" s="107"/>
      <c r="H998" s="107"/>
      <c r="I998" s="107"/>
      <c r="J998" s="107"/>
      <c r="K998" s="107"/>
      <c r="L998" s="107"/>
      <c r="M998" s="107"/>
      <c r="N998" s="107"/>
      <c r="O998" s="107"/>
      <c r="P998" s="107"/>
      <c r="Q998" s="107"/>
      <c r="R998" s="107"/>
      <c r="S998" s="107"/>
      <c r="T998" s="107"/>
      <c r="U998" s="107"/>
      <c r="V998" s="107"/>
      <c r="W998" s="107"/>
      <c r="X998" s="107"/>
      <c r="Y998" s="107"/>
      <c r="Z998" s="107"/>
      <c r="AA998" s="107"/>
    </row>
    <row r="999">
      <c r="A999" s="110"/>
      <c r="B999" s="107"/>
      <c r="C999" s="107"/>
      <c r="D999" s="107"/>
      <c r="E999" s="107"/>
      <c r="F999" s="107"/>
      <c r="G999" s="107"/>
      <c r="H999" s="107"/>
      <c r="I999" s="107"/>
      <c r="J999" s="107"/>
      <c r="K999" s="107"/>
      <c r="L999" s="107"/>
      <c r="M999" s="107"/>
      <c r="N999" s="107"/>
      <c r="O999" s="107"/>
      <c r="P999" s="107"/>
      <c r="Q999" s="107"/>
      <c r="R999" s="107"/>
      <c r="S999" s="107"/>
      <c r="T999" s="107"/>
      <c r="U999" s="107"/>
      <c r="V999" s="107"/>
      <c r="W999" s="107"/>
      <c r="X999" s="107"/>
      <c r="Y999" s="107"/>
      <c r="Z999" s="107"/>
      <c r="AA999" s="107"/>
    </row>
    <row r="1000">
      <c r="A1000" s="110"/>
      <c r="B1000" s="107"/>
      <c r="C1000" s="107"/>
      <c r="D1000" s="107"/>
      <c r="E1000" s="107"/>
      <c r="F1000" s="107"/>
      <c r="G1000" s="107"/>
      <c r="H1000" s="107"/>
      <c r="I1000" s="107"/>
      <c r="J1000" s="107"/>
      <c r="K1000" s="107"/>
      <c r="L1000" s="107"/>
      <c r="M1000" s="107"/>
      <c r="N1000" s="107"/>
      <c r="O1000" s="107"/>
      <c r="P1000" s="107"/>
      <c r="Q1000" s="107"/>
      <c r="R1000" s="107"/>
      <c r="S1000" s="107"/>
      <c r="T1000" s="107"/>
      <c r="U1000" s="107"/>
      <c r="V1000" s="107"/>
      <c r="W1000" s="107"/>
      <c r="X1000" s="107"/>
      <c r="Y1000" s="107"/>
      <c r="Z1000" s="107"/>
      <c r="AA1000" s="107"/>
    </row>
    <row r="1001">
      <c r="A1001" s="110"/>
      <c r="B1001" s="107"/>
      <c r="C1001" s="107"/>
      <c r="D1001" s="107"/>
      <c r="E1001" s="107"/>
      <c r="F1001" s="107"/>
      <c r="G1001" s="107"/>
      <c r="H1001" s="107"/>
      <c r="I1001" s="107"/>
      <c r="J1001" s="107"/>
      <c r="K1001" s="107"/>
      <c r="L1001" s="107"/>
      <c r="M1001" s="107"/>
      <c r="N1001" s="107"/>
      <c r="O1001" s="107"/>
      <c r="P1001" s="107"/>
      <c r="Q1001" s="107"/>
      <c r="R1001" s="107"/>
      <c r="S1001" s="107"/>
      <c r="T1001" s="107"/>
      <c r="U1001" s="107"/>
      <c r="V1001" s="107"/>
      <c r="W1001" s="107"/>
      <c r="X1001" s="107"/>
      <c r="Y1001" s="107"/>
      <c r="Z1001" s="107"/>
      <c r="AA1001" s="107"/>
    </row>
    <row r="1002">
      <c r="A1002" s="110"/>
      <c r="B1002" s="107"/>
      <c r="C1002" s="107"/>
      <c r="D1002" s="107"/>
      <c r="E1002" s="107"/>
      <c r="F1002" s="107"/>
      <c r="G1002" s="107"/>
      <c r="H1002" s="107"/>
      <c r="I1002" s="107"/>
      <c r="J1002" s="107"/>
      <c r="K1002" s="107"/>
      <c r="L1002" s="107"/>
      <c r="M1002" s="107"/>
      <c r="N1002" s="107"/>
      <c r="O1002" s="107"/>
      <c r="P1002" s="107"/>
      <c r="Q1002" s="107"/>
      <c r="R1002" s="107"/>
      <c r="S1002" s="107"/>
      <c r="T1002" s="107"/>
      <c r="U1002" s="107"/>
      <c r="V1002" s="107"/>
      <c r="W1002" s="107"/>
      <c r="X1002" s="107"/>
      <c r="Y1002" s="107"/>
      <c r="Z1002" s="107"/>
      <c r="AA1002" s="107"/>
    </row>
    <row r="1003">
      <c r="A1003" s="110"/>
      <c r="B1003" s="107"/>
      <c r="C1003" s="107"/>
      <c r="D1003" s="107"/>
      <c r="E1003" s="107"/>
      <c r="F1003" s="107"/>
      <c r="G1003" s="107"/>
      <c r="H1003" s="107"/>
      <c r="I1003" s="107"/>
      <c r="J1003" s="107"/>
      <c r="K1003" s="107"/>
      <c r="L1003" s="107"/>
      <c r="M1003" s="107"/>
      <c r="N1003" s="107"/>
      <c r="O1003" s="107"/>
      <c r="P1003" s="107"/>
      <c r="Q1003" s="107"/>
      <c r="R1003" s="107"/>
      <c r="S1003" s="107"/>
      <c r="T1003" s="107"/>
      <c r="U1003" s="107"/>
      <c r="V1003" s="107"/>
      <c r="W1003" s="107"/>
      <c r="X1003" s="107"/>
      <c r="Y1003" s="107"/>
      <c r="Z1003" s="107"/>
      <c r="AA1003" s="107"/>
    </row>
    <row r="1004">
      <c r="A1004" s="110"/>
      <c r="B1004" s="107"/>
      <c r="C1004" s="107"/>
      <c r="D1004" s="107"/>
      <c r="E1004" s="107"/>
      <c r="F1004" s="107"/>
      <c r="G1004" s="107"/>
      <c r="H1004" s="107"/>
      <c r="I1004" s="107"/>
      <c r="J1004" s="107"/>
      <c r="K1004" s="107"/>
      <c r="L1004" s="107"/>
      <c r="M1004" s="107"/>
      <c r="N1004" s="107"/>
      <c r="O1004" s="107"/>
      <c r="P1004" s="107"/>
      <c r="Q1004" s="107"/>
      <c r="R1004" s="107"/>
      <c r="S1004" s="107"/>
      <c r="T1004" s="107"/>
      <c r="U1004" s="107"/>
      <c r="V1004" s="107"/>
      <c r="W1004" s="107"/>
      <c r="X1004" s="107"/>
      <c r="Y1004" s="107"/>
      <c r="Z1004" s="107"/>
      <c r="AA1004" s="107"/>
    </row>
    <row r="1005">
      <c r="A1005" s="110"/>
      <c r="B1005" s="107"/>
      <c r="C1005" s="107"/>
      <c r="D1005" s="107"/>
      <c r="E1005" s="107"/>
      <c r="F1005" s="107"/>
      <c r="G1005" s="107"/>
      <c r="H1005" s="107"/>
      <c r="I1005" s="107"/>
      <c r="J1005" s="107"/>
      <c r="K1005" s="107"/>
      <c r="L1005" s="107"/>
      <c r="M1005" s="107"/>
      <c r="N1005" s="107"/>
      <c r="O1005" s="107"/>
      <c r="P1005" s="107"/>
      <c r="Q1005" s="107"/>
      <c r="R1005" s="107"/>
      <c r="S1005" s="107"/>
      <c r="T1005" s="107"/>
      <c r="U1005" s="107"/>
      <c r="V1005" s="107"/>
      <c r="W1005" s="107"/>
      <c r="X1005" s="107"/>
      <c r="Y1005" s="107"/>
      <c r="Z1005" s="107"/>
      <c r="AA1005" s="107"/>
    </row>
    <row r="1006">
      <c r="A1006" s="110"/>
      <c r="B1006" s="107"/>
      <c r="C1006" s="107"/>
      <c r="D1006" s="107"/>
      <c r="E1006" s="107"/>
      <c r="F1006" s="107"/>
      <c r="G1006" s="107"/>
      <c r="H1006" s="107"/>
      <c r="I1006" s="107"/>
      <c r="J1006" s="107"/>
      <c r="K1006" s="107"/>
      <c r="L1006" s="107"/>
      <c r="M1006" s="107"/>
      <c r="N1006" s="107"/>
      <c r="O1006" s="107"/>
      <c r="P1006" s="107"/>
      <c r="Q1006" s="107"/>
      <c r="R1006" s="107"/>
      <c r="S1006" s="107"/>
      <c r="T1006" s="107"/>
      <c r="U1006" s="107"/>
      <c r="V1006" s="107"/>
      <c r="W1006" s="107"/>
      <c r="X1006" s="107"/>
      <c r="Y1006" s="107"/>
      <c r="Z1006" s="107"/>
      <c r="AA1006" s="107"/>
    </row>
    <row r="1007">
      <c r="A1007" s="110"/>
      <c r="B1007" s="107"/>
      <c r="C1007" s="107"/>
      <c r="D1007" s="107"/>
      <c r="E1007" s="107"/>
      <c r="F1007" s="107"/>
      <c r="G1007" s="107"/>
      <c r="H1007" s="107"/>
      <c r="I1007" s="107"/>
      <c r="J1007" s="107"/>
      <c r="K1007" s="107"/>
      <c r="L1007" s="107"/>
      <c r="M1007" s="107"/>
      <c r="N1007" s="107"/>
      <c r="O1007" s="107"/>
      <c r="P1007" s="107"/>
      <c r="Q1007" s="107"/>
      <c r="R1007" s="107"/>
      <c r="S1007" s="107"/>
      <c r="T1007" s="107"/>
      <c r="U1007" s="107"/>
      <c r="V1007" s="107"/>
      <c r="W1007" s="107"/>
      <c r="X1007" s="107"/>
      <c r="Y1007" s="107"/>
      <c r="Z1007" s="107"/>
      <c r="AA1007" s="107"/>
    </row>
    <row r="1008">
      <c r="A1008" s="110"/>
      <c r="B1008" s="107"/>
      <c r="C1008" s="107"/>
      <c r="D1008" s="107"/>
      <c r="E1008" s="107"/>
      <c r="F1008" s="107"/>
      <c r="G1008" s="107"/>
      <c r="H1008" s="107"/>
      <c r="I1008" s="107"/>
      <c r="J1008" s="107"/>
      <c r="K1008" s="107"/>
      <c r="L1008" s="107"/>
      <c r="M1008" s="107"/>
      <c r="N1008" s="107"/>
      <c r="O1008" s="107"/>
      <c r="P1008" s="107"/>
      <c r="Q1008" s="107"/>
      <c r="R1008" s="107"/>
      <c r="S1008" s="107"/>
      <c r="T1008" s="107"/>
      <c r="U1008" s="107"/>
      <c r="V1008" s="107"/>
      <c r="W1008" s="107"/>
      <c r="X1008" s="107"/>
      <c r="Y1008" s="107"/>
      <c r="Z1008" s="107"/>
      <c r="AA1008" s="107"/>
    </row>
    <row r="1009">
      <c r="A1009" s="110"/>
      <c r="B1009" s="107"/>
      <c r="C1009" s="107"/>
      <c r="D1009" s="107"/>
      <c r="E1009" s="107"/>
      <c r="F1009" s="107"/>
      <c r="G1009" s="107"/>
      <c r="H1009" s="107"/>
      <c r="I1009" s="107"/>
      <c r="J1009" s="107"/>
      <c r="K1009" s="107"/>
      <c r="L1009" s="107"/>
      <c r="M1009" s="107"/>
      <c r="N1009" s="107"/>
      <c r="O1009" s="107"/>
      <c r="P1009" s="107"/>
      <c r="Q1009" s="107"/>
      <c r="R1009" s="107"/>
      <c r="S1009" s="107"/>
      <c r="T1009" s="107"/>
      <c r="U1009" s="107"/>
      <c r="V1009" s="107"/>
      <c r="W1009" s="107"/>
      <c r="X1009" s="107"/>
      <c r="Y1009" s="107"/>
      <c r="Z1009" s="107"/>
      <c r="AA1009" s="107"/>
    </row>
    <row r="1010">
      <c r="A1010" s="110"/>
      <c r="B1010" s="107"/>
      <c r="C1010" s="107"/>
      <c r="D1010" s="107"/>
      <c r="E1010" s="107"/>
      <c r="F1010" s="107"/>
      <c r="G1010" s="107"/>
      <c r="H1010" s="107"/>
      <c r="I1010" s="107"/>
      <c r="J1010" s="107"/>
      <c r="K1010" s="107"/>
      <c r="L1010" s="107"/>
      <c r="M1010" s="107"/>
      <c r="N1010" s="107"/>
      <c r="O1010" s="107"/>
      <c r="P1010" s="107"/>
      <c r="Q1010" s="107"/>
      <c r="R1010" s="107"/>
      <c r="S1010" s="107"/>
      <c r="T1010" s="107"/>
      <c r="U1010" s="107"/>
      <c r="V1010" s="107"/>
      <c r="W1010" s="107"/>
      <c r="X1010" s="107"/>
      <c r="Y1010" s="107"/>
      <c r="Z1010" s="107"/>
      <c r="AA1010" s="107"/>
    </row>
    <row r="1011">
      <c r="A1011" s="110"/>
      <c r="B1011" s="107"/>
      <c r="C1011" s="107"/>
      <c r="D1011" s="107"/>
      <c r="E1011" s="107"/>
      <c r="F1011" s="107"/>
      <c r="G1011" s="107"/>
      <c r="H1011" s="107"/>
      <c r="I1011" s="107"/>
      <c r="J1011" s="107"/>
      <c r="K1011" s="107"/>
      <c r="L1011" s="107"/>
      <c r="M1011" s="107"/>
      <c r="N1011" s="107"/>
      <c r="O1011" s="107"/>
      <c r="P1011" s="107"/>
      <c r="Q1011" s="107"/>
      <c r="R1011" s="107"/>
      <c r="S1011" s="107"/>
      <c r="T1011" s="107"/>
      <c r="U1011" s="107"/>
      <c r="V1011" s="107"/>
      <c r="W1011" s="107"/>
      <c r="X1011" s="107"/>
      <c r="Y1011" s="107"/>
      <c r="Z1011" s="107"/>
      <c r="AA1011" s="107"/>
    </row>
    <row r="1012">
      <c r="A1012" s="110"/>
      <c r="B1012" s="107"/>
      <c r="C1012" s="107"/>
      <c r="D1012" s="107"/>
      <c r="E1012" s="107"/>
      <c r="F1012" s="107"/>
      <c r="G1012" s="107"/>
      <c r="H1012" s="107"/>
      <c r="I1012" s="107"/>
      <c r="J1012" s="107"/>
      <c r="K1012" s="107"/>
      <c r="L1012" s="107"/>
      <c r="M1012" s="107"/>
      <c r="N1012" s="107"/>
      <c r="O1012" s="107"/>
      <c r="P1012" s="107"/>
      <c r="Q1012" s="107"/>
      <c r="R1012" s="107"/>
      <c r="S1012" s="107"/>
      <c r="T1012" s="107"/>
      <c r="U1012" s="107"/>
      <c r="V1012" s="107"/>
      <c r="W1012" s="107"/>
      <c r="X1012" s="107"/>
      <c r="Y1012" s="107"/>
      <c r="Z1012" s="107"/>
      <c r="AA1012" s="107"/>
    </row>
    <row r="1013">
      <c r="A1013" s="110"/>
      <c r="B1013" s="107"/>
      <c r="C1013" s="107"/>
      <c r="D1013" s="107"/>
      <c r="E1013" s="107"/>
      <c r="F1013" s="107"/>
      <c r="G1013" s="107"/>
      <c r="H1013" s="107"/>
      <c r="I1013" s="107"/>
      <c r="J1013" s="107"/>
      <c r="K1013" s="107"/>
      <c r="L1013" s="107"/>
      <c r="M1013" s="107"/>
      <c r="N1013" s="107"/>
      <c r="O1013" s="107"/>
      <c r="P1013" s="107"/>
      <c r="Q1013" s="107"/>
      <c r="R1013" s="107"/>
      <c r="S1013" s="107"/>
      <c r="T1013" s="107"/>
      <c r="U1013" s="107"/>
      <c r="V1013" s="107"/>
      <c r="W1013" s="107"/>
      <c r="X1013" s="107"/>
      <c r="Y1013" s="107"/>
      <c r="Z1013" s="107"/>
      <c r="AA1013" s="107"/>
    </row>
    <row r="1014">
      <c r="A1014" s="110"/>
      <c r="B1014" s="107"/>
      <c r="C1014" s="107"/>
      <c r="D1014" s="107"/>
      <c r="E1014" s="107"/>
      <c r="F1014" s="107"/>
      <c r="G1014" s="107"/>
      <c r="H1014" s="107"/>
      <c r="I1014" s="107"/>
      <c r="J1014" s="107"/>
      <c r="K1014" s="107"/>
      <c r="L1014" s="107"/>
      <c r="M1014" s="107"/>
      <c r="N1014" s="107"/>
      <c r="O1014" s="107"/>
      <c r="P1014" s="107"/>
      <c r="Q1014" s="107"/>
      <c r="R1014" s="107"/>
      <c r="S1014" s="107"/>
      <c r="T1014" s="107"/>
      <c r="U1014" s="107"/>
      <c r="V1014" s="107"/>
      <c r="W1014" s="107"/>
      <c r="X1014" s="107"/>
      <c r="Y1014" s="107"/>
      <c r="Z1014" s="107"/>
      <c r="AA1014" s="107"/>
    </row>
    <row r="1015">
      <c r="A1015" s="110"/>
      <c r="B1015" s="107"/>
      <c r="C1015" s="107"/>
      <c r="D1015" s="107"/>
      <c r="E1015" s="107"/>
      <c r="F1015" s="107"/>
      <c r="G1015" s="107"/>
      <c r="H1015" s="107"/>
      <c r="I1015" s="107"/>
      <c r="J1015" s="107"/>
      <c r="K1015" s="107"/>
      <c r="L1015" s="107"/>
      <c r="M1015" s="107"/>
      <c r="N1015" s="107"/>
      <c r="O1015" s="107"/>
      <c r="P1015" s="107"/>
      <c r="Q1015" s="107"/>
      <c r="R1015" s="107"/>
      <c r="S1015" s="107"/>
      <c r="T1015" s="107"/>
      <c r="U1015" s="107"/>
      <c r="V1015" s="107"/>
      <c r="W1015" s="107"/>
      <c r="X1015" s="107"/>
      <c r="Y1015" s="107"/>
      <c r="Z1015" s="107"/>
      <c r="AA1015" s="107"/>
    </row>
    <row r="1016">
      <c r="A1016" s="110"/>
      <c r="B1016" s="107"/>
      <c r="C1016" s="107"/>
      <c r="D1016" s="107"/>
      <c r="E1016" s="107"/>
      <c r="F1016" s="107"/>
      <c r="G1016" s="107"/>
      <c r="H1016" s="107"/>
      <c r="I1016" s="107"/>
      <c r="J1016" s="107"/>
      <c r="K1016" s="107"/>
      <c r="L1016" s="107"/>
      <c r="M1016" s="107"/>
      <c r="N1016" s="107"/>
      <c r="O1016" s="107"/>
      <c r="P1016" s="107"/>
      <c r="Q1016" s="107"/>
      <c r="R1016" s="107"/>
      <c r="S1016" s="107"/>
      <c r="T1016" s="107"/>
      <c r="U1016" s="107"/>
      <c r="V1016" s="107"/>
      <c r="W1016" s="107"/>
      <c r="X1016" s="107"/>
      <c r="Y1016" s="107"/>
      <c r="Z1016" s="107"/>
      <c r="AA1016" s="107"/>
    </row>
    <row r="1017">
      <c r="A1017" s="110"/>
      <c r="B1017" s="107"/>
      <c r="C1017" s="107"/>
      <c r="D1017" s="107"/>
      <c r="E1017" s="107"/>
      <c r="F1017" s="107"/>
      <c r="G1017" s="107"/>
      <c r="H1017" s="107"/>
      <c r="I1017" s="107"/>
      <c r="J1017" s="107"/>
      <c r="K1017" s="107"/>
      <c r="L1017" s="107"/>
      <c r="M1017" s="107"/>
      <c r="N1017" s="107"/>
      <c r="O1017" s="107"/>
      <c r="P1017" s="107"/>
      <c r="Q1017" s="107"/>
      <c r="R1017" s="107"/>
      <c r="S1017" s="107"/>
      <c r="T1017" s="107"/>
      <c r="U1017" s="107"/>
      <c r="V1017" s="107"/>
      <c r="W1017" s="107"/>
      <c r="X1017" s="107"/>
      <c r="Y1017" s="107"/>
      <c r="Z1017" s="107"/>
      <c r="AA1017" s="107"/>
    </row>
    <row r="1018">
      <c r="A1018" s="110"/>
      <c r="B1018" s="107"/>
      <c r="C1018" s="107"/>
      <c r="D1018" s="107"/>
      <c r="E1018" s="107"/>
      <c r="F1018" s="107"/>
      <c r="G1018" s="107"/>
      <c r="H1018" s="107"/>
      <c r="I1018" s="107"/>
      <c r="J1018" s="107"/>
      <c r="K1018" s="107"/>
      <c r="L1018" s="107"/>
      <c r="M1018" s="107"/>
      <c r="N1018" s="107"/>
      <c r="O1018" s="107"/>
      <c r="P1018" s="107"/>
      <c r="Q1018" s="107"/>
      <c r="R1018" s="107"/>
      <c r="S1018" s="107"/>
      <c r="T1018" s="107"/>
      <c r="U1018" s="107"/>
      <c r="V1018" s="107"/>
      <c r="W1018" s="107"/>
      <c r="X1018" s="107"/>
      <c r="Y1018" s="107"/>
      <c r="Z1018" s="107"/>
      <c r="AA1018" s="107"/>
    </row>
    <row r="1019">
      <c r="A1019" s="110"/>
      <c r="B1019" s="107"/>
      <c r="C1019" s="107"/>
      <c r="D1019" s="107"/>
      <c r="E1019" s="107"/>
      <c r="F1019" s="107"/>
      <c r="G1019" s="107"/>
      <c r="H1019" s="107"/>
      <c r="I1019" s="107"/>
      <c r="J1019" s="107"/>
      <c r="K1019" s="107"/>
      <c r="L1019" s="107"/>
      <c r="M1019" s="107"/>
      <c r="N1019" s="107"/>
      <c r="O1019" s="107"/>
      <c r="P1019" s="107"/>
      <c r="Q1019" s="107"/>
      <c r="R1019" s="107"/>
      <c r="S1019" s="107"/>
      <c r="T1019" s="107"/>
      <c r="U1019" s="107"/>
      <c r="V1019" s="107"/>
      <c r="W1019" s="107"/>
      <c r="X1019" s="107"/>
      <c r="Y1019" s="107"/>
      <c r="Z1019" s="107"/>
      <c r="AA1019" s="107"/>
    </row>
    <row r="1020">
      <c r="A1020" s="110"/>
      <c r="B1020" s="107"/>
      <c r="C1020" s="107"/>
      <c r="D1020" s="107"/>
      <c r="E1020" s="107"/>
      <c r="F1020" s="107"/>
      <c r="G1020" s="107"/>
      <c r="H1020" s="107"/>
      <c r="I1020" s="107"/>
      <c r="J1020" s="107"/>
      <c r="K1020" s="107"/>
      <c r="L1020" s="107"/>
      <c r="M1020" s="107"/>
      <c r="N1020" s="107"/>
      <c r="O1020" s="107"/>
      <c r="P1020" s="107"/>
      <c r="Q1020" s="107"/>
      <c r="R1020" s="107"/>
      <c r="S1020" s="107"/>
      <c r="T1020" s="107"/>
      <c r="U1020" s="107"/>
      <c r="V1020" s="107"/>
      <c r="W1020" s="107"/>
      <c r="X1020" s="107"/>
      <c r="Y1020" s="107"/>
      <c r="Z1020" s="107"/>
      <c r="AA1020" s="107"/>
    </row>
    <row r="1021">
      <c r="A1021" s="110"/>
      <c r="B1021" s="107"/>
      <c r="C1021" s="107"/>
      <c r="D1021" s="107"/>
      <c r="E1021" s="107"/>
      <c r="F1021" s="107"/>
      <c r="G1021" s="107"/>
      <c r="H1021" s="107"/>
      <c r="I1021" s="107"/>
      <c r="J1021" s="107"/>
      <c r="K1021" s="107"/>
      <c r="L1021" s="107"/>
      <c r="M1021" s="107"/>
      <c r="N1021" s="107"/>
      <c r="O1021" s="107"/>
      <c r="P1021" s="107"/>
      <c r="Q1021" s="107"/>
      <c r="R1021" s="107"/>
      <c r="S1021" s="107"/>
      <c r="T1021" s="107"/>
      <c r="U1021" s="107"/>
      <c r="V1021" s="107"/>
      <c r="W1021" s="107"/>
      <c r="X1021" s="107"/>
      <c r="Y1021" s="107"/>
      <c r="Z1021" s="107"/>
      <c r="AA1021" s="107"/>
    </row>
    <row r="1022">
      <c r="A1022" s="110"/>
      <c r="B1022" s="107"/>
      <c r="C1022" s="107"/>
      <c r="D1022" s="107"/>
      <c r="E1022" s="107"/>
      <c r="F1022" s="107"/>
      <c r="G1022" s="107"/>
      <c r="H1022" s="107"/>
      <c r="I1022" s="107"/>
      <c r="J1022" s="107"/>
      <c r="K1022" s="107"/>
      <c r="L1022" s="107"/>
      <c r="M1022" s="107"/>
      <c r="N1022" s="107"/>
      <c r="O1022" s="107"/>
      <c r="P1022" s="107"/>
      <c r="Q1022" s="107"/>
      <c r="R1022" s="107"/>
      <c r="S1022" s="107"/>
      <c r="T1022" s="107"/>
      <c r="U1022" s="107"/>
      <c r="V1022" s="107"/>
      <c r="W1022" s="107"/>
      <c r="X1022" s="107"/>
      <c r="Y1022" s="107"/>
      <c r="Z1022" s="107"/>
      <c r="AA1022" s="107"/>
    </row>
    <row r="1023">
      <c r="A1023" s="110"/>
      <c r="B1023" s="107"/>
      <c r="C1023" s="107"/>
      <c r="D1023" s="107"/>
      <c r="E1023" s="107"/>
      <c r="F1023" s="107"/>
      <c r="G1023" s="107"/>
      <c r="H1023" s="107"/>
      <c r="I1023" s="107"/>
      <c r="J1023" s="107"/>
      <c r="K1023" s="107"/>
      <c r="L1023" s="107"/>
      <c r="M1023" s="107"/>
      <c r="N1023" s="107"/>
      <c r="O1023" s="107"/>
      <c r="P1023" s="107"/>
      <c r="Q1023" s="107"/>
      <c r="R1023" s="107"/>
      <c r="S1023" s="107"/>
      <c r="T1023" s="107"/>
      <c r="U1023" s="107"/>
      <c r="V1023" s="107"/>
      <c r="W1023" s="107"/>
      <c r="X1023" s="107"/>
      <c r="Y1023" s="107"/>
      <c r="Z1023" s="107"/>
      <c r="AA1023" s="107"/>
    </row>
    <row r="1024">
      <c r="A1024" s="110"/>
      <c r="B1024" s="107"/>
      <c r="C1024" s="107"/>
      <c r="D1024" s="107"/>
      <c r="E1024" s="107"/>
      <c r="F1024" s="107"/>
      <c r="G1024" s="107"/>
      <c r="H1024" s="107"/>
      <c r="I1024" s="107"/>
      <c r="J1024" s="107"/>
      <c r="K1024" s="107"/>
      <c r="L1024" s="107"/>
      <c r="M1024" s="107"/>
      <c r="N1024" s="107"/>
      <c r="O1024" s="107"/>
      <c r="P1024" s="107"/>
      <c r="Q1024" s="107"/>
      <c r="R1024" s="107"/>
      <c r="S1024" s="107"/>
      <c r="T1024" s="107"/>
      <c r="U1024" s="107"/>
      <c r="V1024" s="107"/>
      <c r="W1024" s="107"/>
      <c r="X1024" s="107"/>
      <c r="Y1024" s="107"/>
      <c r="Z1024" s="107"/>
      <c r="AA1024" s="107"/>
    </row>
    <row r="1025">
      <c r="A1025" s="110"/>
      <c r="B1025" s="107"/>
      <c r="C1025" s="107"/>
      <c r="D1025" s="107"/>
      <c r="E1025" s="107"/>
      <c r="F1025" s="107"/>
      <c r="G1025" s="107"/>
      <c r="H1025" s="107"/>
      <c r="I1025" s="107"/>
      <c r="J1025" s="107"/>
      <c r="K1025" s="107"/>
      <c r="L1025" s="107"/>
      <c r="M1025" s="107"/>
      <c r="N1025" s="107"/>
      <c r="O1025" s="107"/>
      <c r="P1025" s="107"/>
      <c r="Q1025" s="107"/>
      <c r="R1025" s="107"/>
      <c r="S1025" s="107"/>
      <c r="T1025" s="107"/>
      <c r="U1025" s="107"/>
      <c r="V1025" s="107"/>
      <c r="W1025" s="107"/>
      <c r="X1025" s="107"/>
      <c r="Y1025" s="107"/>
      <c r="Z1025" s="107"/>
      <c r="AA1025" s="107"/>
    </row>
    <row r="1026">
      <c r="A1026" s="110"/>
      <c r="B1026" s="107"/>
      <c r="C1026" s="107"/>
      <c r="D1026" s="107"/>
      <c r="E1026" s="107"/>
      <c r="F1026" s="107"/>
      <c r="G1026" s="107"/>
      <c r="H1026" s="107"/>
      <c r="I1026" s="107"/>
      <c r="J1026" s="107"/>
      <c r="K1026" s="107"/>
      <c r="L1026" s="107"/>
      <c r="M1026" s="107"/>
      <c r="N1026" s="107"/>
      <c r="O1026" s="107"/>
      <c r="P1026" s="107"/>
      <c r="Q1026" s="107"/>
      <c r="R1026" s="107"/>
      <c r="S1026" s="107"/>
      <c r="T1026" s="107"/>
      <c r="U1026" s="107"/>
      <c r="V1026" s="107"/>
      <c r="W1026" s="107"/>
      <c r="X1026" s="107"/>
      <c r="Y1026" s="107"/>
      <c r="Z1026" s="107"/>
      <c r="AA1026" s="107"/>
    </row>
    <row r="1027">
      <c r="A1027" s="110"/>
      <c r="B1027" s="107"/>
      <c r="C1027" s="107"/>
      <c r="D1027" s="107"/>
      <c r="E1027" s="107"/>
      <c r="F1027" s="107"/>
      <c r="G1027" s="107"/>
      <c r="H1027" s="107"/>
      <c r="I1027" s="107"/>
      <c r="J1027" s="107"/>
      <c r="K1027" s="107"/>
      <c r="L1027" s="107"/>
      <c r="M1027" s="107"/>
      <c r="N1027" s="107"/>
      <c r="O1027" s="107"/>
      <c r="P1027" s="107"/>
      <c r="Q1027" s="107"/>
      <c r="R1027" s="107"/>
      <c r="S1027" s="107"/>
      <c r="T1027" s="107"/>
      <c r="U1027" s="107"/>
      <c r="V1027" s="107"/>
      <c r="W1027" s="107"/>
      <c r="X1027" s="107"/>
      <c r="Y1027" s="107"/>
      <c r="Z1027" s="107"/>
      <c r="AA1027" s="107"/>
    </row>
    <row r="1028">
      <c r="A1028" s="110"/>
      <c r="B1028" s="107"/>
      <c r="C1028" s="107"/>
      <c r="D1028" s="107"/>
      <c r="E1028" s="107"/>
      <c r="F1028" s="107"/>
      <c r="G1028" s="107"/>
      <c r="H1028" s="107"/>
      <c r="I1028" s="107"/>
      <c r="J1028" s="107"/>
      <c r="K1028" s="107"/>
      <c r="L1028" s="107"/>
      <c r="M1028" s="107"/>
      <c r="N1028" s="107"/>
      <c r="O1028" s="107"/>
      <c r="P1028" s="107"/>
      <c r="Q1028" s="107"/>
      <c r="R1028" s="107"/>
      <c r="S1028" s="107"/>
      <c r="T1028" s="107"/>
      <c r="U1028" s="107"/>
      <c r="V1028" s="107"/>
      <c r="W1028" s="107"/>
      <c r="X1028" s="107"/>
      <c r="Y1028" s="107"/>
      <c r="Z1028" s="107"/>
      <c r="AA1028" s="107"/>
    </row>
    <row r="1029">
      <c r="A1029" s="110"/>
      <c r="B1029" s="107"/>
      <c r="C1029" s="107"/>
      <c r="D1029" s="107"/>
      <c r="E1029" s="107"/>
      <c r="F1029" s="107"/>
      <c r="G1029" s="107"/>
      <c r="H1029" s="107"/>
      <c r="I1029" s="107"/>
      <c r="J1029" s="107"/>
      <c r="K1029" s="107"/>
      <c r="L1029" s="107"/>
      <c r="M1029" s="107"/>
      <c r="N1029" s="107"/>
      <c r="O1029" s="107"/>
      <c r="P1029" s="107"/>
      <c r="Q1029" s="107"/>
      <c r="R1029" s="107"/>
      <c r="S1029" s="107"/>
      <c r="T1029" s="107"/>
      <c r="U1029" s="107"/>
      <c r="V1029" s="107"/>
      <c r="W1029" s="107"/>
      <c r="X1029" s="107"/>
      <c r="Y1029" s="107"/>
      <c r="Z1029" s="107"/>
      <c r="AA1029" s="107"/>
    </row>
    <row r="1030">
      <c r="A1030" s="110"/>
      <c r="B1030" s="107"/>
      <c r="C1030" s="107"/>
      <c r="D1030" s="107"/>
      <c r="E1030" s="107"/>
      <c r="F1030" s="107"/>
      <c r="G1030" s="107"/>
      <c r="H1030" s="107"/>
      <c r="I1030" s="107"/>
      <c r="J1030" s="107"/>
      <c r="K1030" s="107"/>
      <c r="L1030" s="107"/>
      <c r="M1030" s="107"/>
      <c r="N1030" s="107"/>
      <c r="O1030" s="107"/>
      <c r="P1030" s="107"/>
      <c r="Q1030" s="107"/>
      <c r="R1030" s="107"/>
      <c r="S1030" s="107"/>
      <c r="T1030" s="107"/>
      <c r="U1030" s="107"/>
      <c r="V1030" s="107"/>
      <c r="W1030" s="107"/>
      <c r="X1030" s="107"/>
      <c r="Y1030" s="107"/>
      <c r="Z1030" s="107"/>
      <c r="AA1030" s="107"/>
    </row>
    <row r="1031">
      <c r="A1031" s="110"/>
      <c r="B1031" s="107"/>
      <c r="C1031" s="107"/>
      <c r="D1031" s="107"/>
      <c r="E1031" s="107"/>
      <c r="F1031" s="107"/>
      <c r="G1031" s="107"/>
      <c r="H1031" s="107"/>
      <c r="I1031" s="107"/>
      <c r="J1031" s="107"/>
      <c r="K1031" s="107"/>
      <c r="L1031" s="107"/>
      <c r="M1031" s="107"/>
      <c r="N1031" s="107"/>
      <c r="O1031" s="107"/>
      <c r="P1031" s="107"/>
      <c r="Q1031" s="107"/>
      <c r="R1031" s="107"/>
      <c r="S1031" s="107"/>
      <c r="T1031" s="107"/>
      <c r="U1031" s="107"/>
      <c r="V1031" s="107"/>
      <c r="W1031" s="107"/>
      <c r="X1031" s="107"/>
      <c r="Y1031" s="107"/>
      <c r="Z1031" s="107"/>
      <c r="AA1031" s="107"/>
    </row>
  </sheetData>
  <mergeCells count="19">
    <mergeCell ref="B6:N6"/>
    <mergeCell ref="B13:N13"/>
    <mergeCell ref="B19:N19"/>
    <mergeCell ref="B20:N20"/>
    <mergeCell ref="B21:N21"/>
    <mergeCell ref="B25:N25"/>
    <mergeCell ref="B28:N28"/>
    <mergeCell ref="B50:N50"/>
    <mergeCell ref="B55:N55"/>
    <mergeCell ref="B56:N56"/>
    <mergeCell ref="B60:N60"/>
    <mergeCell ref="B66:N66"/>
    <mergeCell ref="B29:N29"/>
    <mergeCell ref="B33:N33"/>
    <mergeCell ref="B37:N37"/>
    <mergeCell ref="B38:N38"/>
    <mergeCell ref="B42:N42"/>
    <mergeCell ref="B45:N45"/>
    <mergeCell ref="B46:N46"/>
  </mergeCells>
  <hyperlinks>
    <hyperlink r:id="rId4" ref="N5"/>
    <hyperlink r:id="rId5" ref="N8"/>
    <hyperlink r:id="rId6" ref="N12"/>
    <hyperlink r:id="rId7" ref="N15"/>
  </hyperlinks>
  <drawing r:id="rId8"/>
  <legacyDrawing r:id="rId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4.88"/>
    <col customWidth="1" min="4" max="4" width="31.0"/>
  </cols>
  <sheetData>
    <row r="1">
      <c r="A1" s="111" t="s">
        <v>207</v>
      </c>
      <c r="B1" s="111" t="s">
        <v>208</v>
      </c>
      <c r="C1" s="111" t="s">
        <v>209</v>
      </c>
      <c r="D1" s="111" t="s">
        <v>210</v>
      </c>
      <c r="E1" s="112"/>
      <c r="F1" s="112"/>
      <c r="G1" s="113" t="s">
        <v>211</v>
      </c>
      <c r="H1" s="114">
        <v>20.0</v>
      </c>
      <c r="I1" s="112"/>
      <c r="J1" s="112"/>
      <c r="K1" s="112"/>
      <c r="L1" s="112"/>
      <c r="M1" s="112"/>
      <c r="N1" s="112"/>
      <c r="O1" s="112"/>
      <c r="P1" s="112"/>
      <c r="Q1" s="112"/>
      <c r="R1" s="112"/>
      <c r="S1" s="112"/>
      <c r="T1" s="112"/>
      <c r="U1" s="112"/>
      <c r="V1" s="112"/>
      <c r="W1" s="112"/>
      <c r="X1" s="112"/>
      <c r="Y1" s="112"/>
      <c r="Z1" s="112"/>
    </row>
    <row r="2">
      <c r="A2" s="115" t="s">
        <v>73</v>
      </c>
      <c r="B2" s="115" t="s">
        <v>212</v>
      </c>
      <c r="C2" s="115">
        <v>5.0</v>
      </c>
      <c r="G2" s="115" t="s">
        <v>213</v>
      </c>
      <c r="H2" s="114">
        <v>49.0</v>
      </c>
    </row>
    <row r="3">
      <c r="A3" s="115" t="s">
        <v>94</v>
      </c>
      <c r="B3" s="115" t="s">
        <v>214</v>
      </c>
      <c r="C3" s="115">
        <v>5.0</v>
      </c>
      <c r="G3" s="115" t="s">
        <v>215</v>
      </c>
      <c r="H3" s="114">
        <v>13.0</v>
      </c>
    </row>
    <row r="4">
      <c r="A4" s="115" t="s">
        <v>126</v>
      </c>
      <c r="B4" s="115" t="s">
        <v>216</v>
      </c>
      <c r="C4" s="115">
        <v>5.0</v>
      </c>
      <c r="G4" s="115" t="s">
        <v>217</v>
      </c>
      <c r="H4" s="114">
        <v>30.0</v>
      </c>
    </row>
    <row r="5">
      <c r="A5" s="115" t="s">
        <v>211</v>
      </c>
      <c r="C5" s="115">
        <v>20.0</v>
      </c>
      <c r="G5" s="115" t="s">
        <v>218</v>
      </c>
      <c r="H5" s="114">
        <v>40.0</v>
      </c>
    </row>
    <row r="6">
      <c r="A6" s="115"/>
      <c r="B6" s="115"/>
      <c r="C6" s="115"/>
      <c r="G6" s="115" t="s">
        <v>219</v>
      </c>
      <c r="H6" s="114">
        <v>48.0</v>
      </c>
    </row>
    <row r="7">
      <c r="A7" s="115" t="s">
        <v>74</v>
      </c>
      <c r="B7" s="115" t="s">
        <v>220</v>
      </c>
      <c r="C7" s="115">
        <v>5.0</v>
      </c>
      <c r="G7" s="115" t="s">
        <v>221</v>
      </c>
      <c r="H7" s="114">
        <v>22.0</v>
      </c>
    </row>
    <row r="8">
      <c r="A8" s="115" t="s">
        <v>95</v>
      </c>
      <c r="B8" s="115" t="s">
        <v>222</v>
      </c>
      <c r="C8" s="115">
        <v>5.0</v>
      </c>
      <c r="G8" s="115" t="s">
        <v>223</v>
      </c>
      <c r="H8" s="114">
        <v>37.0</v>
      </c>
    </row>
    <row r="9">
      <c r="A9" s="115" t="s">
        <v>127</v>
      </c>
      <c r="B9" s="115" t="s">
        <v>224</v>
      </c>
      <c r="C9" s="115">
        <v>5.0</v>
      </c>
      <c r="G9" s="115" t="s">
        <v>225</v>
      </c>
      <c r="H9" s="114">
        <v>60.0</v>
      </c>
    </row>
    <row r="10">
      <c r="A10" s="115" t="s">
        <v>147</v>
      </c>
      <c r="B10" s="115" t="s">
        <v>226</v>
      </c>
      <c r="C10" s="115">
        <v>5.0</v>
      </c>
      <c r="G10" s="115" t="s">
        <v>227</v>
      </c>
      <c r="H10" s="114">
        <v>38.0</v>
      </c>
    </row>
    <row r="11">
      <c r="A11" s="115" t="s">
        <v>165</v>
      </c>
      <c r="B11" s="115" t="s">
        <v>228</v>
      </c>
      <c r="C11" s="115">
        <v>5.0</v>
      </c>
      <c r="H11" s="116">
        <f>sum(H1:H10)</f>
        <v>357</v>
      </c>
    </row>
    <row r="12">
      <c r="A12" s="115" t="s">
        <v>192</v>
      </c>
      <c r="B12" s="115" t="s">
        <v>229</v>
      </c>
      <c r="C12" s="115">
        <v>5.0</v>
      </c>
    </row>
    <row r="13">
      <c r="A13" s="115" t="s">
        <v>75</v>
      </c>
      <c r="B13" s="115" t="s">
        <v>230</v>
      </c>
      <c r="C13" s="115">
        <v>5.0</v>
      </c>
    </row>
    <row r="14">
      <c r="A14" s="115" t="s">
        <v>96</v>
      </c>
      <c r="B14" s="115" t="s">
        <v>231</v>
      </c>
      <c r="C14" s="115">
        <v>5.0</v>
      </c>
    </row>
    <row r="15">
      <c r="A15" s="115" t="s">
        <v>128</v>
      </c>
      <c r="B15" s="115" t="s">
        <v>232</v>
      </c>
      <c r="C15" s="115">
        <v>5.0</v>
      </c>
    </row>
    <row r="16">
      <c r="A16" s="115" t="s">
        <v>148</v>
      </c>
      <c r="B16" s="115" t="s">
        <v>233</v>
      </c>
      <c r="C16" s="115">
        <v>5.0</v>
      </c>
    </row>
    <row r="17">
      <c r="A17" s="115" t="s">
        <v>213</v>
      </c>
      <c r="C17" s="115">
        <v>49.0</v>
      </c>
    </row>
    <row r="18">
      <c r="A18" s="115"/>
      <c r="B18" s="115"/>
      <c r="C18" s="115"/>
    </row>
    <row r="19">
      <c r="A19" s="115" t="s">
        <v>146</v>
      </c>
      <c r="B19" s="115" t="s">
        <v>234</v>
      </c>
      <c r="C19" s="115">
        <v>5.0</v>
      </c>
    </row>
    <row r="20">
      <c r="A20" s="115" t="s">
        <v>164</v>
      </c>
      <c r="B20" s="115" t="s">
        <v>235</v>
      </c>
      <c r="C20" s="115">
        <v>5.0</v>
      </c>
    </row>
    <row r="21">
      <c r="A21" s="115" t="s">
        <v>191</v>
      </c>
      <c r="B21" s="115" t="s">
        <v>236</v>
      </c>
      <c r="C21" s="115">
        <v>5.0</v>
      </c>
    </row>
    <row r="22">
      <c r="A22" s="115" t="s">
        <v>237</v>
      </c>
      <c r="C22" s="115">
        <v>13.0</v>
      </c>
    </row>
    <row r="24">
      <c r="A24" s="115" t="s">
        <v>76</v>
      </c>
      <c r="B24" s="115" t="s">
        <v>238</v>
      </c>
      <c r="C24" s="115">
        <v>5.0</v>
      </c>
    </row>
    <row r="25">
      <c r="A25" s="115" t="s">
        <v>97</v>
      </c>
      <c r="B25" s="115" t="s">
        <v>239</v>
      </c>
      <c r="C25" s="115">
        <v>5.0</v>
      </c>
    </row>
    <row r="26">
      <c r="A26" s="115" t="s">
        <v>129</v>
      </c>
      <c r="B26" s="115" t="s">
        <v>240</v>
      </c>
      <c r="C26" s="117">
        <v>4.0</v>
      </c>
    </row>
    <row r="27">
      <c r="A27" s="115" t="s">
        <v>149</v>
      </c>
      <c r="B27" s="115" t="s">
        <v>241</v>
      </c>
      <c r="C27" s="115">
        <v>5.0</v>
      </c>
    </row>
    <row r="28">
      <c r="A28" s="115" t="s">
        <v>167</v>
      </c>
      <c r="B28" s="115" t="s">
        <v>242</v>
      </c>
      <c r="C28" s="115">
        <v>5.0</v>
      </c>
    </row>
    <row r="29">
      <c r="A29" s="115" t="s">
        <v>194</v>
      </c>
      <c r="B29" s="115" t="s">
        <v>243</v>
      </c>
      <c r="C29" s="115">
        <v>5.0</v>
      </c>
    </row>
    <row r="30">
      <c r="A30" s="115" t="s">
        <v>217</v>
      </c>
      <c r="C30" s="115">
        <v>30.0</v>
      </c>
    </row>
    <row r="32">
      <c r="A32" s="115" t="s">
        <v>166</v>
      </c>
      <c r="B32" s="115" t="s">
        <v>244</v>
      </c>
      <c r="C32" s="115">
        <v>5.0</v>
      </c>
    </row>
    <row r="33">
      <c r="A33" s="115" t="s">
        <v>193</v>
      </c>
      <c r="B33" s="115" t="s">
        <v>245</v>
      </c>
      <c r="C33" s="115">
        <v>5.0</v>
      </c>
    </row>
    <row r="34">
      <c r="A34" s="115" t="s">
        <v>77</v>
      </c>
      <c r="B34" s="115" t="s">
        <v>246</v>
      </c>
      <c r="C34" s="115">
        <v>5.0</v>
      </c>
    </row>
    <row r="35">
      <c r="A35" s="115" t="s">
        <v>98</v>
      </c>
      <c r="B35" s="115" t="s">
        <v>247</v>
      </c>
      <c r="C35" s="115">
        <v>5.0</v>
      </c>
    </row>
    <row r="36">
      <c r="A36" s="115" t="s">
        <v>168</v>
      </c>
      <c r="B36" s="115" t="s">
        <v>248</v>
      </c>
      <c r="C36" s="115">
        <v>5.0</v>
      </c>
    </row>
    <row r="37">
      <c r="A37" s="115" t="s">
        <v>150</v>
      </c>
      <c r="B37" s="115" t="s">
        <v>249</v>
      </c>
      <c r="C37" s="115">
        <v>5.0</v>
      </c>
    </row>
    <row r="38">
      <c r="A38" s="115" t="s">
        <v>130</v>
      </c>
      <c r="B38" s="115" t="s">
        <v>250</v>
      </c>
      <c r="C38" s="115">
        <v>5.0</v>
      </c>
    </row>
    <row r="39">
      <c r="A39" s="115" t="s">
        <v>195</v>
      </c>
      <c r="B39" s="115" t="s">
        <v>251</v>
      </c>
      <c r="C39" s="115">
        <v>5.0</v>
      </c>
    </row>
    <row r="40">
      <c r="A40" s="115" t="s">
        <v>218</v>
      </c>
      <c r="C40" s="115">
        <v>40.0</v>
      </c>
    </row>
    <row r="42">
      <c r="A42" s="115" t="s">
        <v>169</v>
      </c>
      <c r="B42" s="115" t="s">
        <v>252</v>
      </c>
      <c r="C42" s="115">
        <v>5.0</v>
      </c>
    </row>
    <row r="43">
      <c r="A43" s="115" t="s">
        <v>196</v>
      </c>
      <c r="B43" s="115" t="s">
        <v>253</v>
      </c>
      <c r="C43" s="115">
        <v>5.0</v>
      </c>
    </row>
    <row r="44">
      <c r="A44" s="115" t="s">
        <v>80</v>
      </c>
      <c r="B44" s="115" t="s">
        <v>254</v>
      </c>
      <c r="C44" s="115">
        <v>5.0</v>
      </c>
    </row>
    <row r="45">
      <c r="A45" s="115" t="s">
        <v>101</v>
      </c>
      <c r="B45" s="115" t="s">
        <v>255</v>
      </c>
      <c r="C45" s="115">
        <v>5.0</v>
      </c>
    </row>
    <row r="46">
      <c r="A46" s="115" t="s">
        <v>133</v>
      </c>
      <c r="B46" s="115" t="s">
        <v>256</v>
      </c>
      <c r="C46" s="115">
        <v>5.0</v>
      </c>
    </row>
    <row r="47">
      <c r="A47" s="115" t="s">
        <v>153</v>
      </c>
      <c r="B47" s="115" t="s">
        <v>257</v>
      </c>
      <c r="C47" s="115">
        <v>5.0</v>
      </c>
    </row>
    <row r="48">
      <c r="A48" s="115" t="s">
        <v>171</v>
      </c>
      <c r="B48" s="115" t="s">
        <v>258</v>
      </c>
      <c r="C48" s="115">
        <v>5.0</v>
      </c>
    </row>
    <row r="49">
      <c r="A49" s="115" t="s">
        <v>198</v>
      </c>
      <c r="B49" s="115" t="s">
        <v>259</v>
      </c>
      <c r="C49" s="115">
        <v>5.0</v>
      </c>
    </row>
    <row r="50">
      <c r="A50" s="115" t="s">
        <v>219</v>
      </c>
      <c r="C50" s="115">
        <v>48.0</v>
      </c>
    </row>
    <row r="52">
      <c r="A52" s="115" t="s">
        <v>78</v>
      </c>
      <c r="B52" s="115" t="s">
        <v>260</v>
      </c>
      <c r="C52" s="115">
        <v>5.0</v>
      </c>
    </row>
    <row r="53">
      <c r="A53" s="115" t="s">
        <v>99</v>
      </c>
      <c r="B53" s="115" t="s">
        <v>261</v>
      </c>
      <c r="C53" s="115">
        <v>5.0</v>
      </c>
    </row>
    <row r="54">
      <c r="A54" s="115" t="s">
        <v>131</v>
      </c>
      <c r="B54" s="115" t="s">
        <v>262</v>
      </c>
      <c r="C54" s="115">
        <v>5.0</v>
      </c>
    </row>
    <row r="55">
      <c r="A55" s="115" t="s">
        <v>151</v>
      </c>
      <c r="B55" s="115" t="s">
        <v>263</v>
      </c>
      <c r="C55" s="115">
        <v>5.0</v>
      </c>
    </row>
    <row r="56">
      <c r="A56" s="115" t="s">
        <v>221</v>
      </c>
      <c r="C56" s="115">
        <v>22.0</v>
      </c>
    </row>
    <row r="58">
      <c r="A58" s="115" t="s">
        <v>79</v>
      </c>
      <c r="B58" s="115" t="s">
        <v>264</v>
      </c>
      <c r="C58" s="115">
        <v>5.0</v>
      </c>
    </row>
    <row r="59">
      <c r="A59" s="115" t="s">
        <v>100</v>
      </c>
      <c r="B59" s="115" t="s">
        <v>265</v>
      </c>
      <c r="C59" s="115">
        <v>5.0</v>
      </c>
    </row>
    <row r="60">
      <c r="A60" s="115" t="s">
        <v>132</v>
      </c>
      <c r="B60" s="115" t="s">
        <v>266</v>
      </c>
      <c r="C60" s="115">
        <v>5.0</v>
      </c>
    </row>
    <row r="61">
      <c r="A61" s="115" t="s">
        <v>152</v>
      </c>
      <c r="B61" s="115" t="s">
        <v>267</v>
      </c>
      <c r="C61" s="115">
        <v>5.0</v>
      </c>
    </row>
    <row r="62">
      <c r="A62" s="115" t="s">
        <v>170</v>
      </c>
      <c r="B62" s="115" t="s">
        <v>268</v>
      </c>
      <c r="C62" s="115">
        <v>5.0</v>
      </c>
    </row>
    <row r="63">
      <c r="A63" s="115" t="s">
        <v>197</v>
      </c>
      <c r="B63" s="115" t="s">
        <v>269</v>
      </c>
      <c r="C63" s="115">
        <v>5.0</v>
      </c>
    </row>
    <row r="64">
      <c r="A64" s="115" t="s">
        <v>223</v>
      </c>
      <c r="C64" s="115">
        <v>37.0</v>
      </c>
      <c r="D64" s="115" t="s">
        <v>270</v>
      </c>
    </row>
    <row r="66">
      <c r="A66" s="115" t="s">
        <v>82</v>
      </c>
      <c r="B66" s="115" t="s">
        <v>271</v>
      </c>
      <c r="C66" s="115">
        <v>5.0</v>
      </c>
    </row>
    <row r="67">
      <c r="A67" s="115" t="s">
        <v>103</v>
      </c>
      <c r="B67" s="115" t="s">
        <v>272</v>
      </c>
      <c r="C67" s="115">
        <v>5.0</v>
      </c>
    </row>
    <row r="68">
      <c r="A68" s="115" t="s">
        <v>135</v>
      </c>
      <c r="B68" s="115" t="s">
        <v>273</v>
      </c>
      <c r="C68" s="115">
        <v>5.0</v>
      </c>
    </row>
    <row r="69">
      <c r="A69" s="115" t="s">
        <v>155</v>
      </c>
      <c r="B69" s="115" t="s">
        <v>274</v>
      </c>
      <c r="C69" s="115">
        <v>5.0</v>
      </c>
    </row>
    <row r="70">
      <c r="A70" s="115" t="s">
        <v>173</v>
      </c>
      <c r="B70" s="115" t="s">
        <v>275</v>
      </c>
      <c r="C70" s="115">
        <v>5.0</v>
      </c>
    </row>
    <row r="71">
      <c r="A71" s="115" t="s">
        <v>200</v>
      </c>
      <c r="B71" s="115" t="s">
        <v>276</v>
      </c>
      <c r="C71" s="115">
        <v>5.0</v>
      </c>
    </row>
    <row r="72">
      <c r="A72" s="115" t="s">
        <v>104</v>
      </c>
      <c r="B72" s="115" t="s">
        <v>277</v>
      </c>
      <c r="C72" s="115">
        <v>5.0</v>
      </c>
    </row>
    <row r="73">
      <c r="A73" s="115" t="s">
        <v>156</v>
      </c>
      <c r="B73" s="115" t="s">
        <v>278</v>
      </c>
      <c r="C73" s="115">
        <v>5.0</v>
      </c>
    </row>
    <row r="74">
      <c r="A74" s="115" t="s">
        <v>174</v>
      </c>
      <c r="B74" s="115" t="s">
        <v>279</v>
      </c>
      <c r="C74" s="115">
        <v>5.0</v>
      </c>
    </row>
    <row r="75">
      <c r="A75" s="115" t="s">
        <v>201</v>
      </c>
      <c r="B75" s="115" t="s">
        <v>280</v>
      </c>
      <c r="C75" s="115">
        <v>5.0</v>
      </c>
    </row>
    <row r="76">
      <c r="A76" s="115" t="s">
        <v>225</v>
      </c>
      <c r="C76" s="115">
        <v>60.0</v>
      </c>
    </row>
    <row r="78">
      <c r="A78" s="115" t="s">
        <v>81</v>
      </c>
      <c r="B78" s="115" t="s">
        <v>281</v>
      </c>
      <c r="C78" s="115">
        <v>5.0</v>
      </c>
    </row>
    <row r="79">
      <c r="A79" s="115" t="s">
        <v>102</v>
      </c>
      <c r="B79" s="115" t="s">
        <v>282</v>
      </c>
      <c r="C79" s="115">
        <v>5.0</v>
      </c>
    </row>
    <row r="80">
      <c r="A80" s="115" t="s">
        <v>134</v>
      </c>
      <c r="B80" s="115" t="s">
        <v>283</v>
      </c>
      <c r="C80" s="117">
        <v>4.0</v>
      </c>
    </row>
    <row r="81">
      <c r="A81" s="115" t="s">
        <v>154</v>
      </c>
      <c r="B81" s="115" t="s">
        <v>284</v>
      </c>
      <c r="C81" s="115">
        <v>5.0</v>
      </c>
    </row>
    <row r="82">
      <c r="A82" s="115" t="s">
        <v>172</v>
      </c>
      <c r="B82" s="115" t="s">
        <v>285</v>
      </c>
      <c r="C82" s="115">
        <v>5.0</v>
      </c>
    </row>
    <row r="83">
      <c r="A83" s="115" t="s">
        <v>199</v>
      </c>
      <c r="B83" s="115" t="s">
        <v>286</v>
      </c>
      <c r="C83" s="115">
        <v>5.0</v>
      </c>
    </row>
    <row r="84">
      <c r="A84" s="115" t="s">
        <v>227</v>
      </c>
      <c r="C84" s="115">
        <v>38.0</v>
      </c>
    </row>
    <row r="86">
      <c r="A86" s="115" t="s">
        <v>287</v>
      </c>
      <c r="B86" s="115" t="s">
        <v>288</v>
      </c>
      <c r="C86" s="115">
        <v>3.0</v>
      </c>
    </row>
    <row r="89">
      <c r="A89" s="118" t="s">
        <v>83</v>
      </c>
      <c r="B89" s="118" t="s">
        <v>289</v>
      </c>
      <c r="C89" s="119">
        <v>5.0</v>
      </c>
    </row>
    <row r="90">
      <c r="A90" s="118" t="s">
        <v>84</v>
      </c>
      <c r="B90" s="118" t="s">
        <v>205</v>
      </c>
      <c r="C90" s="119">
        <v>5.0</v>
      </c>
    </row>
    <row r="91">
      <c r="A91" s="118" t="s">
        <v>105</v>
      </c>
      <c r="B91" s="118" t="s">
        <v>290</v>
      </c>
      <c r="C91" s="119">
        <v>5.0</v>
      </c>
    </row>
    <row r="92">
      <c r="A92" s="118" t="s">
        <v>136</v>
      </c>
      <c r="B92" s="118" t="s">
        <v>291</v>
      </c>
      <c r="C92" s="119">
        <v>5.0</v>
      </c>
    </row>
    <row r="93">
      <c r="A93" s="118" t="s">
        <v>137</v>
      </c>
      <c r="B93" s="118" t="s">
        <v>292</v>
      </c>
      <c r="C93" s="119">
        <v>5.0</v>
      </c>
    </row>
    <row r="94">
      <c r="A94" s="118" t="s">
        <v>157</v>
      </c>
      <c r="B94" s="118" t="s">
        <v>293</v>
      </c>
      <c r="C94" s="119">
        <v>5.0</v>
      </c>
    </row>
    <row r="95">
      <c r="A95" s="118" t="s">
        <v>175</v>
      </c>
      <c r="B95" s="118" t="s">
        <v>294</v>
      </c>
      <c r="C95" s="119">
        <v>5.0</v>
      </c>
    </row>
    <row r="96">
      <c r="A96" s="118" t="s">
        <v>202</v>
      </c>
      <c r="B96" s="118" t="s">
        <v>295</v>
      </c>
      <c r="C96" s="119">
        <v>5.0</v>
      </c>
    </row>
    <row r="97">
      <c r="A97" s="118" t="s">
        <v>296</v>
      </c>
      <c r="B97" s="120"/>
      <c r="C97" s="119">
        <v>17.0</v>
      </c>
    </row>
    <row r="99">
      <c r="A99" s="116" t="s">
        <v>138</v>
      </c>
      <c r="B99" s="116" t="s">
        <v>297</v>
      </c>
      <c r="C99" s="116">
        <v>5.0</v>
      </c>
    </row>
    <row r="100">
      <c r="A100" s="116" t="s">
        <v>158</v>
      </c>
      <c r="B100" s="116" t="s">
        <v>298</v>
      </c>
      <c r="C100" s="116">
        <v>5.0</v>
      </c>
    </row>
    <row r="101">
      <c r="A101" s="116" t="s">
        <v>176</v>
      </c>
      <c r="B101" s="116" t="s">
        <v>299</v>
      </c>
      <c r="C101" s="116">
        <v>5.0</v>
      </c>
    </row>
    <row r="102">
      <c r="A102" s="116" t="s">
        <v>203</v>
      </c>
      <c r="B102" s="116" t="s">
        <v>300</v>
      </c>
      <c r="C102" s="116">
        <v>5.0</v>
      </c>
    </row>
    <row r="103">
      <c r="A103" s="115" t="s">
        <v>301</v>
      </c>
      <c r="C103" s="116">
        <v>75.0</v>
      </c>
      <c r="D103" s="115" t="s">
        <v>270</v>
      </c>
    </row>
    <row r="105">
      <c r="A105" s="115" t="s">
        <v>302</v>
      </c>
      <c r="C105" s="116">
        <f>'ShortPapers assignment'!B7</f>
        <v>123</v>
      </c>
    </row>
  </sheetData>
  <conditionalFormatting sqref="G10">
    <cfRule type="cellIs" dxfId="1" priority="1" operator="equal">
      <formula>"TRUE"</formula>
    </cfRule>
  </conditionalFormatting>
  <conditionalFormatting sqref="G9">
    <cfRule type="cellIs" dxfId="1" priority="2" operator="equal">
      <formula>"TRUE"</formula>
    </cfRule>
  </conditionalFormatting>
  <conditionalFormatting sqref="G8">
    <cfRule type="cellIs" dxfId="1" priority="3" operator="equal">
      <formula>"TRUE"</formula>
    </cfRule>
  </conditionalFormatting>
  <conditionalFormatting sqref="G7">
    <cfRule type="cellIs" dxfId="1" priority="4" operator="equal">
      <formula>"TRUE"</formula>
    </cfRule>
  </conditionalFormatting>
  <conditionalFormatting sqref="G6">
    <cfRule type="cellIs" dxfId="1" priority="5" operator="equal">
      <formula>"TRUE"</formula>
    </cfRule>
  </conditionalFormatting>
  <conditionalFormatting sqref="G5">
    <cfRule type="cellIs" dxfId="1" priority="6" operator="equal">
      <formula>"TRUE"</formula>
    </cfRule>
  </conditionalFormatting>
  <conditionalFormatting sqref="G4">
    <cfRule type="cellIs" dxfId="1" priority="7" operator="equal">
      <formula>"TRUE"</formula>
    </cfRule>
  </conditionalFormatting>
  <conditionalFormatting sqref="G3">
    <cfRule type="cellIs" dxfId="1" priority="8" operator="equal">
      <formula>"TRUE"</formula>
    </cfRule>
  </conditionalFormatting>
  <conditionalFormatting sqref="G2">
    <cfRule type="cellIs" dxfId="1" priority="9" operator="equal">
      <formula>"TRUE"</formula>
    </cfRule>
  </conditionalFormatting>
  <conditionalFormatting sqref="G1">
    <cfRule type="cellIs" dxfId="1" priority="10" operator="equal">
      <formula>"TRUE"</formula>
    </cfRule>
  </conditionalFormatting>
  <conditionalFormatting sqref="G1">
    <cfRule type="cellIs" dxfId="1" priority="11" operator="equal">
      <formula>"TRUE"</formula>
    </cfRule>
  </conditionalFormatting>
  <dataValidations>
    <dataValidation type="list" allowBlank="1" showErrorMessage="1" sqref="G2">
      <formula1>"Graph1,Graph2,Graph3,Graph4,Graph5,GraphPoster,Graph6,Graph7,Graph8,Graph9,Graph10"</formula1>
    </dataValidation>
    <dataValidation type="list" allowBlank="1" showErrorMessage="1" sqref="G6">
      <formula1>"Security1,Security2,Security3,SecurityPoster,Security4,Security5,Security6,Security7,Security8"</formula1>
    </dataValidation>
    <dataValidation type="list" allowBlank="1" showErrorMessage="1" sqref="G9">
      <formula1>"RecSys1,RecSys2,RecSys3,RecSys4,RecSys5,RecSys6,RecSys7,RecSys8,RecSys9,RecSys10,RecSysPoster"</formula1>
    </dataValidation>
    <dataValidation type="list" allowBlank="1" showErrorMessage="1" sqref="G5">
      <formula1>"Semantics1,Semantics2,Semantics3,Semantics4,Semantics5,Semantics6,Semantics7,Semantics8,SemanticsPoster,BPC"</formula1>
    </dataValidation>
    <dataValidation type="list" allowBlank="1" showErrorMessage="1" sqref="G7">
      <formula1>"Social1,Social2,Social3,Social4,SocialPoster"</formula1>
    </dataValidation>
    <dataValidation type="list" allowBlank="1" showErrorMessage="1" sqref="G4">
      <formula1>"Search1,Search2,SearchPoster,Search3,Search4,Search5,Search6,BPC"</formula1>
    </dataValidation>
    <dataValidation type="list" allowBlank="1" showErrorMessage="1" sqref="G3">
      <formula1>"RespWeb1,RespWeb2,RespWebPoster,RespWeb3"</formula1>
    </dataValidation>
    <dataValidation type="list" allowBlank="1" showErrorMessage="1" sqref="G8">
      <formula1>"Systems1,Systems2,Systems3,SystemsPoster,Systems4,Systems5,Systems6"</formula1>
    </dataValidation>
    <dataValidation type="list" allowBlank="1" showErrorMessage="1" sqref="G10">
      <formula1>"Mining1,Mining2,Mining3,Mining4,MiningPoster,Mining5,Mining6,Canceled"</formula1>
    </dataValidation>
    <dataValidation type="list" allowBlank="1" showErrorMessage="1" sqref="G1">
      <formula1>"Econ1,Econ2,Econ3,EconPoster,BPC"</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75"/>
    <col customWidth="1" min="2" max="2" width="21.75"/>
    <col customWidth="1" min="3" max="3" width="23.0"/>
    <col customWidth="1" min="5" max="5" width="17.38"/>
  </cols>
  <sheetData>
    <row r="1">
      <c r="A1" s="121"/>
      <c r="B1" s="122" t="s">
        <v>303</v>
      </c>
      <c r="C1" s="122" t="s">
        <v>304</v>
      </c>
      <c r="D1" s="122" t="s">
        <v>305</v>
      </c>
      <c r="E1" s="123" t="s">
        <v>306</v>
      </c>
    </row>
    <row r="2">
      <c r="A2" s="124" t="s">
        <v>307</v>
      </c>
      <c r="B2" s="116">
        <f>sum('Sessions Counts'!C2:C86)</f>
        <v>678</v>
      </c>
      <c r="C2" s="116">
        <f>B2-D2-2</f>
        <v>319</v>
      </c>
      <c r="D2" s="116">
        <f>'Sessions Counts'!H11</f>
        <v>357</v>
      </c>
      <c r="E2" s="125">
        <v>2.0</v>
      </c>
    </row>
    <row r="3">
      <c r="A3" s="124" t="s">
        <v>308</v>
      </c>
      <c r="B3" s="116">
        <f>sum('Sessions Counts'!C89:C97)</f>
        <v>57</v>
      </c>
      <c r="C3" s="116">
        <f t="shared" ref="C3:C4" si="1">B3-D3</f>
        <v>40</v>
      </c>
      <c r="D3" s="116">
        <f>'Sessions Counts'!C97</f>
        <v>17</v>
      </c>
      <c r="E3" s="126"/>
    </row>
    <row r="4">
      <c r="A4" s="124" t="s">
        <v>309</v>
      </c>
      <c r="B4" s="116">
        <f>sum('Sessions Counts'!C99:C103)</f>
        <v>95</v>
      </c>
      <c r="C4" s="116">
        <f t="shared" si="1"/>
        <v>20</v>
      </c>
      <c r="D4" s="116">
        <f>'Sessions Counts'!C103</f>
        <v>75</v>
      </c>
      <c r="E4" s="126"/>
    </row>
    <row r="5">
      <c r="A5" s="124" t="s">
        <v>302</v>
      </c>
      <c r="D5" s="115">
        <f>'Sessions Counts'!C105</f>
        <v>123</v>
      </c>
      <c r="E5" s="126"/>
    </row>
    <row r="6">
      <c r="A6" s="127" t="s">
        <v>310</v>
      </c>
      <c r="B6" s="128">
        <f t="shared" ref="B6:C6" si="2">sum(B2:B4)</f>
        <v>830</v>
      </c>
      <c r="C6" s="128">
        <f t="shared" si="2"/>
        <v>379</v>
      </c>
      <c r="D6" s="128">
        <f>sum(D2:D5)</f>
        <v>572</v>
      </c>
      <c r="E6" s="129">
        <f>sum('All Counts'!C79:C83)</f>
        <v>357</v>
      </c>
    </row>
    <row r="7">
      <c r="A7" s="112"/>
    </row>
    <row r="8">
      <c r="A8" s="123" t="s">
        <v>311</v>
      </c>
      <c r="B8" s="123"/>
      <c r="C8" s="123"/>
      <c r="D8" s="130"/>
    </row>
    <row r="9">
      <c r="A9" s="124" t="s">
        <v>312</v>
      </c>
      <c r="B9" s="115" t="s">
        <v>211</v>
      </c>
      <c r="C9" s="131">
        <f>countif('Research assignment'!F:F,B9)</f>
        <v>20</v>
      </c>
      <c r="D9" s="132"/>
    </row>
    <row r="10">
      <c r="A10" s="124"/>
      <c r="B10" s="133" t="s">
        <v>313</v>
      </c>
      <c r="D10" s="134">
        <f>countif('Research assignment'!G:G,B10)</f>
        <v>6</v>
      </c>
      <c r="E10" s="135" t="s">
        <v>314</v>
      </c>
    </row>
    <row r="11">
      <c r="A11" s="124"/>
      <c r="B11" s="133" t="s">
        <v>111</v>
      </c>
      <c r="D11" s="134">
        <f>countif('Research assignment'!G:G,B11)</f>
        <v>7</v>
      </c>
      <c r="E11" s="135" t="s">
        <v>315</v>
      </c>
    </row>
    <row r="12">
      <c r="A12" s="124"/>
      <c r="B12" s="133" t="s">
        <v>316</v>
      </c>
      <c r="D12" s="134">
        <f>countif('Research assignment'!G:G,B12)</f>
        <v>7</v>
      </c>
      <c r="E12" s="135" t="s">
        <v>317</v>
      </c>
    </row>
    <row r="13">
      <c r="A13" s="124" t="s">
        <v>318</v>
      </c>
      <c r="B13" s="115" t="s">
        <v>213</v>
      </c>
      <c r="C13" s="131">
        <f>countif('Research assignment'!F:F,B13)</f>
        <v>49</v>
      </c>
      <c r="D13" s="132"/>
    </row>
    <row r="14">
      <c r="A14" s="124"/>
      <c r="B14" s="133" t="s">
        <v>319</v>
      </c>
      <c r="C14" s="131"/>
      <c r="D14" s="134">
        <f>countif('Research assignment'!G:G,B14)</f>
        <v>9</v>
      </c>
      <c r="E14" s="135" t="s">
        <v>314</v>
      </c>
    </row>
    <row r="15">
      <c r="A15" s="124"/>
      <c r="B15" s="133" t="s">
        <v>112</v>
      </c>
      <c r="C15" s="131"/>
      <c r="D15" s="134">
        <f>countif('Research assignment'!G:G,B15)</f>
        <v>10</v>
      </c>
      <c r="E15" s="135" t="s">
        <v>315</v>
      </c>
    </row>
    <row r="16">
      <c r="A16" s="124"/>
      <c r="B16" s="133" t="s">
        <v>320</v>
      </c>
      <c r="C16" s="131"/>
      <c r="D16" s="134">
        <f>countif('Research assignment'!G:G,B16)</f>
        <v>10</v>
      </c>
      <c r="E16" s="135" t="s">
        <v>317</v>
      </c>
    </row>
    <row r="17">
      <c r="A17" s="124"/>
      <c r="B17" s="133" t="s">
        <v>321</v>
      </c>
      <c r="C17" s="131"/>
      <c r="D17" s="134">
        <f>countif('Research assignment'!G:G,B17)</f>
        <v>10</v>
      </c>
      <c r="E17" s="135" t="s">
        <v>322</v>
      </c>
    </row>
    <row r="18">
      <c r="A18" s="124"/>
      <c r="B18" s="133" t="s">
        <v>180</v>
      </c>
      <c r="C18" s="131"/>
      <c r="D18" s="134">
        <f>countif('Research assignment'!G:G,B18)</f>
        <v>10</v>
      </c>
      <c r="E18" s="135" t="s">
        <v>323</v>
      </c>
    </row>
    <row r="19">
      <c r="A19" s="124" t="s">
        <v>324</v>
      </c>
      <c r="B19" s="115" t="s">
        <v>215</v>
      </c>
      <c r="C19" s="131">
        <f>countif('Research assignment'!F:F,B19)</f>
        <v>13</v>
      </c>
      <c r="D19" s="132"/>
    </row>
    <row r="20">
      <c r="A20" s="124"/>
      <c r="B20" s="133" t="s">
        <v>325</v>
      </c>
      <c r="C20" s="131"/>
      <c r="D20" s="134">
        <f>countif('Research assignment'!G:G,B20)</f>
        <v>6</v>
      </c>
      <c r="E20" s="135" t="s">
        <v>322</v>
      </c>
    </row>
    <row r="21">
      <c r="A21" s="124"/>
      <c r="B21" s="133" t="s">
        <v>181</v>
      </c>
      <c r="C21" s="131"/>
      <c r="D21" s="134">
        <f>countif('Research assignment'!G:G,B21)</f>
        <v>7</v>
      </c>
      <c r="E21" s="135" t="s">
        <v>323</v>
      </c>
    </row>
    <row r="22">
      <c r="A22" s="124" t="s">
        <v>326</v>
      </c>
      <c r="B22" s="115" t="s">
        <v>217</v>
      </c>
      <c r="C22" s="131">
        <f>countif('Research assignment'!F:F,B22)</f>
        <v>30</v>
      </c>
      <c r="D22" s="132"/>
    </row>
    <row r="23">
      <c r="A23" s="124"/>
      <c r="B23" s="133" t="s">
        <v>327</v>
      </c>
      <c r="C23" s="131"/>
      <c r="D23" s="134">
        <f>countif('Research assignment'!G:G,B23)</f>
        <v>6</v>
      </c>
      <c r="E23" s="135" t="s">
        <v>314</v>
      </c>
    </row>
    <row r="24">
      <c r="A24" s="124"/>
      <c r="B24" s="133" t="s">
        <v>113</v>
      </c>
      <c r="C24" s="131"/>
      <c r="D24" s="134">
        <f>countif('Research assignment'!G:G,B24)</f>
        <v>6</v>
      </c>
      <c r="E24" s="135" t="s">
        <v>315</v>
      </c>
    </row>
    <row r="25">
      <c r="A25" s="124"/>
      <c r="B25" s="133" t="s">
        <v>328</v>
      </c>
      <c r="C25" s="131"/>
      <c r="D25" s="134">
        <f>countif('Research assignment'!G:G,B25)</f>
        <v>6</v>
      </c>
      <c r="E25" s="135" t="s">
        <v>317</v>
      </c>
    </row>
    <row r="26">
      <c r="A26" s="124"/>
      <c r="B26" s="133" t="s">
        <v>329</v>
      </c>
      <c r="C26" s="131"/>
      <c r="D26" s="134">
        <f>countif('Research assignment'!G:G,B26)</f>
        <v>6</v>
      </c>
      <c r="E26" s="135" t="s">
        <v>322</v>
      </c>
    </row>
    <row r="27">
      <c r="A27" s="124"/>
      <c r="B27" s="133" t="s">
        <v>182</v>
      </c>
      <c r="C27" s="131"/>
      <c r="D27" s="134">
        <f>countif('Research assignment'!G:G,B27)</f>
        <v>6</v>
      </c>
      <c r="E27" s="135" t="s">
        <v>323</v>
      </c>
    </row>
    <row r="28">
      <c r="A28" s="124" t="s">
        <v>330</v>
      </c>
      <c r="B28" s="115" t="s">
        <v>218</v>
      </c>
      <c r="C28" s="131">
        <f>countif('Research assignment'!F:F,B28)</f>
        <v>40</v>
      </c>
      <c r="D28" s="132"/>
    </row>
    <row r="29">
      <c r="A29" s="124"/>
      <c r="B29" s="133" t="s">
        <v>331</v>
      </c>
      <c r="C29" s="131"/>
      <c r="D29" s="134">
        <f>countif('Research assignment'!G:G,B29)</f>
        <v>8</v>
      </c>
      <c r="E29" s="135" t="s">
        <v>314</v>
      </c>
    </row>
    <row r="30">
      <c r="A30" s="124"/>
      <c r="B30" s="133" t="s">
        <v>114</v>
      </c>
      <c r="C30" s="131"/>
      <c r="D30" s="134">
        <f>countif('Research assignment'!G:G,B30)</f>
        <v>7</v>
      </c>
      <c r="E30" s="135" t="s">
        <v>315</v>
      </c>
    </row>
    <row r="31">
      <c r="A31" s="124"/>
      <c r="B31" s="133" t="s">
        <v>332</v>
      </c>
      <c r="C31" s="131"/>
      <c r="D31" s="134">
        <f>countif('Research assignment'!G:G,B31)</f>
        <v>8</v>
      </c>
      <c r="E31" s="135" t="s">
        <v>317</v>
      </c>
    </row>
    <row r="32">
      <c r="A32" s="124"/>
      <c r="B32" s="133" t="s">
        <v>333</v>
      </c>
      <c r="C32" s="131"/>
      <c r="D32" s="134">
        <f>countif('Research assignment'!G:G,B32)</f>
        <v>8</v>
      </c>
      <c r="E32" s="135" t="s">
        <v>322</v>
      </c>
    </row>
    <row r="33">
      <c r="A33" s="124"/>
      <c r="B33" s="133" t="s">
        <v>183</v>
      </c>
      <c r="C33" s="131"/>
      <c r="D33" s="134">
        <f>countif('Research assignment'!G:G,B33)</f>
        <v>9</v>
      </c>
      <c r="E33" s="135" t="s">
        <v>323</v>
      </c>
    </row>
    <row r="34">
      <c r="A34" s="124" t="s">
        <v>334</v>
      </c>
      <c r="B34" s="115" t="s">
        <v>219</v>
      </c>
      <c r="C34" s="131">
        <f>countif('Research assignment'!F:F,B34)</f>
        <v>48</v>
      </c>
      <c r="D34" s="132"/>
    </row>
    <row r="35">
      <c r="A35" s="124"/>
      <c r="B35" s="133" t="s">
        <v>335</v>
      </c>
      <c r="C35" s="131"/>
      <c r="D35" s="134">
        <f>countif('Research assignment'!G:G,B35)</f>
        <v>9</v>
      </c>
      <c r="E35" s="135" t="s">
        <v>314</v>
      </c>
    </row>
    <row r="36">
      <c r="A36" s="124"/>
      <c r="B36" s="133" t="s">
        <v>115</v>
      </c>
      <c r="C36" s="131"/>
      <c r="D36" s="134">
        <f>countif('Research assignment'!G:G,B36)</f>
        <v>10</v>
      </c>
      <c r="E36" s="135" t="s">
        <v>315</v>
      </c>
    </row>
    <row r="37">
      <c r="A37" s="124"/>
      <c r="B37" s="133" t="s">
        <v>336</v>
      </c>
      <c r="C37" s="131"/>
      <c r="D37" s="134">
        <f>countif('Research assignment'!G:G,B37)</f>
        <v>9</v>
      </c>
      <c r="E37" s="135" t="s">
        <v>317</v>
      </c>
    </row>
    <row r="38">
      <c r="A38" s="124"/>
      <c r="B38" s="133" t="s">
        <v>337</v>
      </c>
      <c r="C38" s="131"/>
      <c r="D38" s="134">
        <f>countif('Research assignment'!G:G,B38)</f>
        <v>10</v>
      </c>
      <c r="E38" s="135" t="s">
        <v>322</v>
      </c>
    </row>
    <row r="39">
      <c r="A39" s="124"/>
      <c r="B39" s="133" t="s">
        <v>184</v>
      </c>
      <c r="C39" s="131"/>
      <c r="D39" s="134">
        <f>countif('Research assignment'!G:G,B39)</f>
        <v>10</v>
      </c>
      <c r="E39" s="135" t="s">
        <v>323</v>
      </c>
    </row>
    <row r="40">
      <c r="A40" s="124" t="s">
        <v>338</v>
      </c>
      <c r="B40" s="115" t="s">
        <v>221</v>
      </c>
      <c r="C40" s="131">
        <f>countif('Research assignment'!F:F,B40)</f>
        <v>22</v>
      </c>
      <c r="D40" s="132"/>
    </row>
    <row r="41">
      <c r="A41" s="124"/>
      <c r="B41" s="133" t="s">
        <v>339</v>
      </c>
      <c r="C41" s="131"/>
      <c r="D41" s="134">
        <f>countif('Research assignment'!G:G,B41)</f>
        <v>6</v>
      </c>
      <c r="E41" s="135" t="s">
        <v>314</v>
      </c>
    </row>
    <row r="42">
      <c r="A42" s="124"/>
      <c r="B42" s="133" t="s">
        <v>116</v>
      </c>
      <c r="C42" s="131"/>
      <c r="D42" s="134">
        <f>countif('Research assignment'!G:G,B42)</f>
        <v>6</v>
      </c>
      <c r="E42" s="135" t="s">
        <v>315</v>
      </c>
    </row>
    <row r="43">
      <c r="A43" s="124"/>
      <c r="B43" s="133" t="s">
        <v>340</v>
      </c>
      <c r="C43" s="131"/>
      <c r="D43" s="134">
        <f>countif('Research assignment'!G:G,B43)</f>
        <v>5</v>
      </c>
      <c r="E43" s="135" t="s">
        <v>317</v>
      </c>
    </row>
    <row r="44">
      <c r="A44" s="124"/>
      <c r="B44" s="133" t="s">
        <v>341</v>
      </c>
      <c r="C44" s="131"/>
      <c r="D44" s="134">
        <f>countif('Research assignment'!G:G,B44)</f>
        <v>5</v>
      </c>
      <c r="E44" s="135" t="s">
        <v>322</v>
      </c>
    </row>
    <row r="45">
      <c r="A45" s="124" t="s">
        <v>342</v>
      </c>
      <c r="B45" s="115" t="s">
        <v>223</v>
      </c>
      <c r="C45" s="131">
        <f>countif('Research assignment'!F:F,B45)</f>
        <v>37</v>
      </c>
      <c r="D45" s="134"/>
    </row>
    <row r="46">
      <c r="A46" s="124"/>
      <c r="B46" s="133" t="s">
        <v>343</v>
      </c>
      <c r="C46" s="131"/>
      <c r="D46" s="134">
        <f>countif('Research assignment'!G:G,B46)</f>
        <v>8</v>
      </c>
      <c r="E46" s="135" t="s">
        <v>314</v>
      </c>
    </row>
    <row r="47">
      <c r="A47" s="124"/>
      <c r="B47" s="133" t="s">
        <v>117</v>
      </c>
      <c r="C47" s="131"/>
      <c r="D47" s="134">
        <f>countif('Research assignment'!G:G,B47)</f>
        <v>7</v>
      </c>
      <c r="E47" s="135" t="s">
        <v>315</v>
      </c>
    </row>
    <row r="48">
      <c r="A48" s="124"/>
      <c r="B48" s="133" t="s">
        <v>344</v>
      </c>
      <c r="C48" s="131"/>
      <c r="D48" s="134">
        <f>countif('Research assignment'!G:G,B48)</f>
        <v>6</v>
      </c>
      <c r="E48" s="135" t="s">
        <v>317</v>
      </c>
    </row>
    <row r="49">
      <c r="A49" s="124"/>
      <c r="B49" s="133" t="s">
        <v>345</v>
      </c>
      <c r="C49" s="131"/>
      <c r="D49" s="134">
        <f>countif('Research assignment'!G:G,B49)</f>
        <v>7</v>
      </c>
      <c r="E49" s="135" t="s">
        <v>322</v>
      </c>
    </row>
    <row r="50">
      <c r="A50" s="124"/>
      <c r="B50" s="133" t="s">
        <v>185</v>
      </c>
      <c r="C50" s="131"/>
      <c r="D50" s="134">
        <f>countif('Research assignment'!G:G,B50)</f>
        <v>9</v>
      </c>
      <c r="E50" s="135" t="s">
        <v>323</v>
      </c>
    </row>
    <row r="51">
      <c r="A51" s="124" t="s">
        <v>346</v>
      </c>
      <c r="B51" s="115" t="s">
        <v>225</v>
      </c>
      <c r="C51" s="131">
        <f>countif('Research assignment'!F:F,B51)</f>
        <v>60</v>
      </c>
      <c r="D51" s="132"/>
    </row>
    <row r="52">
      <c r="A52" s="124"/>
      <c r="B52" s="133" t="s">
        <v>347</v>
      </c>
      <c r="C52" s="131"/>
      <c r="D52" s="134">
        <f>countif('Research assignment'!G:G,B52)</f>
        <v>12</v>
      </c>
      <c r="E52" s="135" t="s">
        <v>314</v>
      </c>
    </row>
    <row r="53">
      <c r="A53" s="124"/>
      <c r="B53" s="133" t="s">
        <v>118</v>
      </c>
      <c r="C53" s="131"/>
      <c r="D53" s="134">
        <f>countif('Research assignment'!G:G,B53)</f>
        <v>11</v>
      </c>
      <c r="E53" s="135" t="s">
        <v>315</v>
      </c>
    </row>
    <row r="54">
      <c r="A54" s="124"/>
      <c r="B54" s="133" t="s">
        <v>348</v>
      </c>
      <c r="C54" s="131"/>
      <c r="D54" s="134">
        <f>countif('Research assignment'!G:G,B54)</f>
        <v>12</v>
      </c>
      <c r="E54" s="135" t="s">
        <v>317</v>
      </c>
    </row>
    <row r="55">
      <c r="A55" s="124"/>
      <c r="B55" s="133" t="s">
        <v>349</v>
      </c>
      <c r="C55" s="131"/>
      <c r="D55" s="134">
        <f>countif('Research assignment'!G:G,B55)</f>
        <v>12</v>
      </c>
      <c r="E55" s="135" t="s">
        <v>322</v>
      </c>
    </row>
    <row r="56">
      <c r="A56" s="124"/>
      <c r="B56" s="133" t="s">
        <v>186</v>
      </c>
      <c r="C56" s="131"/>
      <c r="D56" s="134">
        <f>countif('Research assignment'!G:G,B56)</f>
        <v>13</v>
      </c>
      <c r="E56" s="135" t="s">
        <v>323</v>
      </c>
    </row>
    <row r="57">
      <c r="A57" s="124" t="s">
        <v>350</v>
      </c>
      <c r="B57" s="115" t="s">
        <v>227</v>
      </c>
      <c r="C57" s="131">
        <f>countif('Research assignment'!F:F,B57)</f>
        <v>38</v>
      </c>
      <c r="D57" s="132"/>
    </row>
    <row r="58">
      <c r="A58" s="124"/>
      <c r="B58" s="133" t="s">
        <v>351</v>
      </c>
      <c r="C58" s="131"/>
      <c r="D58" s="134">
        <f>countif('Research assignment'!G:G,B58)</f>
        <v>7</v>
      </c>
      <c r="E58" s="135" t="s">
        <v>314</v>
      </c>
    </row>
    <row r="59">
      <c r="A59" s="124"/>
      <c r="B59" s="133" t="s">
        <v>119</v>
      </c>
      <c r="C59" s="131"/>
      <c r="D59" s="134">
        <f>countif('Research assignment'!G:G,B59)</f>
        <v>7</v>
      </c>
      <c r="E59" s="135" t="s">
        <v>315</v>
      </c>
    </row>
    <row r="60">
      <c r="A60" s="124"/>
      <c r="B60" s="133" t="s">
        <v>352</v>
      </c>
      <c r="C60" s="131"/>
      <c r="D60" s="134">
        <f>countif('Research assignment'!G:G,B60)</f>
        <v>8</v>
      </c>
      <c r="E60" s="135" t="s">
        <v>317</v>
      </c>
    </row>
    <row r="61">
      <c r="A61" s="124"/>
      <c r="B61" s="133" t="s">
        <v>353</v>
      </c>
      <c r="C61" s="131"/>
      <c r="D61" s="134">
        <f>countif('Research assignment'!G:G,B61)</f>
        <v>8</v>
      </c>
      <c r="E61" s="135" t="s">
        <v>322</v>
      </c>
    </row>
    <row r="62">
      <c r="A62" s="124"/>
      <c r="B62" s="133" t="s">
        <v>187</v>
      </c>
      <c r="C62" s="131"/>
      <c r="D62" s="134">
        <f>countif('Research assignment'!G:G,B62)</f>
        <v>8</v>
      </c>
      <c r="E62" s="135" t="s">
        <v>323</v>
      </c>
    </row>
    <row r="63">
      <c r="A63" s="127" t="s">
        <v>310</v>
      </c>
      <c r="B63" s="128"/>
      <c r="C63" s="129">
        <f>sum(C9:C57)</f>
        <v>357</v>
      </c>
      <c r="D63" s="136"/>
    </row>
    <row r="64">
      <c r="A64" s="137" t="s">
        <v>308</v>
      </c>
      <c r="B64" s="118" t="s">
        <v>296</v>
      </c>
      <c r="C64" s="116">
        <f>countif('Industry assignment'!F12:F68,B64)</f>
        <v>17</v>
      </c>
      <c r="E64" s="138"/>
    </row>
    <row r="65">
      <c r="B65" s="139" t="s">
        <v>354</v>
      </c>
      <c r="C65" s="140"/>
      <c r="D65" s="116">
        <f>countif('Industry assignment'!G:G,B65)</f>
        <v>4</v>
      </c>
      <c r="E65" s="135" t="s">
        <v>314</v>
      </c>
    </row>
    <row r="66">
      <c r="B66" s="118" t="s">
        <v>120</v>
      </c>
      <c r="D66" s="116">
        <f>countif('Industry assignment'!G:G,B66)</f>
        <v>4</v>
      </c>
      <c r="E66" s="135" t="s">
        <v>315</v>
      </c>
    </row>
    <row r="67">
      <c r="A67" s="141"/>
      <c r="B67" s="118" t="s">
        <v>355</v>
      </c>
      <c r="D67" s="116">
        <f>countif('Industry assignment'!G:G,B67)</f>
        <v>3</v>
      </c>
      <c r="E67" s="135" t="s">
        <v>317</v>
      </c>
    </row>
    <row r="68">
      <c r="A68" s="141"/>
      <c r="B68" s="118" t="s">
        <v>356</v>
      </c>
      <c r="D68" s="116">
        <f>countif('Industry assignment'!G:G,B68)</f>
        <v>3</v>
      </c>
      <c r="E68" s="135" t="s">
        <v>322</v>
      </c>
    </row>
    <row r="69">
      <c r="A69" s="142"/>
      <c r="B69" s="143" t="s">
        <v>188</v>
      </c>
      <c r="C69" s="128"/>
      <c r="D69" s="116">
        <f>countif('Industry assignment'!G:G,B69)</f>
        <v>3</v>
      </c>
      <c r="E69" s="135" t="s">
        <v>323</v>
      </c>
    </row>
    <row r="70">
      <c r="A70" s="111" t="s">
        <v>309</v>
      </c>
      <c r="B70" s="118" t="s">
        <v>301</v>
      </c>
      <c r="C70" s="116">
        <f>countif('Web4Good assignment'!F:F,B70)</f>
        <v>75</v>
      </c>
      <c r="E70" s="135"/>
    </row>
    <row r="71">
      <c r="B71" s="118" t="s">
        <v>357</v>
      </c>
      <c r="D71" s="116">
        <f>countif('Web4Good assignment'!G:G,B71)</f>
        <v>15</v>
      </c>
      <c r="E71" s="135" t="s">
        <v>314</v>
      </c>
    </row>
    <row r="72">
      <c r="B72" s="118" t="s">
        <v>121</v>
      </c>
      <c r="D72" s="116">
        <f>countif('Web4Good assignment'!G:G,B72)</f>
        <v>15</v>
      </c>
      <c r="E72" s="135" t="s">
        <v>315</v>
      </c>
    </row>
    <row r="73">
      <c r="B73" s="118" t="s">
        <v>358</v>
      </c>
      <c r="D73" s="116">
        <f>countif('Web4Good assignment'!G:G,B73)</f>
        <v>15</v>
      </c>
      <c r="E73" s="135" t="s">
        <v>317</v>
      </c>
    </row>
    <row r="74">
      <c r="B74" s="118" t="s">
        <v>359</v>
      </c>
      <c r="D74" s="116">
        <f>countif('Web4Good assignment'!G:G,B74)</f>
        <v>15</v>
      </c>
      <c r="E74" s="135" t="s">
        <v>322</v>
      </c>
    </row>
    <row r="75">
      <c r="B75" s="118" t="s">
        <v>189</v>
      </c>
      <c r="D75" s="116">
        <f>countif('Web4Good assignment'!G:G,B75)</f>
        <v>15</v>
      </c>
      <c r="E75" s="135" t="s">
        <v>323</v>
      </c>
    </row>
    <row r="77">
      <c r="A77" s="112"/>
    </row>
    <row r="78">
      <c r="A78" s="123"/>
      <c r="B78" s="123" t="s">
        <v>360</v>
      </c>
      <c r="C78" s="123" t="s">
        <v>361</v>
      </c>
      <c r="D78" s="123" t="s">
        <v>308</v>
      </c>
      <c r="E78" s="123" t="s">
        <v>309</v>
      </c>
      <c r="F78" s="144" t="s">
        <v>302</v>
      </c>
      <c r="G78" s="111"/>
      <c r="H78" s="111"/>
      <c r="I78" s="111"/>
    </row>
    <row r="79">
      <c r="A79" s="124" t="s">
        <v>314</v>
      </c>
      <c r="B79" s="116">
        <f t="shared" ref="B79:B84" si="3">sum(C79:F79)</f>
        <v>115</v>
      </c>
      <c r="C79" s="115">
        <f>SUMIF(E10:E62,A79,D10:D62)</f>
        <v>71</v>
      </c>
      <c r="D79" s="115">
        <f>SUMIF(E65:E69,A79,D65:D69)</f>
        <v>4</v>
      </c>
      <c r="E79" s="125">
        <v>15.0</v>
      </c>
      <c r="F79" s="145">
        <f>'ShortPapers assignment'!B2</f>
        <v>25</v>
      </c>
    </row>
    <row r="80">
      <c r="A80" s="124" t="s">
        <v>315</v>
      </c>
      <c r="B80" s="116">
        <f t="shared" si="3"/>
        <v>115</v>
      </c>
      <c r="C80" s="115">
        <f>SUMIF(E10:E62,A80,D10:D62)</f>
        <v>71</v>
      </c>
      <c r="D80" s="115">
        <f>SUMIF(E65:E69,A80,D65:D69)</f>
        <v>4</v>
      </c>
      <c r="E80" s="125">
        <v>15.0</v>
      </c>
      <c r="F80" s="145">
        <f>'ShortPapers assignment'!B3</f>
        <v>25</v>
      </c>
    </row>
    <row r="81">
      <c r="A81" s="124" t="s">
        <v>317</v>
      </c>
      <c r="B81" s="116">
        <f t="shared" si="3"/>
        <v>114</v>
      </c>
      <c r="C81" s="115">
        <f>SUMIF(E10:E62,A81,D10:D62)</f>
        <v>71</v>
      </c>
      <c r="D81" s="115">
        <f>SUMIF(E65:E69,A81,D65:D69)</f>
        <v>3</v>
      </c>
      <c r="E81" s="125">
        <v>15.0</v>
      </c>
      <c r="F81" s="145">
        <f>'ShortPapers assignment'!B4</f>
        <v>25</v>
      </c>
    </row>
    <row r="82">
      <c r="A82" s="124" t="s">
        <v>322</v>
      </c>
      <c r="B82" s="116">
        <f t="shared" si="3"/>
        <v>114</v>
      </c>
      <c r="C82" s="115">
        <f>SUMIF(E10:E62,A82,D10:D62)</f>
        <v>72</v>
      </c>
      <c r="D82" s="115">
        <f>SUMIF(E65:E69,A82,D65:D69)</f>
        <v>3</v>
      </c>
      <c r="E82" s="125">
        <v>15.0</v>
      </c>
      <c r="F82" s="145">
        <f>'ShortPapers assignment'!B5</f>
        <v>24</v>
      </c>
    </row>
    <row r="83">
      <c r="A83" s="124" t="s">
        <v>323</v>
      </c>
      <c r="B83" s="116">
        <f t="shared" si="3"/>
        <v>114</v>
      </c>
      <c r="C83" s="115">
        <f>SUMIF(E10:E62,A83,D10:D62)</f>
        <v>72</v>
      </c>
      <c r="D83" s="115">
        <f>SUMIF(E65:E69,A83,D65:D69)</f>
        <v>3</v>
      </c>
      <c r="E83" s="125">
        <v>15.0</v>
      </c>
      <c r="F83" s="145">
        <f>'ShortPapers assignment'!B6</f>
        <v>24</v>
      </c>
    </row>
    <row r="84">
      <c r="A84" s="127" t="s">
        <v>310</v>
      </c>
      <c r="B84" s="128">
        <f t="shared" si="3"/>
        <v>572</v>
      </c>
      <c r="C84" s="128">
        <f t="shared" ref="C84:E84" si="4">sum(C79:C83)</f>
        <v>357</v>
      </c>
      <c r="D84" s="128">
        <f t="shared" si="4"/>
        <v>17</v>
      </c>
      <c r="E84" s="129">
        <f t="shared" si="4"/>
        <v>75</v>
      </c>
      <c r="F84" s="146">
        <f>'ShortPapers assignment'!B7</f>
        <v>123</v>
      </c>
    </row>
  </sheetData>
  <conditionalFormatting sqref="B57:B62">
    <cfRule type="cellIs" dxfId="1" priority="1" operator="equal">
      <formula>"TRUE"</formula>
    </cfRule>
  </conditionalFormatting>
  <conditionalFormatting sqref="B51:B56 B58:B62">
    <cfRule type="cellIs" dxfId="1" priority="2" operator="equal">
      <formula>"TRUE"</formula>
    </cfRule>
  </conditionalFormatting>
  <conditionalFormatting sqref="B45:B50 B52:B56 B58:B62">
    <cfRule type="cellIs" dxfId="1" priority="3" operator="equal">
      <formula>"TRUE"</formula>
    </cfRule>
  </conditionalFormatting>
  <conditionalFormatting sqref="B40:B44 B46:B50 B52:B56 B58:B62">
    <cfRule type="cellIs" dxfId="1" priority="4" operator="equal">
      <formula>"TRUE"</formula>
    </cfRule>
  </conditionalFormatting>
  <conditionalFormatting sqref="B34:B39">
    <cfRule type="cellIs" dxfId="1" priority="5" operator="equal">
      <formula>"TRUE"</formula>
    </cfRule>
  </conditionalFormatting>
  <conditionalFormatting sqref="B28:B33">
    <cfRule type="cellIs" dxfId="1" priority="6" operator="equal">
      <formula>"TRUE"</formula>
    </cfRule>
  </conditionalFormatting>
  <conditionalFormatting sqref="B9 B22:B27">
    <cfRule type="cellIs" dxfId="1" priority="7" operator="equal">
      <formula>"TRUE"</formula>
    </cfRule>
  </conditionalFormatting>
  <conditionalFormatting sqref="B19:B21">
    <cfRule type="cellIs" dxfId="1" priority="8" operator="equal">
      <formula>"TRUE"</formula>
    </cfRule>
  </conditionalFormatting>
  <conditionalFormatting sqref="B10:B18">
    <cfRule type="cellIs" dxfId="1" priority="9" operator="equal">
      <formula>"TRUE"</formula>
    </cfRule>
  </conditionalFormatting>
  <conditionalFormatting sqref="B9">
    <cfRule type="cellIs" dxfId="1" priority="10" operator="equal">
      <formula>"TRUE"</formula>
    </cfRule>
  </conditionalFormatting>
  <conditionalFormatting sqref="B9">
    <cfRule type="cellIs" dxfId="1" priority="11" operator="equal">
      <formula>"TRUE"</formula>
    </cfRule>
  </conditionalFormatting>
  <dataValidations>
    <dataValidation type="list" allowBlank="1" showErrorMessage="1" sqref="B13">
      <formula1>"Graph1,Graph2,Graph3,Graph4,Graph5,GraphPoster,Graph6,Graph7,Graph8,Graph9,Graph10"</formula1>
    </dataValidation>
    <dataValidation type="list" allowBlank="1" showErrorMessage="1" sqref="B29:B33">
      <formula1>"SemanticsPoster1,SemanticsPoster2,SemanticsPoster3,SemanticsPoster4,SemanticsPoster5"</formula1>
    </dataValidation>
    <dataValidation type="list" allowBlank="1" showErrorMessage="1" sqref="B34">
      <formula1>"Security1,Security2,Security3,SecurityPoster,Security4,Security5,Security6,Security7,Security8"</formula1>
    </dataValidation>
    <dataValidation type="list" allowBlank="1" showErrorMessage="1" sqref="B10:B12">
      <formula1>"EconPoster1,EconPoster2,EconPoster3"</formula1>
    </dataValidation>
    <dataValidation type="list" allowBlank="1" showErrorMessage="1" sqref="B65:B69">
      <formula1>"IndustryPoster1,IndustryPoster2,IndustryPoster3,IndustryPoster4,IndustryPoster5"</formula1>
    </dataValidation>
    <dataValidation type="list" allowBlank="1" showErrorMessage="1" sqref="B70:B75">
      <formula1>"Web4GoodPoster1,Web4GoodPoster2,Web4GoodPoster3,Web4GoodPoster4,Web4GoodPoster5,Web4GoodPoster"</formula1>
    </dataValidation>
    <dataValidation type="list" allowBlank="1" showErrorMessage="1" sqref="B46:B50">
      <formula1>"SystemsPoster1,SystemsPoster2,SystemsPoster3,SystemsPoster4,SystemsPoster5"</formula1>
    </dataValidation>
    <dataValidation type="list" allowBlank="1" showErrorMessage="1" sqref="B51">
      <formula1>"RecSys1,RecSys2,RecSys3,RecSys4,RecSys5,RecSys6,RecSys7,RecSys8,RecSys9,RecSys10,RecSysPoster"</formula1>
    </dataValidation>
    <dataValidation type="list" allowBlank="1" showErrorMessage="1" sqref="B28">
      <formula1>"Semantics1,Semantics2,Semantics3,Semantics4,Semantics5,Semantics6,Semantics7,Semantics8,SemanticsPoster,BPC"</formula1>
    </dataValidation>
    <dataValidation type="list" allowBlank="1" showErrorMessage="1" sqref="B20:B21">
      <formula1>"RespWebPoster4,RespWebPoster5"</formula1>
    </dataValidation>
    <dataValidation type="list" allowBlank="1" showErrorMessage="1" sqref="B35:B39">
      <formula1>"SecurityPoster1,SecurityPoster2,SecurityPoster3,SecurityPoster4,SecurityPoster5"</formula1>
    </dataValidation>
    <dataValidation type="list" allowBlank="1" showErrorMessage="1" sqref="B45">
      <formula1>"Systems1,Systems2,Systems3,SystemsPoster,Systems4,Systems5,Systems6"</formula1>
    </dataValidation>
    <dataValidation type="list" allowBlank="1" showErrorMessage="1" sqref="B9">
      <formula1>"Econ1,Econ2,Econ3,EconPoster,BPC"</formula1>
    </dataValidation>
    <dataValidation type="list" allowBlank="1" showErrorMessage="1" sqref="B58:B62">
      <formula1>"MiningPoster1,MiningPoster2,MiningPoster3,MiningPoster4,MiningPoster5"</formula1>
    </dataValidation>
    <dataValidation type="list" allowBlank="1" showErrorMessage="1" sqref="B64">
      <formula1>"IndustryPoster,Industry1,Industry2,Industry3,Industry4,Industry5,Industry6,Industry7,Industry8"</formula1>
    </dataValidation>
    <dataValidation type="list" allowBlank="1" showErrorMessage="1" sqref="B14:B18">
      <formula1>"GraphPoster1,GraphPoster2,GraphPoster3,GraphPoster4,GraphPoster5"</formula1>
    </dataValidation>
    <dataValidation type="list" allowBlank="1" showErrorMessage="1" sqref="B40">
      <formula1>"Social1,Social2,Social3,Social4,SocialPoster"</formula1>
    </dataValidation>
    <dataValidation type="list" allowBlank="1" showErrorMessage="1" sqref="B52:B56">
      <formula1>"RecSysPoster1,RecSysPoster2,RecSysPoster3,RecSysPoster4,RecSysPoster5"</formula1>
    </dataValidation>
    <dataValidation type="list" allowBlank="1" showErrorMessage="1" sqref="B22">
      <formula1>"Search1,Search2,SearchPoster,Search3,Search4,Search5,Search6,BPC"</formula1>
    </dataValidation>
    <dataValidation type="list" allowBlank="1" showErrorMessage="1" sqref="B19">
      <formula1>"RespWeb1,RespWeb2,RespWebPoster,RespWeb3"</formula1>
    </dataValidation>
    <dataValidation type="list" allowBlank="1" showErrorMessage="1" sqref="B23:B27">
      <formula1>"SearchPoster1,SearchPoster2,SearchPoster3,SearchPoster4,SearchPoster5"</formula1>
    </dataValidation>
    <dataValidation type="list" allowBlank="1" showErrorMessage="1" sqref="B41:B44">
      <formula1>"SocialPoster1,SocialPoster2,SocialPoster3,SocialPoster4"</formula1>
    </dataValidation>
    <dataValidation type="list" allowBlank="1" showErrorMessage="1" sqref="B57">
      <formula1>"Mining1,Mining2,Mining3,Mining4,MiningPoster,Mining5,Mining6,Canceled"</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0.88"/>
    <col customWidth="1" min="2" max="2" width="60.5"/>
    <col customWidth="1" min="3" max="3" width="15.75"/>
    <col customWidth="1" min="4" max="5" width="69.38"/>
    <col customWidth="1" min="6" max="6" width="19.5"/>
    <col customWidth="1" min="7" max="7" width="25.0"/>
  </cols>
  <sheetData>
    <row r="1">
      <c r="A1" s="147" t="s">
        <v>362</v>
      </c>
      <c r="B1" s="147" t="s">
        <v>363</v>
      </c>
      <c r="C1" s="147" t="s">
        <v>364</v>
      </c>
      <c r="D1" s="147" t="s">
        <v>365</v>
      </c>
      <c r="E1" s="147" t="s">
        <v>366</v>
      </c>
      <c r="F1" s="147" t="s">
        <v>208</v>
      </c>
      <c r="G1" s="147"/>
      <c r="H1" s="148"/>
      <c r="I1" s="149" t="s">
        <v>367</v>
      </c>
      <c r="J1" s="150">
        <f>COUNTIF(F:F,"*Poster*")</f>
        <v>357</v>
      </c>
      <c r="K1" s="151"/>
      <c r="L1" s="151"/>
      <c r="M1" s="151"/>
      <c r="N1" s="151"/>
      <c r="O1" s="151"/>
      <c r="P1" s="151"/>
      <c r="Q1" s="151"/>
      <c r="R1" s="151"/>
      <c r="S1" s="151"/>
      <c r="T1" s="151"/>
      <c r="U1" s="151"/>
      <c r="V1" s="151"/>
      <c r="W1" s="151"/>
      <c r="X1" s="151"/>
      <c r="Y1" s="151"/>
      <c r="Z1" s="151"/>
      <c r="AA1" s="151"/>
      <c r="AB1" s="151"/>
      <c r="AC1" s="151"/>
    </row>
    <row r="2">
      <c r="A2" s="152" t="s">
        <v>312</v>
      </c>
      <c r="B2" s="133" t="str">
        <f>IFERROR(__xludf.DUMMYFUNCTION("FILTER ('Research Papers'!D:D,'Research Papers'!A:A=C2)"),"Opinion Dynamics with Multiple Adversaries")</f>
        <v>Opinion Dynamics with Multiple Adversaries</v>
      </c>
      <c r="C2" s="133" t="s">
        <v>368</v>
      </c>
      <c r="D2" s="153" t="str">
        <f t="shared" ref="D2:D997" si="1">concatenate(B2,char(10),E2,char(10))</f>
        <v>Opinion Dynamics with Multiple Adversaries
Akhil Jalan and Marios Papachristou
</v>
      </c>
      <c r="E2" s="153" t="str">
        <f>IFERROR(__xludf.DUMMYFUNCTION("TEXTJOIN(CHAR(10), TRUE,FILTER('Research Papers'!$C:$C,'Research Papers'!$A:$A=C2))"),"Akhil Jalan and Marios Papachristou")</f>
        <v>Akhil Jalan and Marios Papachristou</v>
      </c>
      <c r="F2" s="133" t="s">
        <v>73</v>
      </c>
      <c r="G2" s="153"/>
      <c r="H2" s="153"/>
      <c r="I2" s="120"/>
      <c r="J2" s="120"/>
      <c r="K2" s="153"/>
      <c r="L2" s="153"/>
      <c r="M2" s="153"/>
      <c r="N2" s="153"/>
      <c r="O2" s="153"/>
      <c r="P2" s="153"/>
      <c r="Q2" s="153"/>
      <c r="R2" s="153"/>
      <c r="S2" s="153"/>
      <c r="T2" s="153"/>
      <c r="U2" s="153"/>
      <c r="V2" s="153"/>
      <c r="W2" s="153"/>
      <c r="X2" s="153"/>
      <c r="Y2" s="153"/>
      <c r="Z2" s="153"/>
      <c r="AA2" s="153"/>
      <c r="AB2" s="153"/>
      <c r="AC2" s="153"/>
    </row>
    <row r="3">
      <c r="A3" s="152" t="s">
        <v>312</v>
      </c>
      <c r="B3" s="133" t="str">
        <f>IFERROR(__xludf.DUMMYFUNCTION("FILTER ('Research Papers'!D:D,'Research Papers'!A:A=C3)"),"Aggregating Information and Preferences under Different Coordination Ability")</f>
        <v>Aggregating Information and Preferences under Different Coordination Ability</v>
      </c>
      <c r="C3" s="133" t="s">
        <v>369</v>
      </c>
      <c r="D3" s="153" t="str">
        <f t="shared" si="1"/>
        <v>Aggregating Information and Preferences under Different Coordination Ability
Qishen Han, Grant Schoenebeck, Biaoshuai Tao and Lirong Xia
</v>
      </c>
      <c r="E3" s="153" t="str">
        <f>IFERROR(__xludf.DUMMYFUNCTION("TEXTJOIN(CHAR(10), TRUE,FILTER('Research Papers'!$C:$C,'Research Papers'!$A:$A=C3))"),"Qishen Han, Grant Schoenebeck, Biaoshuai Tao and Lirong Xia")</f>
        <v>Qishen Han, Grant Schoenebeck, Biaoshuai Tao and Lirong Xia</v>
      </c>
      <c r="F3" s="133" t="s">
        <v>73</v>
      </c>
      <c r="G3" s="153"/>
      <c r="H3" s="153"/>
      <c r="I3" s="120"/>
      <c r="J3" s="120"/>
      <c r="K3" s="153"/>
      <c r="L3" s="153"/>
      <c r="M3" s="153"/>
      <c r="N3" s="153"/>
      <c r="O3" s="153"/>
      <c r="P3" s="153"/>
      <c r="Q3" s="153"/>
      <c r="R3" s="153"/>
      <c r="S3" s="153"/>
      <c r="T3" s="153"/>
      <c r="U3" s="153"/>
      <c r="V3" s="153"/>
      <c r="W3" s="153"/>
      <c r="X3" s="153"/>
      <c r="Y3" s="153"/>
      <c r="Z3" s="153"/>
      <c r="AA3" s="153"/>
      <c r="AB3" s="153"/>
      <c r="AC3" s="153"/>
    </row>
    <row r="4">
      <c r="A4" s="152" t="s">
        <v>312</v>
      </c>
      <c r="B4" s="133" t="str">
        <f>IFERROR(__xludf.DUMMYFUNCTION("FILTER ('Research Papers'!D:D,'Research Papers'!A:A=C4)"),"The Art of Two-Round Voting")</f>
        <v>The Art of Two-Round Voting</v>
      </c>
      <c r="C4" s="133" t="s">
        <v>370</v>
      </c>
      <c r="D4" s="153" t="str">
        <f t="shared" si="1"/>
        <v>The Art of Two-Round Voting
Qishen Han, Grant Schoenebeck, Biaoshuai Tao and Lirong Xia
</v>
      </c>
      <c r="E4" s="153" t="str">
        <f>IFERROR(__xludf.DUMMYFUNCTION("TEXTJOIN(CHAR(10), TRUE,FILTER('Research Papers'!$C:$C,'Research Papers'!$A:$A=C4))"),"Qishen Han, Grant Schoenebeck, Biaoshuai Tao and Lirong Xia")</f>
        <v>Qishen Han, Grant Schoenebeck, Biaoshuai Tao and Lirong Xia</v>
      </c>
      <c r="F4" s="133" t="s">
        <v>73</v>
      </c>
      <c r="G4" s="153"/>
      <c r="H4" s="153"/>
      <c r="I4" s="120"/>
      <c r="J4" s="120"/>
      <c r="K4" s="153"/>
      <c r="L4" s="153"/>
      <c r="M4" s="153"/>
      <c r="N4" s="153"/>
      <c r="O4" s="153"/>
      <c r="P4" s="153"/>
      <c r="Q4" s="153"/>
      <c r="R4" s="153"/>
      <c r="S4" s="153"/>
      <c r="T4" s="153"/>
      <c r="U4" s="153"/>
      <c r="V4" s="153"/>
      <c r="W4" s="153"/>
      <c r="X4" s="153"/>
      <c r="Y4" s="153"/>
      <c r="Z4" s="153"/>
      <c r="AA4" s="153"/>
      <c r="AB4" s="153"/>
      <c r="AC4" s="153"/>
    </row>
    <row r="5">
      <c r="A5" s="152" t="s">
        <v>312</v>
      </c>
      <c r="B5" s="133" t="str">
        <f>IFERROR(__xludf.DUMMYFUNCTION("FILTER ('Research Papers'!D:D,'Research Papers'!A:A=C5)"),"The Price of Uncertainty for Social Consensus")</f>
        <v>The Price of Uncertainty for Social Consensus</v>
      </c>
      <c r="C5" s="133" t="s">
        <v>371</v>
      </c>
      <c r="D5" s="153" t="str">
        <f t="shared" si="1"/>
        <v>The Price of Uncertainty for Social Consensus
Yunzhe Bai and Alec Sun
</v>
      </c>
      <c r="E5" s="153" t="str">
        <f>IFERROR(__xludf.DUMMYFUNCTION("TEXTJOIN(CHAR(10), TRUE,FILTER('Research Papers'!$C:$C,'Research Papers'!$A:$A=C5))"),"Yunzhe Bai and Alec Sun")</f>
        <v>Yunzhe Bai and Alec Sun</v>
      </c>
      <c r="F5" s="133" t="s">
        <v>73</v>
      </c>
      <c r="G5" s="153"/>
      <c r="H5" s="153"/>
      <c r="I5" s="120"/>
      <c r="J5" s="120"/>
      <c r="K5" s="153"/>
      <c r="L5" s="153"/>
      <c r="M5" s="153"/>
      <c r="N5" s="153"/>
      <c r="O5" s="153"/>
      <c r="P5" s="153"/>
      <c r="Q5" s="153"/>
      <c r="R5" s="153"/>
      <c r="S5" s="153"/>
      <c r="T5" s="153"/>
      <c r="U5" s="153"/>
      <c r="V5" s="153"/>
      <c r="W5" s="153"/>
      <c r="X5" s="153"/>
      <c r="Y5" s="153"/>
      <c r="Z5" s="153"/>
      <c r="AA5" s="153"/>
      <c r="AB5" s="153"/>
      <c r="AC5" s="153"/>
    </row>
    <row r="6">
      <c r="A6" s="152" t="s">
        <v>312</v>
      </c>
      <c r="B6" s="133" t="str">
        <f>IFERROR(__xludf.DUMMYFUNCTION("FILTER ('Research Papers'!D:D,'Research Papers'!A:A=C6)"),"Social Deliberation: Democratic Deliberation Through Unbiased Social Interactions")</f>
        <v>Social Deliberation: Democratic Deliberation Through Unbiased Social Interactions</v>
      </c>
      <c r="C6" s="133" t="s">
        <v>372</v>
      </c>
      <c r="D6" s="153" t="str">
        <f t="shared" si="1"/>
        <v>Social Deliberation: Democratic Deliberation Through Unbiased Social Interactions
Dana Afazeli, Mohamad Latifian and Masoud Seddighin
</v>
      </c>
      <c r="E6" s="153" t="str">
        <f>IFERROR(__xludf.DUMMYFUNCTION("TEXTJOIN(CHAR(10), TRUE,FILTER('Research Papers'!$C:$C,'Research Papers'!$A:$A=C6))"),"Dana Afazeli, Mohamad Latifian and Masoud Seddighin")</f>
        <v>Dana Afazeli, Mohamad Latifian and Masoud Seddighin</v>
      </c>
      <c r="F6" s="133" t="s">
        <v>73</v>
      </c>
      <c r="G6" s="153"/>
      <c r="H6" s="153"/>
      <c r="I6" s="120"/>
      <c r="J6" s="120"/>
      <c r="K6" s="153"/>
      <c r="L6" s="153"/>
      <c r="M6" s="153"/>
      <c r="N6" s="153"/>
      <c r="O6" s="153"/>
      <c r="P6" s="153"/>
      <c r="Q6" s="153"/>
      <c r="R6" s="153"/>
      <c r="S6" s="153"/>
      <c r="T6" s="153"/>
      <c r="U6" s="153"/>
      <c r="V6" s="153"/>
      <c r="W6" s="153"/>
      <c r="X6" s="153"/>
      <c r="Y6" s="153"/>
      <c r="Z6" s="153"/>
      <c r="AA6" s="153"/>
      <c r="AB6" s="153"/>
      <c r="AC6" s="153"/>
    </row>
    <row r="7">
      <c r="A7" s="152" t="s">
        <v>312</v>
      </c>
      <c r="B7" s="133" t="str">
        <f>IFERROR(__xludf.DUMMYFUNCTION("FILTER ('Research Papers'!D:D,'Research Papers'!A:A=C7)"),"Auto-bidding under Return-on-Spend Constraints with Uncertainty Quantification")</f>
        <v>Auto-bidding under Return-on-Spend Constraints with Uncertainty Quantification</v>
      </c>
      <c r="C7" s="133" t="s">
        <v>373</v>
      </c>
      <c r="D7" s="153" t="str">
        <f t="shared" si="1"/>
        <v>Auto-bidding under Return-on-Spend Constraints with Uncertainty Quantification
Jiale Han, Chun Gan, Chengcheng Zhang, Jie He, Zhangang
Lin, Ching Law and Xiaowu Dai
</v>
      </c>
      <c r="E7" s="153" t="str">
        <f>IFERROR(__xludf.DUMMYFUNCTION("TEXTJOIN(CHAR(10), TRUE,FILTER('Research Papers'!$C:$C,'Research Papers'!$A:$A=C7))"),"Jiale Han, Chun Gan, Chengcheng Zhang, Jie He, Zhangang
Lin, Ching Law and Xiaowu Dai")</f>
        <v>Jiale Han, Chun Gan, Chengcheng Zhang, Jie He, Zhangang
Lin, Ching Law and Xiaowu Dai</v>
      </c>
      <c r="F7" s="133" t="s">
        <v>94</v>
      </c>
      <c r="G7" s="153"/>
      <c r="H7" s="153"/>
      <c r="I7" s="120"/>
      <c r="J7" s="120"/>
      <c r="K7" s="153"/>
      <c r="L7" s="153"/>
      <c r="M7" s="153"/>
      <c r="N7" s="153"/>
      <c r="O7" s="153"/>
      <c r="P7" s="153"/>
      <c r="Q7" s="153"/>
      <c r="R7" s="153"/>
      <c r="S7" s="153"/>
      <c r="T7" s="153"/>
      <c r="U7" s="153"/>
      <c r="V7" s="153"/>
      <c r="W7" s="153"/>
      <c r="X7" s="153"/>
      <c r="Y7" s="153"/>
      <c r="Z7" s="153"/>
      <c r="AA7" s="153"/>
      <c r="AB7" s="153"/>
      <c r="AC7" s="153"/>
    </row>
    <row r="8">
      <c r="A8" s="152" t="s">
        <v>312</v>
      </c>
      <c r="B8" s="133" t="str">
        <f>IFERROR(__xludf.DUMMYFUNCTION("FILTER ('Research Papers'!D:D,'Research Papers'!A:A=C8)"),"DARA: Few-shot Budget Allocation in Online Advertising via In-Context Decision Making with RL-Finetuned LLMs")</f>
        <v>DARA: Few-shot Budget Allocation in Online Advertising via In-Context Decision Making with RL-Finetuned LLMs</v>
      </c>
      <c r="C8" s="133" t="s">
        <v>374</v>
      </c>
      <c r="D8" s="153" t="str">
        <f t="shared" si="1"/>
        <v>DARA: Few-shot Budget Allocation in Online Advertising via In-Context Decision Making with RL-Finetuned LLMs
Mingxuan Song, Yusen Huo, Bohan Zhou, Shenglin Yin, Zhen
Xiao, Jieyi Long, Zhilin Zhang and Chuan Yu
</v>
      </c>
      <c r="E8" s="153" t="str">
        <f>IFERROR(__xludf.DUMMYFUNCTION("TEXTJOIN(CHAR(10), TRUE,FILTER('Research Papers'!$C:$C,'Research Papers'!$A:$A=C8))"),"Mingxuan Song, Yusen Huo, Bohan Zhou, Shenglin Yin, Zhen
Xiao, Jieyi Long, Zhilin Zhang and Chuan Yu")</f>
        <v>Mingxuan Song, Yusen Huo, Bohan Zhou, Shenglin Yin, Zhen
Xiao, Jieyi Long, Zhilin Zhang and Chuan Yu</v>
      </c>
      <c r="F8" s="133" t="s">
        <v>94</v>
      </c>
      <c r="G8" s="153"/>
      <c r="H8" s="153"/>
      <c r="I8" s="120"/>
      <c r="J8" s="120"/>
      <c r="K8" s="153"/>
      <c r="L8" s="153"/>
      <c r="M8" s="153"/>
      <c r="N8" s="153"/>
      <c r="O8" s="153"/>
      <c r="P8" s="153"/>
      <c r="Q8" s="153"/>
      <c r="R8" s="153"/>
      <c r="S8" s="153"/>
      <c r="T8" s="153"/>
      <c r="U8" s="153"/>
      <c r="V8" s="153"/>
      <c r="W8" s="153"/>
      <c r="X8" s="153"/>
      <c r="Y8" s="153"/>
      <c r="Z8" s="153"/>
      <c r="AA8" s="153"/>
      <c r="AB8" s="153"/>
      <c r="AC8" s="153"/>
    </row>
    <row r="9">
      <c r="A9" s="152" t="s">
        <v>312</v>
      </c>
      <c r="B9" s="133" t="str">
        <f>IFERROR(__xludf.DUMMYFUNCTION("FILTER ('Research Papers'!D:D,'Research Papers'!A:A=C9)"),"LBM: Hierarchical Large Auto-Bidding Model via Reasoning and Acting")</f>
        <v>LBM: Hierarchical Large Auto-Bidding Model via Reasoning and Acting</v>
      </c>
      <c r="C9" s="133" t="s">
        <v>375</v>
      </c>
      <c r="D9" s="153" t="str">
        <f t="shared" si="1"/>
        <v>LBM: Hierarchical Large Auto-Bidding Model via Reasoning and Acting
Yewen Li, Zhiyi Lyu, Peng Jiang, Qingpeng Cai, Fei Pan, Bo
An and Peng Jiang
</v>
      </c>
      <c r="E9" s="153" t="str">
        <f>IFERROR(__xludf.DUMMYFUNCTION("TEXTJOIN(CHAR(10), TRUE,FILTER('Research Papers'!$C:$C,'Research Papers'!$A:$A=C9))"),"Yewen Li, Zhiyi Lyu, Peng Jiang, Qingpeng Cai, Fei Pan, Bo
An and Peng Jiang")</f>
        <v>Yewen Li, Zhiyi Lyu, Peng Jiang, Qingpeng Cai, Fei Pan, Bo
An and Peng Jiang</v>
      </c>
      <c r="F9" s="133" t="s">
        <v>94</v>
      </c>
      <c r="G9" s="153"/>
      <c r="H9" s="153"/>
      <c r="I9" s="120"/>
      <c r="J9" s="120"/>
      <c r="K9" s="153"/>
      <c r="L9" s="153"/>
      <c r="M9" s="153"/>
      <c r="N9" s="153"/>
      <c r="O9" s="153"/>
      <c r="P9" s="153"/>
      <c r="Q9" s="153"/>
      <c r="R9" s="153"/>
      <c r="S9" s="153"/>
      <c r="T9" s="153"/>
      <c r="U9" s="153"/>
      <c r="V9" s="153"/>
      <c r="W9" s="153"/>
      <c r="X9" s="153"/>
      <c r="Y9" s="153"/>
      <c r="Z9" s="153"/>
      <c r="AA9" s="153"/>
      <c r="AB9" s="153"/>
      <c r="AC9" s="153"/>
    </row>
    <row r="10">
      <c r="A10" s="152" t="s">
        <v>312</v>
      </c>
      <c r="B10" s="133" t="str">
        <f>IFERROR(__xludf.DUMMYFUNCTION("FILTER ('Research Papers'!D:D,'Research Papers'!A:A=C10)"),"Platform Competition in the Autobidding World")</f>
        <v>Platform Competition in the Autobidding World</v>
      </c>
      <c r="C10" s="133" t="s">
        <v>376</v>
      </c>
      <c r="D10" s="153" t="str">
        <f t="shared" si="1"/>
        <v>Platform Competition in the Autobidding World
Gagan Aggarwal, Andres Perlroth, Ariel Schvartzman Cohenca
and Mingfei Zhao
</v>
      </c>
      <c r="E10" s="153" t="str">
        <f>IFERROR(__xludf.DUMMYFUNCTION("TEXTJOIN(CHAR(10), TRUE,FILTER('Research Papers'!$C:$C,'Research Papers'!$A:$A=C10))"),"Gagan Aggarwal, Andres Perlroth, Ariel Schvartzman Cohenca
and Mingfei Zhao")</f>
        <v>Gagan Aggarwal, Andres Perlroth, Ariel Schvartzman Cohenca
and Mingfei Zhao</v>
      </c>
      <c r="F10" s="133" t="s">
        <v>94</v>
      </c>
      <c r="G10" s="153"/>
      <c r="H10" s="153"/>
      <c r="I10" s="120"/>
      <c r="J10" s="120"/>
      <c r="K10" s="153"/>
      <c r="L10" s="153"/>
      <c r="M10" s="153"/>
      <c r="N10" s="153"/>
      <c r="O10" s="153"/>
      <c r="P10" s="153"/>
      <c r="Q10" s="153"/>
      <c r="R10" s="153"/>
      <c r="S10" s="153"/>
      <c r="T10" s="153"/>
      <c r="U10" s="153"/>
      <c r="V10" s="153"/>
      <c r="W10" s="153"/>
      <c r="X10" s="153"/>
      <c r="Y10" s="153"/>
      <c r="Z10" s="153"/>
      <c r="AA10" s="153"/>
      <c r="AB10" s="153"/>
      <c r="AC10" s="153"/>
    </row>
    <row r="11">
      <c r="A11" s="152" t="s">
        <v>312</v>
      </c>
      <c r="B11" s="133" t="str">
        <f>IFERROR(__xludf.DUMMYFUNCTION("FILTER ('Research Papers'!D:D,'Research Papers'!A:A=C11)"),"AHBid: An Adaptable Hierarchical Bidding Framework for Cross-Channel Advertising")</f>
        <v>AHBid: An Adaptable Hierarchical Bidding Framework for Cross-Channel Advertising</v>
      </c>
      <c r="C11" s="133" t="s">
        <v>377</v>
      </c>
      <c r="D11" s="153" t="str">
        <f t="shared" si="1"/>
        <v>AHBid: An Adaptable Hierarchical Bidding Framework for Cross-Channel Advertising
Xinxin Yang, Yangyang Tang, Yikun Zhou, Yaolei Liu, Yun Li
and Bo Yang
</v>
      </c>
      <c r="E11" s="153" t="str">
        <f>IFERROR(__xludf.DUMMYFUNCTION("TEXTJOIN(CHAR(10), TRUE,FILTER('Research Papers'!$C:$C,'Research Papers'!$A:$A=C11))"),"Xinxin Yang, Yangyang Tang, Yikun Zhou, Yaolei Liu, Yun Li
and Bo Yang")</f>
        <v>Xinxin Yang, Yangyang Tang, Yikun Zhou, Yaolei Liu, Yun Li
and Bo Yang</v>
      </c>
      <c r="F11" s="133" t="s">
        <v>94</v>
      </c>
      <c r="G11" s="153"/>
      <c r="H11" s="153"/>
      <c r="I11" s="120"/>
      <c r="J11" s="120"/>
      <c r="K11" s="153"/>
      <c r="L11" s="153"/>
      <c r="M11" s="153"/>
      <c r="N11" s="153"/>
      <c r="O11" s="153"/>
      <c r="P11" s="153"/>
      <c r="Q11" s="153"/>
      <c r="R11" s="153"/>
      <c r="S11" s="153"/>
      <c r="T11" s="153"/>
      <c r="U11" s="153"/>
      <c r="V11" s="153"/>
      <c r="W11" s="153"/>
      <c r="X11" s="153"/>
      <c r="Y11" s="153"/>
      <c r="Z11" s="153"/>
      <c r="AA11" s="153"/>
      <c r="AB11" s="153"/>
      <c r="AC11" s="153"/>
    </row>
    <row r="12">
      <c r="A12" s="152" t="s">
        <v>312</v>
      </c>
      <c r="B12" s="133" t="str">
        <f>IFERROR(__xludf.DUMMYFUNCTION("FILTER ('Research Papers'!D:D,'Research Papers'!A:A=C12)"),"PMIScore: An Unsupervised Approach to Quantify Dialogue Engagement")</f>
        <v>PMIScore: An Unsupervised Approach to Quantify Dialogue Engagement</v>
      </c>
      <c r="C12" s="133" t="s">
        <v>378</v>
      </c>
      <c r="D12" s="153" t="str">
        <f t="shared" si="1"/>
        <v>PMIScore: An Unsupervised Approach to Quantify Dialogue Engagement
Yongkang Guo, Yuqing Kong and Zhihuan Huang
</v>
      </c>
      <c r="E12" s="153" t="str">
        <f>IFERROR(__xludf.DUMMYFUNCTION("TEXTJOIN(CHAR(10), TRUE,FILTER('Research Papers'!$C:$C,'Research Papers'!$A:$A=C12))"),"Yongkang Guo, Yuqing Kong and Zhihuan Huang")</f>
        <v>Yongkang Guo, Yuqing Kong and Zhihuan Huang</v>
      </c>
      <c r="F12" s="133" t="s">
        <v>126</v>
      </c>
      <c r="G12" s="153"/>
      <c r="H12" s="153"/>
      <c r="I12" s="120"/>
      <c r="J12" s="120"/>
      <c r="K12" s="153"/>
      <c r="L12" s="153"/>
      <c r="M12" s="153"/>
      <c r="N12" s="153"/>
      <c r="O12" s="153"/>
      <c r="P12" s="153"/>
      <c r="Q12" s="153"/>
      <c r="R12" s="153"/>
      <c r="S12" s="153"/>
      <c r="T12" s="153"/>
      <c r="U12" s="153"/>
      <c r="V12" s="153"/>
      <c r="W12" s="153"/>
      <c r="X12" s="153"/>
      <c r="Y12" s="153"/>
      <c r="Z12" s="153"/>
      <c r="AA12" s="153"/>
      <c r="AB12" s="153"/>
      <c r="AC12" s="153"/>
    </row>
    <row r="13">
      <c r="A13" s="152" t="s">
        <v>312</v>
      </c>
      <c r="B13" s="133" t="str">
        <f>IFERROR(__xludf.DUMMYFUNCTION("FILTER ('Research Papers'!D:D,'Research Papers'!A:A=C13)"),"Strategic Content Creation with GenAI: To Share or Not to Share?")</f>
        <v>Strategic Content Creation with GenAI: To Share or Not to Share?</v>
      </c>
      <c r="C13" s="133" t="s">
        <v>379</v>
      </c>
      <c r="D13" s="153" t="str">
        <f t="shared" si="1"/>
        <v>Strategic Content Creation with GenAI: To Share or Not to Share?
Gur Keinan and Omer Ben-Porat
</v>
      </c>
      <c r="E13" s="153" t="str">
        <f>IFERROR(__xludf.DUMMYFUNCTION("TEXTJOIN(CHAR(10), TRUE,FILTER('Research Papers'!$C:$C,'Research Papers'!$A:$A=C13))"),"Gur Keinan and Omer Ben-Porat")</f>
        <v>Gur Keinan and Omer Ben-Porat</v>
      </c>
      <c r="F13" s="133" t="s">
        <v>126</v>
      </c>
      <c r="G13" s="153"/>
      <c r="H13" s="153"/>
      <c r="I13" s="120"/>
      <c r="J13" s="120"/>
      <c r="K13" s="153"/>
      <c r="L13" s="153"/>
      <c r="M13" s="153"/>
      <c r="N13" s="153"/>
      <c r="O13" s="153"/>
      <c r="P13" s="153"/>
      <c r="Q13" s="153"/>
      <c r="R13" s="153"/>
      <c r="S13" s="153"/>
      <c r="T13" s="153"/>
      <c r="U13" s="153"/>
      <c r="V13" s="153"/>
      <c r="W13" s="153"/>
      <c r="X13" s="153"/>
      <c r="Y13" s="153"/>
      <c r="Z13" s="153"/>
      <c r="AA13" s="153"/>
      <c r="AB13" s="153"/>
      <c r="AC13" s="153"/>
    </row>
    <row r="14">
      <c r="A14" s="152" t="s">
        <v>312</v>
      </c>
      <c r="B14" s="133" t="str">
        <f>IFERROR(__xludf.DUMMYFUNCTION("FILTER ('Research Papers'!D:D,'Research Papers'!A:A=C14)"),"Pay for The Second-Best Service: A Game-Theoretic Approach against Dishonest LLM Providers")</f>
        <v>Pay for The Second-Best Service: A Game-Theoretic Approach against Dishonest LLM Providers</v>
      </c>
      <c r="C14" s="133" t="s">
        <v>380</v>
      </c>
      <c r="D14" s="153" t="str">
        <f t="shared" si="1"/>
        <v>Pay for The Second-Best Service: A Game-Theoretic Approach against Dishonest LLM Providers
Yuhan Cao, Yu Wang, Sitong Liu, Miao Li, Yixin Tao and
Tianxing He
</v>
      </c>
      <c r="E14" s="153" t="str">
        <f>IFERROR(__xludf.DUMMYFUNCTION("TEXTJOIN(CHAR(10), TRUE,FILTER('Research Papers'!$C:$C,'Research Papers'!$A:$A=C14))"),"Yuhan Cao, Yu Wang, Sitong Liu, Miao Li, Yixin Tao and
Tianxing He")</f>
        <v>Yuhan Cao, Yu Wang, Sitong Liu, Miao Li, Yixin Tao and
Tianxing He</v>
      </c>
      <c r="F14" s="154" t="s">
        <v>126</v>
      </c>
      <c r="G14" s="153"/>
      <c r="H14" s="153"/>
      <c r="I14" s="120"/>
      <c r="J14" s="120"/>
      <c r="K14" s="153"/>
      <c r="L14" s="153"/>
      <c r="M14" s="153"/>
      <c r="N14" s="153"/>
      <c r="O14" s="153"/>
      <c r="P14" s="153"/>
      <c r="Q14" s="153"/>
      <c r="R14" s="153"/>
      <c r="S14" s="153"/>
      <c r="T14" s="153"/>
      <c r="U14" s="153"/>
      <c r="V14" s="153"/>
      <c r="W14" s="153"/>
      <c r="X14" s="153"/>
      <c r="Y14" s="153"/>
      <c r="Z14" s="153"/>
      <c r="AA14" s="153"/>
      <c r="AB14" s="153"/>
      <c r="AC14" s="153"/>
    </row>
    <row r="15">
      <c r="A15" s="152" t="s">
        <v>312</v>
      </c>
      <c r="B15" s="133" t="str">
        <f>IFERROR(__xludf.DUMMYFUNCTION("FILTER ('Research Papers'!D:D,'Research Papers'!A:A=C15)"),"Position Auctions in AI-Generated Content")</f>
        <v>Position Auctions in AI-Generated Content</v>
      </c>
      <c r="C15" s="133" t="s">
        <v>381</v>
      </c>
      <c r="D15" s="153" t="str">
        <f t="shared" si="1"/>
        <v>Position Auctions in AI-Generated Content
Santiago Balseiro, Kshipra Bhawalkar, Yuan Deng, Zhe Feng,
Jieming Mao, Aranyak Mehta, Vahab Mirrokni, Renato Paes
Leme, Di Wang and Song Zuo
</v>
      </c>
      <c r="E15" s="153" t="str">
        <f>IFERROR(__xludf.DUMMYFUNCTION("TEXTJOIN(CHAR(10), TRUE,FILTER('Research Papers'!$C:$C,'Research Papers'!$A:$A=C15))"),"Santiago Balseiro, Kshipra Bhawalkar, Yuan Deng, Zhe Feng,
Jieming Mao, Aranyak Mehta, Vahab Mirrokni, Renato Paes
Leme, Di Wang and Song Zuo")</f>
        <v>Santiago Balseiro, Kshipra Bhawalkar, Yuan Deng, Zhe Feng,
Jieming Mao, Aranyak Mehta, Vahab Mirrokni, Renato Paes
Leme, Di Wang and Song Zuo</v>
      </c>
      <c r="F15" s="154" t="s">
        <v>126</v>
      </c>
      <c r="G15" s="153"/>
      <c r="H15" s="153"/>
      <c r="I15" s="120"/>
      <c r="J15" s="120"/>
      <c r="K15" s="153"/>
      <c r="L15" s="153"/>
      <c r="M15" s="153"/>
      <c r="N15" s="153"/>
      <c r="O15" s="153"/>
      <c r="P15" s="153"/>
      <c r="Q15" s="153"/>
      <c r="R15" s="153"/>
      <c r="S15" s="153"/>
      <c r="T15" s="153"/>
      <c r="U15" s="153"/>
      <c r="V15" s="153"/>
      <c r="W15" s="153"/>
      <c r="X15" s="153"/>
      <c r="Y15" s="153"/>
      <c r="Z15" s="153"/>
      <c r="AA15" s="153"/>
      <c r="AB15" s="153"/>
      <c r="AC15" s="153"/>
    </row>
    <row r="16">
      <c r="A16" s="152" t="s">
        <v>312</v>
      </c>
      <c r="B16" s="133" t="str">
        <f>IFERROR(__xludf.DUMMYFUNCTION("FILTER ('Research Papers'!D:D,'Research Papers'!A:A=C16)"),"How to Strategize Human Content Creation in the Era of GenAI?")</f>
        <v>How to Strategize Human Content Creation in the Era of GenAI?</v>
      </c>
      <c r="C16" s="133" t="s">
        <v>382</v>
      </c>
      <c r="D16" s="153" t="str">
        <f t="shared" si="1"/>
        <v>How to Strategize Human Content Creation in the Era of GenAI?
Seyed Esmaeili, Kevin Lim, Kshipra Bhawalkar, Zhe Feng, Di
Wang and Haifeng Xu
</v>
      </c>
      <c r="E16" s="153" t="str">
        <f>IFERROR(__xludf.DUMMYFUNCTION("TEXTJOIN(CHAR(10), TRUE,FILTER('Research Papers'!$C:$C,'Research Papers'!$A:$A=C16))"),"Seyed Esmaeili, Kevin Lim, Kshipra Bhawalkar, Zhe Feng, Di
Wang and Haifeng Xu")</f>
        <v>Seyed Esmaeili, Kevin Lim, Kshipra Bhawalkar, Zhe Feng, Di
Wang and Haifeng Xu</v>
      </c>
      <c r="F16" s="154" t="s">
        <v>126</v>
      </c>
      <c r="G16" s="153"/>
      <c r="H16" s="153"/>
      <c r="I16" s="120"/>
      <c r="J16" s="120"/>
      <c r="K16" s="153"/>
      <c r="L16" s="153"/>
      <c r="M16" s="153"/>
      <c r="N16" s="153"/>
      <c r="O16" s="153"/>
      <c r="P16" s="153"/>
      <c r="Q16" s="153"/>
      <c r="R16" s="153"/>
      <c r="S16" s="153"/>
      <c r="T16" s="153"/>
      <c r="U16" s="153"/>
      <c r="V16" s="153"/>
      <c r="W16" s="153"/>
      <c r="X16" s="153"/>
      <c r="Y16" s="153"/>
      <c r="Z16" s="153"/>
      <c r="AA16" s="153"/>
      <c r="AB16" s="153"/>
      <c r="AC16" s="153"/>
    </row>
    <row r="17">
      <c r="A17" s="152" t="s">
        <v>312</v>
      </c>
      <c r="B17" s="133" t="str">
        <f>IFERROR(__xludf.DUMMYFUNCTION("FILTER ('Research Papers'!D:D,'Research Papers'!A:A=C17)"),"Deterring A Small Collusion is All You Need")</f>
        <v>Deterring A Small Collusion is All You Need</v>
      </c>
      <c r="C17" s="133" t="s">
        <v>383</v>
      </c>
      <c r="D17" s="153" t="str">
        <f t="shared" si="1"/>
        <v>Deterring A Small Collusion is All You Need
Yotam Gafni
</v>
      </c>
      <c r="E17" s="153" t="str">
        <f>IFERROR(__xludf.DUMMYFUNCTION("TEXTJOIN(CHAR(10), TRUE,FILTER('Research Papers'!$C:$C,'Research Papers'!$A:$A=C17))"),"Yotam Gafni")</f>
        <v>Yotam Gafni</v>
      </c>
      <c r="F17" s="154" t="s">
        <v>211</v>
      </c>
      <c r="G17" s="133" t="s">
        <v>313</v>
      </c>
      <c r="H17" s="153"/>
      <c r="I17" s="149" t="s">
        <v>367</v>
      </c>
      <c r="J17" s="114">
        <f>COUNTIF(F:F,F17)</f>
        <v>20</v>
      </c>
      <c r="K17" s="153"/>
      <c r="L17" s="153"/>
      <c r="M17" s="153"/>
      <c r="N17" s="153"/>
      <c r="O17" s="153"/>
      <c r="P17" s="153"/>
      <c r="Q17" s="153"/>
      <c r="R17" s="153"/>
      <c r="S17" s="153"/>
      <c r="T17" s="153"/>
      <c r="U17" s="153"/>
      <c r="V17" s="153"/>
      <c r="W17" s="153"/>
      <c r="X17" s="153"/>
      <c r="Y17" s="153"/>
      <c r="Z17" s="153"/>
      <c r="AA17" s="153"/>
      <c r="AB17" s="153"/>
      <c r="AC17" s="153"/>
    </row>
    <row r="18">
      <c r="A18" s="152" t="s">
        <v>312</v>
      </c>
      <c r="B18" s="133" t="str">
        <f>IFERROR(__xludf.DUMMYFUNCTION("FILTER ('Research Papers'!D:D,'Research Papers'!A:A=C18)"),"The Power of Penalties: Negativity-Aware Incentives for High-Quality Crowdsourced Data Labeling")</f>
        <v>The Power of Penalties: Negativity-Aware Incentives for High-Quality Crowdsourced Data Labeling</v>
      </c>
      <c r="C18" s="133" t="s">
        <v>384</v>
      </c>
      <c r="D18" s="153" t="str">
        <f t="shared" si="1"/>
        <v>The Power of Penalties: Negativity-Aware Incentives for High-Quality Crowdsourced Data Labeling
Kai Wang, Runze Wu, Yu Xiong, Haifeng Sun, Anran Li,
Shaojie Tang, Changjie Fan and Xiang-Yang Li
</v>
      </c>
      <c r="E18" s="153" t="str">
        <f>IFERROR(__xludf.DUMMYFUNCTION("TEXTJOIN(CHAR(10), TRUE,FILTER('Research Papers'!$C:$C,'Research Papers'!$A:$A=C18))"),"Kai Wang, Runze Wu, Yu Xiong, Haifeng Sun, Anran Li,
Shaojie Tang, Changjie Fan and Xiang-Yang Li")</f>
        <v>Kai Wang, Runze Wu, Yu Xiong, Haifeng Sun, Anran Li,
Shaojie Tang, Changjie Fan and Xiang-Yang Li</v>
      </c>
      <c r="F18" s="133" t="s">
        <v>287</v>
      </c>
      <c r="G18" s="133" t="s">
        <v>204</v>
      </c>
      <c r="H18" s="153"/>
      <c r="I18" s="120"/>
      <c r="J18" s="120"/>
      <c r="K18" s="153"/>
      <c r="L18" s="153"/>
      <c r="M18" s="153"/>
      <c r="N18" s="153"/>
      <c r="O18" s="153"/>
      <c r="P18" s="153"/>
      <c r="Q18" s="153"/>
      <c r="R18" s="153"/>
      <c r="S18" s="153"/>
      <c r="T18" s="153"/>
      <c r="U18" s="153"/>
      <c r="V18" s="153"/>
      <c r="W18" s="153"/>
      <c r="X18" s="153"/>
      <c r="Y18" s="153"/>
      <c r="Z18" s="153"/>
      <c r="AA18" s="153"/>
      <c r="AB18" s="153"/>
      <c r="AC18" s="153"/>
    </row>
    <row r="19">
      <c r="A19" s="152" t="s">
        <v>312</v>
      </c>
      <c r="B19" s="133" t="str">
        <f>IFERROR(__xludf.DUMMYFUNCTION("FILTER ('Research Papers'!D:D,'Research Papers'!A:A=C19)"),"Analysis of CEX-DEX Arbitrage Opportunities with Hidden Markov Models")</f>
        <v>Analysis of CEX-DEX Arbitrage Opportunities with Hidden Markov Models</v>
      </c>
      <c r="C19" s="133" t="s">
        <v>385</v>
      </c>
      <c r="D19" s="153" t="str">
        <f t="shared" si="1"/>
        <v>Analysis of CEX-DEX Arbitrage Opportunities with Hidden Markov Models
Bence Ladóczki
</v>
      </c>
      <c r="E19" s="153" t="str">
        <f>IFERROR(__xludf.DUMMYFUNCTION("TEXTJOIN(CHAR(10), TRUE,FILTER('Research Papers'!$C:$C,'Research Papers'!$A:$A=C19))"),"Bence Ladóczki")</f>
        <v>Bence Ladóczki</v>
      </c>
      <c r="F19" s="154" t="s">
        <v>211</v>
      </c>
      <c r="G19" s="133" t="s">
        <v>313</v>
      </c>
      <c r="H19" s="153"/>
      <c r="I19" s="120"/>
      <c r="J19" s="120"/>
      <c r="K19" s="153"/>
      <c r="L19" s="153"/>
      <c r="M19" s="153"/>
      <c r="N19" s="153"/>
      <c r="O19" s="153"/>
      <c r="P19" s="153"/>
      <c r="Q19" s="153"/>
      <c r="R19" s="153"/>
      <c r="S19" s="153"/>
      <c r="T19" s="153"/>
      <c r="U19" s="153"/>
      <c r="V19" s="153"/>
      <c r="W19" s="153"/>
      <c r="X19" s="153"/>
      <c r="Y19" s="153"/>
      <c r="Z19" s="153"/>
      <c r="AA19" s="153"/>
      <c r="AB19" s="153"/>
      <c r="AC19" s="153"/>
    </row>
    <row r="20">
      <c r="A20" s="152" t="s">
        <v>312</v>
      </c>
      <c r="B20" s="133" t="str">
        <f>IFERROR(__xludf.DUMMYFUNCTION("FILTER ('Research Papers'!D:D,'Research Papers'!A:A=C20)"),"LiquidityPool: Game-Theoretic Analysis of Stakeholder Revenue in Ranking-Dependent DeFi")</f>
        <v>LiquidityPool: Game-Theoretic Analysis of Stakeholder Revenue in Ranking-Dependent DeFi</v>
      </c>
      <c r="C20" s="133" t="s">
        <v>386</v>
      </c>
      <c r="D20" s="153" t="str">
        <f t="shared" si="1"/>
        <v>LiquidityPool: Game-Theoretic Analysis of Stakeholder Revenue in Ranking-Dependent DeFi
Qinde Chen, Huawei Huang and Jian Zheng
</v>
      </c>
      <c r="E20" s="153" t="str">
        <f>IFERROR(__xludf.DUMMYFUNCTION("TEXTJOIN(CHAR(10), TRUE,FILTER('Research Papers'!$C:$C,'Research Papers'!$A:$A=C20))"),"Qinde Chen, Huawei Huang and Jian Zheng")</f>
        <v>Qinde Chen, Huawei Huang and Jian Zheng</v>
      </c>
      <c r="F20" s="154" t="s">
        <v>211</v>
      </c>
      <c r="G20" s="133" t="s">
        <v>313</v>
      </c>
      <c r="H20" s="153"/>
      <c r="I20" s="120"/>
      <c r="J20" s="120"/>
      <c r="K20" s="153"/>
      <c r="L20" s="153"/>
      <c r="M20" s="153"/>
      <c r="N20" s="153"/>
      <c r="O20" s="153"/>
      <c r="P20" s="153"/>
      <c r="Q20" s="153"/>
      <c r="R20" s="153"/>
      <c r="S20" s="153"/>
      <c r="T20" s="153"/>
      <c r="U20" s="153"/>
      <c r="V20" s="153"/>
      <c r="W20" s="153"/>
      <c r="X20" s="153"/>
      <c r="Y20" s="153"/>
      <c r="Z20" s="153"/>
      <c r="AA20" s="153"/>
      <c r="AB20" s="153"/>
      <c r="AC20" s="153"/>
    </row>
    <row r="21">
      <c r="A21" s="152" t="s">
        <v>312</v>
      </c>
      <c r="B21" s="133" t="str">
        <f>IFERROR(__xludf.DUMMYFUNCTION("FILTER ('Research Papers'!D:D,'Research Papers'!A:A=C21)"),"Allocating Chores with Restricted Additive Costs: Achieving EFX, MMS, and Efficiency Simultaneously")</f>
        <v>Allocating Chores with Restricted Additive Costs: Achieving EFX, MMS, and Efficiency Simultaneously</v>
      </c>
      <c r="C21" s="133" t="s">
        <v>387</v>
      </c>
      <c r="D21" s="153" t="str">
        <f t="shared" si="1"/>
        <v>Allocating Chores with Restricted Additive Costs: Achieving EFX, MMS, and Efficiency Simultaneously
Zehan Lin, Xiaowei Wu and Shengwei Zhou
</v>
      </c>
      <c r="E21" s="153" t="str">
        <f>IFERROR(__xludf.DUMMYFUNCTION("TEXTJOIN(CHAR(10), TRUE,FILTER('Research Papers'!$C:$C,'Research Papers'!$A:$A=C21))"),"Zehan Lin, Xiaowei Wu and Shengwei Zhou")</f>
        <v>Zehan Lin, Xiaowei Wu and Shengwei Zhou</v>
      </c>
      <c r="F21" s="154" t="s">
        <v>211</v>
      </c>
      <c r="G21" s="133" t="s">
        <v>313</v>
      </c>
      <c r="H21" s="153"/>
      <c r="I21" s="120"/>
      <c r="J21" s="120"/>
      <c r="K21" s="153"/>
      <c r="L21" s="153"/>
      <c r="M21" s="153"/>
      <c r="N21" s="153"/>
      <c r="O21" s="153"/>
      <c r="P21" s="153"/>
      <c r="Q21" s="153"/>
      <c r="R21" s="153"/>
      <c r="S21" s="153"/>
      <c r="T21" s="153"/>
      <c r="U21" s="153"/>
      <c r="V21" s="153"/>
      <c r="W21" s="153"/>
      <c r="X21" s="153"/>
      <c r="Y21" s="153"/>
      <c r="Z21" s="153"/>
      <c r="AA21" s="153"/>
      <c r="AB21" s="153"/>
      <c r="AC21" s="153"/>
    </row>
    <row r="22">
      <c r="A22" s="152" t="s">
        <v>312</v>
      </c>
      <c r="B22" s="133" t="str">
        <f>IFERROR(__xludf.DUMMYFUNCTION("FILTER ('Research Papers'!D:D,'Research Papers'!A:A=C22)"),"All-but-one MMS Allocation for Chores")</f>
        <v>All-but-one MMS Allocation for Chores</v>
      </c>
      <c r="C22" s="133" t="s">
        <v>388</v>
      </c>
      <c r="D22" s="153" t="str">
        <f t="shared" si="1"/>
        <v>All-but-one MMS Allocation for Chores
Jiawei Qiu, Xiaowei Wu, Cong Zhang and Shengwei Zhou
</v>
      </c>
      <c r="E22" s="153" t="str">
        <f>IFERROR(__xludf.DUMMYFUNCTION("TEXTJOIN(CHAR(10), TRUE,FILTER('Research Papers'!$C:$C,'Research Papers'!$A:$A=C22))"),"Jiawei Qiu, Xiaowei Wu, Cong Zhang and Shengwei Zhou")</f>
        <v>Jiawei Qiu, Xiaowei Wu, Cong Zhang and Shengwei Zhou</v>
      </c>
      <c r="F22" s="154" t="s">
        <v>211</v>
      </c>
      <c r="G22" s="133" t="s">
        <v>313</v>
      </c>
      <c r="H22" s="153"/>
      <c r="I22" s="120"/>
      <c r="J22" s="120"/>
      <c r="K22" s="153"/>
      <c r="L22" s="153"/>
      <c r="M22" s="153"/>
      <c r="N22" s="153"/>
      <c r="O22" s="153"/>
      <c r="P22" s="153"/>
      <c r="Q22" s="153"/>
      <c r="R22" s="153"/>
      <c r="S22" s="153"/>
      <c r="T22" s="153"/>
      <c r="U22" s="153"/>
      <c r="V22" s="153"/>
      <c r="W22" s="153"/>
      <c r="X22" s="153"/>
      <c r="Y22" s="153"/>
      <c r="Z22" s="153"/>
      <c r="AA22" s="153"/>
      <c r="AB22" s="153"/>
      <c r="AC22" s="153"/>
    </row>
    <row r="23">
      <c r="A23" s="152" t="s">
        <v>312</v>
      </c>
      <c r="B23" s="133" t="str">
        <f>IFERROR(__xludf.DUMMYFUNCTION("FILTER ('Research Papers'!D:D,'Research Papers'!A:A=C23)"),"Barter Exchange with Asymmetric Item Valuations")</f>
        <v>Barter Exchange with Asymmetric Item Valuations</v>
      </c>
      <c r="C23" s="133" t="s">
        <v>389</v>
      </c>
      <c r="D23" s="153" t="str">
        <f t="shared" si="1"/>
        <v>Barter Exchange with Asymmetric Item Valuations
Juan Luque, Sharmila Duppala, Michael Curry, John Dickerson
and Aravind Srinivasan
</v>
      </c>
      <c r="E23" s="153" t="str">
        <f>IFERROR(__xludf.DUMMYFUNCTION("TEXTJOIN(CHAR(10), TRUE,FILTER('Research Papers'!$C:$C,'Research Papers'!$A:$A=C23))"),"Juan Luque, Sharmila Duppala, Michael Curry, John Dickerson
and Aravind Srinivasan")</f>
        <v>Juan Luque, Sharmila Duppala, Michael Curry, John Dickerson
and Aravind Srinivasan</v>
      </c>
      <c r="F23" s="154" t="s">
        <v>211</v>
      </c>
      <c r="G23" s="133" t="s">
        <v>313</v>
      </c>
      <c r="H23" s="153"/>
      <c r="I23" s="120"/>
      <c r="J23" s="120"/>
      <c r="K23" s="153"/>
      <c r="L23" s="153"/>
      <c r="M23" s="153"/>
      <c r="N23" s="153"/>
      <c r="O23" s="153"/>
      <c r="P23" s="153"/>
      <c r="Q23" s="153"/>
      <c r="R23" s="153"/>
      <c r="S23" s="153"/>
      <c r="T23" s="153"/>
      <c r="U23" s="153"/>
      <c r="V23" s="153"/>
      <c r="W23" s="153"/>
      <c r="X23" s="153"/>
      <c r="Y23" s="153"/>
      <c r="Z23" s="153"/>
      <c r="AA23" s="153"/>
      <c r="AB23" s="153"/>
      <c r="AC23" s="153"/>
    </row>
    <row r="24">
      <c r="A24" s="152" t="s">
        <v>312</v>
      </c>
      <c r="B24" s="133" t="str">
        <f>IFERROR(__xludf.DUMMYFUNCTION("FILTER ('Research Papers'!D:D,'Research Papers'!A:A=C24)"),"Online Rounding and Pricing Schemes for k-Rental Problems")</f>
        <v>Online Rounding and Pricing Schemes for k-Rental Problems</v>
      </c>
      <c r="C24" s="133" t="s">
        <v>390</v>
      </c>
      <c r="D24" s="153" t="str">
        <f t="shared" si="1"/>
        <v>Online Rounding and Pricing Schemes for k-Rental Problems
Hossein Nekouyan, Bo Sun, Raouf Boutaba and Xiaoqi Tan
</v>
      </c>
      <c r="E24" s="153" t="str">
        <f>IFERROR(__xludf.DUMMYFUNCTION("TEXTJOIN(CHAR(10), TRUE,FILTER('Research Papers'!$C:$C,'Research Papers'!$A:$A=C24))"),"Hossein Nekouyan, Bo Sun, Raouf Boutaba and Xiaoqi Tan")</f>
        <v>Hossein Nekouyan, Bo Sun, Raouf Boutaba and Xiaoqi Tan</v>
      </c>
      <c r="F24" s="154" t="s">
        <v>211</v>
      </c>
      <c r="G24" s="133" t="s">
        <v>111</v>
      </c>
      <c r="H24" s="153"/>
      <c r="I24" s="120"/>
      <c r="J24" s="120"/>
      <c r="K24" s="153"/>
      <c r="L24" s="153"/>
      <c r="M24" s="153"/>
      <c r="N24" s="153"/>
      <c r="O24" s="153"/>
      <c r="P24" s="153"/>
      <c r="Q24" s="153"/>
      <c r="R24" s="153"/>
      <c r="S24" s="153"/>
      <c r="T24" s="153"/>
      <c r="U24" s="153"/>
      <c r="V24" s="153"/>
      <c r="W24" s="153"/>
      <c r="X24" s="153"/>
      <c r="Y24" s="153"/>
      <c r="Z24" s="153"/>
      <c r="AA24" s="153"/>
      <c r="AB24" s="153"/>
      <c r="AC24" s="153"/>
    </row>
    <row r="25">
      <c r="A25" s="152" t="s">
        <v>312</v>
      </c>
      <c r="B25" s="133" t="str">
        <f>IFERROR(__xludf.DUMMYFUNCTION("FILTER ('Research Papers'!D:D,'Research Papers'!A:A=C25)"),"Online Advertising with Spatial Interactions")</f>
        <v>Online Advertising with Spatial Interactions</v>
      </c>
      <c r="C25" s="133" t="s">
        <v>391</v>
      </c>
      <c r="D25" s="153" t="str">
        <f t="shared" si="1"/>
        <v>Online Advertising with Spatial Interactions
Gagan Aggarwal, Yifan Wang and Mingfei Zhao
</v>
      </c>
      <c r="E25" s="153" t="str">
        <f>IFERROR(__xludf.DUMMYFUNCTION("TEXTJOIN(CHAR(10), TRUE,FILTER('Research Papers'!$C:$C,'Research Papers'!$A:$A=C25))"),"Gagan Aggarwal, Yifan Wang and Mingfei Zhao")</f>
        <v>Gagan Aggarwal, Yifan Wang and Mingfei Zhao</v>
      </c>
      <c r="F25" s="154" t="s">
        <v>211</v>
      </c>
      <c r="G25" s="133" t="s">
        <v>111</v>
      </c>
      <c r="H25" s="153"/>
      <c r="I25" s="120"/>
      <c r="J25" s="120"/>
      <c r="K25" s="153"/>
      <c r="L25" s="153"/>
      <c r="M25" s="153"/>
      <c r="N25" s="153"/>
      <c r="O25" s="153"/>
      <c r="P25" s="153"/>
      <c r="Q25" s="153"/>
      <c r="R25" s="153"/>
      <c r="S25" s="153"/>
      <c r="T25" s="153"/>
      <c r="U25" s="153"/>
      <c r="V25" s="153"/>
      <c r="W25" s="153"/>
      <c r="X25" s="153"/>
      <c r="Y25" s="153"/>
      <c r="Z25" s="153"/>
      <c r="AA25" s="153"/>
      <c r="AB25" s="153"/>
      <c r="AC25" s="153"/>
    </row>
    <row r="26">
      <c r="A26" s="152" t="s">
        <v>312</v>
      </c>
      <c r="B26" s="133" t="str">
        <f>IFERROR(__xludf.DUMMYFUNCTION("FILTER ('Research Papers'!D:D,'Research Papers'!A:A=C26)"),"Automated Deterministic Auction Design with Objective Decomposition")</f>
        <v>Automated Deterministic Auction Design with Objective Decomposition</v>
      </c>
      <c r="C26" s="133" t="s">
        <v>392</v>
      </c>
      <c r="D26" s="153" t="str">
        <f t="shared" si="1"/>
        <v>Automated Deterministic Auction Design with Objective Decomposition
Zhijian Duan, Haoran Sun, Yichong Xia, Siqiang Wang, Zhilin
Zhang, Chuan Yu, Jian Xu and Xiaotie Deng
</v>
      </c>
      <c r="E26" s="153" t="str">
        <f>IFERROR(__xludf.DUMMYFUNCTION("TEXTJOIN(CHAR(10), TRUE,FILTER('Research Papers'!$C:$C,'Research Papers'!$A:$A=C26))"),"Zhijian Duan, Haoran Sun, Yichong Xia, Siqiang Wang, Zhilin
Zhang, Chuan Yu, Jian Xu and Xiaotie Deng")</f>
        <v>Zhijian Duan, Haoran Sun, Yichong Xia, Siqiang Wang, Zhilin
Zhang, Chuan Yu, Jian Xu and Xiaotie Deng</v>
      </c>
      <c r="F26" s="154" t="s">
        <v>211</v>
      </c>
      <c r="G26" s="133" t="s">
        <v>111</v>
      </c>
      <c r="H26" s="153"/>
      <c r="I26" s="120"/>
      <c r="J26" s="120"/>
      <c r="K26" s="153"/>
      <c r="L26" s="153"/>
      <c r="M26" s="153"/>
      <c r="N26" s="153"/>
      <c r="O26" s="153"/>
      <c r="P26" s="153"/>
      <c r="Q26" s="153"/>
      <c r="R26" s="153"/>
      <c r="S26" s="153"/>
      <c r="T26" s="153"/>
      <c r="U26" s="153"/>
      <c r="V26" s="153"/>
      <c r="W26" s="153"/>
      <c r="X26" s="153"/>
      <c r="Y26" s="153"/>
      <c r="Z26" s="153"/>
      <c r="AA26" s="153"/>
      <c r="AB26" s="153"/>
      <c r="AC26" s="153"/>
    </row>
    <row r="27">
      <c r="A27" s="152" t="s">
        <v>312</v>
      </c>
      <c r="B27" s="133" t="str">
        <f>IFERROR(__xludf.DUMMYFUNCTION("FILTER ('Research Papers'!D:D,'Research Papers'!A:A=C27)"),"The Query Complexity of Uniform Pricing")</f>
        <v>The Query Complexity of Uniform Pricing</v>
      </c>
      <c r="C27" s="133" t="s">
        <v>393</v>
      </c>
      <c r="D27" s="153" t="str">
        <f t="shared" si="1"/>
        <v>The Query Complexity of Uniform Pricing
Houshuang Chen, Yaonan Jin, Pinyan Lu and Chihao Zhang
</v>
      </c>
      <c r="E27" s="153" t="str">
        <f>IFERROR(__xludf.DUMMYFUNCTION("TEXTJOIN(CHAR(10), TRUE,FILTER('Research Papers'!$C:$C,'Research Papers'!$A:$A=C27))"),"Houshuang Chen, Yaonan Jin, Pinyan Lu and Chihao Zhang")</f>
        <v>Houshuang Chen, Yaonan Jin, Pinyan Lu and Chihao Zhang</v>
      </c>
      <c r="F27" s="154" t="s">
        <v>211</v>
      </c>
      <c r="G27" s="133" t="s">
        <v>111</v>
      </c>
      <c r="H27" s="153"/>
      <c r="I27" s="120"/>
      <c r="J27" s="120"/>
      <c r="K27" s="153"/>
      <c r="L27" s="153"/>
      <c r="M27" s="153"/>
      <c r="N27" s="153"/>
      <c r="O27" s="153"/>
      <c r="P27" s="153"/>
      <c r="Q27" s="153"/>
      <c r="R27" s="153"/>
      <c r="S27" s="153"/>
      <c r="T27" s="153"/>
      <c r="U27" s="153"/>
      <c r="V27" s="153"/>
      <c r="W27" s="153"/>
      <c r="X27" s="153"/>
      <c r="Y27" s="153"/>
      <c r="Z27" s="153"/>
      <c r="AA27" s="153"/>
      <c r="AB27" s="153"/>
      <c r="AC27" s="153"/>
    </row>
    <row r="28">
      <c r="A28" s="152" t="s">
        <v>312</v>
      </c>
      <c r="B28" s="133" t="str">
        <f>IFERROR(__xludf.DUMMYFUNCTION("FILTER ('Research Papers'!D:D,'Research Papers'!A:A=C28)"),"Determinants and Effects of Buy Box Suppression on Amazon")</f>
        <v>Determinants and Effects of Buy Box Suppression on Amazon</v>
      </c>
      <c r="C28" s="133" t="s">
        <v>394</v>
      </c>
      <c r="D28" s="153" t="str">
        <f t="shared" si="1"/>
        <v>Determinants and Effects of Buy Box Suppression on Amazon
Jeffrey Gleason, Shuo Zhang and Christo Wilson
</v>
      </c>
      <c r="E28" s="153" t="str">
        <f>IFERROR(__xludf.DUMMYFUNCTION("TEXTJOIN(CHAR(10), TRUE,FILTER('Research Papers'!$C:$C,'Research Papers'!$A:$A=C28))"),"Jeffrey Gleason, Shuo Zhang and Christo Wilson")</f>
        <v>Jeffrey Gleason, Shuo Zhang and Christo Wilson</v>
      </c>
      <c r="F28" s="154" t="s">
        <v>211</v>
      </c>
      <c r="G28" s="133" t="s">
        <v>111</v>
      </c>
      <c r="H28" s="153"/>
      <c r="I28" s="120"/>
      <c r="J28" s="120"/>
      <c r="K28" s="153"/>
      <c r="L28" s="153"/>
      <c r="M28" s="153"/>
      <c r="N28" s="153"/>
      <c r="O28" s="153"/>
      <c r="P28" s="153"/>
      <c r="Q28" s="153"/>
      <c r="R28" s="153"/>
      <c r="S28" s="153"/>
      <c r="T28" s="153"/>
      <c r="U28" s="153"/>
      <c r="V28" s="153"/>
      <c r="W28" s="153"/>
      <c r="X28" s="153"/>
      <c r="Y28" s="153"/>
      <c r="Z28" s="153"/>
      <c r="AA28" s="153"/>
      <c r="AB28" s="153"/>
      <c r="AC28" s="153"/>
    </row>
    <row r="29">
      <c r="A29" s="152" t="s">
        <v>312</v>
      </c>
      <c r="B29" s="133" t="str">
        <f>IFERROR(__xludf.DUMMYFUNCTION("FILTER ('Research Papers'!D:D,'Research Papers'!A:A=C29)"),"Additively Competitive Secretaries")</f>
        <v>Additively Competitive Secretaries</v>
      </c>
      <c r="C29" s="133" t="s">
        <v>395</v>
      </c>
      <c r="D29" s="153" t="str">
        <f t="shared" si="1"/>
        <v>Additively Competitive Secretaries
Mohammad Mahdian, Jieming Mao, Enze Sun, Kangning Wang and
Yifan Wang
</v>
      </c>
      <c r="E29" s="153" t="str">
        <f>IFERROR(__xludf.DUMMYFUNCTION("TEXTJOIN(CHAR(10), TRUE,FILTER('Research Papers'!$C:$C,'Research Papers'!$A:$A=C29))"),"Mohammad Mahdian, Jieming Mao, Enze Sun, Kangning Wang and
Yifan Wang")</f>
        <v>Mohammad Mahdian, Jieming Mao, Enze Sun, Kangning Wang and
Yifan Wang</v>
      </c>
      <c r="F29" s="154" t="s">
        <v>211</v>
      </c>
      <c r="G29" s="133" t="s">
        <v>111</v>
      </c>
      <c r="H29" s="153"/>
      <c r="I29" s="120"/>
      <c r="J29" s="120"/>
      <c r="K29" s="153"/>
      <c r="L29" s="153"/>
      <c r="M29" s="153"/>
      <c r="N29" s="153"/>
      <c r="O29" s="153"/>
      <c r="P29" s="153"/>
      <c r="Q29" s="153"/>
      <c r="R29" s="153"/>
      <c r="S29" s="153"/>
      <c r="T29" s="153"/>
      <c r="U29" s="153"/>
      <c r="V29" s="153"/>
      <c r="W29" s="153"/>
      <c r="X29" s="153"/>
      <c r="Y29" s="153"/>
      <c r="Z29" s="153"/>
      <c r="AA29" s="153"/>
      <c r="AB29" s="153"/>
      <c r="AC29" s="153"/>
    </row>
    <row r="30">
      <c r="A30" s="152" t="s">
        <v>312</v>
      </c>
      <c r="B30" s="133" t="str">
        <f>IFERROR(__xludf.DUMMYFUNCTION("FILTER ('Research Papers'!D:D,'Research Papers'!A:A=C30)"),"Improving the Price of Anarchy via Predictions in Parallel-Link Networks")</f>
        <v>Improving the Price of Anarchy via Predictions in Parallel-Link Networks</v>
      </c>
      <c r="C30" s="133" t="s">
        <v>396</v>
      </c>
      <c r="D30" s="153" t="str">
        <f t="shared" si="1"/>
        <v>Improving the Price of Anarchy via Predictions in Parallel-Link Networks
George Christodoulou, Vasilis Christoforidis, Alkmini
Sgouritsa and Ioannis Vlachos
</v>
      </c>
      <c r="E30" s="153" t="str">
        <f>IFERROR(__xludf.DUMMYFUNCTION("TEXTJOIN(CHAR(10), TRUE,FILTER('Research Papers'!$C:$C,'Research Papers'!$A:$A=C30))"),"George Christodoulou, Vasilis Christoforidis, Alkmini
Sgouritsa and Ioannis Vlachos")</f>
        <v>George Christodoulou, Vasilis Christoforidis, Alkmini
Sgouritsa and Ioannis Vlachos</v>
      </c>
      <c r="F30" s="154" t="s">
        <v>211</v>
      </c>
      <c r="G30" s="133" t="s">
        <v>111</v>
      </c>
      <c r="H30" s="153"/>
      <c r="I30" s="120"/>
      <c r="J30" s="120"/>
      <c r="K30" s="153"/>
      <c r="L30" s="153"/>
      <c r="M30" s="153"/>
      <c r="N30" s="153"/>
      <c r="O30" s="153"/>
      <c r="P30" s="153"/>
      <c r="Q30" s="153"/>
      <c r="R30" s="153"/>
      <c r="S30" s="153"/>
      <c r="T30" s="153"/>
      <c r="U30" s="153"/>
      <c r="V30" s="153"/>
      <c r="W30" s="153"/>
      <c r="X30" s="153"/>
      <c r="Y30" s="153"/>
      <c r="Z30" s="153"/>
      <c r="AA30" s="153"/>
      <c r="AB30" s="153"/>
      <c r="AC30" s="153"/>
    </row>
    <row r="31">
      <c r="A31" s="152" t="s">
        <v>312</v>
      </c>
      <c r="B31" s="133" t="str">
        <f>IFERROR(__xludf.DUMMYFUNCTION("FILTER ('Research Papers'!D:D,'Research Papers'!A:A=C31)"),"Marketing Hosting: From Fixed to Endogenous Budgets")</f>
        <v>Marketing Hosting: From Fixed to Endogenous Budgets</v>
      </c>
      <c r="C31" s="133" t="s">
        <v>397</v>
      </c>
      <c r="D31" s="153" t="str">
        <f t="shared" si="1"/>
        <v>Marketing Hosting: From Fixed to Endogenous Budgets
Bingzhe Wang, Tianyu Wang, Qi Qi, Xiaoxuan Deng, Zhilin
Zhang and Chuan Yu
</v>
      </c>
      <c r="E31" s="153" t="str">
        <f>IFERROR(__xludf.DUMMYFUNCTION("TEXTJOIN(CHAR(10), TRUE,FILTER('Research Papers'!$C:$C,'Research Papers'!$A:$A=C31))"),"Bingzhe Wang, Tianyu Wang, Qi Qi, Xiaoxuan Deng, Zhilin
Zhang and Chuan Yu")</f>
        <v>Bingzhe Wang, Tianyu Wang, Qi Qi, Xiaoxuan Deng, Zhilin
Zhang and Chuan Yu</v>
      </c>
      <c r="F31" s="154" t="s">
        <v>211</v>
      </c>
      <c r="G31" s="133" t="s">
        <v>316</v>
      </c>
      <c r="H31" s="153"/>
      <c r="I31" s="120"/>
      <c r="J31" s="120"/>
      <c r="K31" s="153"/>
      <c r="L31" s="153"/>
      <c r="M31" s="153"/>
      <c r="N31" s="153"/>
      <c r="O31" s="153"/>
      <c r="P31" s="153"/>
      <c r="Q31" s="153"/>
      <c r="R31" s="153"/>
      <c r="S31" s="153"/>
      <c r="T31" s="153"/>
      <c r="U31" s="153"/>
      <c r="V31" s="153"/>
      <c r="W31" s="153"/>
      <c r="X31" s="153"/>
      <c r="Y31" s="153"/>
      <c r="Z31" s="153"/>
      <c r="AA31" s="153"/>
      <c r="AB31" s="153"/>
      <c r="AC31" s="153"/>
    </row>
    <row r="32">
      <c r="A32" s="152" t="s">
        <v>312</v>
      </c>
      <c r="B32" s="133" t="str">
        <f>IFERROR(__xludf.DUMMYFUNCTION("FILTER ('Research Papers'!D:D,'Research Papers'!A:A=C32)"),"Efficient and Fair Allocation on Graphs: From Orientation to Position-Aware Valuations")</f>
        <v>Efficient and Fair Allocation on Graphs: From Orientation to Position-Aware Valuations</v>
      </c>
      <c r="C32" s="133" t="s">
        <v>398</v>
      </c>
      <c r="D32" s="153" t="str">
        <f t="shared" si="1"/>
        <v>Efficient and Fair Allocation on Graphs: From Orientation to Position-Aware Valuations
Bo Li, Ankang Sun and Shiji Xing
</v>
      </c>
      <c r="E32" s="153" t="str">
        <f>IFERROR(__xludf.DUMMYFUNCTION("TEXTJOIN(CHAR(10), TRUE,FILTER('Research Papers'!$C:$C,'Research Papers'!$A:$A=C32))"),"Bo Li, Ankang Sun and Shiji Xing")</f>
        <v>Bo Li, Ankang Sun and Shiji Xing</v>
      </c>
      <c r="F32" s="154" t="s">
        <v>211</v>
      </c>
      <c r="G32" s="133" t="s">
        <v>316</v>
      </c>
      <c r="H32" s="153"/>
      <c r="I32" s="120"/>
      <c r="J32" s="120"/>
      <c r="K32" s="153"/>
      <c r="L32" s="153"/>
      <c r="M32" s="153"/>
      <c r="N32" s="153"/>
      <c r="O32" s="153"/>
      <c r="P32" s="153"/>
      <c r="Q32" s="153"/>
      <c r="R32" s="153"/>
      <c r="S32" s="153"/>
      <c r="T32" s="153"/>
      <c r="U32" s="153"/>
      <c r="V32" s="153"/>
      <c r="W32" s="153"/>
      <c r="X32" s="153"/>
      <c r="Y32" s="153"/>
      <c r="Z32" s="153"/>
      <c r="AA32" s="153"/>
      <c r="AB32" s="153"/>
      <c r="AC32" s="153"/>
    </row>
    <row r="33">
      <c r="A33" s="152" t="s">
        <v>312</v>
      </c>
      <c r="B33" s="133" t="str">
        <f>IFERROR(__xludf.DUMMYFUNCTION("FILTER ('Research Papers'!D:D,'Research Papers'!A:A=C33)"),"Data Pricing via Competitive Equilibrium")</f>
        <v>Data Pricing via Competitive Equilibrium</v>
      </c>
      <c r="C33" s="133" t="s">
        <v>399</v>
      </c>
      <c r="D33" s="153" t="str">
        <f t="shared" si="1"/>
        <v>Data Pricing via Competitive Equilibrium
Bhaskar Chaudhury, Jugal Garg, Aniket Murhekar and Jiaxin
Song
</v>
      </c>
      <c r="E33" s="153" t="str">
        <f>IFERROR(__xludf.DUMMYFUNCTION("TEXTJOIN(CHAR(10), TRUE,FILTER('Research Papers'!$C:$C,'Research Papers'!$A:$A=C33))"),"Bhaskar Chaudhury, Jugal Garg, Aniket Murhekar and Jiaxin
Song")</f>
        <v>Bhaskar Chaudhury, Jugal Garg, Aniket Murhekar and Jiaxin
Song</v>
      </c>
      <c r="F33" s="154" t="s">
        <v>211</v>
      </c>
      <c r="G33" s="133" t="s">
        <v>316</v>
      </c>
      <c r="H33" s="153"/>
      <c r="I33" s="120"/>
      <c r="J33" s="120"/>
      <c r="K33" s="153"/>
      <c r="L33" s="153"/>
      <c r="M33" s="153"/>
      <c r="N33" s="153"/>
      <c r="O33" s="153"/>
      <c r="P33" s="153"/>
      <c r="Q33" s="153"/>
      <c r="R33" s="153"/>
      <c r="S33" s="153"/>
      <c r="T33" s="153"/>
      <c r="U33" s="153"/>
      <c r="V33" s="153"/>
      <c r="W33" s="153"/>
      <c r="X33" s="153"/>
      <c r="Y33" s="153"/>
      <c r="Z33" s="153"/>
      <c r="AA33" s="153"/>
      <c r="AB33" s="153"/>
      <c r="AC33" s="153"/>
    </row>
    <row r="34">
      <c r="A34" s="152" t="s">
        <v>312</v>
      </c>
      <c r="B34" s="133" t="str">
        <f>IFERROR(__xludf.DUMMYFUNCTION("FILTER ('Research Papers'!D:D,'Research Papers'!A:A=C34)"),"Single-Sample Bilateral Trade with a Broker")</f>
        <v>Single-Sample Bilateral Trade with a Broker</v>
      </c>
      <c r="C34" s="133" t="s">
        <v>400</v>
      </c>
      <c r="D34" s="153" t="str">
        <f t="shared" si="1"/>
        <v>Single-Sample Bilateral Trade with a Broker
Mohammadtaghi Hajiaghayi, Gary Peng and Suho Shin
</v>
      </c>
      <c r="E34" s="153" t="str">
        <f>IFERROR(__xludf.DUMMYFUNCTION("TEXTJOIN(CHAR(10), TRUE,FILTER('Research Papers'!$C:$C,'Research Papers'!$A:$A=C34))"),"Mohammadtaghi Hajiaghayi, Gary Peng and Suho Shin")</f>
        <v>Mohammadtaghi Hajiaghayi, Gary Peng and Suho Shin</v>
      </c>
      <c r="F34" s="154" t="s">
        <v>211</v>
      </c>
      <c r="G34" s="133" t="s">
        <v>316</v>
      </c>
      <c r="H34" s="153"/>
      <c r="I34" s="120"/>
      <c r="J34" s="120"/>
      <c r="K34" s="153"/>
      <c r="L34" s="153"/>
      <c r="M34" s="153"/>
      <c r="N34" s="153"/>
      <c r="O34" s="153"/>
      <c r="P34" s="153"/>
      <c r="Q34" s="153"/>
      <c r="R34" s="153"/>
      <c r="S34" s="153"/>
      <c r="T34" s="153"/>
      <c r="U34" s="153"/>
      <c r="V34" s="153"/>
      <c r="W34" s="153"/>
      <c r="X34" s="153"/>
      <c r="Y34" s="153"/>
      <c r="Z34" s="153"/>
      <c r="AA34" s="153"/>
      <c r="AB34" s="153"/>
      <c r="AC34" s="153"/>
    </row>
    <row r="35">
      <c r="A35" s="152" t="s">
        <v>312</v>
      </c>
      <c r="B35" s="133" t="str">
        <f>IFERROR(__xludf.DUMMYFUNCTION("FILTER ('Research Papers'!D:D,'Research Papers'!A:A=C35)"),"Differentially Private Anonymous Bandits for Multi-User Systems")</f>
        <v>Differentially Private Anonymous Bandits for Multi-User Systems</v>
      </c>
      <c r="C35" s="133" t="s">
        <v>401</v>
      </c>
      <c r="D35" s="153" t="str">
        <f t="shared" si="1"/>
        <v>Differentially Private Anonymous Bandits for Multi-User Systems
Mohammad Reza Badri, Hossein Esfandiari, Samira
Hosseinghorban and Alireza Rezaeimoghadam
</v>
      </c>
      <c r="E35" s="153" t="str">
        <f>IFERROR(__xludf.DUMMYFUNCTION("TEXTJOIN(CHAR(10), TRUE,FILTER('Research Papers'!$C:$C,'Research Papers'!$A:$A=C35))"),"Mohammad Reza Badri, Hossein Esfandiari, Samira
Hosseinghorban and Alireza Rezaeimoghadam")</f>
        <v>Mohammad Reza Badri, Hossein Esfandiari, Samira
Hosseinghorban and Alireza Rezaeimoghadam</v>
      </c>
      <c r="F35" s="154" t="s">
        <v>211</v>
      </c>
      <c r="G35" s="133" t="s">
        <v>316</v>
      </c>
      <c r="H35" s="153"/>
      <c r="I35" s="120"/>
      <c r="J35" s="120"/>
      <c r="K35" s="153"/>
      <c r="L35" s="153"/>
      <c r="M35" s="153"/>
      <c r="N35" s="153"/>
      <c r="O35" s="153"/>
      <c r="P35" s="153"/>
      <c r="Q35" s="153"/>
      <c r="R35" s="153"/>
      <c r="S35" s="153"/>
      <c r="T35" s="153"/>
      <c r="U35" s="153"/>
      <c r="V35" s="153"/>
      <c r="W35" s="153"/>
      <c r="X35" s="153"/>
      <c r="Y35" s="153"/>
      <c r="Z35" s="153"/>
      <c r="AA35" s="153"/>
      <c r="AB35" s="153"/>
      <c r="AC35" s="153"/>
    </row>
    <row r="36">
      <c r="A36" s="152" t="s">
        <v>312</v>
      </c>
      <c r="B36" s="133" t="str">
        <f>IFERROR(__xludf.DUMMYFUNCTION("FILTER ('Research Papers'!D:D,'Research Papers'!A:A=C36)"),"Understanding Strategic Platform Entry and Seller Exploration: A Stackelberg Model")</f>
        <v>Understanding Strategic Platform Entry and Seller Exploration: A Stackelberg Model</v>
      </c>
      <c r="C36" s="133" t="s">
        <v>402</v>
      </c>
      <c r="D36" s="153" t="str">
        <f t="shared" si="1"/>
        <v>Understanding Strategic Platform Entry and Seller Exploration: A Stackelberg Model
Garrett Seo, Xintong Wang and David Parkes
</v>
      </c>
      <c r="E36" s="153" t="str">
        <f>IFERROR(__xludf.DUMMYFUNCTION("TEXTJOIN(CHAR(10), TRUE,FILTER('Research Papers'!$C:$C,'Research Papers'!$A:$A=C36))"),"Garrett Seo, Xintong Wang and David Parkes")</f>
        <v>Garrett Seo, Xintong Wang and David Parkes</v>
      </c>
      <c r="F36" s="154" t="s">
        <v>211</v>
      </c>
      <c r="G36" s="133" t="s">
        <v>316</v>
      </c>
      <c r="H36" s="153"/>
      <c r="I36" s="120"/>
      <c r="J36" s="120"/>
      <c r="K36" s="153"/>
      <c r="L36" s="153"/>
      <c r="M36" s="153"/>
      <c r="N36" s="153"/>
      <c r="O36" s="153"/>
      <c r="P36" s="153"/>
      <c r="Q36" s="153"/>
      <c r="R36" s="153"/>
      <c r="S36" s="153"/>
      <c r="T36" s="153"/>
      <c r="U36" s="153"/>
      <c r="V36" s="153"/>
      <c r="W36" s="153"/>
      <c r="X36" s="153"/>
      <c r="Y36" s="153"/>
      <c r="Z36" s="153"/>
      <c r="AA36" s="153"/>
      <c r="AB36" s="153"/>
      <c r="AC36" s="153"/>
    </row>
    <row r="37">
      <c r="A37" s="152" t="s">
        <v>312</v>
      </c>
      <c r="B37" s="133" t="str">
        <f>IFERROR(__xludf.DUMMYFUNCTION("FILTER ('Research Papers'!D:D,'Research Papers'!A:A=C37)"),"Stochastic Wage Suppression on Gig Platforms and How to Organize Against It")</f>
        <v>Stochastic Wage Suppression on Gig Platforms and How to Organize Against It</v>
      </c>
      <c r="C37" s="133" t="s">
        <v>403</v>
      </c>
      <c r="D37" s="153" t="str">
        <f t="shared" si="1"/>
        <v>Stochastic Wage Suppression on Gig Platforms and How to Organize Against It
Ana-Andreea Stoica, Celestine Mendler-Duenner and Moritz
Hardt
</v>
      </c>
      <c r="E37" s="153" t="str">
        <f>IFERROR(__xludf.DUMMYFUNCTION("TEXTJOIN(CHAR(10), TRUE,FILTER('Research Papers'!$C:$C,'Research Papers'!$A:$A=C37))"),"Ana-Andreea Stoica, Celestine Mendler-Duenner and Moritz
Hardt")</f>
        <v>Ana-Andreea Stoica, Celestine Mendler-Duenner and Moritz
Hardt</v>
      </c>
      <c r="F37" s="154" t="s">
        <v>211</v>
      </c>
      <c r="G37" s="133" t="s">
        <v>316</v>
      </c>
      <c r="H37" s="153"/>
      <c r="I37" s="120"/>
      <c r="J37" s="120"/>
      <c r="K37" s="153"/>
      <c r="L37" s="153"/>
      <c r="M37" s="153"/>
      <c r="N37" s="153"/>
      <c r="O37" s="153"/>
      <c r="P37" s="153"/>
      <c r="Q37" s="153"/>
      <c r="R37" s="153"/>
      <c r="S37" s="153"/>
      <c r="T37" s="153"/>
      <c r="U37" s="153"/>
      <c r="V37" s="153"/>
      <c r="W37" s="153"/>
      <c r="X37" s="153"/>
      <c r="Y37" s="153"/>
      <c r="Z37" s="153"/>
      <c r="AA37" s="153"/>
      <c r="AB37" s="153"/>
      <c r="AC37" s="153"/>
    </row>
    <row r="38">
      <c r="A38" s="152" t="s">
        <v>318</v>
      </c>
      <c r="B38" s="133" t="str">
        <f>IFERROR(__xludf.DUMMYFUNCTION("FILTER ('Research Papers'!D:D,'Research Papers'!A:A=C38)"),"Topology-Aware Feature Sorting Enables Universal Modeling on Homophilic and Heterophilic Graphs")</f>
        <v>Topology-Aware Feature Sorting Enables Universal Modeling on Homophilic and Heterophilic Graphs</v>
      </c>
      <c r="C38" s="133" t="s">
        <v>404</v>
      </c>
      <c r="D38" s="153" t="str">
        <f t="shared" si="1"/>
        <v>Topology-Aware Feature Sorting Enables Universal Modeling on Homophilic and Heterophilic Graphs
Yi Wang, Jitao Zhao, Dongxiao He, Jia Li, Yuxiao Huang and
Zhiyong Feng
</v>
      </c>
      <c r="E38" s="153" t="str">
        <f>IFERROR(__xludf.DUMMYFUNCTION("TEXTJOIN(CHAR(10), TRUE,FILTER('Research Papers'!$C:$C,'Research Papers'!$A:$A=C38))"),"Yi Wang, Jitao Zhao, Dongxiao He, Jia Li, Yuxiao Huang and
Zhiyong Feng")</f>
        <v>Yi Wang, Jitao Zhao, Dongxiao He, Jia Li, Yuxiao Huang and
Zhiyong Feng</v>
      </c>
      <c r="F38" s="133" t="s">
        <v>74</v>
      </c>
      <c r="G38" s="153"/>
      <c r="H38" s="153"/>
      <c r="I38" s="120"/>
      <c r="J38" s="120"/>
      <c r="K38" s="153"/>
      <c r="L38" s="153"/>
      <c r="M38" s="153"/>
      <c r="N38" s="153"/>
      <c r="O38" s="153"/>
      <c r="P38" s="153"/>
      <c r="Q38" s="153"/>
      <c r="R38" s="153"/>
      <c r="S38" s="153"/>
      <c r="T38" s="153"/>
      <c r="U38" s="153"/>
      <c r="V38" s="153"/>
      <c r="W38" s="153"/>
      <c r="X38" s="153"/>
      <c r="Y38" s="153"/>
      <c r="Z38" s="153"/>
      <c r="AA38" s="153"/>
      <c r="AB38" s="153"/>
      <c r="AC38" s="153"/>
    </row>
    <row r="39">
      <c r="A39" s="152" t="s">
        <v>318</v>
      </c>
      <c r="B39" s="133" t="str">
        <f>IFERROR(__xludf.DUMMYFUNCTION("FILTER ('Research Papers'!D:D,'Research Papers'!A:A=C39)"),"A Graph Foundation Model for Unified Anomaly Detection")</f>
        <v>A Graph Foundation Model for Unified Anomaly Detection</v>
      </c>
      <c r="C39" s="133" t="s">
        <v>405</v>
      </c>
      <c r="D39" s="153" t="str">
        <f t="shared" si="1"/>
        <v>A Graph Foundation Model for Unified Anomaly Detection
Renda Han, Xiaobao Wang, Luzhi Wang, Wenxin Zhang,
Guangzhen Yao and Hongxiang Liang
</v>
      </c>
      <c r="E39" s="153" t="str">
        <f>IFERROR(__xludf.DUMMYFUNCTION("TEXTJOIN(CHAR(10), TRUE,FILTER('Research Papers'!$C:$C,'Research Papers'!$A:$A=C39))"),"Renda Han, Xiaobao Wang, Luzhi Wang, Wenxin Zhang,
Guangzhen Yao and Hongxiang Liang")</f>
        <v>Renda Han, Xiaobao Wang, Luzhi Wang, Wenxin Zhang,
Guangzhen Yao and Hongxiang Liang</v>
      </c>
      <c r="F39" s="133" t="s">
        <v>74</v>
      </c>
      <c r="G39" s="153"/>
      <c r="H39" s="153"/>
      <c r="I39" s="120"/>
      <c r="J39" s="120"/>
      <c r="K39" s="153"/>
      <c r="L39" s="153"/>
      <c r="M39" s="153"/>
      <c r="N39" s="153"/>
      <c r="O39" s="153"/>
      <c r="P39" s="153"/>
      <c r="Q39" s="153"/>
      <c r="R39" s="153"/>
      <c r="S39" s="153"/>
      <c r="T39" s="153"/>
      <c r="U39" s="153"/>
      <c r="V39" s="153"/>
      <c r="W39" s="153"/>
      <c r="X39" s="153"/>
      <c r="Y39" s="153"/>
      <c r="Z39" s="153"/>
      <c r="AA39" s="153"/>
      <c r="AB39" s="153"/>
      <c r="AC39" s="153"/>
    </row>
    <row r="40">
      <c r="A40" s="152" t="s">
        <v>318</v>
      </c>
      <c r="B40" s="133" t="str">
        <f>IFERROR(__xludf.DUMMYFUNCTION("FILTER ('Research Papers'!D:D,'Research Papers'!A:A=C40)"),"RAG-GFM: Overcoming In-Memory Bottlenecks in Graph Foundation Models via Retrieval-Augmented Generation")</f>
        <v>RAG-GFM: Overcoming In-Memory Bottlenecks in Graph Foundation Models via Retrieval-Augmented Generation</v>
      </c>
      <c r="C40" s="133" t="s">
        <v>406</v>
      </c>
      <c r="D40" s="153" t="str">
        <f t="shared" si="1"/>
        <v>RAG-GFM: Overcoming In-Memory Bottlenecks in Graph Foundation Models via Retrieval-Augmented Generation
Haonan Yuan, Qingyun Sun, Jiacheng Tao, Xingcheng Fu and
Jianxin Li
</v>
      </c>
      <c r="E40" s="153" t="str">
        <f>IFERROR(__xludf.DUMMYFUNCTION("TEXTJOIN(CHAR(10), TRUE,FILTER('Research Papers'!$C:$C,'Research Papers'!$A:$A=C40))"),"Haonan Yuan, Qingyun Sun, Jiacheng Tao, Xingcheng Fu and
Jianxin Li")</f>
        <v>Haonan Yuan, Qingyun Sun, Jiacheng Tao, Xingcheng Fu and
Jianxin Li</v>
      </c>
      <c r="F40" s="133" t="s">
        <v>74</v>
      </c>
      <c r="G40" s="153"/>
      <c r="H40" s="153"/>
      <c r="I40" s="120"/>
      <c r="J40" s="120"/>
      <c r="K40" s="153"/>
      <c r="L40" s="153"/>
      <c r="M40" s="153"/>
      <c r="N40" s="153"/>
      <c r="O40" s="153"/>
      <c r="P40" s="153"/>
      <c r="Q40" s="153"/>
      <c r="R40" s="153"/>
      <c r="S40" s="153"/>
      <c r="T40" s="153"/>
      <c r="U40" s="153"/>
      <c r="V40" s="153"/>
      <c r="W40" s="153"/>
      <c r="X40" s="153"/>
      <c r="Y40" s="153"/>
      <c r="Z40" s="153"/>
      <c r="AA40" s="153"/>
      <c r="AB40" s="153"/>
      <c r="AC40" s="153"/>
    </row>
    <row r="41">
      <c r="A41" s="152" t="s">
        <v>318</v>
      </c>
      <c r="B41" s="133" t="str">
        <f>IFERROR(__xludf.DUMMYFUNCTION("FILTER ('Research Papers'!D:D,'Research Papers'!A:A=C41)"),"Towards Graph Foundation Model: Node Feature Transfer Invariant Modeling on General Graphs")</f>
        <v>Towards Graph Foundation Model: Node Feature Transfer Invariant Modeling on General Graphs</v>
      </c>
      <c r="C41" s="133" t="s">
        <v>407</v>
      </c>
      <c r="D41" s="153" t="str">
        <f t="shared" si="1"/>
        <v>Towards Graph Foundation Model: Node Feature Transfer Invariant Modeling on General Graphs
Jitao Zhao, Yi Wang, Yawen Li, Dongxiao He, Di Jin, Zhiyong
Feng and Weixiong Zhang
</v>
      </c>
      <c r="E41" s="153" t="str">
        <f>IFERROR(__xludf.DUMMYFUNCTION("TEXTJOIN(CHAR(10), TRUE,FILTER('Research Papers'!$C:$C,'Research Papers'!$A:$A=C41))"),"Jitao Zhao, Yi Wang, Yawen Li, Dongxiao He, Di Jin, Zhiyong
Feng and Weixiong Zhang")</f>
        <v>Jitao Zhao, Yi Wang, Yawen Li, Dongxiao He, Di Jin, Zhiyong
Feng and Weixiong Zhang</v>
      </c>
      <c r="F41" s="133" t="s">
        <v>74</v>
      </c>
      <c r="G41" s="153"/>
      <c r="H41" s="153"/>
      <c r="I41" s="120"/>
      <c r="J41" s="120"/>
      <c r="K41" s="153"/>
      <c r="L41" s="153"/>
      <c r="M41" s="153"/>
      <c r="N41" s="153"/>
      <c r="O41" s="153"/>
      <c r="P41" s="153"/>
      <c r="Q41" s="153"/>
      <c r="R41" s="153"/>
      <c r="S41" s="153"/>
      <c r="T41" s="153"/>
      <c r="U41" s="153"/>
      <c r="V41" s="153"/>
      <c r="W41" s="153"/>
      <c r="X41" s="153"/>
      <c r="Y41" s="153"/>
      <c r="Z41" s="153"/>
      <c r="AA41" s="153"/>
      <c r="AB41" s="153"/>
      <c r="AC41" s="153"/>
    </row>
    <row r="42">
      <c r="A42" s="152" t="s">
        <v>318</v>
      </c>
      <c r="B42" s="133" t="str">
        <f>IFERROR(__xludf.DUMMYFUNCTION("FILTER ('Research Papers'!D:D,'Research Papers'!A:A=C42)"),"GraphRAG-R1: Graph Retrieval-Augmented Generation with Process-Constrained Reinforcement Learning")</f>
        <v>GraphRAG-R1: Graph Retrieval-Augmented Generation with Process-Constrained Reinforcement Learning</v>
      </c>
      <c r="C42" s="133" t="s">
        <v>408</v>
      </c>
      <c r="D42" s="153" t="str">
        <f t="shared" si="1"/>
        <v>GraphRAG-R1: Graph Retrieval-Augmented Generation with Process-Constrained Reinforcement Learning
Chuanyue Yu, Kuo Zhao, Yuhan Li, Heng Chang, Mingjian Feng,
Xiangzhe Jiang, Yufei Sun, Jia Li, Yuzhi Zhang, Qingyun
Sun, Jianxin Li and Ziwei Zhang
</v>
      </c>
      <c r="E42" s="153" t="str">
        <f>IFERROR(__xludf.DUMMYFUNCTION("TEXTJOIN(CHAR(10), TRUE,FILTER('Research Papers'!$C:$C,'Research Papers'!$A:$A=C42))"),"Chuanyue Yu, Kuo Zhao, Yuhan Li, Heng Chang, Mingjian Feng,
Xiangzhe Jiang, Yufei Sun, Jia Li, Yuzhi Zhang, Qingyun
Sun, Jianxin Li and Ziwei Zhang")</f>
        <v>Chuanyue Yu, Kuo Zhao, Yuhan Li, Heng Chang, Mingjian Feng,
Xiangzhe Jiang, Yufei Sun, Jia Li, Yuzhi Zhang, Qingyun
Sun, Jianxin Li and Ziwei Zhang</v>
      </c>
      <c r="F42" s="133" t="s">
        <v>74</v>
      </c>
      <c r="G42" s="153"/>
      <c r="H42" s="153"/>
      <c r="I42" s="120"/>
      <c r="J42" s="120"/>
      <c r="K42" s="153"/>
      <c r="L42" s="153"/>
      <c r="M42" s="153"/>
      <c r="N42" s="153"/>
      <c r="O42" s="153"/>
      <c r="P42" s="153"/>
      <c r="Q42" s="153"/>
      <c r="R42" s="153"/>
      <c r="S42" s="153"/>
      <c r="T42" s="153"/>
      <c r="U42" s="153"/>
      <c r="V42" s="153"/>
      <c r="W42" s="153"/>
      <c r="X42" s="153"/>
      <c r="Y42" s="153"/>
      <c r="Z42" s="153"/>
      <c r="AA42" s="153"/>
      <c r="AB42" s="153"/>
      <c r="AC42" s="153"/>
    </row>
    <row r="43">
      <c r="A43" s="152" t="s">
        <v>318</v>
      </c>
      <c r="B43" s="133" t="str">
        <f>IFERROR(__xludf.DUMMYFUNCTION("FILTER ('Research Papers'!D:D,'Research Papers'!A:A=C43)"),"Multi-Source Information Driven Spatio-Temporal Hypergraph Learning for Traffic Forecasting")</f>
        <v>Multi-Source Information Driven Spatio-Temporal Hypergraph Learning for Traffic Forecasting</v>
      </c>
      <c r="C43" s="133" t="s">
        <v>409</v>
      </c>
      <c r="D43" s="153" t="str">
        <f t="shared" si="1"/>
        <v>Multi-Source Information Driven Spatio-Temporal Hypergraph Learning for Traffic Forecasting
Ping Zhang, Jiayu Leng, Liang Yang, Anchen Li, Xiaochun Cao
and Riting Xia
</v>
      </c>
      <c r="E43" s="153" t="str">
        <f>IFERROR(__xludf.DUMMYFUNCTION("TEXTJOIN(CHAR(10), TRUE,FILTER('Research Papers'!$C:$C,'Research Papers'!$A:$A=C43))"),"Ping Zhang, Jiayu Leng, Liang Yang, Anchen Li, Xiaochun Cao
and Riting Xia")</f>
        <v>Ping Zhang, Jiayu Leng, Liang Yang, Anchen Li, Xiaochun Cao
and Riting Xia</v>
      </c>
      <c r="F43" s="133" t="s">
        <v>148</v>
      </c>
      <c r="G43" s="153"/>
      <c r="H43" s="153"/>
      <c r="I43" s="120"/>
      <c r="J43" s="120"/>
      <c r="K43" s="153"/>
      <c r="L43" s="153"/>
      <c r="M43" s="153"/>
      <c r="N43" s="153"/>
      <c r="O43" s="153"/>
      <c r="P43" s="153"/>
      <c r="Q43" s="153"/>
      <c r="R43" s="153"/>
      <c r="S43" s="153"/>
      <c r="T43" s="153"/>
      <c r="U43" s="153"/>
      <c r="V43" s="153"/>
      <c r="W43" s="153"/>
      <c r="X43" s="153"/>
      <c r="Y43" s="153"/>
      <c r="Z43" s="153"/>
      <c r="AA43" s="153"/>
      <c r="AB43" s="153"/>
      <c r="AC43" s="153"/>
    </row>
    <row r="44">
      <c r="A44" s="152" t="s">
        <v>318</v>
      </c>
      <c r="B44" s="133" t="str">
        <f>IFERROR(__xludf.DUMMYFUNCTION("FILTER ('Research Papers'!D:D,'Research Papers'!A:A=C44)"),"SGExplainer: Balanced Path-based Signed Graph Neural Network Explanation for Link Sign Prediction")</f>
        <v>SGExplainer: Balanced Path-based Signed Graph Neural Network Explanation for Link Sign Prediction</v>
      </c>
      <c r="C44" s="133" t="s">
        <v>410</v>
      </c>
      <c r="D44" s="153" t="str">
        <f t="shared" si="1"/>
        <v>SGExplainer: Balanced Path-based Signed Graph Neural Network Explanation for Link Sign Prediction
Jie Gao, Jia Hu, Geyong Min and Fei Hao
</v>
      </c>
      <c r="E44" s="153" t="str">
        <f>IFERROR(__xludf.DUMMYFUNCTION("TEXTJOIN(CHAR(10), TRUE,FILTER('Research Papers'!$C:$C,'Research Papers'!$A:$A=C44))"),"Jie Gao, Jia Hu, Geyong Min and Fei Hao")</f>
        <v>Jie Gao, Jia Hu, Geyong Min and Fei Hao</v>
      </c>
      <c r="F44" s="133" t="s">
        <v>148</v>
      </c>
      <c r="G44" s="153"/>
      <c r="H44" s="153"/>
      <c r="I44" s="120"/>
      <c r="J44" s="120"/>
      <c r="K44" s="153"/>
      <c r="L44" s="153"/>
      <c r="M44" s="153"/>
      <c r="N44" s="153"/>
      <c r="O44" s="153"/>
      <c r="P44" s="153"/>
      <c r="Q44" s="153"/>
      <c r="R44" s="153"/>
      <c r="S44" s="153"/>
      <c r="T44" s="153"/>
      <c r="U44" s="153"/>
      <c r="V44" s="153"/>
      <c r="W44" s="153"/>
      <c r="X44" s="153"/>
      <c r="Y44" s="153"/>
      <c r="Z44" s="153"/>
      <c r="AA44" s="153"/>
      <c r="AB44" s="153"/>
      <c r="AC44" s="153"/>
    </row>
    <row r="45">
      <c r="A45" s="152" t="s">
        <v>318</v>
      </c>
      <c r="B45" s="133" t="str">
        <f>IFERROR(__xludf.DUMMYFUNCTION("FILTER ('Research Papers'!D:D,'Research Papers'!A:A=C45)"),"Dir-GD: Directed Graph Distillation")</f>
        <v>Dir-GD: Directed Graph Distillation</v>
      </c>
      <c r="C45" s="133" t="s">
        <v>411</v>
      </c>
      <c r="D45" s="153" t="str">
        <f t="shared" si="1"/>
        <v>Dir-GD: Directed Graph Distillation
Ce Yang, Fei Hao, Jie Gao, Jianrui Chen, Jia Hu and Geyong
Min
</v>
      </c>
      <c r="E45" s="153" t="str">
        <f>IFERROR(__xludf.DUMMYFUNCTION("TEXTJOIN(CHAR(10), TRUE,FILTER('Research Papers'!$C:$C,'Research Papers'!$A:$A=C45))"),"Ce Yang, Fei Hao, Jie Gao, Jianrui Chen, Jia Hu and Geyong
Min")</f>
        <v>Ce Yang, Fei Hao, Jie Gao, Jianrui Chen, Jia Hu and Geyong
Min</v>
      </c>
      <c r="F45" s="133" t="s">
        <v>148</v>
      </c>
      <c r="G45" s="153"/>
      <c r="H45" s="153"/>
      <c r="I45" s="120"/>
      <c r="J45" s="120"/>
      <c r="K45" s="153"/>
      <c r="L45" s="153"/>
      <c r="M45" s="153"/>
      <c r="N45" s="153"/>
      <c r="O45" s="153"/>
      <c r="P45" s="153"/>
      <c r="Q45" s="153"/>
      <c r="R45" s="153"/>
      <c r="S45" s="153"/>
      <c r="T45" s="153"/>
      <c r="U45" s="153"/>
      <c r="V45" s="153"/>
      <c r="W45" s="153"/>
      <c r="X45" s="153"/>
      <c r="Y45" s="153"/>
      <c r="Z45" s="153"/>
      <c r="AA45" s="153"/>
      <c r="AB45" s="153"/>
      <c r="AC45" s="153"/>
    </row>
    <row r="46">
      <c r="A46" s="152" t="s">
        <v>318</v>
      </c>
      <c r="B46" s="133" t="str">
        <f>IFERROR(__xludf.DUMMYFUNCTION("FILTER ('Research Papers'!D:D,'Research Papers'!A:A=C46)"),"STG-DGR: Fraud Detection on Streaming Transaction Graphs with Diffusion-based Generative Replay")</f>
        <v>STG-DGR: Fraud Detection on Streaming Transaction Graphs with Diffusion-based Generative Replay</v>
      </c>
      <c r="C46" s="133" t="s">
        <v>412</v>
      </c>
      <c r="D46" s="153" t="str">
        <f t="shared" si="1"/>
        <v>STG-DGR: Fraud Detection on Streaming Transaction Graphs with Diffusion-based Generative Replay
Rui Ou, Kun Zhu, Nana Zhang, Jiangtong Li, Chaochao Chen
and Changjun Jiang
</v>
      </c>
      <c r="E46" s="153" t="str">
        <f>IFERROR(__xludf.DUMMYFUNCTION("TEXTJOIN(CHAR(10), TRUE,FILTER('Research Papers'!$C:$C,'Research Papers'!$A:$A=C46))"),"Rui Ou, Kun Zhu, Nana Zhang, Jiangtong Li, Chaochao Chen
and Changjun Jiang")</f>
        <v>Rui Ou, Kun Zhu, Nana Zhang, Jiangtong Li, Chaochao Chen
and Changjun Jiang</v>
      </c>
      <c r="F46" s="133" t="s">
        <v>148</v>
      </c>
      <c r="G46" s="153"/>
      <c r="H46" s="153"/>
      <c r="I46" s="120"/>
      <c r="J46" s="120"/>
      <c r="K46" s="153"/>
      <c r="L46" s="153"/>
      <c r="M46" s="153"/>
      <c r="N46" s="153"/>
      <c r="O46" s="153"/>
      <c r="P46" s="153"/>
      <c r="Q46" s="153"/>
      <c r="R46" s="153"/>
      <c r="S46" s="153"/>
      <c r="T46" s="153"/>
      <c r="U46" s="153"/>
      <c r="V46" s="153"/>
      <c r="W46" s="153"/>
      <c r="X46" s="153"/>
      <c r="Y46" s="153"/>
      <c r="Z46" s="153"/>
      <c r="AA46" s="153"/>
      <c r="AB46" s="153"/>
      <c r="AC46" s="153"/>
    </row>
    <row r="47">
      <c r="A47" s="152" t="s">
        <v>318</v>
      </c>
      <c r="B47" s="133" t="str">
        <f>IFERROR(__xludf.DUMMYFUNCTION("FILTER ('Research Papers'!D:D,'Research Papers'!A:A=C47)"),"Controllable Graph Generation with Diffusion Models via Inference-Time Tree Search Guidance")</f>
        <v>Controllable Graph Generation with Diffusion Models via Inference-Time Tree Search Guidance</v>
      </c>
      <c r="C47" s="133" t="s">
        <v>413</v>
      </c>
      <c r="D47" s="153" t="str">
        <f t="shared" si="1"/>
        <v>Controllable Graph Generation with Diffusion Models via Inference-Time Tree Search Guidance
Jiachi Zhao, Zehong Wang, Yamei Liao, Chuxu Zhang and
Yanfang Ye
</v>
      </c>
      <c r="E47" s="153" t="str">
        <f>IFERROR(__xludf.DUMMYFUNCTION("TEXTJOIN(CHAR(10), TRUE,FILTER('Research Papers'!$C:$C,'Research Papers'!$A:$A=C47))"),"Jiachi Zhao, Zehong Wang, Yamei Liao, Chuxu Zhang and
Yanfang Ye")</f>
        <v>Jiachi Zhao, Zehong Wang, Yamei Liao, Chuxu Zhang and
Yanfang Ye</v>
      </c>
      <c r="F47" s="133" t="s">
        <v>148</v>
      </c>
      <c r="G47" s="153"/>
      <c r="H47" s="153"/>
      <c r="I47" s="120"/>
      <c r="J47" s="120"/>
      <c r="K47" s="153"/>
      <c r="L47" s="153"/>
      <c r="M47" s="153"/>
      <c r="N47" s="153"/>
      <c r="O47" s="153"/>
      <c r="P47" s="153"/>
      <c r="Q47" s="153"/>
      <c r="R47" s="153"/>
      <c r="S47" s="153"/>
      <c r="T47" s="153"/>
      <c r="U47" s="153"/>
      <c r="V47" s="153"/>
      <c r="W47" s="153"/>
      <c r="X47" s="153"/>
      <c r="Y47" s="153"/>
      <c r="Z47" s="153"/>
      <c r="AA47" s="153"/>
      <c r="AB47" s="153"/>
      <c r="AC47" s="153"/>
    </row>
    <row r="48">
      <c r="A48" s="152" t="s">
        <v>318</v>
      </c>
      <c r="B48" s="133" t="str">
        <f>IFERROR(__xludf.DUMMYFUNCTION("FILTER ('Research Papers'!D:D,'Research Papers'!A:A=C48)"),"Unveiling Backdoor Propagation in Graphs: Neuron-Centric Defense Mechanisms")</f>
        <v>Unveiling Backdoor Propagation in Graphs: Neuron-Centric Defense Mechanisms</v>
      </c>
      <c r="C48" s="133" t="s">
        <v>414</v>
      </c>
      <c r="D48" s="153" t="str">
        <f t="shared" si="1"/>
        <v>Unveiling Backdoor Propagation in Graphs: Neuron-Centric Defense Mechanisms
Di Jin, Bingdao Feng, Xiaobao Wang, Yuxiang Zhang, Zechuan
Zhang, Liang Yang, Dongxiao He and Zhen Wang
</v>
      </c>
      <c r="E48" s="153" t="str">
        <f>IFERROR(__xludf.DUMMYFUNCTION("TEXTJOIN(CHAR(10), TRUE,FILTER('Research Papers'!$C:$C,'Research Papers'!$A:$A=C48))"),"Di Jin, Bingdao Feng, Xiaobao Wang, Yuxiang Zhang, Zechuan
Zhang, Liang Yang, Dongxiao He and Zhen Wang")</f>
        <v>Di Jin, Bingdao Feng, Xiaobao Wang, Yuxiang Zhang, Zechuan
Zhang, Liang Yang, Dongxiao He and Zhen Wang</v>
      </c>
      <c r="F48" s="133" t="s">
        <v>95</v>
      </c>
      <c r="G48" s="153"/>
      <c r="H48" s="153"/>
      <c r="I48" s="120"/>
      <c r="J48" s="120"/>
      <c r="K48" s="153"/>
      <c r="L48" s="153"/>
      <c r="M48" s="153"/>
      <c r="N48" s="153"/>
      <c r="O48" s="153"/>
      <c r="P48" s="153"/>
      <c r="Q48" s="153"/>
      <c r="R48" s="153"/>
      <c r="S48" s="153"/>
      <c r="T48" s="153"/>
      <c r="U48" s="153"/>
      <c r="V48" s="153"/>
      <c r="W48" s="153"/>
      <c r="X48" s="153"/>
      <c r="Y48" s="153"/>
      <c r="Z48" s="153"/>
      <c r="AA48" s="153"/>
      <c r="AB48" s="153"/>
      <c r="AC48" s="153"/>
    </row>
    <row r="49">
      <c r="A49" s="152" t="s">
        <v>318</v>
      </c>
      <c r="B49" s="133" t="str">
        <f>IFERROR(__xludf.DUMMYFUNCTION("FILTER ('Research Papers'!D:D,'Research Papers'!A:A=C49)"),"Identification of Influential Node Group in Attributed Graph through Explaining Graph Neural Network")</f>
        <v>Identification of Influential Node Group in Attributed Graph through Explaining Graph Neural Network</v>
      </c>
      <c r="C49" s="133" t="s">
        <v>415</v>
      </c>
      <c r="D49" s="153" t="str">
        <f t="shared" si="1"/>
        <v>Identification of Influential Node Group in Attributed Graph through Explaining Graph Neural Network
Xiao Tan, Tongtong Su, Jiayi Wu, Yan Zhang, Binghui Xu,
Dian Shen, Meng Wang and Beilun Wang
</v>
      </c>
      <c r="E49" s="153" t="str">
        <f>IFERROR(__xludf.DUMMYFUNCTION("TEXTJOIN(CHAR(10), TRUE,FILTER('Research Papers'!$C:$C,'Research Papers'!$A:$A=C49))"),"Xiao Tan, Tongtong Su, Jiayi Wu, Yan Zhang, Binghui Xu,
Dian Shen, Meng Wang and Beilun Wang")</f>
        <v>Xiao Tan, Tongtong Su, Jiayi Wu, Yan Zhang, Binghui Xu,
Dian Shen, Meng Wang and Beilun Wang</v>
      </c>
      <c r="F49" s="133" t="s">
        <v>95</v>
      </c>
      <c r="G49" s="153"/>
      <c r="H49" s="153"/>
      <c r="I49" s="120"/>
      <c r="J49" s="120"/>
      <c r="K49" s="153"/>
      <c r="L49" s="153"/>
      <c r="M49" s="153"/>
      <c r="N49" s="153"/>
      <c r="O49" s="153"/>
      <c r="P49" s="153"/>
      <c r="Q49" s="153"/>
      <c r="R49" s="153"/>
      <c r="S49" s="153"/>
      <c r="T49" s="153"/>
      <c r="U49" s="153"/>
      <c r="V49" s="153"/>
      <c r="W49" s="153"/>
      <c r="X49" s="153"/>
      <c r="Y49" s="153"/>
      <c r="Z49" s="153"/>
      <c r="AA49" s="153"/>
      <c r="AB49" s="153"/>
      <c r="AC49" s="153"/>
    </row>
    <row r="50">
      <c r="A50" s="152" t="s">
        <v>318</v>
      </c>
      <c r="B50" s="133" t="str">
        <f>IFERROR(__xludf.DUMMYFUNCTION("FILTER ('Research Papers'!D:D,'Research Papers'!A:A=C50)"),"Can LLMs Fool Graph Learning? Exploring Universal Adversarial Attacks on Text-Attributed Graphs")</f>
        <v>Can LLMs Fool Graph Learning? Exploring Universal Adversarial Attacks on Text-Attributed Graphs</v>
      </c>
      <c r="C50" s="133" t="s">
        <v>416</v>
      </c>
      <c r="D50" s="153" t="str">
        <f t="shared" si="1"/>
        <v>Can LLMs Fool Graph Learning? Exploring Universal Adversarial Attacks on Text-Attributed Graphs
Zihui Chen, Yuling Wang, Pengfei Jiao, Kai Wu, Xiao Wang,
Xiang Ao and Dalin Zhang
</v>
      </c>
      <c r="E50" s="153" t="str">
        <f>IFERROR(__xludf.DUMMYFUNCTION("TEXTJOIN(CHAR(10), TRUE,FILTER('Research Papers'!$C:$C,'Research Papers'!$A:$A=C50))"),"Zihui Chen, Yuling Wang, Pengfei Jiao, Kai Wu, Xiao Wang,
Xiang Ao and Dalin Zhang")</f>
        <v>Zihui Chen, Yuling Wang, Pengfei Jiao, Kai Wu, Xiao Wang,
Xiang Ao and Dalin Zhang</v>
      </c>
      <c r="F50" s="133" t="s">
        <v>95</v>
      </c>
      <c r="G50" s="153"/>
      <c r="H50" s="153"/>
      <c r="I50" s="120"/>
      <c r="J50" s="120"/>
      <c r="K50" s="153"/>
      <c r="L50" s="153"/>
      <c r="M50" s="153"/>
      <c r="N50" s="153"/>
      <c r="O50" s="153"/>
      <c r="P50" s="153"/>
      <c r="Q50" s="153"/>
      <c r="R50" s="153"/>
      <c r="S50" s="153"/>
      <c r="T50" s="153"/>
      <c r="U50" s="153"/>
      <c r="V50" s="153"/>
      <c r="W50" s="153"/>
      <c r="X50" s="153"/>
      <c r="Y50" s="153"/>
      <c r="Z50" s="153"/>
      <c r="AA50" s="153"/>
      <c r="AB50" s="153"/>
      <c r="AC50" s="153"/>
    </row>
    <row r="51">
      <c r="A51" s="152" t="s">
        <v>318</v>
      </c>
      <c r="B51" s="133" t="str">
        <f>IFERROR(__xludf.DUMMYFUNCTION("FILTER ('Research Papers'!D:D,'Research Papers'!A:A=C51)"),"A^2GBD: Attack-Agnostic Graph Backdoor Defense")</f>
        <v>A^2GBD: Attack-Agnostic Graph Backdoor Defense</v>
      </c>
      <c r="C51" s="133" t="s">
        <v>417</v>
      </c>
      <c r="D51" s="153" t="str">
        <f t="shared" si="1"/>
        <v>A^2GBD: Attack-Agnostic Graph Backdoor Defense
Chenxu Du, Yang Liu, Xingtong Yu, Zhuoer Xu, Yang Liu and
Tianrui Li
</v>
      </c>
      <c r="E51" s="153" t="str">
        <f>IFERROR(__xludf.DUMMYFUNCTION("TEXTJOIN(CHAR(10), TRUE,FILTER('Research Papers'!$C:$C,'Research Papers'!$A:$A=C51))"),"Chenxu Du, Yang Liu, Xingtong Yu, Zhuoer Xu, Yang Liu and
Tianrui Li")</f>
        <v>Chenxu Du, Yang Liu, Xingtong Yu, Zhuoer Xu, Yang Liu and
Tianrui Li</v>
      </c>
      <c r="F51" s="133" t="s">
        <v>95</v>
      </c>
      <c r="G51" s="153"/>
      <c r="H51" s="153"/>
      <c r="I51" s="120"/>
      <c r="J51" s="120"/>
      <c r="K51" s="153"/>
      <c r="L51" s="153"/>
      <c r="M51" s="153"/>
      <c r="N51" s="153"/>
      <c r="O51" s="153"/>
      <c r="P51" s="153"/>
      <c r="Q51" s="153"/>
      <c r="R51" s="153"/>
      <c r="S51" s="153"/>
      <c r="T51" s="153"/>
      <c r="U51" s="153"/>
      <c r="V51" s="153"/>
      <c r="W51" s="153"/>
      <c r="X51" s="153"/>
      <c r="Y51" s="153"/>
      <c r="Z51" s="153"/>
      <c r="AA51" s="153"/>
      <c r="AB51" s="153"/>
      <c r="AC51" s="153"/>
    </row>
    <row r="52">
      <c r="A52" s="152" t="s">
        <v>318</v>
      </c>
      <c r="B52" s="133" t="str">
        <f>IFERROR(__xludf.DUMMYFUNCTION("FILTER ('Research Papers'!D:D,'Research Papers'!A:A=C52)"),"Towards Robust Heterogeneous Graph Explanations under Structural Perturbations")</f>
        <v>Towards Robust Heterogeneous Graph Explanations under Structural Perturbations</v>
      </c>
      <c r="C52" s="133" t="s">
        <v>418</v>
      </c>
      <c r="D52" s="153" t="str">
        <f t="shared" si="1"/>
        <v>Towards Robust Heterogeneous Graph Explanations under Structural Perturbations
Yifan Lu, Pengfei Jiao, Xuan Guo, Ziyun Zou, Yiwei Wang,
Mengzhou Gao, Huaming Wu and Imran Razzak
</v>
      </c>
      <c r="E52" s="153" t="str">
        <f>IFERROR(__xludf.DUMMYFUNCTION("TEXTJOIN(CHAR(10), TRUE,FILTER('Research Papers'!$C:$C,'Research Papers'!$A:$A=C52))"),"Yifan Lu, Pengfei Jiao, Xuan Guo, Ziyun Zou, Yiwei Wang,
Mengzhou Gao, Huaming Wu and Imran Razzak")</f>
        <v>Yifan Lu, Pengfei Jiao, Xuan Guo, Ziyun Zou, Yiwei Wang,
Mengzhou Gao, Huaming Wu and Imran Razzak</v>
      </c>
      <c r="F52" s="133" t="s">
        <v>95</v>
      </c>
      <c r="G52" s="153"/>
      <c r="H52" s="153"/>
      <c r="I52" s="120"/>
      <c r="J52" s="120"/>
      <c r="K52" s="153"/>
      <c r="L52" s="153"/>
      <c r="M52" s="153"/>
      <c r="N52" s="153"/>
      <c r="O52" s="153"/>
      <c r="P52" s="153"/>
      <c r="Q52" s="153"/>
      <c r="R52" s="153"/>
      <c r="S52" s="153"/>
      <c r="T52" s="153"/>
      <c r="U52" s="153"/>
      <c r="V52" s="153"/>
      <c r="W52" s="153"/>
      <c r="X52" s="153"/>
      <c r="Y52" s="153"/>
      <c r="Z52" s="153"/>
      <c r="AA52" s="153"/>
      <c r="AB52" s="153"/>
      <c r="AC52" s="153"/>
    </row>
    <row r="53">
      <c r="A53" s="152" t="s">
        <v>318</v>
      </c>
      <c r="B53" s="133" t="str">
        <f>IFERROR(__xludf.DUMMYFUNCTION("FILTER ('Research Papers'!D:D,'Research Papers'!A:A=C53)"),"Heterophily-Agnostic Hypergraph Neural Networks with Riemannian Local Exchanger")</f>
        <v>Heterophily-Agnostic Hypergraph Neural Networks with Riemannian Local Exchanger</v>
      </c>
      <c r="C53" s="133" t="s">
        <v>419</v>
      </c>
      <c r="D53" s="153" t="str">
        <f t="shared" si="1"/>
        <v>Heterophily-Agnostic Hypergraph Neural Networks with Riemannian Local Exchanger
Li Sun, Ming Zhang, Wenxin Jin, Zhongtian Sun, Zhenhao
Huang, Hao Peng, Sen Su and Philip Yu
</v>
      </c>
      <c r="E53" s="153" t="str">
        <f>IFERROR(__xludf.DUMMYFUNCTION("TEXTJOIN(CHAR(10), TRUE,FILTER('Research Papers'!$C:$C,'Research Papers'!$A:$A=C53))"),"Li Sun, Ming Zhang, Wenxin Jin, Zhongtian Sun, Zhenhao
Huang, Hao Peng, Sen Su and Philip Yu")</f>
        <v>Li Sun, Ming Zhang, Wenxin Jin, Zhongtian Sun, Zhenhao
Huang, Hao Peng, Sen Su and Philip Yu</v>
      </c>
      <c r="F53" s="133" t="s">
        <v>127</v>
      </c>
      <c r="G53" s="153"/>
      <c r="H53" s="153"/>
      <c r="I53" s="120"/>
      <c r="J53" s="120"/>
      <c r="K53" s="153"/>
      <c r="L53" s="153"/>
      <c r="M53" s="153"/>
      <c r="N53" s="153"/>
      <c r="O53" s="153"/>
      <c r="P53" s="153"/>
      <c r="Q53" s="153"/>
      <c r="R53" s="153"/>
      <c r="S53" s="153"/>
      <c r="T53" s="153"/>
      <c r="U53" s="153"/>
      <c r="V53" s="153"/>
      <c r="W53" s="153"/>
      <c r="X53" s="153"/>
      <c r="Y53" s="153"/>
      <c r="Z53" s="153"/>
      <c r="AA53" s="153"/>
      <c r="AB53" s="153"/>
      <c r="AC53" s="153"/>
    </row>
    <row r="54">
      <c r="A54" s="152" t="s">
        <v>318</v>
      </c>
      <c r="B54" s="133" t="str">
        <f>IFERROR(__xludf.DUMMYFUNCTION("FILTER ('Research Papers'!D:D,'Research Papers'!A:A=C54)"),"IVQ-GNN: Mitigating Performance Gaps from Graph Connection Pattern Inconsistency via Vector Quantization")</f>
        <v>IVQ-GNN: Mitigating Performance Gaps from Graph Connection Pattern Inconsistency via Vector Quantization</v>
      </c>
      <c r="C54" s="133" t="s">
        <v>420</v>
      </c>
      <c r="D54" s="153" t="str">
        <f t="shared" si="1"/>
        <v>IVQ-GNN: Mitigating Performance Gaps from Graph Connection Pattern Inconsistency via Vector Quantization
Di Jin, Yixuan Du, Cuiying Huo, Xiaotong Huang, Ruqiong
Zhang, Xiaobao Wang and Yawen Li
</v>
      </c>
      <c r="E54" s="153" t="str">
        <f>IFERROR(__xludf.DUMMYFUNCTION("TEXTJOIN(CHAR(10), TRUE,FILTER('Research Papers'!$C:$C,'Research Papers'!$A:$A=C54))"),"Di Jin, Yixuan Du, Cuiying Huo, Xiaotong Huang, Ruqiong
Zhang, Xiaobao Wang and Yawen Li")</f>
        <v>Di Jin, Yixuan Du, Cuiying Huo, Xiaotong Huang, Ruqiong
Zhang, Xiaobao Wang and Yawen Li</v>
      </c>
      <c r="F54" s="133" t="s">
        <v>127</v>
      </c>
      <c r="G54" s="153"/>
      <c r="H54" s="153"/>
      <c r="I54" s="120"/>
      <c r="J54" s="120"/>
      <c r="K54" s="153"/>
      <c r="L54" s="153"/>
      <c r="M54" s="153"/>
      <c r="N54" s="153"/>
      <c r="O54" s="153"/>
      <c r="P54" s="153"/>
      <c r="Q54" s="153"/>
      <c r="R54" s="153"/>
      <c r="S54" s="153"/>
      <c r="T54" s="153"/>
      <c r="U54" s="153"/>
      <c r="V54" s="153"/>
      <c r="W54" s="153"/>
      <c r="X54" s="153"/>
      <c r="Y54" s="153"/>
      <c r="Z54" s="153"/>
      <c r="AA54" s="153"/>
      <c r="AB54" s="153"/>
      <c r="AC54" s="153"/>
    </row>
    <row r="55">
      <c r="A55" s="152" t="s">
        <v>318</v>
      </c>
      <c r="B55" s="133" t="str">
        <f>IFERROR(__xludf.DUMMYFUNCTION("FILTER ('Research Papers'!D:D,'Research Papers'!A:A=C55)"),"Frequency-Corrupt Based Graph Self-Supervised Learning")</f>
        <v>Frequency-Corrupt Based Graph Self-Supervised Learning</v>
      </c>
      <c r="C55" s="133" t="s">
        <v>421</v>
      </c>
      <c r="D55" s="153" t="str">
        <f t="shared" si="1"/>
        <v>Frequency-Corrupt Based Graph Self-Supervised Learning
Haojie Li, Mengjiao Zhang, Guanfeng Liu, Qiang Hu, Yan Wang
and Junwei Du
</v>
      </c>
      <c r="E55" s="153" t="str">
        <f>IFERROR(__xludf.DUMMYFUNCTION("TEXTJOIN(CHAR(10), TRUE,FILTER('Research Papers'!$C:$C,'Research Papers'!$A:$A=C55))"),"Haojie Li, Mengjiao Zhang, Guanfeng Liu, Qiang Hu, Yan Wang
and Junwei Du")</f>
        <v>Haojie Li, Mengjiao Zhang, Guanfeng Liu, Qiang Hu, Yan Wang
and Junwei Du</v>
      </c>
      <c r="F55" s="133" t="s">
        <v>127</v>
      </c>
      <c r="G55" s="153"/>
      <c r="H55" s="153"/>
      <c r="I55" s="120"/>
      <c r="J55" s="120"/>
      <c r="K55" s="153"/>
      <c r="L55" s="153"/>
      <c r="M55" s="153"/>
      <c r="N55" s="153"/>
      <c r="O55" s="153"/>
      <c r="P55" s="153"/>
      <c r="Q55" s="153"/>
      <c r="R55" s="153"/>
      <c r="S55" s="153"/>
      <c r="T55" s="153"/>
      <c r="U55" s="153"/>
      <c r="V55" s="153"/>
      <c r="W55" s="153"/>
      <c r="X55" s="153"/>
      <c r="Y55" s="153"/>
      <c r="Z55" s="153"/>
      <c r="AA55" s="153"/>
      <c r="AB55" s="153"/>
      <c r="AC55" s="153"/>
    </row>
    <row r="56">
      <c r="A56" s="152" t="s">
        <v>318</v>
      </c>
      <c r="B56" s="133" t="str">
        <f>IFERROR(__xludf.DUMMYFUNCTION("FILTER ('Research Papers'!D:D,'Research Papers'!A:A=C56)"),"Discrete Diffusion-Based Model-Level Explanation of Heterogeneous GNNs with Node Features")</f>
        <v>Discrete Diffusion-Based Model-Level Explanation of Heterogeneous GNNs with Node Features</v>
      </c>
      <c r="C56" s="133" t="s">
        <v>422</v>
      </c>
      <c r="D56" s="153" t="str">
        <f t="shared" si="1"/>
        <v>Discrete Diffusion-Based Model-Level Explanation of Heterogeneous GNNs with Node Features
Pallabee Das and Stefan Heindorf
</v>
      </c>
      <c r="E56" s="153" t="str">
        <f>IFERROR(__xludf.DUMMYFUNCTION("TEXTJOIN(CHAR(10), TRUE,FILTER('Research Papers'!$C:$C,'Research Papers'!$A:$A=C56))"),"Pallabee Das and Stefan Heindorf")</f>
        <v>Pallabee Das and Stefan Heindorf</v>
      </c>
      <c r="F56" s="133" t="s">
        <v>127</v>
      </c>
      <c r="G56" s="153"/>
      <c r="H56" s="153"/>
      <c r="I56" s="120"/>
      <c r="J56" s="120"/>
      <c r="K56" s="153"/>
      <c r="L56" s="153"/>
      <c r="M56" s="153"/>
      <c r="N56" s="153"/>
      <c r="O56" s="153"/>
      <c r="P56" s="153"/>
      <c r="Q56" s="153"/>
      <c r="R56" s="153"/>
      <c r="S56" s="153"/>
      <c r="T56" s="153"/>
      <c r="U56" s="153"/>
      <c r="V56" s="153"/>
      <c r="W56" s="153"/>
      <c r="X56" s="153"/>
      <c r="Y56" s="153"/>
      <c r="Z56" s="153"/>
      <c r="AA56" s="153"/>
      <c r="AB56" s="153"/>
      <c r="AC56" s="153"/>
    </row>
    <row r="57">
      <c r="A57" s="152" t="s">
        <v>318</v>
      </c>
      <c r="B57" s="133" t="str">
        <f>IFERROR(__xludf.DUMMYFUNCTION("FILTER ('Research Papers'!D:D,'Research Papers'!A:A=C57)"),"SliceGX: Layer-wise GNN Explanation with Model-slicing")</f>
        <v>SliceGX: Layer-wise GNN Explanation with Model-slicing</v>
      </c>
      <c r="C57" s="133" t="s">
        <v>423</v>
      </c>
      <c r="D57" s="153" t="str">
        <f t="shared" si="1"/>
        <v>SliceGX: Layer-wise GNN Explanation with Model-slicing
Cibo Yu, Tingting Zhu, Tingyang Chen, Yinghui Wu, Arijit
Khan and Xiangyu Ke
</v>
      </c>
      <c r="E57" s="153" t="str">
        <f>IFERROR(__xludf.DUMMYFUNCTION("TEXTJOIN(CHAR(10), TRUE,FILTER('Research Papers'!$C:$C,'Research Papers'!$A:$A=C57))"),"Cibo Yu, Tingting Zhu, Tingyang Chen, Yinghui Wu, Arijit
Khan and Xiangyu Ke")</f>
        <v>Cibo Yu, Tingting Zhu, Tingyang Chen, Yinghui Wu, Arijit
Khan and Xiangyu Ke</v>
      </c>
      <c r="F57" s="133" t="s">
        <v>127</v>
      </c>
      <c r="G57" s="153"/>
      <c r="H57" s="153"/>
      <c r="I57" s="120"/>
      <c r="J57" s="120"/>
      <c r="K57" s="153"/>
      <c r="L57" s="153"/>
      <c r="M57" s="153"/>
      <c r="N57" s="153"/>
      <c r="O57" s="153"/>
      <c r="P57" s="153"/>
      <c r="Q57" s="153"/>
      <c r="R57" s="153"/>
      <c r="S57" s="153"/>
      <c r="T57" s="153"/>
      <c r="U57" s="153"/>
      <c r="V57" s="153"/>
      <c r="W57" s="153"/>
      <c r="X57" s="153"/>
      <c r="Y57" s="153"/>
      <c r="Z57" s="153"/>
      <c r="AA57" s="153"/>
      <c r="AB57" s="153"/>
      <c r="AC57" s="153"/>
    </row>
    <row r="58">
      <c r="A58" s="152" t="s">
        <v>424</v>
      </c>
      <c r="B58" s="133" t="str">
        <f>IFERROR(__xludf.DUMMYFUNCTION("FILTER ('Research Papers'!D:D,'Research Papers'!A:A=C58)"),"Graph Cross-Domain Continual Fine-Tuning via Orthogonal LoRA Routing with Contrastive Expert Specialization")</f>
        <v>Graph Cross-Domain Continual Fine-Tuning via Orthogonal LoRA Routing with Contrastive Expert Specialization</v>
      </c>
      <c r="C58" s="133" t="s">
        <v>425</v>
      </c>
      <c r="D58" s="153" t="str">
        <f t="shared" si="1"/>
        <v>Graph Cross-Domain Continual Fine-Tuning via Orthogonal LoRA Routing with Contrastive Expert Specialization
Qianyi Cai, Ziyue Qiao, Minghao Yang, Xiao Luo and Hui Xiong
</v>
      </c>
      <c r="E58" s="153" t="str">
        <f>IFERROR(__xludf.DUMMYFUNCTION("TEXTJOIN(CHAR(10), TRUE,FILTER('Research Papers'!$C:$C,'Research Papers'!$A:$A=C58))"),"Qianyi Cai, Ziyue Qiao, Minghao Yang, Xiao Luo and Hui Xiong")</f>
        <v>Qianyi Cai, Ziyue Qiao, Minghao Yang, Xiao Luo and Hui Xiong</v>
      </c>
      <c r="F58" s="133" t="s">
        <v>147</v>
      </c>
      <c r="G58" s="153"/>
      <c r="H58" s="153"/>
      <c r="I58" s="120"/>
      <c r="J58" s="120"/>
      <c r="K58" s="153"/>
      <c r="L58" s="153"/>
      <c r="M58" s="153"/>
      <c r="N58" s="153"/>
      <c r="O58" s="153"/>
      <c r="P58" s="153"/>
      <c r="Q58" s="153"/>
      <c r="R58" s="153"/>
      <c r="S58" s="153"/>
      <c r="T58" s="153"/>
      <c r="U58" s="153"/>
      <c r="V58" s="153"/>
      <c r="W58" s="153"/>
      <c r="X58" s="153"/>
      <c r="Y58" s="153"/>
      <c r="Z58" s="153"/>
      <c r="AA58" s="153"/>
      <c r="AB58" s="153"/>
      <c r="AC58" s="153"/>
    </row>
    <row r="59">
      <c r="A59" s="152" t="s">
        <v>318</v>
      </c>
      <c r="B59" s="133" t="str">
        <f>IFERROR(__xludf.DUMMYFUNCTION("FILTER ('Research Papers'!D:D,'Research Papers'!A:A=C59)"),"Multi-view Hierarchical Graph Contrastive Learning based on Asynchronous Asymmetric Structure")</f>
        <v>Multi-view Hierarchical Graph Contrastive Learning based on Asynchronous Asymmetric Structure</v>
      </c>
      <c r="C59" s="133" t="s">
        <v>426</v>
      </c>
      <c r="D59" s="153" t="str">
        <f t="shared" si="1"/>
        <v>Multi-view Hierarchical Graph Contrastive Learning based on Asynchronous Asymmetric Structure
Chuangui Cao, Shifei Ding, Jian Zhang, Lili Guo and Xuan Li
</v>
      </c>
      <c r="E59" s="153" t="str">
        <f>IFERROR(__xludf.DUMMYFUNCTION("TEXTJOIN(CHAR(10), TRUE,FILTER('Research Papers'!$C:$C,'Research Papers'!$A:$A=C59))"),"Chuangui Cao, Shifei Ding, Jian Zhang, Lili Guo and Xuan Li")</f>
        <v>Chuangui Cao, Shifei Ding, Jian Zhang, Lili Guo and Xuan Li</v>
      </c>
      <c r="F59" s="133" t="s">
        <v>147</v>
      </c>
      <c r="G59" s="153"/>
      <c r="H59" s="153"/>
      <c r="I59" s="120"/>
      <c r="J59" s="120"/>
      <c r="K59" s="153"/>
      <c r="L59" s="153"/>
      <c r="M59" s="153"/>
      <c r="N59" s="153"/>
      <c r="O59" s="153"/>
      <c r="P59" s="153"/>
      <c r="Q59" s="153"/>
      <c r="R59" s="153"/>
      <c r="S59" s="153"/>
      <c r="T59" s="153"/>
      <c r="U59" s="153"/>
      <c r="V59" s="153"/>
      <c r="W59" s="153"/>
      <c r="X59" s="153"/>
      <c r="Y59" s="153"/>
      <c r="Z59" s="153"/>
      <c r="AA59" s="153"/>
      <c r="AB59" s="153"/>
      <c r="AC59" s="153"/>
    </row>
    <row r="60">
      <c r="A60" s="152" t="s">
        <v>318</v>
      </c>
      <c r="B60" s="133" t="str">
        <f>IFERROR(__xludf.DUMMYFUNCTION("FILTER ('Research Papers'!D:D,'Research Papers'!A:A=C60)"),"SPGCL: Subgraph Pattern-Aware Graph Contrastive Learning for High-Order Structural Representation")</f>
        <v>SPGCL: Subgraph Pattern-Aware Graph Contrastive Learning for High-Order Structural Representation</v>
      </c>
      <c r="C60" s="133" t="s">
        <v>427</v>
      </c>
      <c r="D60" s="153" t="str">
        <f t="shared" si="1"/>
        <v>SPGCL: Subgraph Pattern-Aware Graph Contrastive Learning for High-Order Structural Representation
Zhe Zhan, Xiangshi Li, Tingting Wang, Shuo Yu and Henan Lei
</v>
      </c>
      <c r="E60" s="153" t="str">
        <f>IFERROR(__xludf.DUMMYFUNCTION("TEXTJOIN(CHAR(10), TRUE,FILTER('Research Papers'!$C:$C,'Research Papers'!$A:$A=C60))"),"Zhe Zhan, Xiangshi Li, Tingting Wang, Shuo Yu and Henan Lei")</f>
        <v>Zhe Zhan, Xiangshi Li, Tingting Wang, Shuo Yu and Henan Lei</v>
      </c>
      <c r="F60" s="133" t="s">
        <v>147</v>
      </c>
      <c r="G60" s="153"/>
      <c r="H60" s="153"/>
      <c r="I60" s="120"/>
      <c r="J60" s="120"/>
      <c r="K60" s="153"/>
      <c r="L60" s="153"/>
      <c r="M60" s="153"/>
      <c r="N60" s="153"/>
      <c r="O60" s="153"/>
      <c r="P60" s="153"/>
      <c r="Q60" s="153"/>
      <c r="R60" s="153"/>
      <c r="S60" s="153"/>
      <c r="T60" s="153"/>
      <c r="U60" s="153"/>
      <c r="V60" s="153"/>
      <c r="W60" s="153"/>
      <c r="X60" s="153"/>
      <c r="Y60" s="153"/>
      <c r="Z60" s="153"/>
      <c r="AA60" s="153"/>
      <c r="AB60" s="153"/>
      <c r="AC60" s="153"/>
    </row>
    <row r="61">
      <c r="A61" s="152" t="s">
        <v>318</v>
      </c>
      <c r="B61" s="133" t="str">
        <f>IFERROR(__xludf.DUMMYFUNCTION("FILTER ('Research Papers'!D:D,'Research Papers'!A:A=C61)"),"Unifying Graph Out-of-Distribution Generalization and Detection through Spectral Contrastive Invariant learning")</f>
        <v>Unifying Graph Out-of-Distribution Generalization and Detection through Spectral Contrastive Invariant learning</v>
      </c>
      <c r="C61" s="133" t="s">
        <v>428</v>
      </c>
      <c r="D61" s="153" t="str">
        <f t="shared" si="1"/>
        <v>Unifying Graph Out-of-Distribution Generalization and Detection through Spectral Contrastive Invariant learning
Tianyin Liao, Ge Lan, Rui Chen, Ran Zhang, Zhiming Chen,
Xiao Wang and Ziwei Zhang
</v>
      </c>
      <c r="E61" s="153" t="str">
        <f>IFERROR(__xludf.DUMMYFUNCTION("TEXTJOIN(CHAR(10), TRUE,FILTER('Research Papers'!$C:$C,'Research Papers'!$A:$A=C61))"),"Tianyin Liao, Ge Lan, Rui Chen, Ran Zhang, Zhiming Chen,
Xiao Wang and Ziwei Zhang")</f>
        <v>Tianyin Liao, Ge Lan, Rui Chen, Ran Zhang, Zhiming Chen,
Xiao Wang and Ziwei Zhang</v>
      </c>
      <c r="F61" s="133" t="s">
        <v>147</v>
      </c>
      <c r="G61" s="153"/>
      <c r="H61" s="153"/>
      <c r="I61" s="120"/>
      <c r="J61" s="120"/>
      <c r="K61" s="153"/>
      <c r="L61" s="153"/>
      <c r="M61" s="153"/>
      <c r="N61" s="153"/>
      <c r="O61" s="153"/>
      <c r="P61" s="153"/>
      <c r="Q61" s="153"/>
      <c r="R61" s="153"/>
      <c r="S61" s="153"/>
      <c r="T61" s="153"/>
      <c r="U61" s="153"/>
      <c r="V61" s="153"/>
      <c r="W61" s="153"/>
      <c r="X61" s="153"/>
      <c r="Y61" s="153"/>
      <c r="Z61" s="153"/>
      <c r="AA61" s="153"/>
      <c r="AB61" s="153"/>
      <c r="AC61" s="153"/>
    </row>
    <row r="62">
      <c r="A62" s="152" t="s">
        <v>318</v>
      </c>
      <c r="B62" s="133" t="str">
        <f>IFERROR(__xludf.DUMMYFUNCTION("FILTER ('Research Papers'!D:D,'Research Papers'!A:A=C62)"),"CLGNN: A Contrastive Learning-based GNN for Temporal Betweenness Prediction under Extreme Value Imbalance")</f>
        <v>CLGNN: A Contrastive Learning-based GNN for Temporal Betweenness Prediction under Extreme Value Imbalance</v>
      </c>
      <c r="C62" s="133" t="s">
        <v>429</v>
      </c>
      <c r="D62" s="153" t="str">
        <f t="shared" si="1"/>
        <v>CLGNN: A Contrastive Learning-based GNN for Temporal Betweenness Prediction under Extreme Value Imbalance
Tianming Zhang, Renbo Zhang, Zhengyi Yang, Yunjun Gao, Bin
Cao and Jing Fan
</v>
      </c>
      <c r="E62" s="153" t="str">
        <f>IFERROR(__xludf.DUMMYFUNCTION("TEXTJOIN(CHAR(10), TRUE,FILTER('Research Papers'!$C:$C,'Research Papers'!$A:$A=C62))"),"Tianming Zhang, Renbo Zhang, Zhengyi Yang, Yunjun Gao, Bin
Cao and Jing Fan")</f>
        <v>Tianming Zhang, Renbo Zhang, Zhengyi Yang, Yunjun Gao, Bin
Cao and Jing Fan</v>
      </c>
      <c r="F62" s="133" t="s">
        <v>147</v>
      </c>
      <c r="G62" s="153"/>
      <c r="H62" s="153"/>
      <c r="I62" s="120"/>
      <c r="J62" s="120"/>
      <c r="K62" s="153"/>
      <c r="L62" s="153"/>
      <c r="M62" s="153"/>
      <c r="N62" s="153"/>
      <c r="O62" s="153"/>
      <c r="P62" s="153"/>
      <c r="Q62" s="153"/>
      <c r="R62" s="153"/>
      <c r="S62" s="153"/>
      <c r="T62" s="153"/>
      <c r="U62" s="153"/>
      <c r="V62" s="153"/>
      <c r="W62" s="153"/>
      <c r="X62" s="153"/>
      <c r="Y62" s="153"/>
      <c r="Z62" s="153"/>
      <c r="AA62" s="153"/>
      <c r="AB62" s="153"/>
      <c r="AC62" s="153"/>
    </row>
    <row r="63">
      <c r="A63" s="152" t="s">
        <v>318</v>
      </c>
      <c r="B63" s="133" t="str">
        <f>IFERROR(__xludf.DUMMYFUNCTION("FILTER ('Research Papers'!D:D,'Research Papers'!A:A=C63)"),"Hierarchical Graph-Bag-Network for Self-Supervised Multi-Graph Learning")</f>
        <v>Hierarchical Graph-Bag-Network for Self-Supervised Multi-Graph Learning</v>
      </c>
      <c r="C63" s="133" t="s">
        <v>430</v>
      </c>
      <c r="D63" s="153" t="str">
        <f t="shared" si="1"/>
        <v>Hierarchical Graph-Bag-Network for Self-Supervised Multi-Graph Learning
Meixia Wang, Yuhai Zhao, Zhengkui Wang, Fenglong Ma,
Yejiang Wang, Miaomiao Huang, Fazal Wahab, Wen Shan and
Xingwei Wang
</v>
      </c>
      <c r="E63" s="153" t="str">
        <f>IFERROR(__xludf.DUMMYFUNCTION("TEXTJOIN(CHAR(10), TRUE,FILTER('Research Papers'!$C:$C,'Research Papers'!$A:$A=C63))"),"Meixia Wang, Yuhai Zhao, Zhengkui Wang, Fenglong Ma,
Yejiang Wang, Miaomiao Huang, Fazal Wahab, Wen Shan and
Xingwei Wang")</f>
        <v>Meixia Wang, Yuhai Zhao, Zhengkui Wang, Fenglong Ma,
Yejiang Wang, Miaomiao Huang, Fazal Wahab, Wen Shan and
Xingwei Wang</v>
      </c>
      <c r="F63" s="133" t="s">
        <v>165</v>
      </c>
      <c r="G63" s="153"/>
      <c r="H63" s="153"/>
      <c r="I63" s="120"/>
      <c r="J63" s="120"/>
      <c r="K63" s="153"/>
      <c r="L63" s="153"/>
      <c r="M63" s="153"/>
      <c r="N63" s="153"/>
      <c r="O63" s="153"/>
      <c r="P63" s="153"/>
      <c r="Q63" s="153"/>
      <c r="R63" s="153"/>
      <c r="S63" s="153"/>
      <c r="T63" s="153"/>
      <c r="U63" s="153"/>
      <c r="V63" s="153"/>
      <c r="W63" s="153"/>
      <c r="X63" s="153"/>
      <c r="Y63" s="153"/>
      <c r="Z63" s="153"/>
      <c r="AA63" s="153"/>
      <c r="AB63" s="153"/>
      <c r="AC63" s="153"/>
    </row>
    <row r="64">
      <c r="A64" s="152" t="s">
        <v>318</v>
      </c>
      <c r="B64" s="133" t="str">
        <f>IFERROR(__xludf.DUMMYFUNCTION("FILTER ('Research Papers'!D:D,'Research Papers'!A:A=C64)"),"From Representation to Clusters: A Contrastive Learning Approach for Attributed Hypergraph Clustering")</f>
        <v>From Representation to Clusters: A Contrastive Learning Approach for Attributed Hypergraph Clustering</v>
      </c>
      <c r="C64" s="133" t="s">
        <v>431</v>
      </c>
      <c r="D64" s="153" t="str">
        <f t="shared" si="1"/>
        <v>From Representation to Clusters: A Contrastive Learning Approach for Attributed Hypergraph Clustering
Li Ni, Shuaikang Zeng, Lin Mu and Longlong Lin
</v>
      </c>
      <c r="E64" s="153" t="str">
        <f>IFERROR(__xludf.DUMMYFUNCTION("TEXTJOIN(CHAR(10), TRUE,FILTER('Research Papers'!$C:$C,'Research Papers'!$A:$A=C64))"),"Li Ni, Shuaikang Zeng, Lin Mu and Longlong Lin")</f>
        <v>Li Ni, Shuaikang Zeng, Lin Mu and Longlong Lin</v>
      </c>
      <c r="F64" s="133" t="s">
        <v>165</v>
      </c>
      <c r="G64" s="153"/>
      <c r="H64" s="153"/>
      <c r="I64" s="120"/>
      <c r="J64" s="120"/>
      <c r="K64" s="153"/>
      <c r="L64" s="153"/>
      <c r="M64" s="153"/>
      <c r="N64" s="153"/>
      <c r="O64" s="153"/>
      <c r="P64" s="153"/>
      <c r="Q64" s="153"/>
      <c r="R64" s="153"/>
      <c r="S64" s="153"/>
      <c r="T64" s="153"/>
      <c r="U64" s="153"/>
      <c r="V64" s="153"/>
      <c r="W64" s="153"/>
      <c r="X64" s="153"/>
      <c r="Y64" s="153"/>
      <c r="Z64" s="153"/>
      <c r="AA64" s="153"/>
      <c r="AB64" s="153"/>
      <c r="AC64" s="153"/>
    </row>
    <row r="65">
      <c r="A65" s="152" t="s">
        <v>318</v>
      </c>
      <c r="B65" s="133" t="str">
        <f>IFERROR(__xludf.DUMMYFUNCTION("FILTER ('Research Papers'!D:D,'Research Papers'!A:A=C65)"),"AC$^2$L-GAD: Active Counterfactual Contrastive Learning for Graph Anomaly Detection")</f>
        <v>AC$^2$L-GAD: Active Counterfactual Contrastive Learning for Graph Anomaly Detection</v>
      </c>
      <c r="C65" s="133" t="s">
        <v>432</v>
      </c>
      <c r="D65" s="153" t="str">
        <f t="shared" si="1"/>
        <v>AC$^2$L-GAD: Active Counterfactual Contrastive Learning for Graph Anomaly Detection
Kamal Berahmand, Saman Forouzandeh, Mehrnoush Mohammadi,
Parham Moradi and Mahdi Jalili
</v>
      </c>
      <c r="E65" s="153" t="str">
        <f>IFERROR(__xludf.DUMMYFUNCTION("TEXTJOIN(CHAR(10), TRUE,FILTER('Research Papers'!$C:$C,'Research Papers'!$A:$A=C65))"),"Kamal Berahmand, Saman Forouzandeh, Mehrnoush Mohammadi,
Parham Moradi and Mahdi Jalili")</f>
        <v>Kamal Berahmand, Saman Forouzandeh, Mehrnoush Mohammadi,
Parham Moradi and Mahdi Jalili</v>
      </c>
      <c r="F65" s="133" t="s">
        <v>165</v>
      </c>
      <c r="G65" s="153"/>
      <c r="H65" s="153"/>
      <c r="I65" s="120"/>
      <c r="J65" s="120"/>
      <c r="K65" s="153"/>
      <c r="L65" s="153"/>
      <c r="M65" s="153"/>
      <c r="N65" s="153"/>
      <c r="O65" s="153"/>
      <c r="P65" s="153"/>
      <c r="Q65" s="153"/>
      <c r="R65" s="153"/>
      <c r="S65" s="153"/>
      <c r="T65" s="153"/>
      <c r="U65" s="153"/>
      <c r="V65" s="153"/>
      <c r="W65" s="153"/>
      <c r="X65" s="153"/>
      <c r="Y65" s="153"/>
      <c r="Z65" s="153"/>
      <c r="AA65" s="153"/>
      <c r="AB65" s="153"/>
      <c r="AC65" s="153"/>
    </row>
    <row r="66">
      <c r="A66" s="152" t="s">
        <v>318</v>
      </c>
      <c r="B66" s="133" t="str">
        <f>IFERROR(__xludf.DUMMYFUNCTION("FILTER ('Research Papers'!D:D,'Research Papers'!A:A=C66)"),"A Dual-Channel Contrastive Learning Framework for Anomaly Detection in Dynamic Graph Structures")</f>
        <v>A Dual-Channel Contrastive Learning Framework for Anomaly Detection in Dynamic Graph Structures</v>
      </c>
      <c r="C66" s="133" t="s">
        <v>433</v>
      </c>
      <c r="D66" s="153" t="str">
        <f t="shared" si="1"/>
        <v>A Dual-Channel Contrastive Learning Framework for Anomaly Detection in Dynamic Graph Structures
Runshuo Liu, Chao Li, Zhongying Zhao, Hui Zhou and Qingtian
Zeng
</v>
      </c>
      <c r="E66" s="153" t="str">
        <f>IFERROR(__xludf.DUMMYFUNCTION("TEXTJOIN(CHAR(10), TRUE,FILTER('Research Papers'!$C:$C,'Research Papers'!$A:$A=C66))"),"Runshuo Liu, Chao Li, Zhongying Zhao, Hui Zhou and Qingtian
Zeng")</f>
        <v>Runshuo Liu, Chao Li, Zhongying Zhao, Hui Zhou and Qingtian
Zeng</v>
      </c>
      <c r="F66" s="133" t="s">
        <v>165</v>
      </c>
      <c r="G66" s="153"/>
      <c r="H66" s="153"/>
      <c r="I66" s="120"/>
      <c r="J66" s="120"/>
      <c r="K66" s="153"/>
      <c r="L66" s="153"/>
      <c r="M66" s="153"/>
      <c r="N66" s="153"/>
      <c r="O66" s="153"/>
      <c r="P66" s="153"/>
      <c r="Q66" s="153"/>
      <c r="R66" s="153"/>
      <c r="S66" s="153"/>
      <c r="T66" s="153"/>
      <c r="U66" s="153"/>
      <c r="V66" s="153"/>
      <c r="W66" s="153"/>
      <c r="X66" s="153"/>
      <c r="Y66" s="153"/>
      <c r="Z66" s="153"/>
      <c r="AA66" s="153"/>
      <c r="AB66" s="153"/>
      <c r="AC66" s="153"/>
    </row>
    <row r="67">
      <c r="A67" s="152" t="s">
        <v>318</v>
      </c>
      <c r="B67" s="133" t="str">
        <f>IFERROR(__xludf.DUMMYFUNCTION("FILTER ('Research Papers'!D:D,'Research Papers'!A:A=C67)"),"Structure-Semantic Synergized Deep Contrastive Graph Clustering")</f>
        <v>Structure-Semantic Synergized Deep Contrastive Graph Clustering</v>
      </c>
      <c r="C67" s="133" t="s">
        <v>434</v>
      </c>
      <c r="D67" s="153" t="str">
        <f t="shared" si="1"/>
        <v>Structure-Semantic Synergized Deep Contrastive Graph Clustering
Shifei Ding, Zhe Li, Xiao Xu and Chao Li
</v>
      </c>
      <c r="E67" s="153" t="str">
        <f>IFERROR(__xludf.DUMMYFUNCTION("TEXTJOIN(CHAR(10), TRUE,FILTER('Research Papers'!$C:$C,'Research Papers'!$A:$A=C67))"),"Shifei Ding, Zhe Li, Xiao Xu and Chao Li")</f>
        <v>Shifei Ding, Zhe Li, Xiao Xu and Chao Li</v>
      </c>
      <c r="F67" s="133" t="s">
        <v>165</v>
      </c>
      <c r="G67" s="153"/>
      <c r="H67" s="153"/>
      <c r="I67" s="120"/>
      <c r="J67" s="120"/>
      <c r="K67" s="153"/>
      <c r="L67" s="153"/>
      <c r="M67" s="153"/>
      <c r="N67" s="153"/>
      <c r="O67" s="153"/>
      <c r="P67" s="153"/>
      <c r="Q67" s="153"/>
      <c r="R67" s="153"/>
      <c r="S67" s="153"/>
      <c r="T67" s="153"/>
      <c r="U67" s="153"/>
      <c r="V67" s="153"/>
      <c r="W67" s="153"/>
      <c r="X67" s="153"/>
      <c r="Y67" s="153"/>
      <c r="Z67" s="153"/>
      <c r="AA67" s="153"/>
      <c r="AB67" s="153"/>
      <c r="AC67" s="153"/>
    </row>
    <row r="68">
      <c r="A68" s="152" t="s">
        <v>318</v>
      </c>
      <c r="B68" s="133" t="str">
        <f>IFERROR(__xludf.DUMMYFUNCTION("FILTER ('Research Papers'!D:D,'Research Papers'!A:A=C68)"),"Multi-Source Unsupervised Graph Domain Adaptation via Concise Propagation–Transformation Pipeline")</f>
        <v>Multi-Source Unsupervised Graph Domain Adaptation via Concise Propagation–Transformation Pipeline</v>
      </c>
      <c r="C68" s="133" t="s">
        <v>435</v>
      </c>
      <c r="D68" s="153" t="str">
        <f t="shared" si="1"/>
        <v>Multi-Source Unsupervised Graph Domain Adaptation via Concise Propagation–Transformation Pipeline
Jiayi Wang, Yi Li, Xin Zheng, Junyang Chen, Yanqing Guo,
Alan Wee-Chung Liew and Shirui Pan
</v>
      </c>
      <c r="E68" s="153" t="str">
        <f>IFERROR(__xludf.DUMMYFUNCTION("TEXTJOIN(CHAR(10), TRUE,FILTER('Research Papers'!$C:$C,'Research Papers'!$A:$A=C68))"),"Jiayi Wang, Yi Li, Xin Zheng, Junyang Chen, Yanqing Guo,
Alan Wee-Chung Liew and Shirui Pan")</f>
        <v>Jiayi Wang, Yi Li, Xin Zheng, Junyang Chen, Yanqing Guo,
Alan Wee-Chung Liew and Shirui Pan</v>
      </c>
      <c r="F68" s="133" t="s">
        <v>192</v>
      </c>
      <c r="G68" s="153"/>
      <c r="H68" s="153"/>
      <c r="I68" s="120"/>
      <c r="J68" s="120"/>
      <c r="K68" s="153"/>
      <c r="L68" s="153"/>
      <c r="M68" s="153"/>
      <c r="N68" s="153"/>
      <c r="O68" s="153"/>
      <c r="P68" s="153"/>
      <c r="Q68" s="153"/>
      <c r="R68" s="153"/>
      <c r="S68" s="153"/>
      <c r="T68" s="153"/>
      <c r="U68" s="153"/>
      <c r="V68" s="153"/>
      <c r="W68" s="153"/>
      <c r="X68" s="153"/>
      <c r="Y68" s="153"/>
      <c r="Z68" s="153"/>
      <c r="AA68" s="153"/>
      <c r="AB68" s="153"/>
      <c r="AC68" s="153"/>
    </row>
    <row r="69">
      <c r="A69" s="152" t="s">
        <v>318</v>
      </c>
      <c r="B69" s="133" t="str">
        <f>IFERROR(__xludf.DUMMYFUNCTION("FILTER ('Research Papers'!D:D,'Research Papers'!A:A=C69)"),"Graph Neural Network Model Transferability Estimation via Decomposition-Augmented Discriminant Analysis")</f>
        <v>Graph Neural Network Model Transferability Estimation via Decomposition-Augmented Discriminant Analysis</v>
      </c>
      <c r="C69" s="133" t="s">
        <v>436</v>
      </c>
      <c r="D69" s="153" t="str">
        <f t="shared" si="1"/>
        <v>Graph Neural Network Model Transferability Estimation via Decomposition-Augmented Discriminant Analysis
Huanchang Ma, Xin Zheng, Jianyu Li, Alan Wee-Chung Liew,
Wei Lan and Jian Gao
</v>
      </c>
      <c r="E69" s="153" t="str">
        <f>IFERROR(__xludf.DUMMYFUNCTION("TEXTJOIN(CHAR(10), TRUE,FILTER('Research Papers'!$C:$C,'Research Papers'!$A:$A=C69))"),"Huanchang Ma, Xin Zheng, Jianyu Li, Alan Wee-Chung Liew,
Wei Lan and Jian Gao")</f>
        <v>Huanchang Ma, Xin Zheng, Jianyu Li, Alan Wee-Chung Liew,
Wei Lan and Jian Gao</v>
      </c>
      <c r="F69" s="133" t="s">
        <v>192</v>
      </c>
      <c r="G69" s="153"/>
      <c r="H69" s="153"/>
      <c r="I69" s="120"/>
      <c r="J69" s="120"/>
      <c r="K69" s="153"/>
      <c r="L69" s="153"/>
      <c r="M69" s="153"/>
      <c r="N69" s="153"/>
      <c r="O69" s="153"/>
      <c r="P69" s="153"/>
      <c r="Q69" s="153"/>
      <c r="R69" s="153"/>
      <c r="S69" s="153"/>
      <c r="T69" s="153"/>
      <c r="U69" s="153"/>
      <c r="V69" s="153"/>
      <c r="W69" s="153"/>
      <c r="X69" s="153"/>
      <c r="Y69" s="153"/>
      <c r="Z69" s="153"/>
      <c r="AA69" s="153"/>
      <c r="AB69" s="153"/>
      <c r="AC69" s="153"/>
    </row>
    <row r="70">
      <c r="A70" s="152" t="s">
        <v>318</v>
      </c>
      <c r="B70" s="133" t="str">
        <f>IFERROR(__xludf.DUMMYFUNCTION("FILTER ('Research Papers'!D:D,'Research Papers'!A:A=C70)"),"PIGCN: Physics-Inspired Graph Convolution Networks for Heterogeneous Social Event Detection")</f>
        <v>PIGCN: Physics-Inspired Graph Convolution Networks for Heterogeneous Social Event Detection</v>
      </c>
      <c r="C70" s="133" t="s">
        <v>437</v>
      </c>
      <c r="D70" s="153" t="str">
        <f t="shared" si="1"/>
        <v>PIGCN: Physics-Inspired Graph Convolution Networks for Heterogeneous Social Event Detection
Yongsheng Yu, Congbo Ma, Zitai Qiu, Shan Xue, Jian Yang and
Jia Wu
</v>
      </c>
      <c r="E70" s="153" t="str">
        <f>IFERROR(__xludf.DUMMYFUNCTION("TEXTJOIN(CHAR(10), TRUE,FILTER('Research Papers'!$C:$C,'Research Papers'!$A:$A=C70))"),"Yongsheng Yu, Congbo Ma, Zitai Qiu, Shan Xue, Jian Yang and
Jia Wu")</f>
        <v>Yongsheng Yu, Congbo Ma, Zitai Qiu, Shan Xue, Jian Yang and
Jia Wu</v>
      </c>
      <c r="F70" s="133" t="s">
        <v>192</v>
      </c>
      <c r="G70" s="153"/>
      <c r="H70" s="153"/>
      <c r="I70" s="120"/>
      <c r="J70" s="120"/>
      <c r="K70" s="153"/>
      <c r="L70" s="153"/>
      <c r="M70" s="153"/>
      <c r="N70" s="153"/>
      <c r="O70" s="153"/>
      <c r="P70" s="153"/>
      <c r="Q70" s="153"/>
      <c r="R70" s="153"/>
      <c r="S70" s="153"/>
      <c r="T70" s="153"/>
      <c r="U70" s="153"/>
      <c r="V70" s="153"/>
      <c r="W70" s="153"/>
      <c r="X70" s="153"/>
      <c r="Y70" s="153"/>
      <c r="Z70" s="153"/>
      <c r="AA70" s="153"/>
      <c r="AB70" s="153"/>
      <c r="AC70" s="153"/>
    </row>
    <row r="71">
      <c r="A71" s="152" t="s">
        <v>318</v>
      </c>
      <c r="B71" s="133" t="str">
        <f>IFERROR(__xludf.DUMMYFUNCTION("FILTER ('Research Papers'!D:D,'Research Papers'!A:A=C71)"),"MessageShift: Fine-Grained Data Augmentation for Graph Neural Networks")</f>
        <v>MessageShift: Fine-Grained Data Augmentation for Graph Neural Networks</v>
      </c>
      <c r="C71" s="133" t="s">
        <v>438</v>
      </c>
      <c r="D71" s="153" t="str">
        <f t="shared" si="1"/>
        <v>MessageShift: Fine-Grained Data Augmentation for Graph Neural Networks
Weigang Lu, Zheng Liang, Yaming Yang, Ziyu Zheng, Meng Yan,
Beilei Ling, Ziyu Guan and Wei Zhao
</v>
      </c>
      <c r="E71" s="153" t="str">
        <f>IFERROR(__xludf.DUMMYFUNCTION("TEXTJOIN(CHAR(10), TRUE,FILTER('Research Papers'!$C:$C,'Research Papers'!$A:$A=C71))"),"Weigang Lu, Zheng Liang, Yaming Yang, Ziyu Zheng, Meng Yan,
Beilei Ling, Ziyu Guan and Wei Zhao")</f>
        <v>Weigang Lu, Zheng Liang, Yaming Yang, Ziyu Zheng, Meng Yan,
Beilei Ling, Ziyu Guan and Wei Zhao</v>
      </c>
      <c r="F71" s="133" t="s">
        <v>192</v>
      </c>
      <c r="G71" s="153"/>
      <c r="H71" s="153"/>
      <c r="I71" s="120"/>
      <c r="J71" s="120"/>
      <c r="K71" s="153"/>
      <c r="L71" s="153"/>
      <c r="M71" s="153"/>
      <c r="N71" s="153"/>
      <c r="O71" s="153"/>
      <c r="P71" s="153"/>
      <c r="Q71" s="153"/>
      <c r="R71" s="153"/>
      <c r="S71" s="153"/>
      <c r="T71" s="153"/>
      <c r="U71" s="153"/>
      <c r="V71" s="153"/>
      <c r="W71" s="153"/>
      <c r="X71" s="153"/>
      <c r="Y71" s="153"/>
      <c r="Z71" s="153"/>
      <c r="AA71" s="153"/>
      <c r="AB71" s="153"/>
      <c r="AC71" s="153"/>
    </row>
    <row r="72">
      <c r="A72" s="152" t="s">
        <v>318</v>
      </c>
      <c r="B72" s="133" t="str">
        <f>IFERROR(__xludf.DUMMYFUNCTION("FILTER ('Research Papers'!D:D,'Research Papers'!A:A=C72)"),"Collaborative Subgraph Learning based Spectrum Sensing under Partial Observations")</f>
        <v>Collaborative Subgraph Learning based Spectrum Sensing under Partial Observations</v>
      </c>
      <c r="C72" s="133" t="s">
        <v>439</v>
      </c>
      <c r="D72" s="153" t="str">
        <f t="shared" si="1"/>
        <v>Collaborative Subgraph Learning based Spectrum Sensing under Partial Observations
Zhaowei Liu, Chang Liu, Dong Yang, Weiqing Yan, Yongchao
Song and Anzuo Jiang
</v>
      </c>
      <c r="E72" s="153" t="str">
        <f>IFERROR(__xludf.DUMMYFUNCTION("TEXTJOIN(CHAR(10), TRUE,FILTER('Research Papers'!$C:$C,'Research Papers'!$A:$A=C72))"),"Zhaowei Liu, Chang Liu, Dong Yang, Weiqing Yan, Yongchao
Song and Anzuo Jiang")</f>
        <v>Zhaowei Liu, Chang Liu, Dong Yang, Weiqing Yan, Yongchao
Song and Anzuo Jiang</v>
      </c>
      <c r="F72" s="133" t="s">
        <v>192</v>
      </c>
      <c r="G72" s="153"/>
      <c r="H72" s="153"/>
      <c r="I72" s="120"/>
      <c r="J72" s="120"/>
      <c r="K72" s="153"/>
      <c r="L72" s="153"/>
      <c r="M72" s="153"/>
      <c r="N72" s="153"/>
      <c r="O72" s="153"/>
      <c r="P72" s="153"/>
      <c r="Q72" s="153"/>
      <c r="R72" s="153"/>
      <c r="S72" s="153"/>
      <c r="T72" s="153"/>
      <c r="U72" s="153"/>
      <c r="V72" s="153"/>
      <c r="W72" s="153"/>
      <c r="X72" s="153"/>
      <c r="Y72" s="153"/>
      <c r="Z72" s="153"/>
      <c r="AA72" s="153"/>
      <c r="AB72" s="153"/>
      <c r="AC72" s="153"/>
    </row>
    <row r="73">
      <c r="A73" s="152" t="s">
        <v>318</v>
      </c>
      <c r="B73" s="133" t="str">
        <f>IFERROR(__xludf.DUMMYFUNCTION("FILTER ('Research Papers'!D:D,'Research Papers'!A:A=C73)"),"Unsupervised Subgraph Anomaly Detection based on Pattern Collaboration")</f>
        <v>Unsupervised Subgraph Anomaly Detection based on Pattern Collaboration</v>
      </c>
      <c r="C73" s="133" t="s">
        <v>440</v>
      </c>
      <c r="D73" s="153" t="str">
        <f t="shared" si="1"/>
        <v>Unsupervised Subgraph Anomaly Detection based on Pattern Collaboration
Sun Jiayang, Liu Shenghao, Deng Xianjun, Xiang Wei, Luo
Meng, Zhang Qiankun and Zheng Dandan
</v>
      </c>
      <c r="E73" s="153" t="str">
        <f>IFERROR(__xludf.DUMMYFUNCTION("TEXTJOIN(CHAR(10), TRUE,FILTER('Research Papers'!$C:$C,'Research Papers'!$A:$A=C73))"),"Sun Jiayang, Liu Shenghao, Deng Xianjun, Xiang Wei, Luo
Meng, Zhang Qiankun and Zheng Dandan")</f>
        <v>Sun Jiayang, Liu Shenghao, Deng Xianjun, Xiang Wei, Luo
Meng, Zhang Qiankun and Zheng Dandan</v>
      </c>
      <c r="F73" s="133" t="s">
        <v>75</v>
      </c>
      <c r="G73" s="153"/>
      <c r="H73" s="153"/>
      <c r="I73" s="120"/>
      <c r="J73" s="120"/>
      <c r="K73" s="153"/>
      <c r="L73" s="153"/>
      <c r="M73" s="153"/>
      <c r="N73" s="153"/>
      <c r="O73" s="153"/>
      <c r="P73" s="153"/>
      <c r="Q73" s="153"/>
      <c r="R73" s="153"/>
      <c r="S73" s="153"/>
      <c r="T73" s="153"/>
      <c r="U73" s="153"/>
      <c r="V73" s="153"/>
      <c r="W73" s="153"/>
      <c r="X73" s="153"/>
      <c r="Y73" s="153"/>
      <c r="Z73" s="153"/>
      <c r="AA73" s="153"/>
      <c r="AB73" s="153"/>
      <c r="AC73" s="153"/>
    </row>
    <row r="74">
      <c r="A74" s="152" t="s">
        <v>318</v>
      </c>
      <c r="B74" s="133" t="str">
        <f>IFERROR(__xludf.DUMMYFUNCTION("FILTER ('Research Papers'!D:D,'Research Papers'!A:A=C74)"),"DP-DGAD: A Generalist Dynamic Graph Anomaly Detector with Dynamic Prototypes")</f>
        <v>DP-DGAD: A Generalist Dynamic Graph Anomaly Detector with Dynamic Prototypes</v>
      </c>
      <c r="C74" s="133" t="s">
        <v>441</v>
      </c>
      <c r="D74" s="153" t="str">
        <f t="shared" si="1"/>
        <v>DP-DGAD: A Generalist Dynamic Graph Anomaly Detector with Dynamic Prototypes
Jialun Zheng, Jie Liu, Jiannong Cao, Xiao Wang, Hanchen
Yang and Yankai Chen
</v>
      </c>
      <c r="E74" s="153" t="str">
        <f>IFERROR(__xludf.DUMMYFUNCTION("TEXTJOIN(CHAR(10), TRUE,FILTER('Research Papers'!$C:$C,'Research Papers'!$A:$A=C74))"),"Jialun Zheng, Jie Liu, Jiannong Cao, Xiao Wang, Hanchen
Yang and Yankai Chen")</f>
        <v>Jialun Zheng, Jie Liu, Jiannong Cao, Xiao Wang, Hanchen
Yang and Yankai Chen</v>
      </c>
      <c r="F74" s="133" t="s">
        <v>75</v>
      </c>
      <c r="G74" s="153"/>
      <c r="H74" s="153"/>
      <c r="I74" s="120"/>
      <c r="J74" s="120"/>
      <c r="K74" s="153"/>
      <c r="L74" s="153"/>
      <c r="M74" s="153"/>
      <c r="N74" s="153"/>
      <c r="O74" s="153"/>
      <c r="P74" s="153"/>
      <c r="Q74" s="153"/>
      <c r="R74" s="153"/>
      <c r="S74" s="153"/>
      <c r="T74" s="153"/>
      <c r="U74" s="153"/>
      <c r="V74" s="153"/>
      <c r="W74" s="153"/>
      <c r="X74" s="153"/>
      <c r="Y74" s="153"/>
      <c r="Z74" s="153"/>
      <c r="AA74" s="153"/>
      <c r="AB74" s="153"/>
      <c r="AC74" s="153"/>
    </row>
    <row r="75">
      <c r="A75" s="152" t="s">
        <v>318</v>
      </c>
      <c r="B75" s="133" t="str">
        <f>IFERROR(__xludf.DUMMYFUNCTION("FILTER ('Research Papers'!D:D,'Research Papers'!A:A=C75)"),"Anomaly Detection of Interaction Behaviors in Streaming Graphs")</f>
        <v>Anomaly Detection of Interaction Behaviors in Streaming Graphs</v>
      </c>
      <c r="C75" s="133" t="s">
        <v>442</v>
      </c>
      <c r="D75" s="153" t="str">
        <f t="shared" si="1"/>
        <v>Anomaly Detection of Interaction Behaviors in Streaming Graphs
Shuai Ren, Fan Zhang, Bolin Wang, Xiang Zhao and Zhihong
Tian
</v>
      </c>
      <c r="E75" s="153" t="str">
        <f>IFERROR(__xludf.DUMMYFUNCTION("TEXTJOIN(CHAR(10), TRUE,FILTER('Research Papers'!$C:$C,'Research Papers'!$A:$A=C75))"),"Shuai Ren, Fan Zhang, Bolin Wang, Xiang Zhao and Zhihong
Tian")</f>
        <v>Shuai Ren, Fan Zhang, Bolin Wang, Xiang Zhao and Zhihong
Tian</v>
      </c>
      <c r="F75" s="133" t="s">
        <v>75</v>
      </c>
      <c r="G75" s="153"/>
      <c r="H75" s="153"/>
      <c r="I75" s="120"/>
      <c r="J75" s="120"/>
      <c r="K75" s="153"/>
      <c r="L75" s="153"/>
      <c r="M75" s="153"/>
      <c r="N75" s="153"/>
      <c r="O75" s="153"/>
      <c r="P75" s="153"/>
      <c r="Q75" s="153"/>
      <c r="R75" s="153"/>
      <c r="S75" s="153"/>
      <c r="T75" s="153"/>
      <c r="U75" s="153"/>
      <c r="V75" s="153"/>
      <c r="W75" s="153"/>
      <c r="X75" s="153"/>
      <c r="Y75" s="153"/>
      <c r="Z75" s="153"/>
      <c r="AA75" s="153"/>
      <c r="AB75" s="153"/>
      <c r="AC75" s="153"/>
    </row>
    <row r="76">
      <c r="A76" s="152" t="s">
        <v>318</v>
      </c>
      <c r="B76" s="133" t="str">
        <f>IFERROR(__xludf.DUMMYFUNCTION("FILTER ('Research Papers'!D:D,'Research Papers'!A:A=C76)"),"PAGE: Progressive Anomaly Generation Network for Semi-supervised Graph Anomaly Detection")</f>
        <v>PAGE: Progressive Anomaly Generation Network for Semi-supervised Graph Anomaly Detection</v>
      </c>
      <c r="C76" s="133" t="s">
        <v>443</v>
      </c>
      <c r="D76" s="153" t="str">
        <f t="shared" si="1"/>
        <v>PAGE: Progressive Anomaly Generation Network for Semi-supervised Graph Anomaly Detection
Ting Guo, Dongyu Pei, Gangzhu Qiao, Kaixuan Yao and Da Wang
</v>
      </c>
      <c r="E76" s="153" t="str">
        <f>IFERROR(__xludf.DUMMYFUNCTION("TEXTJOIN(CHAR(10), TRUE,FILTER('Research Papers'!$C:$C,'Research Papers'!$A:$A=C76))"),"Ting Guo, Dongyu Pei, Gangzhu Qiao, Kaixuan Yao and Da Wang")</f>
        <v>Ting Guo, Dongyu Pei, Gangzhu Qiao, Kaixuan Yao and Da Wang</v>
      </c>
      <c r="F76" s="133" t="s">
        <v>75</v>
      </c>
      <c r="G76" s="153"/>
      <c r="H76" s="153"/>
      <c r="I76" s="120"/>
      <c r="J76" s="120"/>
      <c r="K76" s="153"/>
      <c r="L76" s="153"/>
      <c r="M76" s="153"/>
      <c r="N76" s="153"/>
      <c r="O76" s="153"/>
      <c r="P76" s="153"/>
      <c r="Q76" s="153"/>
      <c r="R76" s="153"/>
      <c r="S76" s="153"/>
      <c r="T76" s="153"/>
      <c r="U76" s="153"/>
      <c r="V76" s="153"/>
      <c r="W76" s="153"/>
      <c r="X76" s="153"/>
      <c r="Y76" s="153"/>
      <c r="Z76" s="153"/>
      <c r="AA76" s="153"/>
      <c r="AB76" s="153"/>
      <c r="AC76" s="153"/>
    </row>
    <row r="77">
      <c r="A77" s="152" t="s">
        <v>318</v>
      </c>
      <c r="B77" s="133" t="str">
        <f>IFERROR(__xludf.DUMMYFUNCTION("FILTER ('Research Papers'!D:D,'Research Papers'!A:A=C77)"),"Cross-Type Semantic Alignment for Multi-Type Anomaly Detection in Heterogeneous Graphs")</f>
        <v>Cross-Type Semantic Alignment for Multi-Type Anomaly Detection in Heterogeneous Graphs</v>
      </c>
      <c r="C77" s="133" t="s">
        <v>444</v>
      </c>
      <c r="D77" s="153" t="str">
        <f t="shared" si="1"/>
        <v>Cross-Type Semantic Alignment for Multi-Type Anomaly Detection in Heterogeneous Graphs
Di Jin, Xiao Huang, Xiaobao Wang, Fengyu Yan, Luzhi Wang
and Hongxiang Liang
</v>
      </c>
      <c r="E77" s="153" t="str">
        <f>IFERROR(__xludf.DUMMYFUNCTION("TEXTJOIN(CHAR(10), TRUE,FILTER('Research Papers'!$C:$C,'Research Papers'!$A:$A=C77))"),"Di Jin, Xiao Huang, Xiaobao Wang, Fengyu Yan, Luzhi Wang
and Hongxiang Liang")</f>
        <v>Di Jin, Xiao Huang, Xiaobao Wang, Fengyu Yan, Luzhi Wang
and Hongxiang Liang</v>
      </c>
      <c r="F77" s="133" t="s">
        <v>75</v>
      </c>
      <c r="G77" s="153"/>
      <c r="H77" s="153"/>
      <c r="I77" s="120"/>
      <c r="J77" s="120"/>
      <c r="K77" s="153"/>
      <c r="L77" s="153"/>
      <c r="M77" s="153"/>
      <c r="N77" s="153"/>
      <c r="O77" s="153"/>
      <c r="P77" s="153"/>
      <c r="Q77" s="153"/>
      <c r="R77" s="153"/>
      <c r="S77" s="153"/>
      <c r="T77" s="153"/>
      <c r="U77" s="153"/>
      <c r="V77" s="153"/>
      <c r="W77" s="153"/>
      <c r="X77" s="153"/>
      <c r="Y77" s="153"/>
      <c r="Z77" s="153"/>
      <c r="AA77" s="153"/>
      <c r="AB77" s="153"/>
      <c r="AC77" s="153"/>
    </row>
    <row r="78">
      <c r="A78" s="152" t="s">
        <v>318</v>
      </c>
      <c r="B78" s="133" t="str">
        <f>IFERROR(__xludf.DUMMYFUNCTION("FILTER ('Research Papers'!D:D,'Research Papers'!A:A=C78)"),"Riemannian Liquid Spatio-Temporal Graph Network")</f>
        <v>Riemannian Liquid Spatio-Temporal Graph Network</v>
      </c>
      <c r="C78" s="133" t="s">
        <v>445</v>
      </c>
      <c r="D78" s="153" t="str">
        <f t="shared" si="1"/>
        <v>Riemannian Liquid Spatio-Temporal Graph Network
Liangsi Lu, Jingchao Wang, Zhaorong Dai, Hanqian Liu and
Yang Shi
</v>
      </c>
      <c r="E78" s="153" t="str">
        <f>IFERROR(__xludf.DUMMYFUNCTION("TEXTJOIN(CHAR(10), TRUE,FILTER('Research Papers'!$C:$C,'Research Papers'!$A:$A=C78))"),"Liangsi Lu, Jingchao Wang, Zhaorong Dai, Hanqian Liu and
Yang Shi")</f>
        <v>Liangsi Lu, Jingchao Wang, Zhaorong Dai, Hanqian Liu and
Yang Shi</v>
      </c>
      <c r="F78" s="133" t="s">
        <v>96</v>
      </c>
      <c r="G78" s="153"/>
      <c r="H78" s="153"/>
      <c r="I78" s="120"/>
      <c r="J78" s="120"/>
      <c r="K78" s="153"/>
      <c r="L78" s="153"/>
      <c r="M78" s="153"/>
      <c r="N78" s="153"/>
      <c r="O78" s="153"/>
      <c r="P78" s="153"/>
      <c r="Q78" s="153"/>
      <c r="R78" s="153"/>
      <c r="S78" s="153"/>
      <c r="T78" s="153"/>
      <c r="U78" s="153"/>
      <c r="V78" s="153"/>
      <c r="W78" s="153"/>
      <c r="X78" s="153"/>
      <c r="Y78" s="153"/>
      <c r="Z78" s="153"/>
      <c r="AA78" s="153"/>
      <c r="AB78" s="153"/>
      <c r="AC78" s="153"/>
    </row>
    <row r="79">
      <c r="A79" s="152" t="s">
        <v>318</v>
      </c>
      <c r="B79" s="133" t="str">
        <f>IFERROR(__xludf.DUMMYFUNCTION("FILTER ('Research Papers'!D:D,'Research Papers'!A:A=C79)"),"Diffusion-based Kriging Model with Graph-enhanced Attention")</f>
        <v>Diffusion-based Kriging Model with Graph-enhanced Attention</v>
      </c>
      <c r="C79" s="133" t="s">
        <v>446</v>
      </c>
      <c r="D79" s="153" t="str">
        <f t="shared" si="1"/>
        <v>Diffusion-based Kriging Model with Graph-enhanced Attention
Mingtao Zhang, Guoli Yang, Zhanxing Zhu, Guangyin Jin,
Mengzhu Wang and Xiaoying Bai
</v>
      </c>
      <c r="E79" s="153" t="str">
        <f>IFERROR(__xludf.DUMMYFUNCTION("TEXTJOIN(CHAR(10), TRUE,FILTER('Research Papers'!$C:$C,'Research Papers'!$A:$A=C79))"),"Mingtao Zhang, Guoli Yang, Zhanxing Zhu, Guangyin Jin,
Mengzhu Wang and Xiaoying Bai")</f>
        <v>Mingtao Zhang, Guoli Yang, Zhanxing Zhu, Guangyin Jin,
Mengzhu Wang and Xiaoying Bai</v>
      </c>
      <c r="F79" s="133" t="s">
        <v>96</v>
      </c>
      <c r="G79" s="153"/>
      <c r="H79" s="153"/>
      <c r="I79" s="120"/>
      <c r="J79" s="120"/>
      <c r="K79" s="153"/>
      <c r="L79" s="153"/>
      <c r="M79" s="153"/>
      <c r="N79" s="153"/>
      <c r="O79" s="153"/>
      <c r="P79" s="153"/>
      <c r="Q79" s="153"/>
      <c r="R79" s="153"/>
      <c r="S79" s="153"/>
      <c r="T79" s="153"/>
      <c r="U79" s="153"/>
      <c r="V79" s="153"/>
      <c r="W79" s="153"/>
      <c r="X79" s="153"/>
      <c r="Y79" s="153"/>
      <c r="Z79" s="153"/>
      <c r="AA79" s="153"/>
      <c r="AB79" s="153"/>
      <c r="AC79" s="153"/>
    </row>
    <row r="80">
      <c r="A80" s="152" t="s">
        <v>318</v>
      </c>
      <c r="B80" s="133" t="str">
        <f>IFERROR(__xludf.DUMMYFUNCTION("FILTER ('Research Papers'!D:D,'Research Papers'!A:A=C80)"),"Graph Retention Networks for Dynamic Graphs")</f>
        <v>Graph Retention Networks for Dynamic Graphs</v>
      </c>
      <c r="C80" s="133" t="s">
        <v>447</v>
      </c>
      <c r="D80" s="153" t="str">
        <f t="shared" si="1"/>
        <v>Graph Retention Networks for Dynamic Graphs
Qian Chang, Xia Li, Xiufeng Cheng, Runsong Jia, Jinqing
Yang, Guoping Hu and Ciprian Doru Giurcaneanu
</v>
      </c>
      <c r="E80" s="153" t="str">
        <f>IFERROR(__xludf.DUMMYFUNCTION("TEXTJOIN(CHAR(10), TRUE,FILTER('Research Papers'!$C:$C,'Research Papers'!$A:$A=C80))"),"Qian Chang, Xia Li, Xiufeng Cheng, Runsong Jia, Jinqing
Yang, Guoping Hu and Ciprian Doru Giurcaneanu")</f>
        <v>Qian Chang, Xia Li, Xiufeng Cheng, Runsong Jia, Jinqing
Yang, Guoping Hu and Ciprian Doru Giurcaneanu</v>
      </c>
      <c r="F80" s="133" t="s">
        <v>96</v>
      </c>
      <c r="G80" s="153"/>
      <c r="H80" s="153"/>
      <c r="I80" s="120"/>
      <c r="J80" s="120"/>
      <c r="K80" s="153"/>
      <c r="L80" s="153"/>
      <c r="M80" s="153"/>
      <c r="N80" s="153"/>
      <c r="O80" s="153"/>
      <c r="P80" s="153"/>
      <c r="Q80" s="153"/>
      <c r="R80" s="153"/>
      <c r="S80" s="153"/>
      <c r="T80" s="153"/>
      <c r="U80" s="153"/>
      <c r="V80" s="153"/>
      <c r="W80" s="153"/>
      <c r="X80" s="153"/>
      <c r="Y80" s="153"/>
      <c r="Z80" s="153"/>
      <c r="AA80" s="153"/>
      <c r="AB80" s="153"/>
      <c r="AC80" s="153"/>
    </row>
    <row r="81">
      <c r="A81" s="152" t="s">
        <v>318</v>
      </c>
      <c r="B81" s="133" t="str">
        <f>IFERROR(__xludf.DUMMYFUNCTION("FILTER ('Research Papers'!D:D,'Research Papers'!A:A=C81)"),"Network Dismantling via Reverse Dismantling: Static and Dynamic Algorithms")</f>
        <v>Network Dismantling via Reverse Dismantling: Static and Dynamic Algorithms</v>
      </c>
      <c r="C81" s="133" t="s">
        <v>448</v>
      </c>
      <c r="D81" s="153" t="str">
        <f t="shared" si="1"/>
        <v>Network Dismantling via Reverse Dismantling: Static and Dynamic Algorithms
Jinyu Duan, Sijin Wang, Fan Zhang, Xiang Zhao, Wenjie Zhang
and Zhihong Tian
</v>
      </c>
      <c r="E81" s="153" t="str">
        <f>IFERROR(__xludf.DUMMYFUNCTION("TEXTJOIN(CHAR(10), TRUE,FILTER('Research Papers'!$C:$C,'Research Papers'!$A:$A=C81))"),"Jinyu Duan, Sijin Wang, Fan Zhang, Xiang Zhao, Wenjie Zhang
and Zhihong Tian")</f>
        <v>Jinyu Duan, Sijin Wang, Fan Zhang, Xiang Zhao, Wenjie Zhang
and Zhihong Tian</v>
      </c>
      <c r="F81" s="133" t="s">
        <v>96</v>
      </c>
      <c r="G81" s="153"/>
      <c r="H81" s="153"/>
      <c r="I81" s="120"/>
      <c r="J81" s="120"/>
      <c r="K81" s="153"/>
      <c r="L81" s="153"/>
      <c r="M81" s="153"/>
      <c r="N81" s="153"/>
      <c r="O81" s="153"/>
      <c r="P81" s="153"/>
      <c r="Q81" s="153"/>
      <c r="R81" s="153"/>
      <c r="S81" s="153"/>
      <c r="T81" s="153"/>
      <c r="U81" s="153"/>
      <c r="V81" s="153"/>
      <c r="W81" s="153"/>
      <c r="X81" s="153"/>
      <c r="Y81" s="153"/>
      <c r="Z81" s="153"/>
      <c r="AA81" s="153"/>
      <c r="AB81" s="153"/>
      <c r="AC81" s="153"/>
    </row>
    <row r="82">
      <c r="A82" s="152" t="s">
        <v>318</v>
      </c>
      <c r="B82" s="133" t="str">
        <f>IFERROR(__xludf.DUMMYFUNCTION("FILTER ('Research Papers'!D:D,'Research Papers'!A:A=C82)"),"Zero-Shot Forecasting of Network Dynamics through Weight Flow Matching")</f>
        <v>Zero-Shot Forecasting of Network Dynamics through Weight Flow Matching</v>
      </c>
      <c r="C82" s="133" t="s">
        <v>449</v>
      </c>
      <c r="D82" s="153" t="str">
        <f t="shared" si="1"/>
        <v>Zero-Shot Forecasting of Network Dynamics through Weight Flow Matching
Shihe Zhou, Ruikun Li, Huandong Wang and Yong Li
</v>
      </c>
      <c r="E82" s="153" t="str">
        <f>IFERROR(__xludf.DUMMYFUNCTION("TEXTJOIN(CHAR(10), TRUE,FILTER('Research Papers'!$C:$C,'Research Papers'!$A:$A=C82))"),"Shihe Zhou, Ruikun Li, Huandong Wang and Yong Li")</f>
        <v>Shihe Zhou, Ruikun Li, Huandong Wang and Yong Li</v>
      </c>
      <c r="F82" s="133" t="s">
        <v>96</v>
      </c>
      <c r="G82" s="153"/>
      <c r="H82" s="153"/>
      <c r="I82" s="120"/>
      <c r="J82" s="120"/>
      <c r="K82" s="153"/>
      <c r="L82" s="153"/>
      <c r="M82" s="153"/>
      <c r="N82" s="153"/>
      <c r="O82" s="153"/>
      <c r="P82" s="153"/>
      <c r="Q82" s="153"/>
      <c r="R82" s="153"/>
      <c r="S82" s="153"/>
      <c r="T82" s="153"/>
      <c r="U82" s="153"/>
      <c r="V82" s="153"/>
      <c r="W82" s="153"/>
      <c r="X82" s="153"/>
      <c r="Y82" s="153"/>
      <c r="Z82" s="153"/>
      <c r="AA82" s="153"/>
      <c r="AB82" s="153"/>
      <c r="AC82" s="153"/>
    </row>
    <row r="83">
      <c r="A83" s="152" t="s">
        <v>318</v>
      </c>
      <c r="B83" s="133" t="str">
        <f>IFERROR(__xludf.DUMMYFUNCTION("FILTER ('Research Papers'!D:D,'Research Papers'!A:A=C83)"),"Toward Graph-Tokenizing Large Language Models with Reconstructive Graph Instruction Tuning")</f>
        <v>Toward Graph-Tokenizing Large Language Models with Reconstructive Graph Instruction Tuning</v>
      </c>
      <c r="C83" s="133" t="s">
        <v>450</v>
      </c>
      <c r="D83" s="153" t="str">
        <f t="shared" si="1"/>
        <v>Toward Graph-Tokenizing Large Language Models with Reconstructive Graph Instruction Tuning
Zhongjian Zhang, Xiao Wang, Mengmei Zhang, Jiarui Tan and
Chuan Shi
</v>
      </c>
      <c r="E83" s="153" t="str">
        <f>IFERROR(__xludf.DUMMYFUNCTION("TEXTJOIN(CHAR(10), TRUE,FILTER('Research Papers'!$C:$C,'Research Papers'!$A:$A=C83))"),"Zhongjian Zhang, Xiao Wang, Mengmei Zhang, Jiarui Tan and
Chuan Shi")</f>
        <v>Zhongjian Zhang, Xiao Wang, Mengmei Zhang, Jiarui Tan and
Chuan Shi</v>
      </c>
      <c r="F83" s="133" t="s">
        <v>128</v>
      </c>
      <c r="G83" s="153"/>
      <c r="H83" s="153"/>
      <c r="I83" s="120"/>
      <c r="J83" s="120"/>
      <c r="K83" s="153"/>
      <c r="L83" s="153"/>
      <c r="M83" s="153"/>
      <c r="N83" s="153"/>
      <c r="O83" s="153"/>
      <c r="P83" s="153"/>
      <c r="Q83" s="153"/>
      <c r="R83" s="153"/>
      <c r="S83" s="153"/>
      <c r="T83" s="153"/>
      <c r="U83" s="153"/>
      <c r="V83" s="153"/>
      <c r="W83" s="153"/>
      <c r="X83" s="153"/>
      <c r="Y83" s="153"/>
      <c r="Z83" s="153"/>
      <c r="AA83" s="153"/>
      <c r="AB83" s="153"/>
      <c r="AC83" s="153"/>
    </row>
    <row r="84">
      <c r="A84" s="152" t="s">
        <v>318</v>
      </c>
      <c r="B84" s="133" t="str">
        <f>IFERROR(__xludf.DUMMYFUNCTION("FILTER ('Research Papers'!D:D,'Research Papers'!A:A=C84)"),"Beyond Single-Granularity Prompts: A Multi-Scale Chain-of-Thought Prompt Learning for Graph")</f>
        <v>Beyond Single-Granularity Prompts: A Multi-Scale Chain-of-Thought Prompt Learning for Graph</v>
      </c>
      <c r="C84" s="133" t="s">
        <v>451</v>
      </c>
      <c r="D84" s="153" t="str">
        <f t="shared" si="1"/>
        <v>Beyond Single-Granularity Prompts: A Multi-Scale Chain-of-Thought Prompt Learning for Graph
Ziyu Zheng, Yaming Yang, Ziyu Guan, Wei Zhao, Xinyan Huang
and Weigang Lu
</v>
      </c>
      <c r="E84" s="153" t="str">
        <f>IFERROR(__xludf.DUMMYFUNCTION("TEXTJOIN(CHAR(10), TRUE,FILTER('Research Papers'!$C:$C,'Research Papers'!$A:$A=C84))"),"Ziyu Zheng, Yaming Yang, Ziyu Guan, Wei Zhao, Xinyan Huang
and Weigang Lu")</f>
        <v>Ziyu Zheng, Yaming Yang, Ziyu Guan, Wei Zhao, Xinyan Huang
and Weigang Lu</v>
      </c>
      <c r="F84" s="133" t="s">
        <v>128</v>
      </c>
      <c r="G84" s="153"/>
      <c r="H84" s="153"/>
      <c r="I84" s="120"/>
      <c r="J84" s="120"/>
      <c r="K84" s="153"/>
      <c r="L84" s="153"/>
      <c r="M84" s="153"/>
      <c r="N84" s="153"/>
      <c r="O84" s="153"/>
      <c r="P84" s="153"/>
      <c r="Q84" s="153"/>
      <c r="R84" s="153"/>
      <c r="S84" s="153"/>
      <c r="T84" s="153"/>
      <c r="U84" s="153"/>
      <c r="V84" s="153"/>
      <c r="W84" s="153"/>
      <c r="X84" s="153"/>
      <c r="Y84" s="153"/>
      <c r="Z84" s="153"/>
      <c r="AA84" s="153"/>
      <c r="AB84" s="153"/>
      <c r="AC84" s="153"/>
    </row>
    <row r="85">
      <c r="A85" s="152" t="s">
        <v>318</v>
      </c>
      <c r="B85" s="133" t="str">
        <f>IFERROR(__xludf.DUMMYFUNCTION("FILTER ('Research Papers'!D:D,'Research Papers'!A:A=C85)"),"Riemannian Graph Tokenizer for Structural Knowledge Transfer")</f>
        <v>Riemannian Graph Tokenizer for Structural Knowledge Transfer</v>
      </c>
      <c r="C85" s="133" t="s">
        <v>452</v>
      </c>
      <c r="D85" s="153" t="str">
        <f t="shared" si="1"/>
        <v>Riemannian Graph Tokenizer for Structural Knowledge Transfer
Qimin Zhou, Haibo Liu, Yujie Wang, Li Sun and Chuan Shi
</v>
      </c>
      <c r="E85" s="153" t="str">
        <f>IFERROR(__xludf.DUMMYFUNCTION("TEXTJOIN(CHAR(10), TRUE,FILTER('Research Papers'!$C:$C,'Research Papers'!$A:$A=C85))"),"Qimin Zhou, Haibo Liu, Yujie Wang, Li Sun and Chuan Shi")</f>
        <v>Qimin Zhou, Haibo Liu, Yujie Wang, Li Sun and Chuan Shi</v>
      </c>
      <c r="F85" s="133" t="s">
        <v>128</v>
      </c>
      <c r="G85" s="153"/>
      <c r="H85" s="153"/>
      <c r="I85" s="120"/>
      <c r="J85" s="120"/>
      <c r="K85" s="153"/>
      <c r="L85" s="153"/>
      <c r="M85" s="153"/>
      <c r="N85" s="153"/>
      <c r="O85" s="153"/>
      <c r="P85" s="153"/>
      <c r="Q85" s="153"/>
      <c r="R85" s="153"/>
      <c r="S85" s="153"/>
      <c r="T85" s="153"/>
      <c r="U85" s="153"/>
      <c r="V85" s="153"/>
      <c r="W85" s="153"/>
      <c r="X85" s="153"/>
      <c r="Y85" s="153"/>
      <c r="Z85" s="153"/>
      <c r="AA85" s="153"/>
      <c r="AB85" s="153"/>
      <c r="AC85" s="153"/>
    </row>
    <row r="86">
      <c r="A86" s="152" t="s">
        <v>318</v>
      </c>
      <c r="B86" s="133" t="str">
        <f>IFERROR(__xludf.DUMMYFUNCTION("FILTER ('Research Papers'!D:D,'Research Papers'!A:A=C86)"),"LEDA: Latent Semantic Distribution Alignment for Multi-domain Graph Pre-training")</f>
        <v>LEDA: Latent Semantic Distribution Alignment for Multi-domain Graph Pre-training</v>
      </c>
      <c r="C86" s="133" t="s">
        <v>453</v>
      </c>
      <c r="D86" s="153" t="str">
        <f t="shared" si="1"/>
        <v>LEDA: Latent Semantic Distribution Alignment for Multi-domain Graph Pre-training
Lianze Shan, Jitao Zhao, Dongxiao He, Siqi Liu, Jiaxu Cui
and Weixiong Zhang
</v>
      </c>
      <c r="E86" s="153" t="str">
        <f>IFERROR(__xludf.DUMMYFUNCTION("TEXTJOIN(CHAR(10), TRUE,FILTER('Research Papers'!$C:$C,'Research Papers'!$A:$A=C86))"),"Lianze Shan, Jitao Zhao, Dongxiao He, Siqi Liu, Jiaxu Cui
and Weixiong Zhang")</f>
        <v>Lianze Shan, Jitao Zhao, Dongxiao He, Siqi Liu, Jiaxu Cui
and Weixiong Zhang</v>
      </c>
      <c r="F86" s="133" t="s">
        <v>128</v>
      </c>
      <c r="G86" s="153"/>
      <c r="H86" s="153"/>
      <c r="I86" s="120"/>
      <c r="J86" s="120"/>
      <c r="K86" s="153"/>
      <c r="L86" s="153"/>
      <c r="M86" s="153"/>
      <c r="N86" s="153"/>
      <c r="O86" s="153"/>
      <c r="P86" s="153"/>
      <c r="Q86" s="153"/>
      <c r="R86" s="153"/>
      <c r="S86" s="153"/>
      <c r="T86" s="153"/>
      <c r="U86" s="153"/>
      <c r="V86" s="153"/>
      <c r="W86" s="153"/>
      <c r="X86" s="153"/>
      <c r="Y86" s="153"/>
      <c r="Z86" s="153"/>
      <c r="AA86" s="153"/>
      <c r="AB86" s="153"/>
      <c r="AC86" s="153"/>
    </row>
    <row r="87">
      <c r="A87" s="152" t="s">
        <v>318</v>
      </c>
      <c r="B87" s="133" t="str">
        <f>IFERROR(__xludf.DUMMYFUNCTION("FILTER ('Research Papers'!D:D,'Research Papers'!A:A=C87)"),"Towards A Universal Graph Structural Encoder")</f>
        <v>Towards A Universal Graph Structural Encoder</v>
      </c>
      <c r="C87" s="133" t="s">
        <v>454</v>
      </c>
      <c r="D87" s="153" t="str">
        <f t="shared" si="1"/>
        <v>Towards A Universal Graph Structural Encoder
Jialin Chen, Haolan Zuo, Haoyu Wang, Siqi Miao, Pan Li and
Rex Ying
</v>
      </c>
      <c r="E87" s="153" t="str">
        <f>IFERROR(__xludf.DUMMYFUNCTION("TEXTJOIN(CHAR(10), TRUE,FILTER('Research Papers'!$C:$C,'Research Papers'!$A:$A=C87))"),"Jialin Chen, Haolan Zuo, Haoyu Wang, Siqi Miao, Pan Li and
Rex Ying")</f>
        <v>Jialin Chen, Haolan Zuo, Haoyu Wang, Siqi Miao, Pan Li and
Rex Ying</v>
      </c>
      <c r="F87" s="133" t="s">
        <v>128</v>
      </c>
      <c r="G87" s="153"/>
      <c r="H87" s="153"/>
      <c r="I87" s="120"/>
      <c r="J87" s="120"/>
      <c r="K87" s="153"/>
      <c r="L87" s="153"/>
      <c r="M87" s="153"/>
      <c r="N87" s="153"/>
      <c r="O87" s="153"/>
      <c r="P87" s="153"/>
      <c r="Q87" s="153"/>
      <c r="R87" s="153"/>
      <c r="S87" s="153"/>
      <c r="T87" s="153"/>
      <c r="U87" s="153"/>
      <c r="V87" s="153"/>
      <c r="W87" s="153"/>
      <c r="X87" s="153"/>
      <c r="Y87" s="153"/>
      <c r="Z87" s="153"/>
      <c r="AA87" s="153"/>
      <c r="AB87" s="153"/>
      <c r="AC87" s="153"/>
    </row>
    <row r="88">
      <c r="A88" s="152" t="s">
        <v>318</v>
      </c>
      <c r="B88" s="133" t="str">
        <f>IFERROR(__xludf.DUMMYFUNCTION("FILTER ('Research Papers'!D:D,'Research Papers'!A:A=C88)"),"Difference-based Sample Selection for Federated Graph Rationalization")</f>
        <v>Difference-based Sample Selection for Federated Graph Rationalization</v>
      </c>
      <c r="C88" s="133" t="s">
        <v>455</v>
      </c>
      <c r="D88" s="153" t="str">
        <f t="shared" si="1"/>
        <v>Difference-based Sample Selection for Federated Graph Rationalization
Linan Yue and Weibo Gao
</v>
      </c>
      <c r="E88" s="153" t="str">
        <f>IFERROR(__xludf.DUMMYFUNCTION("TEXTJOIN(CHAR(10), TRUE,FILTER('Research Papers'!$C:$C,'Research Papers'!$A:$A=C88))"),"Linan Yue and Weibo Gao")</f>
        <v>Linan Yue and Weibo Gao</v>
      </c>
      <c r="F88" s="133" t="s">
        <v>213</v>
      </c>
      <c r="G88" s="133" t="s">
        <v>319</v>
      </c>
      <c r="H88" s="153"/>
      <c r="I88" s="149" t="s">
        <v>367</v>
      </c>
      <c r="J88" s="114">
        <f>COUNTIF(F:F,F88)</f>
        <v>49</v>
      </c>
      <c r="K88" s="153"/>
      <c r="L88" s="153"/>
      <c r="M88" s="153"/>
      <c r="N88" s="153"/>
      <c r="O88" s="153"/>
      <c r="P88" s="153"/>
      <c r="Q88" s="153"/>
      <c r="R88" s="153"/>
      <c r="S88" s="153"/>
      <c r="T88" s="153"/>
      <c r="U88" s="153"/>
      <c r="V88" s="153"/>
      <c r="W88" s="153"/>
      <c r="X88" s="153"/>
      <c r="Y88" s="153"/>
      <c r="Z88" s="153"/>
      <c r="AA88" s="153"/>
      <c r="AB88" s="153"/>
      <c r="AC88" s="153"/>
    </row>
    <row r="89">
      <c r="A89" s="152" t="s">
        <v>318</v>
      </c>
      <c r="B89" s="133" t="str">
        <f>IFERROR(__xludf.DUMMYFUNCTION("FILTER ('Research Papers'!D:D,'Research Papers'!A:A=C89)"),"Class-Domain Incremental Learning on Graphs via Disentangled Knowledge Distillation")</f>
        <v>Class-Domain Incremental Learning on Graphs via Disentangled Knowledge Distillation</v>
      </c>
      <c r="C89" s="133" t="s">
        <v>456</v>
      </c>
      <c r="D89" s="153" t="str">
        <f t="shared" si="1"/>
        <v>Class-Domain Incremental Learning on Graphs via Disentangled Knowledge Distillation
Qin Tian, Chen Zhao, Xintao Wu, Dong Li, Minglai Shao,
Xujiang Zhao and Wenjun Wang
</v>
      </c>
      <c r="E89" s="153" t="str">
        <f>IFERROR(__xludf.DUMMYFUNCTION("TEXTJOIN(CHAR(10), TRUE,FILTER('Research Papers'!$C:$C,'Research Papers'!$A:$A=C89))"),"Qin Tian, Chen Zhao, Xintao Wu, Dong Li, Minglai Shao,
Xujiang Zhao and Wenjun Wang")</f>
        <v>Qin Tian, Chen Zhao, Xintao Wu, Dong Li, Minglai Shao,
Xujiang Zhao and Wenjun Wang</v>
      </c>
      <c r="F89" s="133" t="s">
        <v>213</v>
      </c>
      <c r="G89" s="133" t="s">
        <v>319</v>
      </c>
      <c r="H89" s="153"/>
      <c r="I89" s="120"/>
      <c r="J89" s="120"/>
      <c r="K89" s="153"/>
      <c r="L89" s="153"/>
      <c r="M89" s="153"/>
      <c r="N89" s="153"/>
      <c r="O89" s="153"/>
      <c r="P89" s="153"/>
      <c r="Q89" s="153"/>
      <c r="R89" s="153"/>
      <c r="S89" s="153"/>
      <c r="T89" s="153"/>
      <c r="U89" s="153"/>
      <c r="V89" s="153"/>
      <c r="W89" s="153"/>
      <c r="X89" s="153"/>
      <c r="Y89" s="153"/>
      <c r="Z89" s="153"/>
      <c r="AA89" s="153"/>
      <c r="AB89" s="153"/>
      <c r="AC89" s="153"/>
    </row>
    <row r="90">
      <c r="A90" s="152" t="s">
        <v>318</v>
      </c>
      <c r="B90" s="133" t="str">
        <f>IFERROR(__xludf.DUMMYFUNCTION("FILTER ('Research Papers'!D:D,'Research Papers'!A:A=C90)"),"Exploring Sequential Dynamics on Temporal Graphs via Composite Filtering")</f>
        <v>Exploring Sequential Dynamics on Temporal Graphs via Composite Filtering</v>
      </c>
      <c r="C90" s="133" t="s">
        <v>457</v>
      </c>
      <c r="D90" s="153" t="str">
        <f t="shared" si="1"/>
        <v>Exploring Sequential Dynamics on Temporal Graphs via Composite Filtering
Yuanyuan Xu, Danni Wu, Xuemin Lin, Dong Wen, Wenjie Zhang,
Lei Chen and Ying Zhang
</v>
      </c>
      <c r="E90" s="153" t="str">
        <f>IFERROR(__xludf.DUMMYFUNCTION("TEXTJOIN(CHAR(10), TRUE,FILTER('Research Papers'!$C:$C,'Research Papers'!$A:$A=C90))"),"Yuanyuan Xu, Danni Wu, Xuemin Lin, Dong Wen, Wenjie Zhang,
Lei Chen and Ying Zhang")</f>
        <v>Yuanyuan Xu, Danni Wu, Xuemin Lin, Dong Wen, Wenjie Zhang,
Lei Chen and Ying Zhang</v>
      </c>
      <c r="F90" s="133" t="s">
        <v>213</v>
      </c>
      <c r="G90" s="133" t="s">
        <v>319</v>
      </c>
      <c r="H90" s="153"/>
      <c r="I90" s="120"/>
      <c r="J90" s="120"/>
      <c r="K90" s="153"/>
      <c r="L90" s="153"/>
      <c r="M90" s="153"/>
      <c r="N90" s="153"/>
      <c r="O90" s="153"/>
      <c r="P90" s="153"/>
      <c r="Q90" s="153"/>
      <c r="R90" s="153"/>
      <c r="S90" s="153"/>
      <c r="T90" s="153"/>
      <c r="U90" s="153"/>
      <c r="V90" s="153"/>
      <c r="W90" s="153"/>
      <c r="X90" s="153"/>
      <c r="Y90" s="153"/>
      <c r="Z90" s="153"/>
      <c r="AA90" s="153"/>
      <c r="AB90" s="153"/>
      <c r="AC90" s="153"/>
    </row>
    <row r="91">
      <c r="A91" s="152" t="s">
        <v>318</v>
      </c>
      <c r="B91" s="133" t="str">
        <f>IFERROR(__xludf.DUMMYFUNCTION("FILTER ('Research Papers'!D:D,'Research Papers'!A:A=C91)"),"Maximum Edge-based Quasi-Clique: Novel Iterative Frameworks")</f>
        <v>Maximum Edge-based Quasi-Clique: Novel Iterative Frameworks</v>
      </c>
      <c r="C91" s="133" t="s">
        <v>458</v>
      </c>
      <c r="D91" s="153" t="str">
        <f t="shared" si="1"/>
        <v>Maximum Edge-based Quasi-Clique: Novel Iterative Frameworks
Hongbo Xia, Shengxin Liu and Zhaoquan Gu
</v>
      </c>
      <c r="E91" s="153" t="str">
        <f>IFERROR(__xludf.DUMMYFUNCTION("TEXTJOIN(CHAR(10), TRUE,FILTER('Research Papers'!$C:$C,'Research Papers'!$A:$A=C91))"),"Hongbo Xia, Shengxin Liu and Zhaoquan Gu")</f>
        <v>Hongbo Xia, Shengxin Liu and Zhaoquan Gu</v>
      </c>
      <c r="F91" s="133" t="s">
        <v>213</v>
      </c>
      <c r="G91" s="133" t="s">
        <v>319</v>
      </c>
      <c r="H91" s="153"/>
      <c r="I91" s="120"/>
      <c r="J91" s="120"/>
      <c r="K91" s="153"/>
      <c r="L91" s="153"/>
      <c r="M91" s="153"/>
      <c r="N91" s="153"/>
      <c r="O91" s="153"/>
      <c r="P91" s="153"/>
      <c r="Q91" s="153"/>
      <c r="R91" s="153"/>
      <c r="S91" s="153"/>
      <c r="T91" s="153"/>
      <c r="U91" s="153"/>
      <c r="V91" s="153"/>
      <c r="W91" s="153"/>
      <c r="X91" s="153"/>
      <c r="Y91" s="153"/>
      <c r="Z91" s="153"/>
      <c r="AA91" s="153"/>
      <c r="AB91" s="153"/>
      <c r="AC91" s="153"/>
    </row>
    <row r="92">
      <c r="A92" s="152" t="s">
        <v>318</v>
      </c>
      <c r="B92" s="133" t="str">
        <f>IFERROR(__xludf.DUMMYFUNCTION("FILTER ('Research Papers'!D:D,'Research Papers'!A:A=C92)"),"Scalable and Provable Biclique-Preserving Clustering: The Power of Counting-based Approaches")</f>
        <v>Scalable and Provable Biclique-Preserving Clustering: The Power of Counting-based Approaches</v>
      </c>
      <c r="C92" s="133" t="s">
        <v>459</v>
      </c>
      <c r="D92" s="153" t="str">
        <f t="shared" si="1"/>
        <v>Scalable and Provable Biclique-Preserving Clustering: The Power of Counting-based Approaches
Longlong Lin, Zeli Wang, Rong-Hua Li, Xiaohai Dai, Li Ni
and Jin Zhao
</v>
      </c>
      <c r="E92" s="153" t="str">
        <f>IFERROR(__xludf.DUMMYFUNCTION("TEXTJOIN(CHAR(10), TRUE,FILTER('Research Papers'!$C:$C,'Research Papers'!$A:$A=C92))"),"Longlong Lin, Zeli Wang, Rong-Hua Li, Xiaohai Dai, Li Ni
and Jin Zhao")</f>
        <v>Longlong Lin, Zeli Wang, Rong-Hua Li, Xiaohai Dai, Li Ni
and Jin Zhao</v>
      </c>
      <c r="F92" s="133" t="s">
        <v>213</v>
      </c>
      <c r="G92" s="133" t="s">
        <v>319</v>
      </c>
      <c r="H92" s="153"/>
      <c r="I92" s="120"/>
      <c r="J92" s="120"/>
      <c r="K92" s="153"/>
      <c r="L92" s="153"/>
      <c r="M92" s="153"/>
      <c r="N92" s="153"/>
      <c r="O92" s="153"/>
      <c r="P92" s="153"/>
      <c r="Q92" s="153"/>
      <c r="R92" s="153"/>
      <c r="S92" s="153"/>
      <c r="T92" s="153"/>
      <c r="U92" s="153"/>
      <c r="V92" s="153"/>
      <c r="W92" s="153"/>
      <c r="X92" s="153"/>
      <c r="Y92" s="153"/>
      <c r="Z92" s="153"/>
      <c r="AA92" s="153"/>
      <c r="AB92" s="153"/>
      <c r="AC92" s="153"/>
    </row>
    <row r="93">
      <c r="A93" s="152" t="s">
        <v>318</v>
      </c>
      <c r="B93" s="133" t="str">
        <f>IFERROR(__xludf.DUMMYFUNCTION("FILTER ('Research Papers'!D:D,'Research Papers'!A:A=C93)"),"Graph Diffusion Evolution Model for Multi-Conditional Molecular Generation")</f>
        <v>Graph Diffusion Evolution Model for Multi-Conditional Molecular Generation</v>
      </c>
      <c r="C93" s="133" t="s">
        <v>460</v>
      </c>
      <c r="D93" s="153" t="str">
        <f t="shared" si="1"/>
        <v>Graph Diffusion Evolution Model for Multi-Conditional Molecular Generation
Xingcheng Fu, Lingyun Liu, Yisen Gao, Tianyu Chen, Qingyun
Sun, Jianxin Li and Xianxian Li
</v>
      </c>
      <c r="E93" s="153" t="str">
        <f>IFERROR(__xludf.DUMMYFUNCTION("TEXTJOIN(CHAR(10), TRUE,FILTER('Research Papers'!$C:$C,'Research Papers'!$A:$A=C93))"),"Xingcheng Fu, Lingyun Liu, Yisen Gao, Tianyu Chen, Qingyun
Sun, Jianxin Li and Xianxian Li")</f>
        <v>Xingcheng Fu, Lingyun Liu, Yisen Gao, Tianyu Chen, Qingyun
Sun, Jianxin Li and Xianxian Li</v>
      </c>
      <c r="F93" s="133" t="s">
        <v>213</v>
      </c>
      <c r="G93" s="133" t="s">
        <v>319</v>
      </c>
      <c r="H93" s="153"/>
      <c r="I93" s="120"/>
      <c r="J93" s="120"/>
      <c r="K93" s="153"/>
      <c r="L93" s="153"/>
      <c r="M93" s="153"/>
      <c r="N93" s="153"/>
      <c r="O93" s="153"/>
      <c r="P93" s="153"/>
      <c r="Q93" s="153"/>
      <c r="R93" s="153"/>
      <c r="S93" s="153"/>
      <c r="T93" s="153"/>
      <c r="U93" s="153"/>
      <c r="V93" s="153"/>
      <c r="W93" s="153"/>
      <c r="X93" s="153"/>
      <c r="Y93" s="153"/>
      <c r="Z93" s="153"/>
      <c r="AA93" s="153"/>
      <c r="AB93" s="153"/>
      <c r="AC93" s="153"/>
    </row>
    <row r="94">
      <c r="A94" s="152" t="s">
        <v>318</v>
      </c>
      <c r="B94" s="133" t="str">
        <f>IFERROR(__xludf.DUMMYFUNCTION("FILTER ('Research Papers'!D:D,'Research Papers'!A:A=C94)"),"Integrated Mixture of Neighborhood and Community Experts for Graph-Based Fraud Detection")</f>
        <v>Integrated Mixture of Neighborhood and Community Experts for Graph-Based Fraud Detection</v>
      </c>
      <c r="C94" s="133" t="s">
        <v>461</v>
      </c>
      <c r="D94" s="153" t="str">
        <f t="shared" si="1"/>
        <v>Integrated Mixture of Neighborhood and Community Experts for Graph-Based Fraud Detection
Zhizhi Yu, Di Jin, Dongxiao He, Wenhuan Lu and Jianguo Wei
</v>
      </c>
      <c r="E94" s="153" t="str">
        <f>IFERROR(__xludf.DUMMYFUNCTION("TEXTJOIN(CHAR(10), TRUE,FILTER('Research Papers'!$C:$C,'Research Papers'!$A:$A=C94))"),"Zhizhi Yu, Di Jin, Dongxiao He, Wenhuan Lu and Jianguo Wei")</f>
        <v>Zhizhi Yu, Di Jin, Dongxiao He, Wenhuan Lu and Jianguo Wei</v>
      </c>
      <c r="F94" s="133" t="s">
        <v>213</v>
      </c>
      <c r="G94" s="133" t="s">
        <v>319</v>
      </c>
      <c r="H94" s="153"/>
      <c r="I94" s="120"/>
      <c r="J94" s="120"/>
      <c r="K94" s="153"/>
      <c r="L94" s="153"/>
      <c r="M94" s="153"/>
      <c r="N94" s="153"/>
      <c r="O94" s="153"/>
      <c r="P94" s="153"/>
      <c r="Q94" s="153"/>
      <c r="R94" s="153"/>
      <c r="S94" s="153"/>
      <c r="T94" s="153"/>
      <c r="U94" s="153"/>
      <c r="V94" s="153"/>
      <c r="W94" s="153"/>
      <c r="X94" s="153"/>
      <c r="Y94" s="153"/>
      <c r="Z94" s="153"/>
      <c r="AA94" s="153"/>
      <c r="AB94" s="153"/>
      <c r="AC94" s="153"/>
    </row>
    <row r="95">
      <c r="A95" s="152" t="s">
        <v>424</v>
      </c>
      <c r="B95" s="133" t="str">
        <f>IFERROR(__xludf.DUMMYFUNCTION("FILTER ('Research Papers'!D:D,'Research Papers'!A:A=C95)"),"FeedGuard: Online Critic-Guided Reinforcement Learning with Privacy-Preserving Feedback for Recommendation")</f>
        <v>FeedGuard: Online Critic-Guided Reinforcement Learning with Privacy-Preserving Feedback for Recommendation</v>
      </c>
      <c r="C95" s="133" t="s">
        <v>462</v>
      </c>
      <c r="D95" s="153" t="str">
        <f t="shared" si="1"/>
        <v>FeedGuard: Online Critic-Guided Reinforcement Learning with Privacy-Preserving Feedback for Recommendation
Mengying Zhu, Feiyue Chen, Lifan Jiang, Mengyuan Yang,
Yangyang Wu, Guanjie Cheng and Xiaolin Zheng
</v>
      </c>
      <c r="E95" s="153" t="str">
        <f>IFERROR(__xludf.DUMMYFUNCTION("TEXTJOIN(CHAR(10), TRUE,FILTER('Research Papers'!$C:$C,'Research Papers'!$A:$A=C95))"),"Mengying Zhu, Feiyue Chen, Lifan Jiang, Mengyuan Yang,
Yangyang Wu, Guanjie Cheng and Xiaolin Zheng")</f>
        <v>Mengying Zhu, Feiyue Chen, Lifan Jiang, Mengyuan Yang,
Yangyang Wu, Guanjie Cheng and Xiaolin Zheng</v>
      </c>
      <c r="F95" s="133" t="s">
        <v>213</v>
      </c>
      <c r="G95" s="133" t="s">
        <v>319</v>
      </c>
      <c r="H95" s="153"/>
      <c r="I95" s="120"/>
      <c r="J95" s="120"/>
      <c r="K95" s="153"/>
      <c r="L95" s="153"/>
      <c r="M95" s="153"/>
      <c r="N95" s="153"/>
      <c r="O95" s="153"/>
      <c r="P95" s="153"/>
      <c r="Q95" s="153"/>
      <c r="R95" s="153"/>
      <c r="S95" s="153"/>
      <c r="T95" s="153"/>
      <c r="U95" s="153"/>
      <c r="V95" s="153"/>
      <c r="W95" s="153"/>
      <c r="X95" s="153"/>
      <c r="Y95" s="153"/>
      <c r="Z95" s="153"/>
      <c r="AA95" s="153"/>
      <c r="AB95" s="153"/>
      <c r="AC95" s="153"/>
    </row>
    <row r="96">
      <c r="A96" s="152" t="s">
        <v>318</v>
      </c>
      <c r="B96" s="133" t="str">
        <f>IFERROR(__xludf.DUMMYFUNCTION("FILTER ('Research Papers'!D:D,'Research Papers'!A:A=C96)"),"HomeRun: Performing Curveball Trades quasi in Streaming for Fast Null Modeling of Graphs, Hypergraphs, and Binary Matrices")</f>
        <v>HomeRun: Performing Curveball Trades quasi in Streaming for Fast Null Modeling of Graphs, Hypergraphs, and Binary Matrices</v>
      </c>
      <c r="C96" s="133" t="s">
        <v>463</v>
      </c>
      <c r="D96" s="153" t="str">
        <f t="shared" si="1"/>
        <v>HomeRun: Performing Curveball Trades quasi in Streaming for Fast Null Modeling of Graphs, Hypergraphs, and Binary Matrices
Michelle Contreras-Catalan and Matteo Riondato
</v>
      </c>
      <c r="E96" s="153" t="str">
        <f>IFERROR(__xludf.DUMMYFUNCTION("TEXTJOIN(CHAR(10), TRUE,FILTER('Research Papers'!$C:$C,'Research Papers'!$A:$A=C96))"),"Michelle Contreras-Catalan and Matteo Riondato")</f>
        <v>Michelle Contreras-Catalan and Matteo Riondato</v>
      </c>
      <c r="F96" s="133" t="s">
        <v>213</v>
      </c>
      <c r="G96" s="133" t="s">
        <v>319</v>
      </c>
      <c r="H96" s="153"/>
      <c r="I96" s="120"/>
      <c r="J96" s="120"/>
      <c r="K96" s="153"/>
      <c r="L96" s="153"/>
      <c r="M96" s="153"/>
      <c r="N96" s="153"/>
      <c r="O96" s="153"/>
      <c r="P96" s="153"/>
      <c r="Q96" s="153"/>
      <c r="R96" s="153"/>
      <c r="S96" s="153"/>
      <c r="T96" s="153"/>
      <c r="U96" s="153"/>
      <c r="V96" s="153"/>
      <c r="W96" s="153"/>
      <c r="X96" s="153"/>
      <c r="Y96" s="153"/>
      <c r="Z96" s="153"/>
      <c r="AA96" s="153"/>
      <c r="AB96" s="153"/>
      <c r="AC96" s="153"/>
    </row>
    <row r="97">
      <c r="A97" s="152" t="s">
        <v>318</v>
      </c>
      <c r="B97" s="133" t="str">
        <f>IFERROR(__xludf.DUMMYFUNCTION("FILTER ('Research Papers'!D:D,'Research Papers'!A:A=C97)"),"TAWRMAC: A Novel Dynamic Graph Representation Learning Method")</f>
        <v>TAWRMAC: A Novel Dynamic Graph Representation Learning Method</v>
      </c>
      <c r="C97" s="133" t="s">
        <v>464</v>
      </c>
      <c r="D97" s="153" t="str">
        <f t="shared" si="1"/>
        <v>TAWRMAC: A Novel Dynamic Graph Representation Learning Method
Soheila Farokhi, Xiaojun Qi and Hamid Karimi
</v>
      </c>
      <c r="E97" s="153" t="str">
        <f>IFERROR(__xludf.DUMMYFUNCTION("TEXTJOIN(CHAR(10), TRUE,FILTER('Research Papers'!$C:$C,'Research Papers'!$A:$A=C97))"),"Soheila Farokhi, Xiaojun Qi and Hamid Karimi")</f>
        <v>Soheila Farokhi, Xiaojun Qi and Hamid Karimi</v>
      </c>
      <c r="F97" s="133" t="s">
        <v>213</v>
      </c>
      <c r="G97" s="133" t="s">
        <v>112</v>
      </c>
      <c r="H97" s="153"/>
      <c r="I97" s="120"/>
      <c r="J97" s="120"/>
      <c r="K97" s="153"/>
      <c r="L97" s="153"/>
      <c r="M97" s="153"/>
      <c r="N97" s="153"/>
      <c r="O97" s="153"/>
      <c r="P97" s="153"/>
      <c r="Q97" s="153"/>
      <c r="R97" s="153"/>
      <c r="S97" s="153"/>
      <c r="T97" s="153"/>
      <c r="U97" s="153"/>
      <c r="V97" s="153"/>
      <c r="W97" s="153"/>
      <c r="X97" s="153"/>
      <c r="Y97" s="153"/>
      <c r="Z97" s="153"/>
      <c r="AA97" s="153"/>
      <c r="AB97" s="153"/>
      <c r="AC97" s="153"/>
    </row>
    <row r="98">
      <c r="A98" s="152" t="s">
        <v>318</v>
      </c>
      <c r="B98" s="133" t="str">
        <f>IFERROR(__xludf.DUMMYFUNCTION("FILTER ('Research Papers'!D:D,'Research Papers'!A:A=C98)"),"negMIX: Negative Mixup for OOD Generalization in Open-Set Node Classification")</f>
        <v>negMIX: Negative Mixup for OOD Generalization in Open-Set Node Classification</v>
      </c>
      <c r="C98" s="133" t="s">
        <v>465</v>
      </c>
      <c r="D98" s="153" t="str">
        <f t="shared" si="1"/>
        <v>negMIX: Negative Mixup for OOD Generalization in Open-Set Node Classification
Junwei Gong, Xiao Shen, Zhihao Chen, Shirui Pan, Xiao Wang
and Xi Zhou
</v>
      </c>
      <c r="E98" s="153" t="str">
        <f>IFERROR(__xludf.DUMMYFUNCTION("TEXTJOIN(CHAR(10), TRUE,FILTER('Research Papers'!$C:$C,'Research Papers'!$A:$A=C98))"),"Junwei Gong, Xiao Shen, Zhihao Chen, Shirui Pan, Xiao Wang
and Xi Zhou")</f>
        <v>Junwei Gong, Xiao Shen, Zhihao Chen, Shirui Pan, Xiao Wang
and Xi Zhou</v>
      </c>
      <c r="F98" s="133" t="s">
        <v>213</v>
      </c>
      <c r="G98" s="133" t="s">
        <v>112</v>
      </c>
      <c r="H98" s="153"/>
      <c r="I98" s="120"/>
      <c r="J98" s="120"/>
      <c r="K98" s="153"/>
      <c r="L98" s="153"/>
      <c r="M98" s="153"/>
      <c r="N98" s="153"/>
      <c r="O98" s="153"/>
      <c r="P98" s="153"/>
      <c r="Q98" s="153"/>
      <c r="R98" s="153"/>
      <c r="S98" s="153"/>
      <c r="T98" s="153"/>
      <c r="U98" s="153"/>
      <c r="V98" s="153"/>
      <c r="W98" s="153"/>
      <c r="X98" s="153"/>
      <c r="Y98" s="153"/>
      <c r="Z98" s="153"/>
      <c r="AA98" s="153"/>
      <c r="AB98" s="153"/>
      <c r="AC98" s="153"/>
    </row>
    <row r="99">
      <c r="A99" s="152" t="s">
        <v>318</v>
      </c>
      <c r="B99" s="133" t="str">
        <f>IFERROR(__xludf.DUMMYFUNCTION("FILTER ('Research Papers'!D:D,'Research Papers'!A:A=C99)"),"UTAG: Leveraging LLM as a Unified Embedding Generator for Text-Attributed Graphs")</f>
        <v>UTAG: Leveraging LLM as a Unified Embedding Generator for Text-Attributed Graphs</v>
      </c>
      <c r="C99" s="133" t="s">
        <v>466</v>
      </c>
      <c r="D99" s="153" t="str">
        <f t="shared" si="1"/>
        <v>UTAG: Leveraging LLM as a Unified Embedding Generator for Text-Attributed Graphs
Mingqian Ding, Jianjun Li, Zhiyuan Ma, Liwei Zhang and
Wenqi Yang
</v>
      </c>
      <c r="E99" s="153" t="str">
        <f>IFERROR(__xludf.DUMMYFUNCTION("TEXTJOIN(CHAR(10), TRUE,FILTER('Research Papers'!$C:$C,'Research Papers'!$A:$A=C99))"),"Mingqian Ding, Jianjun Li, Zhiyuan Ma, Liwei Zhang and
Wenqi Yang")</f>
        <v>Mingqian Ding, Jianjun Li, Zhiyuan Ma, Liwei Zhang and
Wenqi Yang</v>
      </c>
      <c r="F99" s="133" t="s">
        <v>213</v>
      </c>
      <c r="G99" s="133" t="s">
        <v>112</v>
      </c>
      <c r="H99" s="153"/>
      <c r="I99" s="120"/>
      <c r="J99" s="120"/>
      <c r="K99" s="153"/>
      <c r="L99" s="153"/>
      <c r="M99" s="153"/>
      <c r="N99" s="153"/>
      <c r="O99" s="153"/>
      <c r="P99" s="153"/>
      <c r="Q99" s="153"/>
      <c r="R99" s="153"/>
      <c r="S99" s="153"/>
      <c r="T99" s="153"/>
      <c r="U99" s="153"/>
      <c r="V99" s="153"/>
      <c r="W99" s="153"/>
      <c r="X99" s="153"/>
      <c r="Y99" s="153"/>
      <c r="Z99" s="153"/>
      <c r="AA99" s="153"/>
      <c r="AB99" s="153"/>
      <c r="AC99" s="153"/>
    </row>
    <row r="100">
      <c r="A100" s="152" t="s">
        <v>318</v>
      </c>
      <c r="B100" s="133" t="str">
        <f>IFERROR(__xludf.DUMMYFUNCTION("FILTER ('Research Papers'!D:D,'Research Papers'!A:A=C100)"),"Mitigating Dynamic Graph Distribution Shifts via Mixture of Variational Experts")</f>
        <v>Mitigating Dynamic Graph Distribution Shifts via Mixture of Variational Experts</v>
      </c>
      <c r="C100" s="133" t="s">
        <v>467</v>
      </c>
      <c r="D100" s="153" t="str">
        <f t="shared" si="1"/>
        <v>Mitigating Dynamic Graph Distribution Shifts via Mixture of Variational Experts
Qianyu Song, Chao Li, Yeyu Yan, Hui Zhou, Zhongying Zhao
and Qingtian Zeng
</v>
      </c>
      <c r="E100" s="153" t="str">
        <f>IFERROR(__xludf.DUMMYFUNCTION("TEXTJOIN(CHAR(10), TRUE,FILTER('Research Papers'!$C:$C,'Research Papers'!$A:$A=C100))"),"Qianyu Song, Chao Li, Yeyu Yan, Hui Zhou, Zhongying Zhao
and Qingtian Zeng")</f>
        <v>Qianyu Song, Chao Li, Yeyu Yan, Hui Zhou, Zhongying Zhao
and Qingtian Zeng</v>
      </c>
      <c r="F100" s="133" t="s">
        <v>213</v>
      </c>
      <c r="G100" s="133" t="s">
        <v>112</v>
      </c>
      <c r="H100" s="153"/>
      <c r="I100" s="120"/>
      <c r="J100" s="120"/>
      <c r="K100" s="153"/>
      <c r="L100" s="153"/>
      <c r="M100" s="153"/>
      <c r="N100" s="153"/>
      <c r="O100" s="153"/>
      <c r="P100" s="153"/>
      <c r="Q100" s="153"/>
      <c r="R100" s="153"/>
      <c r="S100" s="153"/>
      <c r="T100" s="153"/>
      <c r="U100" s="153"/>
      <c r="V100" s="153"/>
      <c r="W100" s="153"/>
      <c r="X100" s="153"/>
      <c r="Y100" s="153"/>
      <c r="Z100" s="153"/>
      <c r="AA100" s="153"/>
      <c r="AB100" s="153"/>
      <c r="AC100" s="153"/>
    </row>
    <row r="101">
      <c r="A101" s="152" t="s">
        <v>318</v>
      </c>
      <c r="B101" s="133" t="str">
        <f>IFERROR(__xludf.DUMMYFUNCTION("FILTER ('Research Papers'!D:D,'Research Papers'!A:A=C101)"),"Text-attributed Graph Condensation via Text Selection and Attribute Matching")</f>
        <v>Text-attributed Graph Condensation via Text Selection and Attribute Matching</v>
      </c>
      <c r="C101" s="133" t="s">
        <v>468</v>
      </c>
      <c r="D101" s="153" t="str">
        <f t="shared" si="1"/>
        <v>Text-attributed Graph Condensation via Text Selection and Attribute Matching
Haowei Han, Yuxiang Wang, Guojia Wan, Hao Wang, Shanshan
Feng, Hao Huang, Jiawei Jiang and Xiao Yan
</v>
      </c>
      <c r="E101" s="153" t="str">
        <f>IFERROR(__xludf.DUMMYFUNCTION("TEXTJOIN(CHAR(10), TRUE,FILTER('Research Papers'!$C:$C,'Research Papers'!$A:$A=C101))"),"Haowei Han, Yuxiang Wang, Guojia Wan, Hao Wang, Shanshan
Feng, Hao Huang, Jiawei Jiang and Xiao Yan")</f>
        <v>Haowei Han, Yuxiang Wang, Guojia Wan, Hao Wang, Shanshan
Feng, Hao Huang, Jiawei Jiang and Xiao Yan</v>
      </c>
      <c r="F101" s="133" t="s">
        <v>213</v>
      </c>
      <c r="G101" s="133" t="s">
        <v>112</v>
      </c>
      <c r="H101" s="153"/>
      <c r="I101" s="120"/>
      <c r="J101" s="120"/>
      <c r="K101" s="153"/>
      <c r="L101" s="153"/>
      <c r="M101" s="153"/>
      <c r="N101" s="153"/>
      <c r="O101" s="153"/>
      <c r="P101" s="153"/>
      <c r="Q101" s="153"/>
      <c r="R101" s="153"/>
      <c r="S101" s="153"/>
      <c r="T101" s="153"/>
      <c r="U101" s="153"/>
      <c r="V101" s="153"/>
      <c r="W101" s="153"/>
      <c r="X101" s="153"/>
      <c r="Y101" s="153"/>
      <c r="Z101" s="153"/>
      <c r="AA101" s="153"/>
      <c r="AB101" s="153"/>
      <c r="AC101" s="153"/>
    </row>
    <row r="102">
      <c r="A102" s="152" t="s">
        <v>318</v>
      </c>
      <c r="B102" s="133" t="str">
        <f>IFERROR(__xludf.DUMMYFUNCTION("FILTER ('Research Papers'!D:D,'Research Papers'!A:A=C102)"),"Practical Group Steiner Tree Algorithms for Web Applications with Many Groups")</f>
        <v>Practical Group Steiner Tree Algorithms for Web Applications with Many Groups</v>
      </c>
      <c r="C102" s="133" t="s">
        <v>469</v>
      </c>
      <c r="D102" s="153" t="str">
        <f t="shared" si="1"/>
        <v>Practical Group Steiner Tree Algorithms for Web Applications with Many Groups
Qicheng Shan, Yuxuan Yang and Gong Cheng
</v>
      </c>
      <c r="E102" s="153" t="str">
        <f>IFERROR(__xludf.DUMMYFUNCTION("TEXTJOIN(CHAR(10), TRUE,FILTER('Research Papers'!$C:$C,'Research Papers'!$A:$A=C102))"),"Qicheng Shan, Yuxuan Yang and Gong Cheng")</f>
        <v>Qicheng Shan, Yuxuan Yang and Gong Cheng</v>
      </c>
      <c r="F102" s="133" t="s">
        <v>213</v>
      </c>
      <c r="G102" s="133" t="s">
        <v>112</v>
      </c>
      <c r="H102" s="153"/>
      <c r="I102" s="120"/>
      <c r="J102" s="120"/>
      <c r="K102" s="153"/>
      <c r="L102" s="153"/>
      <c r="M102" s="153"/>
      <c r="N102" s="153"/>
      <c r="O102" s="153"/>
      <c r="P102" s="153"/>
      <c r="Q102" s="153"/>
      <c r="R102" s="153"/>
      <c r="S102" s="153"/>
      <c r="T102" s="153"/>
      <c r="U102" s="153"/>
      <c r="V102" s="153"/>
      <c r="W102" s="153"/>
      <c r="X102" s="153"/>
      <c r="Y102" s="153"/>
      <c r="Z102" s="153"/>
      <c r="AA102" s="153"/>
      <c r="AB102" s="153"/>
      <c r="AC102" s="153"/>
    </row>
    <row r="103">
      <c r="A103" s="152" t="s">
        <v>318</v>
      </c>
      <c r="B103" s="133" t="str">
        <f>IFERROR(__xludf.DUMMYFUNCTION("FILTER ('Research Papers'!D:D,'Research Papers'!A:A=C103)"),"GraphTARIF: Linear Graph Transformer with Augmented Rank and Improved Focus")</f>
        <v>GraphTARIF: Linear Graph Transformer with Augmented Rank and Improved Focus</v>
      </c>
      <c r="C103" s="133" t="s">
        <v>470</v>
      </c>
      <c r="D103" s="153" t="str">
        <f t="shared" si="1"/>
        <v>GraphTARIF: Linear Graph Transformer with Augmented Rank and Improved Focus
Zhaolin Hu, Kun Li, Hehe Fan and Yi Yang
</v>
      </c>
      <c r="E103" s="153" t="str">
        <f>IFERROR(__xludf.DUMMYFUNCTION("TEXTJOIN(CHAR(10), TRUE,FILTER('Research Papers'!$C:$C,'Research Papers'!$A:$A=C103))"),"Zhaolin Hu, Kun Li, Hehe Fan and Yi Yang")</f>
        <v>Zhaolin Hu, Kun Li, Hehe Fan and Yi Yang</v>
      </c>
      <c r="F103" s="133" t="s">
        <v>213</v>
      </c>
      <c r="G103" s="133" t="s">
        <v>112</v>
      </c>
      <c r="H103" s="153"/>
      <c r="I103" s="120"/>
      <c r="J103" s="120"/>
      <c r="K103" s="153"/>
      <c r="L103" s="153"/>
      <c r="M103" s="153"/>
      <c r="N103" s="153"/>
      <c r="O103" s="153"/>
      <c r="P103" s="153"/>
      <c r="Q103" s="153"/>
      <c r="R103" s="153"/>
      <c r="S103" s="153"/>
      <c r="T103" s="153"/>
      <c r="U103" s="153"/>
      <c r="V103" s="153"/>
      <c r="W103" s="153"/>
      <c r="X103" s="153"/>
      <c r="Y103" s="153"/>
      <c r="Z103" s="153"/>
      <c r="AA103" s="153"/>
      <c r="AB103" s="153"/>
      <c r="AC103" s="153"/>
    </row>
    <row r="104">
      <c r="A104" s="152" t="s">
        <v>318</v>
      </c>
      <c r="B104" s="133" t="str">
        <f>IFERROR(__xludf.DUMMYFUNCTION("FILTER ('Research Papers'!D:D,'Research Papers'!A:A=C104)"),"VSAL: A Vision Solver with Adaptive Layouts for Graph Property Detection")</f>
        <v>VSAL: A Vision Solver with Adaptive Layouts for Graph Property Detection</v>
      </c>
      <c r="C104" s="133" t="s">
        <v>471</v>
      </c>
      <c r="D104" s="153" t="str">
        <f t="shared" si="1"/>
        <v>VSAL: A Vision Solver with Adaptive Layouts for Graph Property Detection
Jiahao Xie and Guangmo Tong
</v>
      </c>
      <c r="E104" s="153" t="str">
        <f>IFERROR(__xludf.DUMMYFUNCTION("TEXTJOIN(CHAR(10), TRUE,FILTER('Research Papers'!$C:$C,'Research Papers'!$A:$A=C104))"),"Jiahao Xie and Guangmo Tong")</f>
        <v>Jiahao Xie and Guangmo Tong</v>
      </c>
      <c r="F104" s="133" t="s">
        <v>213</v>
      </c>
      <c r="G104" s="133" t="s">
        <v>112</v>
      </c>
      <c r="H104" s="153"/>
      <c r="I104" s="120"/>
      <c r="J104" s="120"/>
      <c r="K104" s="153"/>
      <c r="L104" s="153"/>
      <c r="M104" s="153"/>
      <c r="N104" s="153"/>
      <c r="O104" s="153"/>
      <c r="P104" s="153"/>
      <c r="Q104" s="153"/>
      <c r="R104" s="153"/>
      <c r="S104" s="153"/>
      <c r="T104" s="153"/>
      <c r="U104" s="153"/>
      <c r="V104" s="153"/>
      <c r="W104" s="153"/>
      <c r="X104" s="153"/>
      <c r="Y104" s="153"/>
      <c r="Z104" s="153"/>
      <c r="AA104" s="153"/>
      <c r="AB104" s="153"/>
      <c r="AC104" s="153"/>
    </row>
    <row r="105">
      <c r="A105" s="152" t="s">
        <v>318</v>
      </c>
      <c r="B105" s="133" t="str">
        <f>IFERROR(__xludf.DUMMYFUNCTION("FILTER ('Research Papers'!D:D,'Research Papers'!A:A=C105)"),"Sustained Vertex Cover on Temporal Graphs")</f>
        <v>Sustained Vertex Cover on Temporal Graphs</v>
      </c>
      <c r="C105" s="133" t="s">
        <v>472</v>
      </c>
      <c r="D105" s="153" t="str">
        <f t="shared" si="1"/>
        <v>Sustained Vertex Cover on Temporal Graphs
Junqiang Peng, Tian Bai, Jingyang Zhao and Mingyu Xiao
</v>
      </c>
      <c r="E105" s="153" t="str">
        <f>IFERROR(__xludf.DUMMYFUNCTION("TEXTJOIN(CHAR(10), TRUE,FILTER('Research Papers'!$C:$C,'Research Papers'!$A:$A=C105))"),"Junqiang Peng, Tian Bai, Jingyang Zhao and Mingyu Xiao")</f>
        <v>Junqiang Peng, Tian Bai, Jingyang Zhao and Mingyu Xiao</v>
      </c>
      <c r="F105" s="133" t="s">
        <v>213</v>
      </c>
      <c r="G105" s="133" t="s">
        <v>112</v>
      </c>
      <c r="H105" s="153"/>
      <c r="I105" s="120"/>
      <c r="J105" s="120"/>
      <c r="K105" s="153"/>
      <c r="L105" s="153"/>
      <c r="M105" s="153"/>
      <c r="N105" s="153"/>
      <c r="O105" s="153"/>
      <c r="P105" s="153"/>
      <c r="Q105" s="153"/>
      <c r="R105" s="153"/>
      <c r="S105" s="153"/>
      <c r="T105" s="153"/>
      <c r="U105" s="153"/>
      <c r="V105" s="153"/>
      <c r="W105" s="153"/>
      <c r="X105" s="153"/>
      <c r="Y105" s="153"/>
      <c r="Z105" s="153"/>
      <c r="AA105" s="153"/>
      <c r="AB105" s="153"/>
      <c r="AC105" s="153"/>
    </row>
    <row r="106">
      <c r="A106" s="152" t="s">
        <v>318</v>
      </c>
      <c r="B106" s="133" t="str">
        <f>IFERROR(__xludf.DUMMYFUNCTION("FILTER ('Research Papers'!D:D,'Research Papers'!A:A=C106)"),"Dual-level Reweighting for Positive-Unlabeled Graph Classification")</f>
        <v>Dual-level Reweighting for Positive-Unlabeled Graph Classification</v>
      </c>
      <c r="C106" s="133" t="s">
        <v>473</v>
      </c>
      <c r="D106" s="153" t="str">
        <f t="shared" si="1"/>
        <v>Dual-level Reweighting for Positive-Unlabeled Graph Classification
Junghun Kim, Shihyung Park and U Kang
</v>
      </c>
      <c r="E106" s="153" t="str">
        <f>IFERROR(__xludf.DUMMYFUNCTION("TEXTJOIN(CHAR(10), TRUE,FILTER('Research Papers'!$C:$C,'Research Papers'!$A:$A=C106))"),"Junghun Kim, Shihyung Park and U Kang")</f>
        <v>Junghun Kim, Shihyung Park and U Kang</v>
      </c>
      <c r="F106" s="133" t="s">
        <v>213</v>
      </c>
      <c r="G106" s="133" t="s">
        <v>112</v>
      </c>
      <c r="H106" s="153"/>
      <c r="I106" s="120"/>
      <c r="J106" s="120"/>
      <c r="K106" s="153"/>
      <c r="L106" s="153"/>
      <c r="M106" s="153"/>
      <c r="N106" s="153"/>
      <c r="O106" s="153"/>
      <c r="P106" s="153"/>
      <c r="Q106" s="153"/>
      <c r="R106" s="153"/>
      <c r="S106" s="153"/>
      <c r="T106" s="153"/>
      <c r="U106" s="153"/>
      <c r="V106" s="153"/>
      <c r="W106" s="153"/>
      <c r="X106" s="153"/>
      <c r="Y106" s="153"/>
      <c r="Z106" s="153"/>
      <c r="AA106" s="153"/>
      <c r="AB106" s="153"/>
      <c r="AC106" s="153"/>
    </row>
    <row r="107">
      <c r="A107" s="152" t="s">
        <v>318</v>
      </c>
      <c r="B107" s="133" t="str">
        <f>IFERROR(__xludf.DUMMYFUNCTION("FILTER ('Research Papers'!D:D,'Research Papers'!A:A=C107)"),"A Unified Graph Clustering Network")</f>
        <v>A Unified Graph Clustering Network</v>
      </c>
      <c r="C107" s="133" t="s">
        <v>474</v>
      </c>
      <c r="D107" s="153" t="str">
        <f t="shared" si="1"/>
        <v>A Unified Graph Clustering Network
Renda Han, Xiaobao Wang, Longbiao Wang, Wenxin Zhang,
Ronghao Fu, Kaiming Wang, Zeyu Zhang and Kuntharrgyal Khysru
</v>
      </c>
      <c r="E107" s="153" t="str">
        <f>IFERROR(__xludf.DUMMYFUNCTION("TEXTJOIN(CHAR(10), TRUE,FILTER('Research Papers'!$C:$C,'Research Papers'!$A:$A=C107))"),"Renda Han, Xiaobao Wang, Longbiao Wang, Wenxin Zhang,
Ronghao Fu, Kaiming Wang, Zeyu Zhang and Kuntharrgyal Khysru")</f>
        <v>Renda Han, Xiaobao Wang, Longbiao Wang, Wenxin Zhang,
Ronghao Fu, Kaiming Wang, Zeyu Zhang and Kuntharrgyal Khysru</v>
      </c>
      <c r="F107" s="133" t="s">
        <v>213</v>
      </c>
      <c r="G107" s="133" t="s">
        <v>320</v>
      </c>
      <c r="H107" s="153"/>
      <c r="I107" s="120"/>
      <c r="J107" s="120"/>
      <c r="K107" s="153"/>
      <c r="L107" s="153"/>
      <c r="M107" s="153"/>
      <c r="N107" s="153"/>
      <c r="O107" s="153"/>
      <c r="P107" s="153"/>
      <c r="Q107" s="153"/>
      <c r="R107" s="153"/>
      <c r="S107" s="153"/>
      <c r="T107" s="153"/>
      <c r="U107" s="153"/>
      <c r="V107" s="153"/>
      <c r="W107" s="153"/>
      <c r="X107" s="153"/>
      <c r="Y107" s="153"/>
      <c r="Z107" s="153"/>
      <c r="AA107" s="153"/>
      <c r="AB107" s="153"/>
      <c r="AC107" s="153"/>
    </row>
    <row r="108">
      <c r="A108" s="152" t="s">
        <v>318</v>
      </c>
      <c r="B108" s="133" t="str">
        <f>IFERROR(__xludf.DUMMYFUNCTION("FILTER ('Research Papers'!D:D,'Research Papers'!A:A=C108)"),"E$^2$SGNN: Reconciling Expression and Efficiency in Spiking Graph Neural Network")</f>
        <v>E$^2$SGNN: Reconciling Expression and Efficiency in Spiking Graph Neural Network</v>
      </c>
      <c r="C108" s="133" t="s">
        <v>475</v>
      </c>
      <c r="D108" s="153" t="str">
        <f t="shared" si="1"/>
        <v>E$^2$SGNN: Reconciling Expression and Efficiency in Spiking Graph Neural Network
Han Zhao, Xu Yang, Cheng Deng and Fan Liu
</v>
      </c>
      <c r="E108" s="153" t="str">
        <f>IFERROR(__xludf.DUMMYFUNCTION("TEXTJOIN(CHAR(10), TRUE,FILTER('Research Papers'!$C:$C,'Research Papers'!$A:$A=C108))"),"Han Zhao, Xu Yang, Cheng Deng and Fan Liu")</f>
        <v>Han Zhao, Xu Yang, Cheng Deng and Fan Liu</v>
      </c>
      <c r="F108" s="133" t="s">
        <v>213</v>
      </c>
      <c r="G108" s="133" t="s">
        <v>320</v>
      </c>
      <c r="H108" s="153"/>
      <c r="I108" s="120"/>
      <c r="J108" s="120"/>
      <c r="K108" s="153"/>
      <c r="L108" s="153"/>
      <c r="M108" s="153"/>
      <c r="N108" s="153"/>
      <c r="O108" s="153"/>
      <c r="P108" s="153"/>
      <c r="Q108" s="153"/>
      <c r="R108" s="153"/>
      <c r="S108" s="153"/>
      <c r="T108" s="153"/>
      <c r="U108" s="153"/>
      <c r="V108" s="153"/>
      <c r="W108" s="153"/>
      <c r="X108" s="153"/>
      <c r="Y108" s="153"/>
      <c r="Z108" s="153"/>
      <c r="AA108" s="153"/>
      <c r="AB108" s="153"/>
      <c r="AC108" s="153"/>
    </row>
    <row r="109">
      <c r="A109" s="152" t="s">
        <v>318</v>
      </c>
      <c r="B109" s="133" t="str">
        <f>IFERROR(__xludf.DUMMYFUNCTION("FILTER ('Research Papers'!D:D,'Research Papers'!A:A=C109)"),"Graph-to-Tree: Topological Decomposition for Self-Supervised Learning")</f>
        <v>Graph-to-Tree: Topological Decomposition for Self-Supervised Learning</v>
      </c>
      <c r="C109" s="133" t="s">
        <v>476</v>
      </c>
      <c r="D109" s="153" t="str">
        <f t="shared" si="1"/>
        <v>Graph-to-Tree: Topological Decomposition for Self-Supervised Learning
Yejiang Wang, Yuhai Zhao, Fangting Li, Jiapu Wang, Meixia
Wang, Ling Li, Miaomiao Huang, Zhengkui Wang and Shirui Pan
</v>
      </c>
      <c r="E109" s="153" t="str">
        <f>IFERROR(__xludf.DUMMYFUNCTION("TEXTJOIN(CHAR(10), TRUE,FILTER('Research Papers'!$C:$C,'Research Papers'!$A:$A=C109))"),"Yejiang Wang, Yuhai Zhao, Fangting Li, Jiapu Wang, Meixia
Wang, Ling Li, Miaomiao Huang, Zhengkui Wang and Shirui Pan")</f>
        <v>Yejiang Wang, Yuhai Zhao, Fangting Li, Jiapu Wang, Meixia
Wang, Ling Li, Miaomiao Huang, Zhengkui Wang and Shirui Pan</v>
      </c>
      <c r="F109" s="133" t="s">
        <v>213</v>
      </c>
      <c r="G109" s="133" t="s">
        <v>320</v>
      </c>
      <c r="H109" s="153"/>
      <c r="I109" s="120"/>
      <c r="J109" s="120"/>
      <c r="K109" s="153"/>
      <c r="L109" s="153"/>
      <c r="M109" s="153"/>
      <c r="N109" s="153"/>
      <c r="O109" s="153"/>
      <c r="P109" s="153"/>
      <c r="Q109" s="153"/>
      <c r="R109" s="153"/>
      <c r="S109" s="153"/>
      <c r="T109" s="153"/>
      <c r="U109" s="153"/>
      <c r="V109" s="153"/>
      <c r="W109" s="153"/>
      <c r="X109" s="153"/>
      <c r="Y109" s="153"/>
      <c r="Z109" s="153"/>
      <c r="AA109" s="153"/>
      <c r="AB109" s="153"/>
      <c r="AC109" s="153"/>
    </row>
    <row r="110">
      <c r="A110" s="152" t="s">
        <v>318</v>
      </c>
      <c r="B110" s="133" t="str">
        <f>IFERROR(__xludf.DUMMYFUNCTION("FILTER ('Research Papers'!D:D,'Research Papers'!A:A=C110)"),"Revisiting Graph-Level Anomaly Detection: From Partially to Fully Unsupervised Learning")</f>
        <v>Revisiting Graph-Level Anomaly Detection: From Partially to Fully Unsupervised Learning</v>
      </c>
      <c r="C110" s="133" t="s">
        <v>477</v>
      </c>
      <c r="D110" s="153" t="str">
        <f t="shared" si="1"/>
        <v>Revisiting Graph-Level Anomaly Detection: From Partially to Fully Unsupervised Learning
Zhenyu Yang, Ge Zhang, Shan Xue, Xiaoxiao Ma, Jian Yang,
Hao Peng, Amin Beheshti and Jia Wu
</v>
      </c>
      <c r="E110" s="153" t="str">
        <f>IFERROR(__xludf.DUMMYFUNCTION("TEXTJOIN(CHAR(10), TRUE,FILTER('Research Papers'!$C:$C,'Research Papers'!$A:$A=C110))"),"Zhenyu Yang, Ge Zhang, Shan Xue, Xiaoxiao Ma, Jian Yang,
Hao Peng, Amin Beheshti and Jia Wu")</f>
        <v>Zhenyu Yang, Ge Zhang, Shan Xue, Xiaoxiao Ma, Jian Yang,
Hao Peng, Amin Beheshti and Jia Wu</v>
      </c>
      <c r="F110" s="133" t="s">
        <v>213</v>
      </c>
      <c r="G110" s="133" t="s">
        <v>320</v>
      </c>
      <c r="H110" s="153"/>
      <c r="I110" s="120"/>
      <c r="J110" s="120"/>
      <c r="K110" s="153"/>
      <c r="L110" s="153"/>
      <c r="M110" s="153"/>
      <c r="N110" s="153"/>
      <c r="O110" s="153"/>
      <c r="P110" s="153"/>
      <c r="Q110" s="153"/>
      <c r="R110" s="153"/>
      <c r="S110" s="153"/>
      <c r="T110" s="153"/>
      <c r="U110" s="153"/>
      <c r="V110" s="153"/>
      <c r="W110" s="153"/>
      <c r="X110" s="153"/>
      <c r="Y110" s="153"/>
      <c r="Z110" s="153"/>
      <c r="AA110" s="153"/>
      <c r="AB110" s="153"/>
      <c r="AC110" s="153"/>
    </row>
    <row r="111">
      <c r="A111" s="152" t="s">
        <v>318</v>
      </c>
      <c r="B111" s="133" t="str">
        <f>IFERROR(__xludf.DUMMYFUNCTION("FILTER ('Research Papers'!D:D,'Research Papers'!A:A=C111)"),"FedCND: Federated Graph-Level Clustering under Inter-Client Cluster Number Discrepancy")</f>
        <v>FedCND: Federated Graph-Level Clustering under Inter-Client Cluster Number Discrepancy</v>
      </c>
      <c r="C111" s="133" t="s">
        <v>478</v>
      </c>
      <c r="D111" s="153" t="str">
        <f t="shared" si="1"/>
        <v>FedCND: Federated Graph-Level Clustering under Inter-Client Cluster Number Discrepancy
Junlong Wu, Renda Han, Wenxuan Tu, Jingxin Liu, Haotian
Wang and Jieren Cheng
</v>
      </c>
      <c r="E111" s="153" t="str">
        <f>IFERROR(__xludf.DUMMYFUNCTION("TEXTJOIN(CHAR(10), TRUE,FILTER('Research Papers'!$C:$C,'Research Papers'!$A:$A=C111))"),"Junlong Wu, Renda Han, Wenxuan Tu, Jingxin Liu, Haotian
Wang and Jieren Cheng")</f>
        <v>Junlong Wu, Renda Han, Wenxuan Tu, Jingxin Liu, Haotian
Wang and Jieren Cheng</v>
      </c>
      <c r="F111" s="133" t="s">
        <v>213</v>
      </c>
      <c r="G111" s="133" t="s">
        <v>320</v>
      </c>
      <c r="H111" s="153"/>
      <c r="I111" s="120"/>
      <c r="J111" s="120"/>
      <c r="K111" s="153"/>
      <c r="L111" s="153"/>
      <c r="M111" s="153"/>
      <c r="N111" s="153"/>
      <c r="O111" s="153"/>
      <c r="P111" s="153"/>
      <c r="Q111" s="153"/>
      <c r="R111" s="153"/>
      <c r="S111" s="153"/>
      <c r="T111" s="153"/>
      <c r="U111" s="153"/>
      <c r="V111" s="153"/>
      <c r="W111" s="153"/>
      <c r="X111" s="153"/>
      <c r="Y111" s="153"/>
      <c r="Z111" s="153"/>
      <c r="AA111" s="153"/>
      <c r="AB111" s="153"/>
      <c r="AC111" s="153"/>
    </row>
    <row r="112">
      <c r="A112" s="152" t="s">
        <v>318</v>
      </c>
      <c r="B112" s="133" t="str">
        <f>IFERROR(__xludf.DUMMYFUNCTION("FILTER ('Research Papers'!D:D,'Research Papers'!A:A=C112)"),"SCOUT: Structure-Aware Aspect and Anchor-Count Selection for Node Attribute Augmentation via Positional Information")</f>
        <v>SCOUT: Structure-Aware Aspect and Anchor-Count Selection for Node Attribute Augmentation via Positional Information</v>
      </c>
      <c r="C112" s="133" t="s">
        <v>479</v>
      </c>
      <c r="D112" s="153" t="str">
        <f t="shared" si="1"/>
        <v>SCOUT: Structure-Aware Aspect and Anchor-Count Selection for Node Attribute Augmentation via Positional Information
Dong-Hyuk Seo, Sein Kim, Taeri Kim, Won-Yong Shin and
Sang-Wook Kim
</v>
      </c>
      <c r="E112" s="153" t="str">
        <f>IFERROR(__xludf.DUMMYFUNCTION("TEXTJOIN(CHAR(10), TRUE,FILTER('Research Papers'!$C:$C,'Research Papers'!$A:$A=C112))"),"Dong-Hyuk Seo, Sein Kim, Taeri Kim, Won-Yong Shin and
Sang-Wook Kim")</f>
        <v>Dong-Hyuk Seo, Sein Kim, Taeri Kim, Won-Yong Shin and
Sang-Wook Kim</v>
      </c>
      <c r="F112" s="133" t="s">
        <v>213</v>
      </c>
      <c r="G112" s="133" t="s">
        <v>320</v>
      </c>
      <c r="H112" s="153"/>
      <c r="I112" s="120"/>
      <c r="J112" s="120"/>
      <c r="K112" s="153"/>
      <c r="L112" s="153"/>
      <c r="M112" s="153"/>
      <c r="N112" s="153"/>
      <c r="O112" s="153"/>
      <c r="P112" s="153"/>
      <c r="Q112" s="153"/>
      <c r="R112" s="153"/>
      <c r="S112" s="153"/>
      <c r="T112" s="153"/>
      <c r="U112" s="153"/>
      <c r="V112" s="153"/>
      <c r="W112" s="153"/>
      <c r="X112" s="153"/>
      <c r="Y112" s="153"/>
      <c r="Z112" s="153"/>
      <c r="AA112" s="153"/>
      <c r="AB112" s="153"/>
      <c r="AC112" s="153"/>
    </row>
    <row r="113">
      <c r="A113" s="152" t="s">
        <v>318</v>
      </c>
      <c r="B113" s="133" t="str">
        <f>IFERROR(__xludf.DUMMYFUNCTION("FILTER ('Research Papers'!D:D,'Research Papers'!A:A=C113)"),"Breaking the Scalability Barrier in Constrained Graph-Based Networked Control via Decision-Focused Learning")</f>
        <v>Breaking the Scalability Barrier in Constrained Graph-Based Networked Control via Decision-Focused Learning</v>
      </c>
      <c r="C113" s="133" t="s">
        <v>480</v>
      </c>
      <c r="D113" s="153" t="str">
        <f t="shared" si="1"/>
        <v>Breaking the Scalability Barrier in Constrained Graph-Based Networked Control via Decision-Focused Learning
Zhaoxing Yang, Yuchen Guo, Wenlong Li, Guiyun Fan, Haiming
Jin and Linghe Kong
</v>
      </c>
      <c r="E113" s="153" t="str">
        <f>IFERROR(__xludf.DUMMYFUNCTION("TEXTJOIN(CHAR(10), TRUE,FILTER('Research Papers'!$C:$C,'Research Papers'!$A:$A=C113))"),"Zhaoxing Yang, Yuchen Guo, Wenlong Li, Guiyun Fan, Haiming
Jin and Linghe Kong")</f>
        <v>Zhaoxing Yang, Yuchen Guo, Wenlong Li, Guiyun Fan, Haiming
Jin and Linghe Kong</v>
      </c>
      <c r="F113" s="133" t="s">
        <v>213</v>
      </c>
      <c r="G113" s="133" t="s">
        <v>320</v>
      </c>
      <c r="H113" s="153"/>
      <c r="I113" s="120"/>
      <c r="J113" s="120"/>
      <c r="K113" s="153"/>
      <c r="L113" s="153"/>
      <c r="M113" s="153"/>
      <c r="N113" s="153"/>
      <c r="O113" s="153"/>
      <c r="P113" s="153"/>
      <c r="Q113" s="153"/>
      <c r="R113" s="153"/>
      <c r="S113" s="153"/>
      <c r="T113" s="153"/>
      <c r="U113" s="153"/>
      <c r="V113" s="153"/>
      <c r="W113" s="153"/>
      <c r="X113" s="153"/>
      <c r="Y113" s="153"/>
      <c r="Z113" s="153"/>
      <c r="AA113" s="153"/>
      <c r="AB113" s="153"/>
      <c r="AC113" s="153"/>
    </row>
    <row r="114">
      <c r="A114" s="152" t="s">
        <v>318</v>
      </c>
      <c r="B114" s="133" t="str">
        <f>IFERROR(__xludf.DUMMYFUNCTION("FILTER ('Research Papers'!D:D,'Research Papers'!A:A=C114)"),"Invariant Learning on Heterogeneous Graphs via Subgraph Environment Inference")</f>
        <v>Invariant Learning on Heterogeneous Graphs via Subgraph Environment Inference</v>
      </c>
      <c r="C114" s="133" t="s">
        <v>481</v>
      </c>
      <c r="D114" s="153" t="str">
        <f t="shared" si="1"/>
        <v>Invariant Learning on Heterogeneous Graphs via Subgraph Environment Inference
Yanghui Fu, Yunfei Wang, Hao Zou, Yue He, Haotian Wang,
Qing Cheng, Guangquan Cheng and Shixuan Liu
</v>
      </c>
      <c r="E114" s="153" t="str">
        <f>IFERROR(__xludf.DUMMYFUNCTION("TEXTJOIN(CHAR(10), TRUE,FILTER('Research Papers'!$C:$C,'Research Papers'!$A:$A=C114))"),"Yanghui Fu, Yunfei Wang, Hao Zou, Yue He, Haotian Wang,
Qing Cheng, Guangquan Cheng and Shixuan Liu")</f>
        <v>Yanghui Fu, Yunfei Wang, Hao Zou, Yue He, Haotian Wang,
Qing Cheng, Guangquan Cheng and Shixuan Liu</v>
      </c>
      <c r="F114" s="133" t="s">
        <v>213</v>
      </c>
      <c r="G114" s="133" t="s">
        <v>320</v>
      </c>
      <c r="H114" s="153"/>
      <c r="I114" s="120"/>
      <c r="J114" s="120"/>
      <c r="K114" s="153"/>
      <c r="L114" s="153"/>
      <c r="M114" s="153"/>
      <c r="N114" s="153"/>
      <c r="O114" s="153"/>
      <c r="P114" s="153"/>
      <c r="Q114" s="153"/>
      <c r="R114" s="153"/>
      <c r="S114" s="153"/>
      <c r="T114" s="153"/>
      <c r="U114" s="153"/>
      <c r="V114" s="153"/>
      <c r="W114" s="153"/>
      <c r="X114" s="153"/>
      <c r="Y114" s="153"/>
      <c r="Z114" s="153"/>
      <c r="AA114" s="153"/>
      <c r="AB114" s="153"/>
      <c r="AC114" s="153"/>
    </row>
    <row r="115">
      <c r="A115" s="152" t="s">
        <v>318</v>
      </c>
      <c r="B115" s="133" t="str">
        <f>IFERROR(__xludf.DUMMYFUNCTION("FILTER ('Research Papers'!D:D,'Research Papers'!A:A=C115)"),"ScaleGNN: Towards Scalable Graph Neural Networks via Adaptive High-order Neighboring Feature Fusion")</f>
        <v>ScaleGNN: Towards Scalable Graph Neural Networks via Adaptive High-order Neighboring Feature Fusion</v>
      </c>
      <c r="C115" s="133" t="s">
        <v>482</v>
      </c>
      <c r="D115" s="153" t="str">
        <f t="shared" si="1"/>
        <v>ScaleGNN: Towards Scalable Graph Neural Networks via Adaptive High-order Neighboring Feature Fusion
Xiang Li, Jianpeng Qi, Haobing Liu, Yuan Cao, Guoqing Chao,
Zhongying Zhao, Junyu Dong, Xinwang Liu and Yanwei Yu
</v>
      </c>
      <c r="E115" s="153" t="str">
        <f>IFERROR(__xludf.DUMMYFUNCTION("TEXTJOIN(CHAR(10), TRUE,FILTER('Research Papers'!$C:$C,'Research Papers'!$A:$A=C115))"),"Xiang Li, Jianpeng Qi, Haobing Liu, Yuan Cao, Guoqing Chao,
Zhongying Zhao, Junyu Dong, Xinwang Liu and Yanwei Yu")</f>
        <v>Xiang Li, Jianpeng Qi, Haobing Liu, Yuan Cao, Guoqing Chao,
Zhongying Zhao, Junyu Dong, Xinwang Liu and Yanwei Yu</v>
      </c>
      <c r="F115" s="133" t="s">
        <v>213</v>
      </c>
      <c r="G115" s="133" t="s">
        <v>320</v>
      </c>
      <c r="H115" s="153"/>
      <c r="I115" s="120"/>
      <c r="J115" s="120"/>
      <c r="K115" s="153"/>
      <c r="L115" s="153"/>
      <c r="M115" s="153"/>
      <c r="N115" s="153"/>
      <c r="O115" s="153"/>
      <c r="P115" s="153"/>
      <c r="Q115" s="153"/>
      <c r="R115" s="153"/>
      <c r="S115" s="153"/>
      <c r="T115" s="153"/>
      <c r="U115" s="153"/>
      <c r="V115" s="153"/>
      <c r="W115" s="153"/>
      <c r="X115" s="153"/>
      <c r="Y115" s="153"/>
      <c r="Z115" s="153"/>
      <c r="AA115" s="153"/>
      <c r="AB115" s="153"/>
      <c r="AC115" s="153"/>
    </row>
    <row r="116">
      <c r="A116" s="152" t="s">
        <v>318</v>
      </c>
      <c r="B116" s="133" t="str">
        <f>IFERROR(__xludf.DUMMYFUNCTION("FILTER ('Research Papers'!D:D,'Research Papers'!A:A=C116)"),"Weighted Graph Clustering via Scale Contraction and Graph Structure Learning")</f>
        <v>Weighted Graph Clustering via Scale Contraction and Graph Structure Learning</v>
      </c>
      <c r="C116" s="133" t="s">
        <v>483</v>
      </c>
      <c r="D116" s="153" t="str">
        <f t="shared" si="1"/>
        <v>Weighted Graph Clustering via Scale Contraction and Graph Structure Learning
Haobing Liu, Yinuo Zhang, Tingting Wang, Ruobing Jiang and
Yanwei Yu
</v>
      </c>
      <c r="E116" s="153" t="str">
        <f>IFERROR(__xludf.DUMMYFUNCTION("TEXTJOIN(CHAR(10), TRUE,FILTER('Research Papers'!$C:$C,'Research Papers'!$A:$A=C116))"),"Haobing Liu, Yinuo Zhang, Tingting Wang, Ruobing Jiang and
Yanwei Yu")</f>
        <v>Haobing Liu, Yinuo Zhang, Tingting Wang, Ruobing Jiang and
Yanwei Yu</v>
      </c>
      <c r="F116" s="133" t="s">
        <v>213</v>
      </c>
      <c r="G116" s="133" t="s">
        <v>320</v>
      </c>
      <c r="H116" s="153"/>
      <c r="I116" s="120"/>
      <c r="J116" s="120"/>
      <c r="K116" s="153"/>
      <c r="L116" s="153"/>
      <c r="M116" s="153"/>
      <c r="N116" s="153"/>
      <c r="O116" s="153"/>
      <c r="P116" s="153"/>
      <c r="Q116" s="153"/>
      <c r="R116" s="153"/>
      <c r="S116" s="153"/>
      <c r="T116" s="153"/>
      <c r="U116" s="153"/>
      <c r="V116" s="153"/>
      <c r="W116" s="153"/>
      <c r="X116" s="153"/>
      <c r="Y116" s="153"/>
      <c r="Z116" s="153"/>
      <c r="AA116" s="153"/>
      <c r="AB116" s="153"/>
      <c r="AC116" s="153"/>
    </row>
    <row r="117">
      <c r="A117" s="152" t="s">
        <v>318</v>
      </c>
      <c r="B117" s="133" t="str">
        <f>IFERROR(__xludf.DUMMYFUNCTION("FILTER ('Research Papers'!D:D,'Research Papers'!A:A=C117)"),"Generalizable Graph-level Anomaly Detection via Prompted Anomaly Expansion and Normality Extraction")</f>
        <v>Generalizable Graph-level Anomaly Detection via Prompted Anomaly Expansion and Normality Extraction</v>
      </c>
      <c r="C117" s="133" t="s">
        <v>484</v>
      </c>
      <c r="D117" s="153" t="str">
        <f t="shared" si="1"/>
        <v>Generalizable Graph-level Anomaly Detection via Prompted Anomaly Expansion and Normality Extraction
Ge Zhang, Jiapei Chen, Guohao Sun, Xiu Fang, Zhenyu Yang,
Xixun Lin and Liang Yang
</v>
      </c>
      <c r="E117" s="153" t="str">
        <f>IFERROR(__xludf.DUMMYFUNCTION("TEXTJOIN(CHAR(10), TRUE,FILTER('Research Papers'!$C:$C,'Research Papers'!$A:$A=C117))"),"Ge Zhang, Jiapei Chen, Guohao Sun, Xiu Fang, Zhenyu Yang,
Xixun Lin and Liang Yang")</f>
        <v>Ge Zhang, Jiapei Chen, Guohao Sun, Xiu Fang, Zhenyu Yang,
Xixun Lin and Liang Yang</v>
      </c>
      <c r="F117" s="133" t="s">
        <v>213</v>
      </c>
      <c r="G117" s="133" t="s">
        <v>321</v>
      </c>
      <c r="H117" s="153"/>
      <c r="I117" s="120"/>
      <c r="J117" s="120"/>
      <c r="K117" s="153"/>
      <c r="L117" s="153"/>
      <c r="M117" s="153"/>
      <c r="N117" s="153"/>
      <c r="O117" s="153"/>
      <c r="P117" s="153"/>
      <c r="Q117" s="153"/>
      <c r="R117" s="153"/>
      <c r="S117" s="153"/>
      <c r="T117" s="153"/>
      <c r="U117" s="153"/>
      <c r="V117" s="153"/>
      <c r="W117" s="153"/>
      <c r="X117" s="153"/>
      <c r="Y117" s="153"/>
      <c r="Z117" s="153"/>
      <c r="AA117" s="153"/>
      <c r="AB117" s="153"/>
      <c r="AC117" s="153"/>
    </row>
    <row r="118">
      <c r="A118" s="152" t="s">
        <v>318</v>
      </c>
      <c r="B118" s="133" t="str">
        <f>IFERROR(__xludf.DUMMYFUNCTION("FILTER ('Research Papers'!D:D,'Research Papers'!A:A=C118)"),"Meta-Learning Driven Few-Shot Knowledge Transfer with Dual-Stage Adaptive Data Replay for Cross-Domain Recommendation")</f>
        <v>Meta-Learning Driven Few-Shot Knowledge Transfer with Dual-Stage Adaptive Data Replay for Cross-Domain Recommendation</v>
      </c>
      <c r="C118" s="133" t="s">
        <v>485</v>
      </c>
      <c r="D118" s="153" t="str">
        <f t="shared" si="1"/>
        <v>Meta-Learning Driven Few-Shot Knowledge Transfer with Dual-Stage Adaptive Data Replay for Cross-Domain Recommendation
Yilei Qiu, Fei Xiong, Jun Hu, Shirui Pan and Liang Wang
</v>
      </c>
      <c r="E118" s="153" t="str">
        <f>IFERROR(__xludf.DUMMYFUNCTION("TEXTJOIN(CHAR(10), TRUE,FILTER('Research Papers'!$C:$C,'Research Papers'!$A:$A=C118))"),"Yilei Qiu, Fei Xiong, Jun Hu, Shirui Pan and Liang Wang")</f>
        <v>Yilei Qiu, Fei Xiong, Jun Hu, Shirui Pan and Liang Wang</v>
      </c>
      <c r="F118" s="133" t="s">
        <v>213</v>
      </c>
      <c r="G118" s="133" t="s">
        <v>321</v>
      </c>
      <c r="H118" s="153"/>
      <c r="I118" s="120"/>
      <c r="J118" s="120"/>
      <c r="K118" s="153"/>
      <c r="L118" s="153"/>
      <c r="M118" s="153"/>
      <c r="N118" s="153"/>
      <c r="O118" s="153"/>
      <c r="P118" s="153"/>
      <c r="Q118" s="153"/>
      <c r="R118" s="153"/>
      <c r="S118" s="153"/>
      <c r="T118" s="153"/>
      <c r="U118" s="153"/>
      <c r="V118" s="153"/>
      <c r="W118" s="153"/>
      <c r="X118" s="153"/>
      <c r="Y118" s="153"/>
      <c r="Z118" s="153"/>
      <c r="AA118" s="153"/>
      <c r="AB118" s="153"/>
      <c r="AC118" s="153"/>
    </row>
    <row r="119">
      <c r="A119" s="152" t="s">
        <v>318</v>
      </c>
      <c r="B119" s="133" t="str">
        <f>IFERROR(__xludf.DUMMYFUNCTION("FILTER ('Research Papers'!D:D,'Research Papers'!A:A=C119)"),"VecFormer: Towards Efficient and Generalizable Graph Transformer with Graph Token Attention")</f>
        <v>VecFormer: Towards Efficient and Generalizable Graph Transformer with Graph Token Attention</v>
      </c>
      <c r="C119" s="133" t="s">
        <v>486</v>
      </c>
      <c r="D119" s="153" t="str">
        <f t="shared" si="1"/>
        <v>VecFormer: Towards Efficient and Generalizable Graph Transformer with Graph Token Attention
Jingbo Zhou, Jun Xia, Siyuan Li, Yunfan Liu, Wenjun Wang,
Yufei Huang, Changxi Chi, Mutian Hong, Zhuoli Ouyang, Shu
Wang, Zhongqi Wang, Xingyu Wu, Chang Yu and Stan Z. Li
</v>
      </c>
      <c r="E119" s="153" t="str">
        <f>IFERROR(__xludf.DUMMYFUNCTION("TEXTJOIN(CHAR(10), TRUE,FILTER('Research Papers'!$C:$C,'Research Papers'!$A:$A=C119))"),"Jingbo Zhou, Jun Xia, Siyuan Li, Yunfan Liu, Wenjun Wang,
Yufei Huang, Changxi Chi, Mutian Hong, Zhuoli Ouyang, Shu
Wang, Zhongqi Wang, Xingyu Wu, Chang Yu and Stan Z. Li")</f>
        <v>Jingbo Zhou, Jun Xia, Siyuan Li, Yunfan Liu, Wenjun Wang,
Yufei Huang, Changxi Chi, Mutian Hong, Zhuoli Ouyang, Shu
Wang, Zhongqi Wang, Xingyu Wu, Chang Yu and Stan Z. Li</v>
      </c>
      <c r="F119" s="133" t="s">
        <v>213</v>
      </c>
      <c r="G119" s="133" t="s">
        <v>321</v>
      </c>
      <c r="H119" s="153"/>
      <c r="I119" s="120"/>
      <c r="J119" s="120"/>
      <c r="K119" s="153"/>
      <c r="L119" s="153"/>
      <c r="M119" s="153"/>
      <c r="N119" s="153"/>
      <c r="O119" s="153"/>
      <c r="P119" s="153"/>
      <c r="Q119" s="153"/>
      <c r="R119" s="153"/>
      <c r="S119" s="153"/>
      <c r="T119" s="153"/>
      <c r="U119" s="153"/>
      <c r="V119" s="153"/>
      <c r="W119" s="153"/>
      <c r="X119" s="153"/>
      <c r="Y119" s="153"/>
      <c r="Z119" s="153"/>
      <c r="AA119" s="153"/>
      <c r="AB119" s="153"/>
      <c r="AC119" s="153"/>
    </row>
    <row r="120">
      <c r="A120" s="152" t="s">
        <v>318</v>
      </c>
      <c r="B120" s="133" t="str">
        <f>IFERROR(__xludf.DUMMYFUNCTION("FILTER ('Research Papers'!D:D,'Research Papers'!A:A=C120)"),"Mitigating Homophily Disparity in Graph Anomaly Detection: A Scalable and Adaptive Approach")</f>
        <v>Mitigating Homophily Disparity in Graph Anomaly Detection: A Scalable and Adaptive Approach</v>
      </c>
      <c r="C120" s="133" t="s">
        <v>487</v>
      </c>
      <c r="D120" s="153" t="str">
        <f t="shared" si="1"/>
        <v>Mitigating Homophily Disparity in Graph Anomaly Detection: A Scalable and Adaptive Approach
Yunhui Liu, Qizhuo Xie, Yinfeng Chen, Xudong Jin, Tao
Zheng, Bin Chong and Tieke He
</v>
      </c>
      <c r="E120" s="153" t="str">
        <f>IFERROR(__xludf.DUMMYFUNCTION("TEXTJOIN(CHAR(10), TRUE,FILTER('Research Papers'!$C:$C,'Research Papers'!$A:$A=C120))"),"Yunhui Liu, Qizhuo Xie, Yinfeng Chen, Xudong Jin, Tao
Zheng, Bin Chong and Tieke He")</f>
        <v>Yunhui Liu, Qizhuo Xie, Yinfeng Chen, Xudong Jin, Tao
Zheng, Bin Chong and Tieke He</v>
      </c>
      <c r="F120" s="133" t="s">
        <v>213</v>
      </c>
      <c r="G120" s="133" t="s">
        <v>321</v>
      </c>
      <c r="H120" s="153"/>
      <c r="I120" s="120"/>
      <c r="J120" s="120"/>
      <c r="K120" s="153"/>
      <c r="L120" s="153"/>
      <c r="M120" s="153"/>
      <c r="N120" s="153"/>
      <c r="O120" s="153"/>
      <c r="P120" s="153"/>
      <c r="Q120" s="153"/>
      <c r="R120" s="153"/>
      <c r="S120" s="153"/>
      <c r="T120" s="153"/>
      <c r="U120" s="153"/>
      <c r="V120" s="153"/>
      <c r="W120" s="153"/>
      <c r="X120" s="153"/>
      <c r="Y120" s="153"/>
      <c r="Z120" s="153"/>
      <c r="AA120" s="153"/>
      <c r="AB120" s="153"/>
      <c r="AC120" s="153"/>
    </row>
    <row r="121">
      <c r="A121" s="152" t="s">
        <v>318</v>
      </c>
      <c r="B121" s="133" t="str">
        <f>IFERROR(__xludf.DUMMYFUNCTION("FILTER ('Research Papers'!D:D,'Research Papers'!A:A=C121)"),"Disentangled Graph LLM for Molecule Graph Editing under Distribution Shifts")</f>
        <v>Disentangled Graph LLM for Molecule Graph Editing under Distribution Shifts</v>
      </c>
      <c r="C121" s="133" t="s">
        <v>488</v>
      </c>
      <c r="D121" s="153" t="str">
        <f t="shared" si="1"/>
        <v>Disentangled Graph LLM for Molecule Graph Editing under Distribution Shifts
Yang Yao, Xin Wang, Yuan Meng, Zeyang Zhang, Hong Mei and
Wenwu Zhu
</v>
      </c>
      <c r="E121" s="153" t="str">
        <f>IFERROR(__xludf.DUMMYFUNCTION("TEXTJOIN(CHAR(10), TRUE,FILTER('Research Papers'!$C:$C,'Research Papers'!$A:$A=C121))"),"Yang Yao, Xin Wang, Yuan Meng, Zeyang Zhang, Hong Mei and
Wenwu Zhu")</f>
        <v>Yang Yao, Xin Wang, Yuan Meng, Zeyang Zhang, Hong Mei and
Wenwu Zhu</v>
      </c>
      <c r="F121" s="133" t="s">
        <v>213</v>
      </c>
      <c r="G121" s="133" t="s">
        <v>321</v>
      </c>
      <c r="H121" s="153"/>
      <c r="I121" s="120"/>
      <c r="J121" s="120"/>
      <c r="K121" s="153"/>
      <c r="L121" s="153"/>
      <c r="M121" s="153"/>
      <c r="N121" s="153"/>
      <c r="O121" s="153"/>
      <c r="P121" s="153"/>
      <c r="Q121" s="153"/>
      <c r="R121" s="153"/>
      <c r="S121" s="153"/>
      <c r="T121" s="153"/>
      <c r="U121" s="153"/>
      <c r="V121" s="153"/>
      <c r="W121" s="153"/>
      <c r="X121" s="153"/>
      <c r="Y121" s="153"/>
      <c r="Z121" s="153"/>
      <c r="AA121" s="153"/>
      <c r="AB121" s="153"/>
      <c r="AC121" s="153"/>
    </row>
    <row r="122">
      <c r="A122" s="152" t="s">
        <v>318</v>
      </c>
      <c r="B122" s="133" t="str">
        <f>IFERROR(__xludf.DUMMYFUNCTION("FILTER ('Research Papers'!D:D,'Research Papers'!A:A=C122)"),"KEGOD: Kernel-enhanced Latent Substructure Learning for Graph Out-Of-Distribution Detection")</f>
        <v>KEGOD: Kernel-enhanced Latent Substructure Learning for Graph Out-Of-Distribution Detection</v>
      </c>
      <c r="C122" s="133" t="s">
        <v>489</v>
      </c>
      <c r="D122" s="153" t="str">
        <f t="shared" si="1"/>
        <v>KEGOD: Kernel-enhanced Latent Substructure Learning for Graph Out-Of-Distribution Detection
Yifan Wang, Haodong Zhang, Zhiping Xiao, Yusheng Zhao, Siyu
Yi, Nan Yin, Xinwang Liu, Ming Zhang and Wei Ju
</v>
      </c>
      <c r="E122" s="153" t="str">
        <f>IFERROR(__xludf.DUMMYFUNCTION("TEXTJOIN(CHAR(10), TRUE,FILTER('Research Papers'!$C:$C,'Research Papers'!$A:$A=C122))"),"Yifan Wang, Haodong Zhang, Zhiping Xiao, Yusheng Zhao, Siyu
Yi, Nan Yin, Xinwang Liu, Ming Zhang and Wei Ju")</f>
        <v>Yifan Wang, Haodong Zhang, Zhiping Xiao, Yusheng Zhao, Siyu
Yi, Nan Yin, Xinwang Liu, Ming Zhang and Wei Ju</v>
      </c>
      <c r="F122" s="133" t="s">
        <v>213</v>
      </c>
      <c r="G122" s="133" t="s">
        <v>321</v>
      </c>
      <c r="H122" s="153"/>
      <c r="I122" s="120"/>
      <c r="J122" s="120"/>
      <c r="K122" s="153"/>
      <c r="L122" s="153"/>
      <c r="M122" s="153"/>
      <c r="N122" s="153"/>
      <c r="O122" s="153"/>
      <c r="P122" s="153"/>
      <c r="Q122" s="153"/>
      <c r="R122" s="153"/>
      <c r="S122" s="153"/>
      <c r="T122" s="153"/>
      <c r="U122" s="153"/>
      <c r="V122" s="153"/>
      <c r="W122" s="153"/>
      <c r="X122" s="153"/>
      <c r="Y122" s="153"/>
      <c r="Z122" s="153"/>
      <c r="AA122" s="153"/>
      <c r="AB122" s="153"/>
      <c r="AC122" s="153"/>
    </row>
    <row r="123">
      <c r="A123" s="152" t="s">
        <v>318</v>
      </c>
      <c r="B123" s="133" t="str">
        <f>IFERROR(__xludf.DUMMYFUNCTION("FILTER ('Research Papers'!D:D,'Research Papers'!A:A=C123)"),"Hi-GMAE: Hierarchical Graph Masked Autoencoders")</f>
        <v>Hi-GMAE: Hierarchical Graph Masked Autoencoders</v>
      </c>
      <c r="C123" s="133" t="s">
        <v>490</v>
      </c>
      <c r="D123" s="153" t="str">
        <f t="shared" si="1"/>
        <v>Hi-GMAE: Hierarchical Graph Masked Autoencoders
Chuang Liu, Zelin Yao, Xueqi Ma, Mukun Chen, Luzhi Wang,
Jia Wu and Wenbin Hu
</v>
      </c>
      <c r="E123" s="153" t="str">
        <f>IFERROR(__xludf.DUMMYFUNCTION("TEXTJOIN(CHAR(10), TRUE,FILTER('Research Papers'!$C:$C,'Research Papers'!$A:$A=C123))"),"Chuang Liu, Zelin Yao, Xueqi Ma, Mukun Chen, Luzhi Wang,
Jia Wu and Wenbin Hu")</f>
        <v>Chuang Liu, Zelin Yao, Xueqi Ma, Mukun Chen, Luzhi Wang,
Jia Wu and Wenbin Hu</v>
      </c>
      <c r="F123" s="133" t="s">
        <v>213</v>
      </c>
      <c r="G123" s="133" t="s">
        <v>321</v>
      </c>
      <c r="H123" s="153"/>
      <c r="I123" s="120"/>
      <c r="J123" s="120"/>
      <c r="K123" s="153"/>
      <c r="L123" s="153"/>
      <c r="M123" s="153"/>
      <c r="N123" s="153"/>
      <c r="O123" s="153"/>
      <c r="P123" s="153"/>
      <c r="Q123" s="153"/>
      <c r="R123" s="153"/>
      <c r="S123" s="153"/>
      <c r="T123" s="153"/>
      <c r="U123" s="153"/>
      <c r="V123" s="153"/>
      <c r="W123" s="153"/>
      <c r="X123" s="153"/>
      <c r="Y123" s="153"/>
      <c r="Z123" s="153"/>
      <c r="AA123" s="153"/>
      <c r="AB123" s="153"/>
      <c r="AC123" s="153"/>
    </row>
    <row r="124">
      <c r="A124" s="152" t="s">
        <v>318</v>
      </c>
      <c r="B124" s="133" t="str">
        <f>IFERROR(__xludf.DUMMYFUNCTION("FILTER ('Research Papers'!D:D,'Research Papers'!A:A=C124)"),"Long-Tailed Recognition of Evidential Experts for Graph-level Classification")</f>
        <v>Long-Tailed Recognition of Evidential Experts for Graph-level Classification</v>
      </c>
      <c r="C124" s="133" t="s">
        <v>491</v>
      </c>
      <c r="D124" s="153" t="str">
        <f t="shared" si="1"/>
        <v>Long-Tailed Recognition of Evidential Experts for Graph-level Classification
Wei Ju, Siyu Yi, Zhengyang Mao, Yifang Qin, Yifan Wang,
Zhiping Xiao, Yiwei Fu, Ziyue Qiao and Ming Zhang
</v>
      </c>
      <c r="E124" s="153" t="str">
        <f>IFERROR(__xludf.DUMMYFUNCTION("TEXTJOIN(CHAR(10), TRUE,FILTER('Research Papers'!$C:$C,'Research Papers'!$A:$A=C124))"),"Wei Ju, Siyu Yi, Zhengyang Mao, Yifang Qin, Yifan Wang,
Zhiping Xiao, Yiwei Fu, Ziyue Qiao and Ming Zhang")</f>
        <v>Wei Ju, Siyu Yi, Zhengyang Mao, Yifang Qin, Yifan Wang,
Zhiping Xiao, Yiwei Fu, Ziyue Qiao and Ming Zhang</v>
      </c>
      <c r="F124" s="133" t="s">
        <v>213</v>
      </c>
      <c r="G124" s="133" t="s">
        <v>321</v>
      </c>
      <c r="H124" s="153"/>
      <c r="I124" s="120"/>
      <c r="J124" s="120"/>
      <c r="K124" s="153"/>
      <c r="L124" s="153"/>
      <c r="M124" s="153"/>
      <c r="N124" s="153"/>
      <c r="O124" s="153"/>
      <c r="P124" s="153"/>
      <c r="Q124" s="153"/>
      <c r="R124" s="153"/>
      <c r="S124" s="153"/>
      <c r="T124" s="153"/>
      <c r="U124" s="153"/>
      <c r="V124" s="153"/>
      <c r="W124" s="153"/>
      <c r="X124" s="153"/>
      <c r="Y124" s="153"/>
      <c r="Z124" s="153"/>
      <c r="AA124" s="153"/>
      <c r="AB124" s="153"/>
      <c r="AC124" s="153"/>
    </row>
    <row r="125">
      <c r="A125" s="152" t="s">
        <v>318</v>
      </c>
      <c r="B125" s="133" t="str">
        <f>IFERROR(__xludf.DUMMYFUNCTION("FILTER ('Research Papers'!D:D,'Research Papers'!A:A=C125)"),"OFA-MAS: One-for-All Multi-Agent System Topology Design based on Mixture-of-Experts Graph Generative Models")</f>
        <v>OFA-MAS: One-for-All Multi-Agent System Topology Design based on Mixture-of-Experts Graph Generative Models</v>
      </c>
      <c r="C125" s="133" t="s">
        <v>492</v>
      </c>
      <c r="D125" s="153" t="str">
        <f t="shared" si="1"/>
        <v>OFA-MAS: One-for-All Multi-Agent System Topology Design based on Mixture-of-Experts Graph Generative Models
Shiyuan Li, Yixin Liu, Yu Zheng, Mei Li, Quoc Viet Hung
Nguyen and Shirui Pan
</v>
      </c>
      <c r="E125" s="153" t="str">
        <f>IFERROR(__xludf.DUMMYFUNCTION("TEXTJOIN(CHAR(10), TRUE,FILTER('Research Papers'!$C:$C,'Research Papers'!$A:$A=C125))"),"Shiyuan Li, Yixin Liu, Yu Zheng, Mei Li, Quoc Viet Hung
Nguyen and Shirui Pan")</f>
        <v>Shiyuan Li, Yixin Liu, Yu Zheng, Mei Li, Quoc Viet Hung
Nguyen and Shirui Pan</v>
      </c>
      <c r="F125" s="133" t="s">
        <v>213</v>
      </c>
      <c r="G125" s="133" t="s">
        <v>321</v>
      </c>
      <c r="H125" s="153"/>
      <c r="I125" s="120"/>
      <c r="J125" s="120"/>
      <c r="K125" s="153"/>
      <c r="L125" s="153"/>
      <c r="M125" s="153"/>
      <c r="N125" s="153"/>
      <c r="O125" s="153"/>
      <c r="P125" s="153"/>
      <c r="Q125" s="153"/>
      <c r="R125" s="153"/>
      <c r="S125" s="153"/>
      <c r="T125" s="153"/>
      <c r="U125" s="153"/>
      <c r="V125" s="153"/>
      <c r="W125" s="153"/>
      <c r="X125" s="153"/>
      <c r="Y125" s="153"/>
      <c r="Z125" s="153"/>
      <c r="AA125" s="153"/>
      <c r="AB125" s="153"/>
      <c r="AC125" s="153"/>
    </row>
    <row r="126">
      <c r="A126" s="152" t="s">
        <v>318</v>
      </c>
      <c r="B126" s="133" t="str">
        <f>IFERROR(__xludf.DUMMYFUNCTION("FILTER ('Research Papers'!D:D,'Research Papers'!A:A=C126)"),"LLM-enhanced Federated Graph Learning with Geometry-aware Graph Projection and Shared Subspace Aggregation")</f>
        <v>LLM-enhanced Federated Graph Learning with Geometry-aware Graph Projection and Shared Subspace Aggregation</v>
      </c>
      <c r="C126" s="133" t="s">
        <v>493</v>
      </c>
      <c r="D126" s="153" t="str">
        <f t="shared" si="1"/>
        <v>LLM-enhanced Federated Graph Learning with Geometry-aware Graph Projection and Shared Subspace Aggregation
Pengyang Zhou, Zhihao Huang, Jiahe Xu, Wu Wen, Xiaolin
Zheng, Chaochao Chen and Jianwei Yin
</v>
      </c>
      <c r="E126" s="153" t="str">
        <f>IFERROR(__xludf.DUMMYFUNCTION("TEXTJOIN(CHAR(10), TRUE,FILTER('Research Papers'!$C:$C,'Research Papers'!$A:$A=C126))"),"Pengyang Zhou, Zhihao Huang, Jiahe Xu, Wu Wen, Xiaolin
Zheng, Chaochao Chen and Jianwei Yin")</f>
        <v>Pengyang Zhou, Zhihao Huang, Jiahe Xu, Wu Wen, Xiaolin
Zheng, Chaochao Chen and Jianwei Yin</v>
      </c>
      <c r="F126" s="133" t="s">
        <v>213</v>
      </c>
      <c r="G126" s="133" t="s">
        <v>321</v>
      </c>
      <c r="H126" s="153"/>
      <c r="I126" s="120"/>
      <c r="J126" s="120"/>
      <c r="K126" s="153"/>
      <c r="L126" s="153"/>
      <c r="M126" s="153"/>
      <c r="N126" s="153"/>
      <c r="O126" s="153"/>
      <c r="P126" s="153"/>
      <c r="Q126" s="153"/>
      <c r="R126" s="153"/>
      <c r="S126" s="153"/>
      <c r="T126" s="153"/>
      <c r="U126" s="153"/>
      <c r="V126" s="153"/>
      <c r="W126" s="153"/>
      <c r="X126" s="153"/>
      <c r="Y126" s="153"/>
      <c r="Z126" s="153"/>
      <c r="AA126" s="153"/>
      <c r="AB126" s="153"/>
      <c r="AC126" s="153"/>
    </row>
    <row r="127">
      <c r="A127" s="152" t="s">
        <v>318</v>
      </c>
      <c r="B127" s="133" t="str">
        <f>IFERROR(__xludf.DUMMYFUNCTION("FILTER ('Research Papers'!D:D,'Research Papers'!A:A=C127)"),"SLFM: Semi-Supervised Local Community Detection Based on Hyperbolic Flow Matching")</f>
        <v>SLFM: Semi-Supervised Local Community Detection Based on Hyperbolic Flow Matching</v>
      </c>
      <c r="C127" s="133" t="s">
        <v>494</v>
      </c>
      <c r="D127" s="153" t="str">
        <f t="shared" si="1"/>
        <v>SLFM: Semi-Supervised Local Community Detection Based on Hyperbolic Flow Matching
Haixu Xiong, Li Sun, Yun Xiong, Suyang Zhou, Hongrun Ren
and Yangyong Zhu
</v>
      </c>
      <c r="E127" s="153" t="str">
        <f>IFERROR(__xludf.DUMMYFUNCTION("TEXTJOIN(CHAR(10), TRUE,FILTER('Research Papers'!$C:$C,'Research Papers'!$A:$A=C127))"),"Haixu Xiong, Li Sun, Yun Xiong, Suyang Zhou, Hongrun Ren
and Yangyong Zhu")</f>
        <v>Haixu Xiong, Li Sun, Yun Xiong, Suyang Zhou, Hongrun Ren
and Yangyong Zhu</v>
      </c>
      <c r="F127" s="133" t="s">
        <v>213</v>
      </c>
      <c r="G127" s="133" t="s">
        <v>180</v>
      </c>
      <c r="H127" s="153"/>
      <c r="I127" s="120"/>
      <c r="J127" s="120"/>
      <c r="K127" s="153"/>
      <c r="L127" s="153"/>
      <c r="M127" s="153"/>
      <c r="N127" s="153"/>
      <c r="O127" s="153"/>
      <c r="P127" s="153"/>
      <c r="Q127" s="153"/>
      <c r="R127" s="153"/>
      <c r="S127" s="153"/>
      <c r="T127" s="153"/>
      <c r="U127" s="153"/>
      <c r="V127" s="153"/>
      <c r="W127" s="153"/>
      <c r="X127" s="153"/>
      <c r="Y127" s="153"/>
      <c r="Z127" s="153"/>
      <c r="AA127" s="153"/>
      <c r="AB127" s="153"/>
      <c r="AC127" s="153"/>
    </row>
    <row r="128">
      <c r="A128" s="152" t="s">
        <v>318</v>
      </c>
      <c r="B128" s="133" t="str">
        <f>IFERROR(__xludf.DUMMYFUNCTION("FILTER ('Research Papers'!D:D,'Research Papers'!A:A=C128)"),"Contextual Structure-Enhanced Selective Graph Convolutional Network")</f>
        <v>Contextual Structure-Enhanced Selective Graph Convolutional Network</v>
      </c>
      <c r="C128" s="133" t="s">
        <v>495</v>
      </c>
      <c r="D128" s="153" t="str">
        <f t="shared" si="1"/>
        <v>Contextual Structure-Enhanced Selective Graph Convolutional Network
Shifei Ding, Fangchen Li, Lili Guo and Jian Zhang
</v>
      </c>
      <c r="E128" s="153" t="str">
        <f>IFERROR(__xludf.DUMMYFUNCTION("TEXTJOIN(CHAR(10), TRUE,FILTER('Research Papers'!$C:$C,'Research Papers'!$A:$A=C128))"),"Shifei Ding, Fangchen Li, Lili Guo and Jian Zhang")</f>
        <v>Shifei Ding, Fangchen Li, Lili Guo and Jian Zhang</v>
      </c>
      <c r="F128" s="133" t="s">
        <v>213</v>
      </c>
      <c r="G128" s="133" t="s">
        <v>180</v>
      </c>
      <c r="H128" s="153"/>
      <c r="I128" s="120"/>
      <c r="J128" s="120"/>
      <c r="K128" s="153"/>
      <c r="L128" s="153"/>
      <c r="M128" s="153"/>
      <c r="N128" s="153"/>
      <c r="O128" s="153"/>
      <c r="P128" s="153"/>
      <c r="Q128" s="153"/>
      <c r="R128" s="153"/>
      <c r="S128" s="153"/>
      <c r="T128" s="153"/>
      <c r="U128" s="153"/>
      <c r="V128" s="153"/>
      <c r="W128" s="153"/>
      <c r="X128" s="153"/>
      <c r="Y128" s="153"/>
      <c r="Z128" s="153"/>
      <c r="AA128" s="153"/>
      <c r="AB128" s="153"/>
      <c r="AC128" s="153"/>
    </row>
    <row r="129">
      <c r="A129" s="152" t="s">
        <v>318</v>
      </c>
      <c r="B129" s="133" t="str">
        <f>IFERROR(__xludf.DUMMYFUNCTION("FILTER ('Research Papers'!D:D,'Research Papers'!A:A=C129)"),"WPIS: From In-the-Wild Web Images to Physics-Aware 3D Scene Graphs for Physical Reasoning")</f>
        <v>WPIS: From In-the-Wild Web Images to Physics-Aware 3D Scene Graphs for Physical Reasoning</v>
      </c>
      <c r="C129" s="133" t="s">
        <v>496</v>
      </c>
      <c r="D129" s="153" t="str">
        <f t="shared" si="1"/>
        <v>WPIS: From In-the-Wild Web Images to Physics-Aware 3D Scene Graphs for Physical Reasoning
Ke Ma, Cong Fu, Jianing Wang, Yifei Wang, Wenyuan Li,
Xinggang Wang, Meng Wang and Tian Xia
</v>
      </c>
      <c r="E129" s="153" t="str">
        <f>IFERROR(__xludf.DUMMYFUNCTION("TEXTJOIN(CHAR(10), TRUE,FILTER('Research Papers'!$C:$C,'Research Papers'!$A:$A=C129))"),"Ke Ma, Cong Fu, Jianing Wang, Yifei Wang, Wenyuan Li,
Xinggang Wang, Meng Wang and Tian Xia")</f>
        <v>Ke Ma, Cong Fu, Jianing Wang, Yifei Wang, Wenyuan Li,
Xinggang Wang, Meng Wang and Tian Xia</v>
      </c>
      <c r="F129" s="133" t="s">
        <v>213</v>
      </c>
      <c r="G129" s="133" t="s">
        <v>180</v>
      </c>
      <c r="H129" s="153"/>
      <c r="I129" s="120"/>
      <c r="J129" s="120"/>
      <c r="K129" s="153"/>
      <c r="L129" s="153"/>
      <c r="M129" s="153"/>
      <c r="N129" s="153"/>
      <c r="O129" s="153"/>
      <c r="P129" s="153"/>
      <c r="Q129" s="153"/>
      <c r="R129" s="153"/>
      <c r="S129" s="153"/>
      <c r="T129" s="153"/>
      <c r="U129" s="153"/>
      <c r="V129" s="153"/>
      <c r="W129" s="153"/>
      <c r="X129" s="153"/>
      <c r="Y129" s="153"/>
      <c r="Z129" s="153"/>
      <c r="AA129" s="153"/>
      <c r="AB129" s="153"/>
      <c r="AC129" s="153"/>
    </row>
    <row r="130">
      <c r="A130" s="152" t="s">
        <v>318</v>
      </c>
      <c r="B130" s="133" t="str">
        <f>IFERROR(__xludf.DUMMYFUNCTION("FILTER ('Research Papers'!D:D,'Research Papers'!A:A=C130)"),"Revisiting and Enhancing Graph Neural Networks through the Lens of Amortized Flows")</f>
        <v>Revisiting and Enhancing Graph Neural Networks through the Lens of Amortized Flows</v>
      </c>
      <c r="C130" s="133" t="s">
        <v>497</v>
      </c>
      <c r="D130" s="153" t="str">
        <f t="shared" si="1"/>
        <v>Revisiting and Enhancing Graph Neural Networks through the Lens of Amortized Flows
Minjie Cheng, Bokai Yan, Dixin Luo and Hongteng Xu
</v>
      </c>
      <c r="E130" s="153" t="str">
        <f>IFERROR(__xludf.DUMMYFUNCTION("TEXTJOIN(CHAR(10), TRUE,FILTER('Research Papers'!$C:$C,'Research Papers'!$A:$A=C130))"),"Minjie Cheng, Bokai Yan, Dixin Luo and Hongteng Xu")</f>
        <v>Minjie Cheng, Bokai Yan, Dixin Luo and Hongteng Xu</v>
      </c>
      <c r="F130" s="133" t="s">
        <v>213</v>
      </c>
      <c r="G130" s="133" t="s">
        <v>180</v>
      </c>
      <c r="H130" s="153"/>
      <c r="I130" s="120"/>
      <c r="J130" s="120"/>
      <c r="K130" s="153"/>
      <c r="L130" s="153"/>
      <c r="M130" s="153"/>
      <c r="N130" s="153"/>
      <c r="O130" s="153"/>
      <c r="P130" s="153"/>
      <c r="Q130" s="153"/>
      <c r="R130" s="153"/>
      <c r="S130" s="153"/>
      <c r="T130" s="153"/>
      <c r="U130" s="153"/>
      <c r="V130" s="153"/>
      <c r="W130" s="153"/>
      <c r="X130" s="153"/>
      <c r="Y130" s="153"/>
      <c r="Z130" s="153"/>
      <c r="AA130" s="153"/>
      <c r="AB130" s="153"/>
      <c r="AC130" s="153"/>
    </row>
    <row r="131">
      <c r="A131" s="152" t="s">
        <v>318</v>
      </c>
      <c r="B131" s="133" t="str">
        <f>IFERROR(__xludf.DUMMYFUNCTION("FILTER ('Research Papers'!D:D,'Research Papers'!A:A=C131)"),"STELA: Spatiotemporal Forecasting via Graph Learning and Entropy-Guided LLM Adaptation")</f>
        <v>STELA: Spatiotemporal Forecasting via Graph Learning and Entropy-Guided LLM Adaptation</v>
      </c>
      <c r="C131" s="133" t="s">
        <v>498</v>
      </c>
      <c r="D131" s="153" t="str">
        <f t="shared" si="1"/>
        <v>STELA: Spatiotemporal Forecasting via Graph Learning and Entropy-Guided LLM Adaptation
Tiantian Huang, Yue Li, Wei Shao, Ziqi Xu, Qipeng Song and
Hui Li
</v>
      </c>
      <c r="E131" s="153" t="str">
        <f>IFERROR(__xludf.DUMMYFUNCTION("TEXTJOIN(CHAR(10), TRUE,FILTER('Research Papers'!$C:$C,'Research Papers'!$A:$A=C131))"),"Tiantian Huang, Yue Li, Wei Shao, Ziqi Xu, Qipeng Song and
Hui Li")</f>
        <v>Tiantian Huang, Yue Li, Wei Shao, Ziqi Xu, Qipeng Song and
Hui Li</v>
      </c>
      <c r="F131" s="133" t="s">
        <v>213</v>
      </c>
      <c r="G131" s="133" t="s">
        <v>180</v>
      </c>
      <c r="H131" s="153"/>
      <c r="I131" s="120"/>
      <c r="J131" s="120"/>
      <c r="K131" s="153"/>
      <c r="L131" s="153"/>
      <c r="M131" s="153"/>
      <c r="N131" s="153"/>
      <c r="O131" s="153"/>
      <c r="P131" s="153"/>
      <c r="Q131" s="153"/>
      <c r="R131" s="153"/>
      <c r="S131" s="153"/>
      <c r="T131" s="153"/>
      <c r="U131" s="153"/>
      <c r="V131" s="153"/>
      <c r="W131" s="153"/>
      <c r="X131" s="153"/>
      <c r="Y131" s="153"/>
      <c r="Z131" s="153"/>
      <c r="AA131" s="153"/>
      <c r="AB131" s="153"/>
      <c r="AC131" s="153"/>
    </row>
    <row r="132">
      <c r="A132" s="152" t="s">
        <v>318</v>
      </c>
      <c r="B132" s="133" t="str">
        <f>IFERROR(__xludf.DUMMYFUNCTION("FILTER ('Research Papers'!D:D,'Research Papers'!A:A=C132)"),"Towards Geometry-Consistent Federated Graph Learning")</f>
        <v>Towards Geometry-Consistent Federated Graph Learning</v>
      </c>
      <c r="C132" s="133" t="s">
        <v>499</v>
      </c>
      <c r="D132" s="153" t="str">
        <f t="shared" si="1"/>
        <v>Towards Geometry-Consistent Federated Graph Learning
Yuecen Wei, Zhiyu Zhuang, Yisen Gao, Xingcheng Fu, Qingyun
Sun, Ziwei Zhang, Tianyu Wo and Chunming Hu
</v>
      </c>
      <c r="E132" s="153" t="str">
        <f>IFERROR(__xludf.DUMMYFUNCTION("TEXTJOIN(CHAR(10), TRUE,FILTER('Research Papers'!$C:$C,'Research Papers'!$A:$A=C132))"),"Yuecen Wei, Zhiyu Zhuang, Yisen Gao, Xingcheng Fu, Qingyun
Sun, Ziwei Zhang, Tianyu Wo and Chunming Hu")</f>
        <v>Yuecen Wei, Zhiyu Zhuang, Yisen Gao, Xingcheng Fu, Qingyun
Sun, Ziwei Zhang, Tianyu Wo and Chunming Hu</v>
      </c>
      <c r="F132" s="133" t="s">
        <v>213</v>
      </c>
      <c r="G132" s="133" t="s">
        <v>180</v>
      </c>
      <c r="H132" s="153"/>
      <c r="I132" s="120"/>
      <c r="J132" s="120"/>
      <c r="K132" s="153"/>
      <c r="L132" s="153"/>
      <c r="M132" s="153"/>
      <c r="N132" s="153"/>
      <c r="O132" s="153"/>
      <c r="P132" s="153"/>
      <c r="Q132" s="153"/>
      <c r="R132" s="153"/>
      <c r="S132" s="153"/>
      <c r="T132" s="153"/>
      <c r="U132" s="153"/>
      <c r="V132" s="153"/>
      <c r="W132" s="153"/>
      <c r="X132" s="153"/>
      <c r="Y132" s="153"/>
      <c r="Z132" s="153"/>
      <c r="AA132" s="153"/>
      <c r="AB132" s="153"/>
      <c r="AC132" s="153"/>
    </row>
    <row r="133">
      <c r="A133" s="152" t="s">
        <v>318</v>
      </c>
      <c r="B133" s="133" t="str">
        <f>IFERROR(__xludf.DUMMYFUNCTION("FILTER ('Research Papers'!D:D,'Research Papers'!A:A=C133)"),"Stuart-Landau Oscillatory Graph Neural Network")</f>
        <v>Stuart-Landau Oscillatory Graph Neural Network</v>
      </c>
      <c r="C133" s="133" t="s">
        <v>500</v>
      </c>
      <c r="D133" s="153" t="str">
        <f t="shared" si="1"/>
        <v>Stuart-Landau Oscillatory Graph Neural Network
Kaicheng Zhang, David N Reynolds, Piero Deidda and
Francesco Tudisco
</v>
      </c>
      <c r="E133" s="153" t="str">
        <f>IFERROR(__xludf.DUMMYFUNCTION("TEXTJOIN(CHAR(10), TRUE,FILTER('Research Papers'!$C:$C,'Research Papers'!$A:$A=C133))"),"Kaicheng Zhang, David N Reynolds, Piero Deidda and
Francesco Tudisco")</f>
        <v>Kaicheng Zhang, David N Reynolds, Piero Deidda and
Francesco Tudisco</v>
      </c>
      <c r="F133" s="133" t="s">
        <v>213</v>
      </c>
      <c r="G133" s="133" t="s">
        <v>180</v>
      </c>
      <c r="H133" s="153"/>
      <c r="I133" s="120"/>
      <c r="J133" s="120"/>
      <c r="K133" s="153"/>
      <c r="L133" s="153"/>
      <c r="M133" s="153"/>
      <c r="N133" s="153"/>
      <c r="O133" s="153"/>
      <c r="P133" s="153"/>
      <c r="Q133" s="153"/>
      <c r="R133" s="153"/>
      <c r="S133" s="153"/>
      <c r="T133" s="153"/>
      <c r="U133" s="153"/>
      <c r="V133" s="153"/>
      <c r="W133" s="153"/>
      <c r="X133" s="153"/>
      <c r="Y133" s="153"/>
      <c r="Z133" s="153"/>
      <c r="AA133" s="153"/>
      <c r="AB133" s="153"/>
      <c r="AC133" s="153"/>
    </row>
    <row r="134">
      <c r="A134" s="152" t="s">
        <v>318</v>
      </c>
      <c r="B134" s="133" t="str">
        <f>IFERROR(__xludf.DUMMYFUNCTION("FILTER ('Research Papers'!D:D,'Research Papers'!A:A=C134)"),"Rethinking Graph Generalization through the Lens of Sharpness-Aware Minimization")</f>
        <v>Rethinking Graph Generalization through the Lens of Sharpness-Aware Minimization</v>
      </c>
      <c r="C134" s="133" t="s">
        <v>501</v>
      </c>
      <c r="D134" s="153" t="str">
        <f t="shared" si="1"/>
        <v>Rethinking Graph Generalization through the Lens of Sharpness-Aware Minimization
Yang Qiu, Yixiong Zou and Jun Wang
</v>
      </c>
      <c r="E134" s="153" t="str">
        <f>IFERROR(__xludf.DUMMYFUNCTION("TEXTJOIN(CHAR(10), TRUE,FILTER('Research Papers'!$C:$C,'Research Papers'!$A:$A=C134))"),"Yang Qiu, Yixiong Zou and Jun Wang")</f>
        <v>Yang Qiu, Yixiong Zou and Jun Wang</v>
      </c>
      <c r="F134" s="133" t="s">
        <v>213</v>
      </c>
      <c r="G134" s="133" t="s">
        <v>180</v>
      </c>
      <c r="H134" s="153"/>
      <c r="I134" s="120"/>
      <c r="J134" s="120"/>
      <c r="K134" s="153"/>
      <c r="L134" s="153"/>
      <c r="M134" s="153"/>
      <c r="N134" s="153"/>
      <c r="O134" s="153"/>
      <c r="P134" s="153"/>
      <c r="Q134" s="153"/>
      <c r="R134" s="153"/>
      <c r="S134" s="153"/>
      <c r="T134" s="153"/>
      <c r="U134" s="153"/>
      <c r="V134" s="153"/>
      <c r="W134" s="153"/>
      <c r="X134" s="153"/>
      <c r="Y134" s="153"/>
      <c r="Z134" s="153"/>
      <c r="AA134" s="153"/>
      <c r="AB134" s="153"/>
      <c r="AC134" s="153"/>
    </row>
    <row r="135">
      <c r="A135" s="152" t="s">
        <v>318</v>
      </c>
      <c r="B135" s="133" t="str">
        <f>IFERROR(__xludf.DUMMYFUNCTION("FILTER ('Research Papers'!D:D,'Research Papers'!A:A=C135)"),"RARD: Rationale-First Blockwise Autoregressive Diffusion in Rationale‑Dominated Graph Generation")</f>
        <v>RARD: Rationale-First Blockwise Autoregressive Diffusion in Rationale‑Dominated Graph Generation</v>
      </c>
      <c r="C135" s="133" t="s">
        <v>502</v>
      </c>
      <c r="D135" s="153" t="str">
        <f t="shared" si="1"/>
        <v>RARD: Rationale-First Blockwise Autoregressive Diffusion in Rationale‑Dominated Graph Generation
Xu Fan, Zhang Yijun, Zhang Sibo, Ding Jiaxin, Fu Luoyi and
Wang Xinbing
</v>
      </c>
      <c r="E135" s="153" t="str">
        <f>IFERROR(__xludf.DUMMYFUNCTION("TEXTJOIN(CHAR(10), TRUE,FILTER('Research Papers'!$C:$C,'Research Papers'!$A:$A=C135))"),"Xu Fan, Zhang Yijun, Zhang Sibo, Ding Jiaxin, Fu Luoyi and
Wang Xinbing")</f>
        <v>Xu Fan, Zhang Yijun, Zhang Sibo, Ding Jiaxin, Fu Luoyi and
Wang Xinbing</v>
      </c>
      <c r="F135" s="133" t="s">
        <v>213</v>
      </c>
      <c r="G135" s="133" t="s">
        <v>180</v>
      </c>
      <c r="H135" s="153"/>
      <c r="I135" s="120"/>
      <c r="J135" s="120"/>
      <c r="K135" s="153"/>
      <c r="L135" s="153"/>
      <c r="M135" s="153"/>
      <c r="N135" s="153"/>
      <c r="O135" s="153"/>
      <c r="P135" s="153"/>
      <c r="Q135" s="153"/>
      <c r="R135" s="153"/>
      <c r="S135" s="153"/>
      <c r="T135" s="153"/>
      <c r="U135" s="153"/>
      <c r="V135" s="153"/>
      <c r="W135" s="153"/>
      <c r="X135" s="153"/>
      <c r="Y135" s="153"/>
      <c r="Z135" s="153"/>
      <c r="AA135" s="153"/>
      <c r="AB135" s="153"/>
      <c r="AC135" s="153"/>
    </row>
    <row r="136">
      <c r="A136" s="152" t="s">
        <v>318</v>
      </c>
      <c r="B136" s="133" t="str">
        <f>IFERROR(__xludf.DUMMYFUNCTION("FILTER ('Research Papers'!D:D,'Research Papers'!A:A=C136)"),"Space-based Parameter Evolving with Lightweight Optimization for Graph Adaptation to Evolving Shifts")</f>
        <v>Space-based Parameter Evolving with Lightweight Optimization for Graph Adaptation to Evolving Shifts</v>
      </c>
      <c r="C136" s="133" t="s">
        <v>503</v>
      </c>
      <c r="D136" s="153" t="str">
        <f t="shared" si="1"/>
        <v>Space-based Parameter Evolving with Lightweight Optimization for Graph Adaptation to Evolving Shifts
Junyu Luo, Zixuan Ouyang, Xiao Luo, Hourun Li, Zhiping
Xiao, Yifan Wang and Ming Zhang
</v>
      </c>
      <c r="E136" s="153" t="str">
        <f>IFERROR(__xludf.DUMMYFUNCTION("TEXTJOIN(CHAR(10), TRUE,FILTER('Research Papers'!$C:$C,'Research Papers'!$A:$A=C136))"),"Junyu Luo, Zixuan Ouyang, Xiao Luo, Hourun Li, Zhiping
Xiao, Yifan Wang and Ming Zhang")</f>
        <v>Junyu Luo, Zixuan Ouyang, Xiao Luo, Hourun Li, Zhiping
Xiao, Yifan Wang and Ming Zhang</v>
      </c>
      <c r="F136" s="133" t="s">
        <v>213</v>
      </c>
      <c r="G136" s="133" t="s">
        <v>180</v>
      </c>
      <c r="H136" s="153"/>
      <c r="I136" s="120"/>
      <c r="J136" s="120"/>
      <c r="K136" s="153"/>
      <c r="L136" s="153"/>
      <c r="M136" s="153"/>
      <c r="N136" s="153"/>
      <c r="O136" s="153"/>
      <c r="P136" s="153"/>
      <c r="Q136" s="153"/>
      <c r="R136" s="153"/>
      <c r="S136" s="153"/>
      <c r="T136" s="153"/>
      <c r="U136" s="153"/>
      <c r="V136" s="153"/>
      <c r="W136" s="153"/>
      <c r="X136" s="153"/>
      <c r="Y136" s="153"/>
      <c r="Z136" s="153"/>
      <c r="AA136" s="153"/>
      <c r="AB136" s="153"/>
      <c r="AC136" s="153"/>
    </row>
    <row r="137">
      <c r="A137" s="152" t="s">
        <v>324</v>
      </c>
      <c r="B137" s="133" t="str">
        <f>IFERROR(__xludf.DUMMYFUNCTION("FILTER ('Research Papers'!D:D,'Research Papers'!A:A=C137)"),"Semi-Supervised Fake News Detection with Mixture of Experts")</f>
        <v>Semi-Supervised Fake News Detection with Mixture of Experts</v>
      </c>
      <c r="C137" s="133" t="s">
        <v>504</v>
      </c>
      <c r="D137" s="153" t="str">
        <f t="shared" si="1"/>
        <v>Semi-Supervised Fake News Detection with Mixture of Experts
Zhenyu Yang, Chaoyu Yang, Wenfeng Xu, Xiuxiu Hao, Huan
Wang, Ge Zhang, Xiaoxiao Ma and Jun Shen
</v>
      </c>
      <c r="E137" s="153" t="str">
        <f>IFERROR(__xludf.DUMMYFUNCTION("TEXTJOIN(CHAR(10), TRUE,FILTER('Research Papers'!$C:$C,'Research Papers'!$A:$A=C137))"),"Zhenyu Yang, Chaoyu Yang, Wenfeng Xu, Xiuxiu Hao, Huan
Wang, Ge Zhang, Xiaoxiao Ma and Jun Shen")</f>
        <v>Zhenyu Yang, Chaoyu Yang, Wenfeng Xu, Xiuxiu Hao, Huan
Wang, Ge Zhang, Xiaoxiao Ma and Jun Shen</v>
      </c>
      <c r="F137" s="133" t="s">
        <v>191</v>
      </c>
      <c r="G137" s="153"/>
      <c r="H137" s="153"/>
      <c r="I137" s="120"/>
      <c r="J137" s="120"/>
      <c r="K137" s="153"/>
      <c r="L137" s="153"/>
      <c r="M137" s="153"/>
      <c r="N137" s="153"/>
      <c r="O137" s="153"/>
      <c r="P137" s="153"/>
      <c r="Q137" s="153"/>
      <c r="R137" s="153"/>
      <c r="S137" s="153"/>
      <c r="T137" s="153"/>
      <c r="U137" s="153"/>
      <c r="V137" s="153"/>
      <c r="W137" s="153"/>
      <c r="X137" s="153"/>
      <c r="Y137" s="153"/>
      <c r="Z137" s="153"/>
      <c r="AA137" s="153"/>
      <c r="AB137" s="153"/>
      <c r="AC137" s="153"/>
    </row>
    <row r="138">
      <c r="A138" s="152" t="s">
        <v>324</v>
      </c>
      <c r="B138" s="133" t="str">
        <f>IFERROR(__xludf.DUMMYFUNCTION("FILTER ('Research Papers'!D:D,'Research Papers'!A:A=C138)"),"IConMoE: Modeling Intents of Misinformation using Concept Activation Vector-based Mixture of Experts")</f>
        <v>IConMoE: Modeling Intents of Misinformation using Concept Activation Vector-based Mixture of Experts</v>
      </c>
      <c r="C138" s="133" t="s">
        <v>505</v>
      </c>
      <c r="D138" s="153" t="str">
        <f t="shared" si="1"/>
        <v>IConMoE: Modeling Intents of Misinformation using Concept Activation Vector-based Mixture of Experts
Atul Kumar Singh and Rahul Mishra
</v>
      </c>
      <c r="E138" s="153" t="str">
        <f>IFERROR(__xludf.DUMMYFUNCTION("TEXTJOIN(CHAR(10), TRUE,FILTER('Research Papers'!$C:$C,'Research Papers'!$A:$A=C138))"),"Atul Kumar Singh and Rahul Mishra")</f>
        <v>Atul Kumar Singh and Rahul Mishra</v>
      </c>
      <c r="F138" s="133" t="s">
        <v>191</v>
      </c>
      <c r="G138" s="153"/>
      <c r="H138" s="153"/>
      <c r="I138" s="120"/>
      <c r="J138" s="120"/>
      <c r="K138" s="153"/>
      <c r="L138" s="153"/>
      <c r="M138" s="153"/>
      <c r="N138" s="153"/>
      <c r="O138" s="153"/>
      <c r="P138" s="153"/>
      <c r="Q138" s="153"/>
      <c r="R138" s="153"/>
      <c r="S138" s="153"/>
      <c r="T138" s="153"/>
      <c r="U138" s="153"/>
      <c r="V138" s="153"/>
      <c r="W138" s="153"/>
      <c r="X138" s="153"/>
      <c r="Y138" s="153"/>
      <c r="Z138" s="153"/>
      <c r="AA138" s="153"/>
      <c r="AB138" s="153"/>
      <c r="AC138" s="153"/>
    </row>
    <row r="139">
      <c r="A139" s="152" t="s">
        <v>324</v>
      </c>
      <c r="B139" s="133" t="str">
        <f>IFERROR(__xludf.DUMMYFUNCTION("FILTER ('Research Papers'!D:D,'Research Papers'!A:A=C139)"),"Causality Guided Representation Learning for Cross-Style Hate Speech Detection")</f>
        <v>Causality Guided Representation Learning for Cross-Style Hate Speech Detection</v>
      </c>
      <c r="C139" s="133" t="s">
        <v>506</v>
      </c>
      <c r="D139" s="153" t="str">
        <f t="shared" si="1"/>
        <v>Causality Guided Representation Learning for Cross-Style Hate Speech Detection
Chengshuai Zhao, Shu Wan, Paras Sheth, Karan Patwa, K.
Selçuk Candan and Huan Liu
</v>
      </c>
      <c r="E139" s="153" t="str">
        <f>IFERROR(__xludf.DUMMYFUNCTION("TEXTJOIN(CHAR(10), TRUE,FILTER('Research Papers'!$C:$C,'Research Papers'!$A:$A=C139))"),"Chengshuai Zhao, Shu Wan, Paras Sheth, Karan Patwa, K.
Selçuk Candan and Huan Liu")</f>
        <v>Chengshuai Zhao, Shu Wan, Paras Sheth, Karan Patwa, K.
Selçuk Candan and Huan Liu</v>
      </c>
      <c r="F139" s="133" t="s">
        <v>191</v>
      </c>
      <c r="G139" s="153"/>
      <c r="H139" s="153"/>
      <c r="I139" s="120"/>
      <c r="J139" s="120"/>
      <c r="K139" s="153"/>
      <c r="L139" s="153"/>
      <c r="M139" s="153"/>
      <c r="N139" s="153"/>
      <c r="O139" s="153"/>
      <c r="P139" s="153"/>
      <c r="Q139" s="153"/>
      <c r="R139" s="153"/>
      <c r="S139" s="153"/>
      <c r="T139" s="153"/>
      <c r="U139" s="153"/>
      <c r="V139" s="153"/>
      <c r="W139" s="153"/>
      <c r="X139" s="153"/>
      <c r="Y139" s="153"/>
      <c r="Z139" s="153"/>
      <c r="AA139" s="153"/>
      <c r="AB139" s="153"/>
      <c r="AC139" s="153"/>
    </row>
    <row r="140">
      <c r="A140" s="152" t="s">
        <v>324</v>
      </c>
      <c r="B140" s="133" t="str">
        <f>IFERROR(__xludf.DUMMYFUNCTION("FILTER ('Research Papers'!D:D,'Research Papers'!A:A=C140)"),"Navigating Truth in Multimodal Fact-checking via Retrieval- and Reasoning-Enhanced Large Language Models")</f>
        <v>Navigating Truth in Multimodal Fact-checking via Retrieval- and Reasoning-Enhanced Large Language Models</v>
      </c>
      <c r="C140" s="133" t="s">
        <v>507</v>
      </c>
      <c r="D140" s="153" t="str">
        <f t="shared" si="1"/>
        <v>Navigating Truth in Multimodal Fact-checking via Retrieval- and Reasoning-Enhanced Large Language Models
Fanrui Zhang, Qiang Zhang, Jianwen Sun, Chuanhao Li, Jiaxin
Ai, Yukang Feng, Zizhen Li, Kaipeng Zhang, Jiawei Liu and
Zheng-Jun Zha
</v>
      </c>
      <c r="E140" s="153" t="str">
        <f>IFERROR(__xludf.DUMMYFUNCTION("TEXTJOIN(CHAR(10), TRUE,FILTER('Research Papers'!$C:$C,'Research Papers'!$A:$A=C140))"),"Fanrui Zhang, Qiang Zhang, Jianwen Sun, Chuanhao Li, Jiaxin
Ai, Yukang Feng, Zizhen Li, Kaipeng Zhang, Jiawei Liu and
Zheng-Jun Zha")</f>
        <v>Fanrui Zhang, Qiang Zhang, Jianwen Sun, Chuanhao Li, Jiaxin
Ai, Yukang Feng, Zizhen Li, Kaipeng Zhang, Jiawei Liu and
Zheng-Jun Zha</v>
      </c>
      <c r="F140" s="133" t="s">
        <v>191</v>
      </c>
      <c r="G140" s="153"/>
      <c r="H140" s="153"/>
      <c r="I140" s="120"/>
      <c r="J140" s="120"/>
      <c r="K140" s="153"/>
      <c r="L140" s="153"/>
      <c r="M140" s="153"/>
      <c r="N140" s="153"/>
      <c r="O140" s="153"/>
      <c r="P140" s="153"/>
      <c r="Q140" s="153"/>
      <c r="R140" s="153"/>
      <c r="S140" s="153"/>
      <c r="T140" s="153"/>
      <c r="U140" s="153"/>
      <c r="V140" s="153"/>
      <c r="W140" s="153"/>
      <c r="X140" s="153"/>
      <c r="Y140" s="153"/>
      <c r="Z140" s="153"/>
      <c r="AA140" s="153"/>
      <c r="AB140" s="153"/>
      <c r="AC140" s="153"/>
    </row>
    <row r="141">
      <c r="A141" s="152" t="s">
        <v>324</v>
      </c>
      <c r="B141" s="133" t="str">
        <f>IFERROR(__xludf.DUMMYFUNCTION("FILTER ('Research Papers'!D:D,'Research Papers'!A:A=C141)"),"It's not Easy: Applying Supervised Machine Learning to Detect Malicious Extensions in the Chrome Web Store ")</f>
        <v>It's not Easy: Applying Supervised Machine Learning to Detect Malicious Extensions in the Chrome Web Store </v>
      </c>
      <c r="C141" s="155" t="s">
        <v>508</v>
      </c>
      <c r="D141" s="153" t="str">
        <f t="shared" si="1"/>
        <v>It's not Easy: Applying Supervised Machine Learning to Detect Malicious Extensions in the Chrome Web Store 
Ben Rosenzweig, Valentino Dalla Valle, Giovanni Apruzzese and Aurore Fass
</v>
      </c>
      <c r="E141" s="153" t="str">
        <f>IFERROR(__xludf.DUMMYFUNCTION("TEXTJOIN(CHAR(10), TRUE,FILTER('Research Papers'!$C:$C,'Research Papers'!$A:$A=C141))"),"Ben Rosenzweig, Valentino Dalla Valle, Giovanni Apruzzese and Aurore Fass")</f>
        <v>Ben Rosenzweig, Valentino Dalla Valle, Giovanni Apruzzese and Aurore Fass</v>
      </c>
      <c r="F141" s="133" t="s">
        <v>191</v>
      </c>
      <c r="G141" s="153"/>
      <c r="H141" s="153"/>
      <c r="I141" s="120"/>
      <c r="J141" s="120"/>
      <c r="K141" s="153"/>
      <c r="L141" s="153"/>
      <c r="M141" s="153"/>
      <c r="N141" s="153"/>
      <c r="O141" s="153"/>
      <c r="P141" s="153"/>
      <c r="Q141" s="153"/>
      <c r="R141" s="153"/>
      <c r="S141" s="153"/>
      <c r="T141" s="153"/>
      <c r="U141" s="153"/>
      <c r="V141" s="153"/>
      <c r="W141" s="153"/>
      <c r="X141" s="153"/>
      <c r="Y141" s="153"/>
      <c r="Z141" s="153"/>
      <c r="AA141" s="153"/>
      <c r="AB141" s="153"/>
      <c r="AC141" s="153"/>
    </row>
    <row r="142">
      <c r="A142" s="152" t="s">
        <v>324</v>
      </c>
      <c r="B142" s="133" t="str">
        <f>IFERROR(__xludf.DUMMYFUNCTION("FILTER ('Research Papers'!D:D,'Research Papers'!A:A=C142)"),"Does This Button Work? Investigating YouTube's Ineffective User Controls")</f>
        <v>Does This Button Work? Investigating YouTube's Ineffective User Controls</v>
      </c>
      <c r="C142" s="133" t="s">
        <v>509</v>
      </c>
      <c r="D142" s="153" t="str">
        <f t="shared" si="1"/>
        <v>Does This Button Work? Investigating YouTube's Ineffective User Controls
Jesse McCrosky, Ranadheer Malla, Aapo Tanskanen and Chico
Camargo
</v>
      </c>
      <c r="E142" s="153" t="str">
        <f>IFERROR(__xludf.DUMMYFUNCTION("TEXTJOIN(CHAR(10), TRUE,FILTER('Research Papers'!$C:$C,'Research Papers'!$A:$A=C142))"),"Jesse McCrosky, Ranadheer Malla, Aapo Tanskanen and Chico
Camargo")</f>
        <v>Jesse McCrosky, Ranadheer Malla, Aapo Tanskanen and Chico
Camargo</v>
      </c>
      <c r="F142" s="133" t="s">
        <v>164</v>
      </c>
      <c r="G142" s="153"/>
      <c r="H142" s="153"/>
      <c r="I142" s="120"/>
      <c r="J142" s="120"/>
      <c r="K142" s="153"/>
      <c r="L142" s="153"/>
      <c r="M142" s="153"/>
      <c r="N142" s="153"/>
      <c r="O142" s="153"/>
      <c r="P142" s="153"/>
      <c r="Q142" s="153"/>
      <c r="R142" s="153"/>
      <c r="S142" s="153"/>
      <c r="T142" s="153"/>
      <c r="U142" s="153"/>
      <c r="V142" s="153"/>
      <c r="W142" s="153"/>
      <c r="X142" s="153"/>
      <c r="Y142" s="153"/>
      <c r="Z142" s="153"/>
      <c r="AA142" s="153"/>
      <c r="AB142" s="153"/>
      <c r="AC142" s="153"/>
    </row>
    <row r="143">
      <c r="A143" s="152" t="s">
        <v>324</v>
      </c>
      <c r="B143" s="133" t="str">
        <f>IFERROR(__xludf.DUMMYFUNCTION("FILTER ('Research Papers'!D:D,'Research Papers'!A:A=C143)"),"Users Pay Twice: The Hidden Energy Cost of Web Advertising")</f>
        <v>Users Pay Twice: The Hidden Energy Cost of Web Advertising</v>
      </c>
      <c r="C143" s="133" t="s">
        <v>510</v>
      </c>
      <c r="D143" s="153" t="str">
        <f t="shared" si="1"/>
        <v>Users Pay Twice: The Hidden Energy Cost of Web Advertising
Samuel Pélissier, Naif Mehanna, Sterenn Roux, Quentin
Perez, Walter Rudametkin, Johann Bourcier and Pierre
Laperdrix
</v>
      </c>
      <c r="E143" s="153" t="str">
        <f>IFERROR(__xludf.DUMMYFUNCTION("TEXTJOIN(CHAR(10), TRUE,FILTER('Research Papers'!$C:$C,'Research Papers'!$A:$A=C143))"),"Samuel Pélissier, Naif Mehanna, Sterenn Roux, Quentin
Perez, Walter Rudametkin, Johann Bourcier and Pierre
Laperdrix")</f>
        <v>Samuel Pélissier, Naif Mehanna, Sterenn Roux, Quentin
Perez, Walter Rudametkin, Johann Bourcier and Pierre
Laperdrix</v>
      </c>
      <c r="F143" s="133" t="s">
        <v>164</v>
      </c>
      <c r="G143" s="153"/>
      <c r="H143" s="153"/>
      <c r="I143" s="120"/>
      <c r="J143" s="120"/>
      <c r="K143" s="153"/>
      <c r="L143" s="153"/>
      <c r="M143" s="153"/>
      <c r="N143" s="153"/>
      <c r="O143" s="153"/>
      <c r="P143" s="153"/>
      <c r="Q143" s="153"/>
      <c r="R143" s="153"/>
      <c r="S143" s="153"/>
      <c r="T143" s="153"/>
      <c r="U143" s="153"/>
      <c r="V143" s="153"/>
      <c r="W143" s="153"/>
      <c r="X143" s="153"/>
      <c r="Y143" s="153"/>
      <c r="Z143" s="153"/>
      <c r="AA143" s="153"/>
      <c r="AB143" s="153"/>
      <c r="AC143" s="153"/>
    </row>
    <row r="144">
      <c r="A144" s="152" t="s">
        <v>324</v>
      </c>
      <c r="B144" s="133" t="str">
        <f>IFERROR(__xludf.DUMMYFUNCTION("FILTER ('Research Papers'!D:D,'Research Papers'!A:A=C144)"),"Towards LLM-centric Affective Visual Customization via Efficient and Precise Emotion Manipulating")</f>
        <v>Towards LLM-centric Affective Visual Customization via Efficient and Precise Emotion Manipulating</v>
      </c>
      <c r="C144" s="133" t="s">
        <v>511</v>
      </c>
      <c r="D144" s="153" t="str">
        <f t="shared" si="1"/>
        <v>Towards LLM-centric Affective Visual Customization via Efficient and Precise Emotion Manipulating
Jiamin Luo, Xuqian Gu, Jingjing Wang and Jiahong Lu
</v>
      </c>
      <c r="E144" s="153" t="str">
        <f>IFERROR(__xludf.DUMMYFUNCTION("TEXTJOIN(CHAR(10), TRUE,FILTER('Research Papers'!$C:$C,'Research Papers'!$A:$A=C144))"),"Jiamin Luo, Xuqian Gu, Jingjing Wang and Jiahong Lu")</f>
        <v>Jiamin Luo, Xuqian Gu, Jingjing Wang and Jiahong Lu</v>
      </c>
      <c r="F144" s="133" t="s">
        <v>164</v>
      </c>
      <c r="G144" s="153"/>
      <c r="H144" s="153"/>
      <c r="I144" s="120"/>
      <c r="J144" s="120"/>
      <c r="K144" s="153"/>
      <c r="L144" s="153"/>
      <c r="M144" s="153"/>
      <c r="N144" s="153"/>
      <c r="O144" s="153"/>
      <c r="P144" s="153"/>
      <c r="Q144" s="153"/>
      <c r="R144" s="153"/>
      <c r="S144" s="153"/>
      <c r="T144" s="153"/>
      <c r="U144" s="153"/>
      <c r="V144" s="153"/>
      <c r="W144" s="153"/>
      <c r="X144" s="153"/>
      <c r="Y144" s="153"/>
      <c r="Z144" s="153"/>
      <c r="AA144" s="153"/>
      <c r="AB144" s="153"/>
      <c r="AC144" s="153"/>
    </row>
    <row r="145">
      <c r="A145" s="152" t="s">
        <v>324</v>
      </c>
      <c r="B145" s="133" t="str">
        <f>IFERROR(__xludf.DUMMYFUNCTION("FILTER ('Research Papers'!D:D,'Research Papers'!A:A=C145)"),"D-Models and E-Models: Diversity-Stability Trade-offs in the Sampling Behavior of Large Language Models")</f>
        <v>D-Models and E-Models: Diversity-Stability Trade-offs in the Sampling Behavior of Large Language Models</v>
      </c>
      <c r="C145" s="133" t="s">
        <v>512</v>
      </c>
      <c r="D145" s="153" t="str">
        <f t="shared" si="1"/>
        <v>D-Models and E-Models: Diversity-Stability Trade-offs in the Sampling Behavior of Large Language Models
Jia Gu, Liang Pang, Huawei Shen and Xueqi Cheng
</v>
      </c>
      <c r="E145" s="153" t="str">
        <f>IFERROR(__xludf.DUMMYFUNCTION("TEXTJOIN(CHAR(10), TRUE,FILTER('Research Papers'!$C:$C,'Research Papers'!$A:$A=C145))"),"Jia Gu, Liang Pang, Huawei Shen and Xueqi Cheng")</f>
        <v>Jia Gu, Liang Pang, Huawei Shen and Xueqi Cheng</v>
      </c>
      <c r="F145" s="133" t="s">
        <v>164</v>
      </c>
      <c r="G145" s="153"/>
      <c r="H145" s="153"/>
      <c r="I145" s="120"/>
      <c r="J145" s="120"/>
      <c r="K145" s="153"/>
      <c r="L145" s="153"/>
      <c r="M145" s="153"/>
      <c r="N145" s="153"/>
      <c r="O145" s="153"/>
      <c r="P145" s="153"/>
      <c r="Q145" s="153"/>
      <c r="R145" s="153"/>
      <c r="S145" s="153"/>
      <c r="T145" s="153"/>
      <c r="U145" s="153"/>
      <c r="V145" s="153"/>
      <c r="W145" s="153"/>
      <c r="X145" s="153"/>
      <c r="Y145" s="153"/>
      <c r="Z145" s="153"/>
      <c r="AA145" s="153"/>
      <c r="AB145" s="153"/>
      <c r="AC145" s="153"/>
    </row>
    <row r="146">
      <c r="A146" s="152" t="s">
        <v>324</v>
      </c>
      <c r="B146" s="133" t="str">
        <f>IFERROR(__xludf.DUMMYFUNCTION("FILTER ('Research Papers'!D:D,'Research Papers'!A:A=C146)"),"Dynamics of Human-AI Collective Knowledge on the Web: A Scalable Model and Insights for Sustainable Growth")</f>
        <v>Dynamics of Human-AI Collective Knowledge on the Web: A Scalable Model and Insights for Sustainable Growth</v>
      </c>
      <c r="C146" s="133" t="s">
        <v>513</v>
      </c>
      <c r="D146" s="153" t="str">
        <f t="shared" si="1"/>
        <v>Dynamics of Human-AI Collective Knowledge on the Web: A Scalable Model and Insights for Sustainable Growth
Buddhika Nettasinghe and Kang Zhao
</v>
      </c>
      <c r="E146" s="153" t="str">
        <f>IFERROR(__xludf.DUMMYFUNCTION("TEXTJOIN(CHAR(10), TRUE,FILTER('Research Papers'!$C:$C,'Research Papers'!$A:$A=C146))"),"Buddhika Nettasinghe and Kang Zhao")</f>
        <v>Buddhika Nettasinghe and Kang Zhao</v>
      </c>
      <c r="F146" s="133" t="s">
        <v>164</v>
      </c>
      <c r="G146" s="153"/>
      <c r="H146" s="153"/>
      <c r="I146" s="120"/>
      <c r="J146" s="120"/>
      <c r="K146" s="153"/>
      <c r="L146" s="153"/>
      <c r="M146" s="153"/>
      <c r="N146" s="153"/>
      <c r="O146" s="153"/>
      <c r="P146" s="153"/>
      <c r="Q146" s="153"/>
      <c r="R146" s="153"/>
      <c r="S146" s="153"/>
      <c r="T146" s="153"/>
      <c r="U146" s="153"/>
      <c r="V146" s="153"/>
      <c r="W146" s="153"/>
      <c r="X146" s="153"/>
      <c r="Y146" s="153"/>
      <c r="Z146" s="153"/>
      <c r="AA146" s="153"/>
      <c r="AB146" s="153"/>
      <c r="AC146" s="153"/>
    </row>
    <row r="147">
      <c r="A147" s="152" t="s">
        <v>324</v>
      </c>
      <c r="B147" s="133" t="str">
        <f>IFERROR(__xludf.DUMMYFUNCTION("FILTER ('Research Papers'!D:D,'Research Papers'!A:A=C147)"),"Trireme: A Tripartite Regulation Scheme for Diffusion Models")</f>
        <v>Trireme: A Tripartite Regulation Scheme for Diffusion Models</v>
      </c>
      <c r="C147" s="133" t="s">
        <v>514</v>
      </c>
      <c r="D147" s="153" t="str">
        <f t="shared" si="1"/>
        <v>Trireme: A Tripartite Regulation Scheme for Diffusion Models
Hengtong Zhang, Chen Ye and Hongzhi Wang
</v>
      </c>
      <c r="E147" s="153" t="str">
        <f>IFERROR(__xludf.DUMMYFUNCTION("TEXTJOIN(CHAR(10), TRUE,FILTER('Research Papers'!$C:$C,'Research Papers'!$A:$A=C147))"),"Hengtong Zhang, Chen Ye and Hongzhi Wang")</f>
        <v>Hengtong Zhang, Chen Ye and Hongzhi Wang</v>
      </c>
      <c r="F147" s="133" t="s">
        <v>146</v>
      </c>
      <c r="G147" s="153"/>
      <c r="H147" s="153"/>
      <c r="I147" s="120"/>
      <c r="J147" s="120"/>
      <c r="K147" s="153"/>
      <c r="L147" s="153"/>
      <c r="M147" s="153"/>
      <c r="N147" s="153"/>
      <c r="O147" s="153"/>
      <c r="P147" s="153"/>
      <c r="Q147" s="153"/>
      <c r="R147" s="153"/>
      <c r="S147" s="153"/>
      <c r="T147" s="153"/>
      <c r="U147" s="153"/>
      <c r="V147" s="153"/>
      <c r="W147" s="153"/>
      <c r="X147" s="153"/>
      <c r="Y147" s="153"/>
      <c r="Z147" s="153"/>
      <c r="AA147" s="153"/>
      <c r="AB147" s="153"/>
      <c r="AC147" s="153"/>
    </row>
    <row r="148">
      <c r="A148" s="152" t="s">
        <v>324</v>
      </c>
      <c r="B148" s="133" t="str">
        <f>IFERROR(__xludf.DUMMYFUNCTION("FILTER ('Research Papers'!D:D,'Research Papers'!A:A=C148)"),"BiasEdit: A Training-Free Bias-Detect-and-Edit Framework for Learning Fair Visual Classifiers")</f>
        <v>BiasEdit: A Training-Free Bias-Detect-and-Edit Framework for Learning Fair Visual Classifiers</v>
      </c>
      <c r="C148" s="133" t="s">
        <v>515</v>
      </c>
      <c r="D148" s="153" t="str">
        <f t="shared" si="1"/>
        <v>BiasEdit: A Training-Free Bias-Detect-and-Edit Framework for Learning Fair Visual Classifiers
Jungwook Seo, Yoonsik Park, Changmin Lee and Sungyong Baik
</v>
      </c>
      <c r="E148" s="153" t="str">
        <f>IFERROR(__xludf.DUMMYFUNCTION("TEXTJOIN(CHAR(10), TRUE,FILTER('Research Papers'!$C:$C,'Research Papers'!$A:$A=C148))"),"Jungwook Seo, Yoonsik Park, Changmin Lee and Sungyong Baik")</f>
        <v>Jungwook Seo, Yoonsik Park, Changmin Lee and Sungyong Baik</v>
      </c>
      <c r="F148" s="133" t="s">
        <v>146</v>
      </c>
      <c r="G148" s="153"/>
      <c r="H148" s="153"/>
      <c r="I148" s="120"/>
      <c r="J148" s="120"/>
      <c r="K148" s="153"/>
      <c r="L148" s="153"/>
      <c r="M148" s="153"/>
      <c r="N148" s="153"/>
      <c r="O148" s="153"/>
      <c r="P148" s="153"/>
      <c r="Q148" s="153"/>
      <c r="R148" s="153"/>
      <c r="S148" s="153"/>
      <c r="T148" s="153"/>
      <c r="U148" s="153"/>
      <c r="V148" s="153"/>
      <c r="W148" s="153"/>
      <c r="X148" s="153"/>
      <c r="Y148" s="153"/>
      <c r="Z148" s="153"/>
      <c r="AA148" s="153"/>
      <c r="AB148" s="153"/>
      <c r="AC148" s="153"/>
    </row>
    <row r="149">
      <c r="A149" s="152" t="s">
        <v>324</v>
      </c>
      <c r="B149" s="133" t="str">
        <f>IFERROR(__xludf.DUMMYFUNCTION("FILTER ('Research Papers'!D:D,'Research Papers'!A:A=C149)"),"Question the Questions: Auditing Representation in Online Deliberative Processes")</f>
        <v>Question the Questions: Auditing Representation in Online Deliberative Processes</v>
      </c>
      <c r="C149" s="133" t="s">
        <v>516</v>
      </c>
      <c r="D149" s="153" t="str">
        <f t="shared" si="1"/>
        <v>Question the Questions: Auditing Representation in Online Deliberative Processes
Soham De, Lodewijk Gelauff, Ashish Goel, Smitha Milli,
Ariel Procaccia and Alice Siu
</v>
      </c>
      <c r="E149" s="153" t="str">
        <f>IFERROR(__xludf.DUMMYFUNCTION("TEXTJOIN(CHAR(10), TRUE,FILTER('Research Papers'!$C:$C,'Research Papers'!$A:$A=C149))"),"Soham De, Lodewijk Gelauff, Ashish Goel, Smitha Milli,
Ariel Procaccia and Alice Siu")</f>
        <v>Soham De, Lodewijk Gelauff, Ashish Goel, Smitha Milli,
Ariel Procaccia and Alice Siu</v>
      </c>
      <c r="F149" s="133" t="s">
        <v>146</v>
      </c>
      <c r="G149" s="153"/>
      <c r="H149" s="153"/>
      <c r="I149" s="120"/>
      <c r="J149" s="120"/>
      <c r="K149" s="153"/>
      <c r="L149" s="153"/>
      <c r="M149" s="153"/>
      <c r="N149" s="153"/>
      <c r="O149" s="153"/>
      <c r="P149" s="153"/>
      <c r="Q149" s="153"/>
      <c r="R149" s="153"/>
      <c r="S149" s="153"/>
      <c r="T149" s="153"/>
      <c r="U149" s="153"/>
      <c r="V149" s="153"/>
      <c r="W149" s="153"/>
      <c r="X149" s="153"/>
      <c r="Y149" s="153"/>
      <c r="Z149" s="153"/>
      <c r="AA149" s="153"/>
      <c r="AB149" s="153"/>
      <c r="AC149" s="153"/>
    </row>
    <row r="150">
      <c r="A150" s="152" t="s">
        <v>324</v>
      </c>
      <c r="B150" s="133" t="str">
        <f>IFERROR(__xludf.DUMMYFUNCTION("FILTER ('Research Papers'!D:D,'Research Papers'!A:A=C150)"),"Digital Skin, Digital Bias: Uncovering Tone-Based Biases in LLMs and Emoji Embeddings")</f>
        <v>Digital Skin, Digital Bias: Uncovering Tone-Based Biases in LLMs and Emoji Embeddings</v>
      </c>
      <c r="C150" s="133" t="s">
        <v>517</v>
      </c>
      <c r="D150" s="153" t="str">
        <f t="shared" si="1"/>
        <v>Digital Skin, Digital Bias: Uncovering Tone-Based Biases in LLMs and Emoji Embeddings
Mingchen Li, Wajdi Aljedaani, Yingjie Liu, Navyasri Meka,
Xuan Lu, Xinyue Ye, Junhua Ding and Yunhe Feng
</v>
      </c>
      <c r="E150" s="153" t="str">
        <f>IFERROR(__xludf.DUMMYFUNCTION("TEXTJOIN(CHAR(10), TRUE,FILTER('Research Papers'!$C:$C,'Research Papers'!$A:$A=C150))"),"Mingchen Li, Wajdi Aljedaani, Yingjie Liu, Navyasri Meka,
Xuan Lu, Xinyue Ye, Junhua Ding and Yunhe Feng")</f>
        <v>Mingchen Li, Wajdi Aljedaani, Yingjie Liu, Navyasri Meka,
Xuan Lu, Xinyue Ye, Junhua Ding and Yunhe Feng</v>
      </c>
      <c r="F150" s="133" t="s">
        <v>146</v>
      </c>
      <c r="G150" s="153"/>
      <c r="H150" s="153"/>
      <c r="I150" s="120"/>
      <c r="J150" s="120"/>
      <c r="K150" s="153"/>
      <c r="L150" s="153"/>
      <c r="M150" s="153"/>
      <c r="N150" s="153"/>
      <c r="O150" s="153"/>
      <c r="P150" s="153"/>
      <c r="Q150" s="153"/>
      <c r="R150" s="153"/>
      <c r="S150" s="153"/>
      <c r="T150" s="153"/>
      <c r="U150" s="153"/>
      <c r="V150" s="153"/>
      <c r="W150" s="153"/>
      <c r="X150" s="153"/>
      <c r="Y150" s="153"/>
      <c r="Z150" s="153"/>
      <c r="AA150" s="153"/>
      <c r="AB150" s="153"/>
      <c r="AC150" s="153"/>
    </row>
    <row r="151">
      <c r="A151" s="152" t="s">
        <v>324</v>
      </c>
      <c r="B151" s="133" t="str">
        <f>IFERROR(__xludf.DUMMYFUNCTION("FILTER ('Research Papers'!D:D,'Research Papers'!A:A=C151)"),"Be Responsible in Your Answers! Monitoring Out-of-Domain Behaviors in Domain-Specific LLMs")</f>
        <v>Be Responsible in Your Answers! Monitoring Out-of-Domain Behaviors in Domain-Specific LLMs</v>
      </c>
      <c r="C151" s="133" t="s">
        <v>518</v>
      </c>
      <c r="D151" s="153" t="str">
        <f t="shared" si="1"/>
        <v>Be Responsible in Your Answers! Monitoring Out-of-Domain Behaviors in Domain-Specific LLMs
Boquan Li, Chenzhe Lou, Zhe Ren, Peixin Zhang, Zirui Fu,
Jun Sun and Yaowen Zheng
</v>
      </c>
      <c r="E151" s="153" t="str">
        <f>IFERROR(__xludf.DUMMYFUNCTION("TEXTJOIN(CHAR(10), TRUE,FILTER('Research Papers'!$C:$C,'Research Papers'!$A:$A=C151))"),"Boquan Li, Chenzhe Lou, Zhe Ren, Peixin Zhang, Zirui Fu,
Jun Sun and Yaowen Zheng")</f>
        <v>Boquan Li, Chenzhe Lou, Zhe Ren, Peixin Zhang, Zirui Fu,
Jun Sun and Yaowen Zheng</v>
      </c>
      <c r="F151" s="133" t="s">
        <v>146</v>
      </c>
      <c r="G151" s="153"/>
      <c r="H151" s="153"/>
      <c r="I151" s="120"/>
      <c r="J151" s="120"/>
      <c r="K151" s="153"/>
      <c r="L151" s="153"/>
      <c r="M151" s="153"/>
      <c r="N151" s="153"/>
      <c r="O151" s="153"/>
      <c r="P151" s="153"/>
      <c r="Q151" s="153"/>
      <c r="R151" s="153"/>
      <c r="S151" s="153"/>
      <c r="T151" s="153"/>
      <c r="U151" s="153"/>
      <c r="V151" s="153"/>
      <c r="W151" s="153"/>
      <c r="X151" s="153"/>
      <c r="Y151" s="153"/>
      <c r="Z151" s="153"/>
      <c r="AA151" s="153"/>
      <c r="AB151" s="153"/>
      <c r="AC151" s="153"/>
    </row>
    <row r="152">
      <c r="A152" s="152" t="s">
        <v>324</v>
      </c>
      <c r="B152" s="133" t="str">
        <f>IFERROR(__xludf.DUMMYFUNCTION("FILTER ('Research Papers'!D:D,'Research Papers'!A:A=C152)"),"Rethinking Implicit Hate Speech Detection: Focusing on Latent Hate Components via Dual-Process Argumentation")</f>
        <v>Rethinking Implicit Hate Speech Detection: Focusing on Latent Hate Components via Dual-Process Argumentation</v>
      </c>
      <c r="C152" s="133" t="s">
        <v>519</v>
      </c>
      <c r="D152" s="153" t="str">
        <f t="shared" si="1"/>
        <v>Rethinking Implicit Hate Speech Detection: Focusing on Latent Hate Components via Dual-Process Argumentation
Shiqi Sun, Du Su, Wei Chen and Xueqi Cheng
</v>
      </c>
      <c r="E152" s="153" t="str">
        <f>IFERROR(__xludf.DUMMYFUNCTION("TEXTJOIN(CHAR(10), TRUE,FILTER('Research Papers'!$C:$C,'Research Papers'!$A:$A=C152))"),"Shiqi Sun, Du Su, Wei Chen and Xueqi Cheng")</f>
        <v>Shiqi Sun, Du Su, Wei Chen and Xueqi Cheng</v>
      </c>
      <c r="F152" s="133" t="s">
        <v>215</v>
      </c>
      <c r="G152" s="133" t="s">
        <v>325</v>
      </c>
      <c r="H152" s="153"/>
      <c r="I152" s="149" t="s">
        <v>367</v>
      </c>
      <c r="J152" s="114">
        <f>COUNTIF(F:F,F152)</f>
        <v>13</v>
      </c>
      <c r="K152" s="153"/>
      <c r="L152" s="153"/>
      <c r="M152" s="153"/>
      <c r="N152" s="153"/>
      <c r="O152" s="153"/>
      <c r="P152" s="153"/>
      <c r="Q152" s="153"/>
      <c r="R152" s="153"/>
      <c r="S152" s="153"/>
      <c r="T152" s="153"/>
      <c r="U152" s="153"/>
      <c r="V152" s="153"/>
      <c r="W152" s="153"/>
      <c r="X152" s="153"/>
      <c r="Y152" s="153"/>
      <c r="Z152" s="153"/>
      <c r="AA152" s="153"/>
      <c r="AB152" s="153"/>
      <c r="AC152" s="153"/>
    </row>
    <row r="153">
      <c r="A153" s="152" t="s">
        <v>324</v>
      </c>
      <c r="B153" s="133" t="str">
        <f>IFERROR(__xludf.DUMMYFUNCTION("FILTER ('Research Papers'!D:D,'Research Papers'!A:A=C153)"),"PIXEL: Adaptive Steering Via Position-wise Injection with eXact Estimated Levels under a Subspace Calibration")</f>
        <v>PIXEL: Adaptive Steering Via Position-wise Injection with eXact Estimated Levels under a Subspace Calibration</v>
      </c>
      <c r="C153" s="133" t="s">
        <v>520</v>
      </c>
      <c r="D153" s="153" t="str">
        <f t="shared" si="1"/>
        <v>PIXEL: Adaptive Steering Via Position-wise Injection with eXact Estimated Levels under a Subspace Calibration
Manjiang Yu, Hongji Li, Priyanka Singh, Xue Li, Di Wang and
Lijie Hu
</v>
      </c>
      <c r="E153" s="153" t="str">
        <f>IFERROR(__xludf.DUMMYFUNCTION("TEXTJOIN(CHAR(10), TRUE,FILTER('Research Papers'!$C:$C,'Research Papers'!$A:$A=C153))"),"Manjiang Yu, Hongji Li, Priyanka Singh, Xue Li, Di Wang and
Lijie Hu")</f>
        <v>Manjiang Yu, Hongji Li, Priyanka Singh, Xue Li, Di Wang and
Lijie Hu</v>
      </c>
      <c r="F153" s="133" t="s">
        <v>215</v>
      </c>
      <c r="G153" s="133" t="s">
        <v>325</v>
      </c>
      <c r="H153" s="153"/>
      <c r="I153" s="120"/>
      <c r="J153" s="120"/>
      <c r="K153" s="153"/>
      <c r="L153" s="153"/>
      <c r="M153" s="153"/>
      <c r="N153" s="153"/>
      <c r="O153" s="153"/>
      <c r="P153" s="153"/>
      <c r="Q153" s="153"/>
      <c r="R153" s="153"/>
      <c r="S153" s="153"/>
      <c r="T153" s="153"/>
      <c r="U153" s="153"/>
      <c r="V153" s="153"/>
      <c r="W153" s="153"/>
      <c r="X153" s="153"/>
      <c r="Y153" s="153"/>
      <c r="Z153" s="153"/>
      <c r="AA153" s="153"/>
      <c r="AB153" s="153"/>
      <c r="AC153" s="153"/>
    </row>
    <row r="154">
      <c r="A154" s="152" t="s">
        <v>324</v>
      </c>
      <c r="B154" s="133" t="str">
        <f>IFERROR(__xludf.DUMMYFUNCTION("FILTER ('Research Papers'!D:D,'Research Papers'!A:A=C154)"),"Doxing-as-a-Service: Demystifying the Chinese Online Doxing Ecosystem")</f>
        <v>Doxing-as-a-Service: Demystifying the Chinese Online Doxing Ecosystem</v>
      </c>
      <c r="C154" s="133" t="s">
        <v>521</v>
      </c>
      <c r="D154" s="153" t="str">
        <f t="shared" si="1"/>
        <v>Doxing-as-a-Service: Demystifying the Chinese Online Doxing Ecosystem
Yiran Gao, Pengcheng Xia, Liu Wang, Tianming Liu and Haoyu
Wang
</v>
      </c>
      <c r="E154" s="153" t="str">
        <f>IFERROR(__xludf.DUMMYFUNCTION("TEXTJOIN(CHAR(10), TRUE,FILTER('Research Papers'!$C:$C,'Research Papers'!$A:$A=C154))"),"Yiran Gao, Pengcheng Xia, Liu Wang, Tianming Liu and Haoyu
Wang")</f>
        <v>Yiran Gao, Pengcheng Xia, Liu Wang, Tianming Liu and Haoyu
Wang</v>
      </c>
      <c r="F154" s="133" t="s">
        <v>215</v>
      </c>
      <c r="G154" s="133" t="s">
        <v>325</v>
      </c>
      <c r="H154" s="153"/>
      <c r="I154" s="120"/>
      <c r="J154" s="120"/>
      <c r="K154" s="153"/>
      <c r="L154" s="153"/>
      <c r="M154" s="153"/>
      <c r="N154" s="153"/>
      <c r="O154" s="153"/>
      <c r="P154" s="153"/>
      <c r="Q154" s="153"/>
      <c r="R154" s="153"/>
      <c r="S154" s="153"/>
      <c r="T154" s="153"/>
      <c r="U154" s="153"/>
      <c r="V154" s="153"/>
      <c r="W154" s="153"/>
      <c r="X154" s="153"/>
      <c r="Y154" s="153"/>
      <c r="Z154" s="153"/>
      <c r="AA154" s="153"/>
      <c r="AB154" s="153"/>
      <c r="AC154" s="153"/>
    </row>
    <row r="155">
      <c r="A155" s="152" t="s">
        <v>324</v>
      </c>
      <c r="B155" s="133" t="str">
        <f>IFERROR(__xludf.DUMMYFUNCTION("FILTER ('Research Papers'!D:D,'Research Papers'!A:A=C155)"),"From Navigation to Intention: Reframing the Web Experience through Goal-Driven Interfaces")</f>
        <v>From Navigation to Intention: Reframing the Web Experience through Goal-Driven Interfaces</v>
      </c>
      <c r="C155" s="133" t="s">
        <v>522</v>
      </c>
      <c r="D155" s="153" t="str">
        <f t="shared" si="1"/>
        <v>From Navigation to Intention: Reframing the Web Experience through Goal-Driven Interfaces
Luca Cordioli and Maristella Matera
</v>
      </c>
      <c r="E155" s="153" t="str">
        <f>IFERROR(__xludf.DUMMYFUNCTION("TEXTJOIN(CHAR(10), TRUE,FILTER('Research Papers'!$C:$C,'Research Papers'!$A:$A=C155))"),"Luca Cordioli and Maristella Matera")</f>
        <v>Luca Cordioli and Maristella Matera</v>
      </c>
      <c r="F155" s="133" t="s">
        <v>215</v>
      </c>
      <c r="G155" s="133" t="s">
        <v>325</v>
      </c>
      <c r="H155" s="153"/>
      <c r="I155" s="120"/>
      <c r="J155" s="120"/>
      <c r="K155" s="153"/>
      <c r="L155" s="153"/>
      <c r="M155" s="153"/>
      <c r="N155" s="153"/>
      <c r="O155" s="153"/>
      <c r="P155" s="153"/>
      <c r="Q155" s="153"/>
      <c r="R155" s="153"/>
      <c r="S155" s="153"/>
      <c r="T155" s="153"/>
      <c r="U155" s="153"/>
      <c r="V155" s="153"/>
      <c r="W155" s="153"/>
      <c r="X155" s="153"/>
      <c r="Y155" s="153"/>
      <c r="Z155" s="153"/>
      <c r="AA155" s="153"/>
      <c r="AB155" s="153"/>
      <c r="AC155" s="153"/>
    </row>
    <row r="156">
      <c r="A156" s="152" t="s">
        <v>324</v>
      </c>
      <c r="B156" s="133" t="str">
        <f>IFERROR(__xludf.DUMMYFUNCTION("FILTER ('Research Papers'!D:D,'Research Papers'!A:A=C156)"),"Read as You See: Guiding Unimodal LLMs for Low-Resource Explainable Harmful Meme Detection")</f>
        <v>Read as You See: Guiding Unimodal LLMs for Low-Resource Explainable Harmful Meme Detection</v>
      </c>
      <c r="C156" s="133" t="s">
        <v>523</v>
      </c>
      <c r="D156" s="153" t="str">
        <f t="shared" si="1"/>
        <v>Read as You See: Guiding Unimodal LLMs for Low-Resource Explainable Harmful Meme Detection
Fengjun Pan, Xiaobao Wu, Tho Quan and Anh Tuan Luu
</v>
      </c>
      <c r="E156" s="153" t="str">
        <f>IFERROR(__xludf.DUMMYFUNCTION("TEXTJOIN(CHAR(10), TRUE,FILTER('Research Papers'!$C:$C,'Research Papers'!$A:$A=C156))"),"Fengjun Pan, Xiaobao Wu, Tho Quan and Anh Tuan Luu")</f>
        <v>Fengjun Pan, Xiaobao Wu, Tho Quan and Anh Tuan Luu</v>
      </c>
      <c r="F156" s="133" t="s">
        <v>215</v>
      </c>
      <c r="G156" s="133" t="s">
        <v>325</v>
      </c>
      <c r="H156" s="153"/>
      <c r="I156" s="120"/>
      <c r="J156" s="120"/>
      <c r="K156" s="153"/>
      <c r="L156" s="153"/>
      <c r="M156" s="153"/>
      <c r="N156" s="153"/>
      <c r="O156" s="153"/>
      <c r="P156" s="153"/>
      <c r="Q156" s="153"/>
      <c r="R156" s="153"/>
      <c r="S156" s="153"/>
      <c r="T156" s="153"/>
      <c r="U156" s="153"/>
      <c r="V156" s="153"/>
      <c r="W156" s="153"/>
      <c r="X156" s="153"/>
      <c r="Y156" s="153"/>
      <c r="Z156" s="153"/>
      <c r="AA156" s="153"/>
      <c r="AB156" s="153"/>
      <c r="AC156" s="153"/>
    </row>
    <row r="157">
      <c r="A157" s="152" t="s">
        <v>324</v>
      </c>
      <c r="B157" s="133" t="str">
        <f>IFERROR(__xludf.DUMMYFUNCTION("FILTER ('Research Papers'!D:D,'Research Papers'!A:A=C157)"),"BIND: A Bidirectionally Aligned Next-token Denoising Framework for Fast and Lightweight Deobfuscation of Harmful Web Text")</f>
        <v>BIND: A Bidirectionally Aligned Next-token Denoising Framework for Fast and Lightweight Deobfuscation of Harmful Web Text</v>
      </c>
      <c r="C157" s="133" t="s">
        <v>524</v>
      </c>
      <c r="D157" s="153" t="str">
        <f t="shared" si="1"/>
        <v>BIND: A Bidirectionally Aligned Next-token Denoising Framework for Fast and Lightweight Deobfuscation of Harmful Web Text
Jinwoo Jung and Misuk Kim
</v>
      </c>
      <c r="E157" s="153" t="str">
        <f>IFERROR(__xludf.DUMMYFUNCTION("TEXTJOIN(CHAR(10), TRUE,FILTER('Research Papers'!$C:$C,'Research Papers'!$A:$A=C157))"),"Jinwoo Jung and Misuk Kim")</f>
        <v>Jinwoo Jung and Misuk Kim</v>
      </c>
      <c r="F157" s="133" t="s">
        <v>215</v>
      </c>
      <c r="G157" s="133" t="s">
        <v>325</v>
      </c>
      <c r="H157" s="153"/>
      <c r="I157" s="120"/>
      <c r="J157" s="120"/>
      <c r="K157" s="153"/>
      <c r="L157" s="153"/>
      <c r="M157" s="153"/>
      <c r="N157" s="153"/>
      <c r="O157" s="153"/>
      <c r="P157" s="153"/>
      <c r="Q157" s="153"/>
      <c r="R157" s="153"/>
      <c r="S157" s="153"/>
      <c r="T157" s="153"/>
      <c r="U157" s="153"/>
      <c r="V157" s="153"/>
      <c r="W157" s="153"/>
      <c r="X157" s="153"/>
      <c r="Y157" s="153"/>
      <c r="Z157" s="153"/>
      <c r="AA157" s="153"/>
      <c r="AB157" s="153"/>
      <c r="AC157" s="153"/>
    </row>
    <row r="158">
      <c r="A158" s="152" t="s">
        <v>324</v>
      </c>
      <c r="B158" s="133" t="str">
        <f>IFERROR(__xludf.DUMMYFUNCTION("FILTER ('Research Papers'!D:D,'Research Papers'!A:A=C158)"),"Robust Fake News Detection using Large Language Models under Adversarial Sentiment Attacks")</f>
        <v>Robust Fake News Detection using Large Language Models under Adversarial Sentiment Attacks</v>
      </c>
      <c r="C158" s="133" t="s">
        <v>525</v>
      </c>
      <c r="D158" s="153" t="str">
        <f t="shared" si="1"/>
        <v>Robust Fake News Detection using Large Language Models under Adversarial Sentiment Attacks
Sahar Tahmasebi, Eric Müller-Budack and Ralph Ewerth
</v>
      </c>
      <c r="E158" s="153" t="str">
        <f>IFERROR(__xludf.DUMMYFUNCTION("TEXTJOIN(CHAR(10), TRUE,FILTER('Research Papers'!$C:$C,'Research Papers'!$A:$A=C158))"),"Sahar Tahmasebi, Eric Müller-Budack and Ralph Ewerth")</f>
        <v>Sahar Tahmasebi, Eric Müller-Budack and Ralph Ewerth</v>
      </c>
      <c r="F158" s="133" t="s">
        <v>215</v>
      </c>
      <c r="G158" s="133" t="s">
        <v>181</v>
      </c>
      <c r="H158" s="153"/>
      <c r="I158" s="120"/>
      <c r="J158" s="120"/>
      <c r="K158" s="153"/>
      <c r="L158" s="153"/>
      <c r="M158" s="153"/>
      <c r="N158" s="153"/>
      <c r="O158" s="153"/>
      <c r="P158" s="153"/>
      <c r="Q158" s="153"/>
      <c r="R158" s="153"/>
      <c r="S158" s="153"/>
      <c r="T158" s="153"/>
      <c r="U158" s="153"/>
      <c r="V158" s="153"/>
      <c r="W158" s="153"/>
      <c r="X158" s="153"/>
      <c r="Y158" s="153"/>
      <c r="Z158" s="153"/>
      <c r="AA158" s="153"/>
      <c r="AB158" s="153"/>
      <c r="AC158" s="153"/>
    </row>
    <row r="159">
      <c r="A159" s="152" t="s">
        <v>324</v>
      </c>
      <c r="B159" s="133" t="str">
        <f>IFERROR(__xludf.DUMMYFUNCTION("FILTER ('Research Papers'!D:D,'Research Papers'!A:A=C159)"),"MultiFPT: Towards Multi-Attribute Fairness in Pre-Trained Graph Neural Networks via Prompt Tuning")</f>
        <v>MultiFPT: Towards Multi-Attribute Fairness in Pre-Trained Graph Neural Networks via Prompt Tuning</v>
      </c>
      <c r="C159" s="133" t="s">
        <v>526</v>
      </c>
      <c r="D159" s="153" t="str">
        <f t="shared" si="1"/>
        <v>MultiFPT: Towards Multi-Attribute Fairness in Pre-Trained Graph Neural Networks via Prompt Tuning
Meng Cao, Mingcai Chen, Shuangjie Li, Hualei Yu, Shuai Feng
and Demin Gao
</v>
      </c>
      <c r="E159" s="153" t="str">
        <f>IFERROR(__xludf.DUMMYFUNCTION("TEXTJOIN(CHAR(10), TRUE,FILTER('Research Papers'!$C:$C,'Research Papers'!$A:$A=C159))"),"Meng Cao, Mingcai Chen, Shuangjie Li, Hualei Yu, Shuai Feng
and Demin Gao")</f>
        <v>Meng Cao, Mingcai Chen, Shuangjie Li, Hualei Yu, Shuai Feng
and Demin Gao</v>
      </c>
      <c r="F159" s="133" t="s">
        <v>215</v>
      </c>
      <c r="G159" s="133" t="s">
        <v>181</v>
      </c>
      <c r="H159" s="153"/>
      <c r="I159" s="120"/>
      <c r="J159" s="120"/>
      <c r="K159" s="153"/>
      <c r="L159" s="153"/>
      <c r="M159" s="153"/>
      <c r="N159" s="153"/>
      <c r="O159" s="153"/>
      <c r="P159" s="153"/>
      <c r="Q159" s="153"/>
      <c r="R159" s="153"/>
      <c r="S159" s="153"/>
      <c r="T159" s="153"/>
      <c r="U159" s="153"/>
      <c r="V159" s="153"/>
      <c r="W159" s="153"/>
      <c r="X159" s="153"/>
      <c r="Y159" s="153"/>
      <c r="Z159" s="153"/>
      <c r="AA159" s="153"/>
      <c r="AB159" s="153"/>
      <c r="AC159" s="153"/>
    </row>
    <row r="160">
      <c r="A160" s="152" t="s">
        <v>324</v>
      </c>
      <c r="B160" s="133" t="str">
        <f>IFERROR(__xludf.DUMMYFUNCTION("FILTER ('Research Papers'!D:D,'Research Papers'!A:A=C160)"),"Is Contextual Advertising Safe? Analyzing Systemic Risks with Ads on YouTube")</f>
        <v>Is Contextual Advertising Safe? Analyzing Systemic Risks with Ads on YouTube</v>
      </c>
      <c r="C160" s="133" t="s">
        <v>527</v>
      </c>
      <c r="D160" s="153" t="str">
        <f t="shared" si="1"/>
        <v>Is Contextual Advertising Safe? Analyzing Systemic Risks with Ads on YouTube
Asmaa El Fraihi, Ines Abdelaziz and Oana Goga
</v>
      </c>
      <c r="E160" s="153" t="str">
        <f>IFERROR(__xludf.DUMMYFUNCTION("TEXTJOIN(CHAR(10), TRUE,FILTER('Research Papers'!$C:$C,'Research Papers'!$A:$A=C160))"),"Asmaa El Fraihi, Ines Abdelaziz and Oana Goga")</f>
        <v>Asmaa El Fraihi, Ines Abdelaziz and Oana Goga</v>
      </c>
      <c r="F160" s="133" t="s">
        <v>215</v>
      </c>
      <c r="G160" s="133" t="s">
        <v>181</v>
      </c>
      <c r="H160" s="153"/>
      <c r="I160" s="120"/>
      <c r="J160" s="120"/>
      <c r="K160" s="153"/>
      <c r="L160" s="153"/>
      <c r="M160" s="153"/>
      <c r="N160" s="153"/>
      <c r="O160" s="153"/>
      <c r="P160" s="153"/>
      <c r="Q160" s="153"/>
      <c r="R160" s="153"/>
      <c r="S160" s="153"/>
      <c r="T160" s="153"/>
      <c r="U160" s="153"/>
      <c r="V160" s="153"/>
      <c r="W160" s="153"/>
      <c r="X160" s="153"/>
      <c r="Y160" s="153"/>
      <c r="Z160" s="153"/>
      <c r="AA160" s="153"/>
      <c r="AB160" s="153"/>
      <c r="AC160" s="153"/>
    </row>
    <row r="161">
      <c r="A161" s="152" t="s">
        <v>324</v>
      </c>
      <c r="B161" s="133" t="str">
        <f>IFERROR(__xludf.DUMMYFUNCTION("FILTER ('Research Papers'!D:D,'Research Papers'!A:A=C161)"),"Unifying Diversity and Fairness in Re-ranking via Economic Growth Theory")</f>
        <v>Unifying Diversity and Fairness in Re-ranking via Economic Growth Theory</v>
      </c>
      <c r="C161" s="133" t="s">
        <v>528</v>
      </c>
      <c r="D161" s="153" t="str">
        <f t="shared" si="1"/>
        <v>Unifying Diversity and Fairness in Re-ranking via Economic Growth Theory
Zhaofeng Li, Chen Xu, Xinyu Lin, Wenjie Wang and Xiaokui
Xiao
</v>
      </c>
      <c r="E161" s="153" t="str">
        <f>IFERROR(__xludf.DUMMYFUNCTION("TEXTJOIN(CHAR(10), TRUE,FILTER('Research Papers'!$C:$C,'Research Papers'!$A:$A=C161))"),"Zhaofeng Li, Chen Xu, Xinyu Lin, Wenjie Wang and Xiaokui
Xiao")</f>
        <v>Zhaofeng Li, Chen Xu, Xinyu Lin, Wenjie Wang and Xiaokui
Xiao</v>
      </c>
      <c r="F161" s="133" t="s">
        <v>215</v>
      </c>
      <c r="G161" s="133" t="s">
        <v>181</v>
      </c>
      <c r="H161" s="153"/>
      <c r="I161" s="120"/>
      <c r="J161" s="120"/>
      <c r="K161" s="153"/>
      <c r="L161" s="153"/>
      <c r="M161" s="153"/>
      <c r="N161" s="153"/>
      <c r="O161" s="153"/>
      <c r="P161" s="153"/>
      <c r="Q161" s="153"/>
      <c r="R161" s="153"/>
      <c r="S161" s="153"/>
      <c r="T161" s="153"/>
      <c r="U161" s="153"/>
      <c r="V161" s="153"/>
      <c r="W161" s="153"/>
      <c r="X161" s="153"/>
      <c r="Y161" s="153"/>
      <c r="Z161" s="153"/>
      <c r="AA161" s="153"/>
      <c r="AB161" s="153"/>
      <c r="AC161" s="153"/>
    </row>
    <row r="162">
      <c r="A162" s="152" t="s">
        <v>324</v>
      </c>
      <c r="B162" s="133" t="str">
        <f>IFERROR(__xludf.DUMMYFUNCTION("FILTER ('Research Papers'!D:D,'Research Papers'!A:A=C162)"),"Emergence of Structural Disparities in the Web of Scientific Citations")</f>
        <v>Emergence of Structural Disparities in the Web of Scientific Citations</v>
      </c>
      <c r="C162" s="133" t="s">
        <v>529</v>
      </c>
      <c r="D162" s="153" t="str">
        <f t="shared" si="1"/>
        <v>Emergence of Structural Disparities in the Web of Scientific Citations
Buddhika Nettasinghe, Nazanin Alipourfard, Vikram
Krishnamurthy and Kristina Lerman
</v>
      </c>
      <c r="E162" s="153" t="str">
        <f>IFERROR(__xludf.DUMMYFUNCTION("TEXTJOIN(CHAR(10), TRUE,FILTER('Research Papers'!$C:$C,'Research Papers'!$A:$A=C162))"),"Buddhika Nettasinghe, Nazanin Alipourfard, Vikram
Krishnamurthy and Kristina Lerman")</f>
        <v>Buddhika Nettasinghe, Nazanin Alipourfard, Vikram
Krishnamurthy and Kristina Lerman</v>
      </c>
      <c r="F162" s="133" t="s">
        <v>215</v>
      </c>
      <c r="G162" s="133" t="s">
        <v>181</v>
      </c>
      <c r="H162" s="153"/>
      <c r="I162" s="120"/>
      <c r="J162" s="120"/>
      <c r="K162" s="153"/>
      <c r="L162" s="153"/>
      <c r="M162" s="153"/>
      <c r="N162" s="153"/>
      <c r="O162" s="153"/>
      <c r="P162" s="153"/>
      <c r="Q162" s="153"/>
      <c r="R162" s="153"/>
      <c r="S162" s="153"/>
      <c r="T162" s="153"/>
      <c r="U162" s="153"/>
      <c r="V162" s="153"/>
      <c r="W162" s="153"/>
      <c r="X162" s="153"/>
      <c r="Y162" s="153"/>
      <c r="Z162" s="153"/>
      <c r="AA162" s="153"/>
      <c r="AB162" s="153"/>
      <c r="AC162" s="153"/>
    </row>
    <row r="163">
      <c r="A163" s="152" t="s">
        <v>324</v>
      </c>
      <c r="B163" s="133" t="str">
        <f>IFERROR(__xludf.DUMMYFUNCTION("FILTER ('Research Papers'!D:D,'Research Papers'!A:A=C163)"),"IO-X: Detecting and Attributing Content-Duplicating Influence Operations on X (Twitter)")</f>
        <v>IO-X: Detecting and Attributing Content-Duplicating Influence Operations on X (Twitter)</v>
      </c>
      <c r="C163" s="133" t="s">
        <v>530</v>
      </c>
      <c r="D163" s="153" t="str">
        <f t="shared" si="1"/>
        <v>IO-X: Detecting and Attributing Content-Duplicating Influence Operations on X (Twitter)
Ashfaq Ali Shafin, Md Nahid Siddique and Bogdan Carbunar
</v>
      </c>
      <c r="E163" s="153" t="str">
        <f>IFERROR(__xludf.DUMMYFUNCTION("TEXTJOIN(CHAR(10), TRUE,FILTER('Research Papers'!$C:$C,'Research Papers'!$A:$A=C163))"),"Ashfaq Ali Shafin, Md Nahid Siddique and Bogdan Carbunar")</f>
        <v>Ashfaq Ali Shafin, Md Nahid Siddique and Bogdan Carbunar</v>
      </c>
      <c r="F163" s="133" t="s">
        <v>215</v>
      </c>
      <c r="G163" s="133" t="s">
        <v>181</v>
      </c>
      <c r="H163" s="153"/>
      <c r="I163" s="120"/>
      <c r="J163" s="120"/>
      <c r="K163" s="153"/>
      <c r="L163" s="153"/>
      <c r="M163" s="153"/>
      <c r="N163" s="153"/>
      <c r="O163" s="153"/>
      <c r="P163" s="153"/>
      <c r="Q163" s="153"/>
      <c r="R163" s="153"/>
      <c r="S163" s="153"/>
      <c r="T163" s="153"/>
      <c r="U163" s="153"/>
      <c r="V163" s="153"/>
      <c r="W163" s="153"/>
      <c r="X163" s="153"/>
      <c r="Y163" s="153"/>
      <c r="Z163" s="153"/>
      <c r="AA163" s="153"/>
      <c r="AB163" s="153"/>
      <c r="AC163" s="153"/>
    </row>
    <row r="164">
      <c r="A164" s="152" t="s">
        <v>324</v>
      </c>
      <c r="B164" s="133" t="str">
        <f>IFERROR(__xludf.DUMMYFUNCTION("FILTER ('Research Papers'!D:D,'Research Papers'!A:A=C164)"),"Characterizing Iran's Phased National Internet Shutdown in 2025: A Progressive and Distributed Action")</f>
        <v>Characterizing Iran's Phased National Internet Shutdown in 2025: A Progressive and Distributed Action</v>
      </c>
      <c r="C164" s="133" t="s">
        <v>531</v>
      </c>
      <c r="D164" s="153" t="str">
        <f t="shared" si="1"/>
        <v>Characterizing Iran's Phased National Internet Shutdown in 2025: A Progressive and Distributed Action
Shibo Cui, Mingxuan Liu, Baojun Liu, Haixin Duan, Ruixuan
Li, Chaoyi Lu, Jin Zhang, Zhicheng Wang and Jinghua Bai
</v>
      </c>
      <c r="E164" s="153" t="str">
        <f>IFERROR(__xludf.DUMMYFUNCTION("TEXTJOIN(CHAR(10), TRUE,FILTER('Research Papers'!$C:$C,'Research Papers'!$A:$A=C164))"),"Shibo Cui, Mingxuan Liu, Baojun Liu, Haixin Duan, Ruixuan
Li, Chaoyi Lu, Jin Zhang, Zhicheng Wang and Jinghua Bai")</f>
        <v>Shibo Cui, Mingxuan Liu, Baojun Liu, Haixin Duan, Ruixuan
Li, Chaoyi Lu, Jin Zhang, Zhicheng Wang and Jinghua Bai</v>
      </c>
      <c r="F164" s="133" t="s">
        <v>215</v>
      </c>
      <c r="G164" s="133" t="s">
        <v>181</v>
      </c>
      <c r="H164" s="153"/>
      <c r="I164" s="120"/>
      <c r="J164" s="120"/>
      <c r="K164" s="153"/>
      <c r="L164" s="153"/>
      <c r="M164" s="153"/>
      <c r="N164" s="153"/>
      <c r="O164" s="153"/>
      <c r="P164" s="153"/>
      <c r="Q164" s="153"/>
      <c r="R164" s="153"/>
      <c r="S164" s="153"/>
      <c r="T164" s="153"/>
      <c r="U164" s="153"/>
      <c r="V164" s="153"/>
      <c r="W164" s="153"/>
      <c r="X164" s="153"/>
      <c r="Y164" s="153"/>
      <c r="Z164" s="153"/>
      <c r="AA164" s="153"/>
      <c r="AB164" s="153"/>
      <c r="AC164" s="153"/>
    </row>
    <row r="165">
      <c r="A165" s="152" t="s">
        <v>326</v>
      </c>
      <c r="B165" s="133" t="str">
        <f>IFERROR(__xludf.DUMMYFUNCTION("FILTER ('Research Papers'!D:D,'Research Papers'!A:A=C165)"),"QuiZSF: A Retrieval-Augmented Framework for Zero-Shot Time Series Forecasting")</f>
        <v>QuiZSF: A Retrieval-Augmented Framework for Zero-Shot Time Series Forecasting</v>
      </c>
      <c r="C165" s="133" t="s">
        <v>532</v>
      </c>
      <c r="D165" s="153" t="str">
        <f t="shared" si="1"/>
        <v>QuiZSF: A Retrieval-Augmented Framework for Zero-Shot Time Series Forecasting
Shichao Ma, Zhengyang Zhou, Qihe Huang, Binwu Wang and Yang
Wang
</v>
      </c>
      <c r="E165" s="153" t="str">
        <f>IFERROR(__xludf.DUMMYFUNCTION("TEXTJOIN(CHAR(10), TRUE,FILTER('Research Papers'!$C:$C,'Research Papers'!$A:$A=C165))"),"Shichao Ma, Zhengyang Zhou, Qihe Huang, Binwu Wang and Yang
Wang")</f>
        <v>Shichao Ma, Zhengyang Zhou, Qihe Huang, Binwu Wang and Yang
Wang</v>
      </c>
      <c r="F165" s="133" t="s">
        <v>76</v>
      </c>
      <c r="G165" s="153"/>
      <c r="H165" s="153"/>
      <c r="I165" s="120"/>
      <c r="J165" s="120"/>
      <c r="K165" s="153"/>
      <c r="L165" s="153"/>
      <c r="M165" s="153"/>
      <c r="N165" s="153"/>
      <c r="O165" s="153"/>
      <c r="P165" s="153"/>
      <c r="Q165" s="153"/>
      <c r="R165" s="153"/>
      <c r="S165" s="153"/>
      <c r="T165" s="153"/>
      <c r="U165" s="153"/>
      <c r="V165" s="153"/>
      <c r="W165" s="153"/>
      <c r="X165" s="153"/>
      <c r="Y165" s="153"/>
      <c r="Z165" s="153"/>
      <c r="AA165" s="153"/>
      <c r="AB165" s="153"/>
      <c r="AC165" s="153"/>
    </row>
    <row r="166">
      <c r="A166" s="152" t="s">
        <v>326</v>
      </c>
      <c r="B166" s="133" t="str">
        <f>IFERROR(__xludf.DUMMYFUNCTION("FILTER ('Research Papers'!D:D,'Research Papers'!A:A=C166)"),"SDR-CIR: Semantic Debias Retrieval Framework for Training-Free Zero-Shot Composed Image Retrieval")</f>
        <v>SDR-CIR: Semantic Debias Retrieval Framework for Training-Free Zero-Shot Composed Image Retrieval</v>
      </c>
      <c r="C166" s="133" t="s">
        <v>533</v>
      </c>
      <c r="D166" s="153" t="str">
        <f t="shared" si="1"/>
        <v>SDR-CIR: Semantic Debias Retrieval Framework for Training-Free Zero-Shot Composed Image Retrieval
Yi Sun, Jinyu Xu, Qing Xie, Jiachen Li, Yanchun Ma and
Yongjian Liu
</v>
      </c>
      <c r="E166" s="153" t="str">
        <f>IFERROR(__xludf.DUMMYFUNCTION("TEXTJOIN(CHAR(10), TRUE,FILTER('Research Papers'!$C:$C,'Research Papers'!$A:$A=C166))"),"Yi Sun, Jinyu Xu, Qing Xie, Jiachen Li, Yanchun Ma and
Yongjian Liu")</f>
        <v>Yi Sun, Jinyu Xu, Qing Xie, Jiachen Li, Yanchun Ma and
Yongjian Liu</v>
      </c>
      <c r="F166" s="133" t="s">
        <v>76</v>
      </c>
      <c r="G166" s="153"/>
      <c r="H166" s="153"/>
      <c r="I166" s="120"/>
      <c r="J166" s="120"/>
      <c r="K166" s="153"/>
      <c r="L166" s="153"/>
      <c r="M166" s="153"/>
      <c r="N166" s="153"/>
      <c r="O166" s="153"/>
      <c r="P166" s="153"/>
      <c r="Q166" s="153"/>
      <c r="R166" s="153"/>
      <c r="S166" s="153"/>
      <c r="T166" s="153"/>
      <c r="U166" s="153"/>
      <c r="V166" s="153"/>
      <c r="W166" s="153"/>
      <c r="X166" s="153"/>
      <c r="Y166" s="153"/>
      <c r="Z166" s="153"/>
      <c r="AA166" s="153"/>
      <c r="AB166" s="153"/>
      <c r="AC166" s="153"/>
    </row>
    <row r="167">
      <c r="A167" s="152" t="s">
        <v>326</v>
      </c>
      <c r="B167" s="133" t="str">
        <f>IFERROR(__xludf.DUMMYFUNCTION("FILTER ('Research Papers'!D:D,'Research Papers'!A:A=C167)"),"FlowRAG: Continual Learning for Dynamic Retriever in Retrieval-Augmented Generation")</f>
        <v>FlowRAG: Continual Learning for Dynamic Retriever in Retrieval-Augmented Generation</v>
      </c>
      <c r="C167" s="133" t="s">
        <v>534</v>
      </c>
      <c r="D167" s="153" t="str">
        <f t="shared" si="1"/>
        <v>FlowRAG: Continual Learning for Dynamic Retriever in Retrieval-Augmented Generation
Senlei Zhang, Tongjun Shi, Dandan Song, Luan Zhang, Shuhao
Zhang, Xiaofei Liao and Hai Jin
</v>
      </c>
      <c r="E167" s="153" t="str">
        <f>IFERROR(__xludf.DUMMYFUNCTION("TEXTJOIN(CHAR(10), TRUE,FILTER('Research Papers'!$C:$C,'Research Papers'!$A:$A=C167))"),"Senlei Zhang, Tongjun Shi, Dandan Song, Luan Zhang, Shuhao
Zhang, Xiaofei Liao and Hai Jin")</f>
        <v>Senlei Zhang, Tongjun Shi, Dandan Song, Luan Zhang, Shuhao
Zhang, Xiaofei Liao and Hai Jin</v>
      </c>
      <c r="F167" s="133" t="s">
        <v>76</v>
      </c>
      <c r="G167" s="153"/>
      <c r="H167" s="153"/>
      <c r="I167" s="120"/>
      <c r="J167" s="120"/>
      <c r="K167" s="153"/>
      <c r="L167" s="153"/>
      <c r="M167" s="153"/>
      <c r="N167" s="153"/>
      <c r="O167" s="153"/>
      <c r="P167" s="153"/>
      <c r="Q167" s="153"/>
      <c r="R167" s="153"/>
      <c r="S167" s="153"/>
      <c r="T167" s="153"/>
      <c r="U167" s="153"/>
      <c r="V167" s="153"/>
      <c r="W167" s="153"/>
      <c r="X167" s="153"/>
      <c r="Y167" s="153"/>
      <c r="Z167" s="153"/>
      <c r="AA167" s="153"/>
      <c r="AB167" s="153"/>
      <c r="AC167" s="153"/>
    </row>
    <row r="168">
      <c r="A168" s="152" t="s">
        <v>326</v>
      </c>
      <c r="B168" s="133" t="str">
        <f>IFERROR(__xludf.DUMMYFUNCTION("FILTER ('Research Papers'!D:D,'Research Papers'!A:A=C168)"),"DA-RAG: Dynamic Attributed Community Search for Retrieval-Augmented Generation")</f>
        <v>DA-RAG: Dynamic Attributed Community Search for Retrieval-Augmented Generation</v>
      </c>
      <c r="C168" s="133" t="s">
        <v>535</v>
      </c>
      <c r="D168" s="153" t="str">
        <f t="shared" si="1"/>
        <v>DA-RAG: Dynamic Attributed Community Search for Retrieval-Augmented Generation
Xingyuan Zeng, Zuohan Wu, Yue Wang, Chen Zhang, Quanming
Yao, Libin Zheng and Jian Yin
</v>
      </c>
      <c r="E168" s="153" t="str">
        <f>IFERROR(__xludf.DUMMYFUNCTION("TEXTJOIN(CHAR(10), TRUE,FILTER('Research Papers'!$C:$C,'Research Papers'!$A:$A=C168))"),"Xingyuan Zeng, Zuohan Wu, Yue Wang, Chen Zhang, Quanming
Yao, Libin Zheng and Jian Yin")</f>
        <v>Xingyuan Zeng, Zuohan Wu, Yue Wang, Chen Zhang, Quanming
Yao, Libin Zheng and Jian Yin</v>
      </c>
      <c r="F168" s="133" t="s">
        <v>76</v>
      </c>
      <c r="G168" s="153"/>
      <c r="H168" s="153"/>
      <c r="I168" s="120"/>
      <c r="J168" s="120"/>
      <c r="K168" s="153"/>
      <c r="L168" s="153"/>
      <c r="M168" s="153"/>
      <c r="N168" s="153"/>
      <c r="O168" s="153"/>
      <c r="P168" s="153"/>
      <c r="Q168" s="153"/>
      <c r="R168" s="153"/>
      <c r="S168" s="153"/>
      <c r="T168" s="153"/>
      <c r="U168" s="153"/>
      <c r="V168" s="153"/>
      <c r="W168" s="153"/>
      <c r="X168" s="153"/>
      <c r="Y168" s="153"/>
      <c r="Z168" s="153"/>
      <c r="AA168" s="153"/>
      <c r="AB168" s="153"/>
      <c r="AC168" s="153"/>
    </row>
    <row r="169">
      <c r="A169" s="152" t="s">
        <v>326</v>
      </c>
      <c r="B169" s="133" t="str">
        <f>IFERROR(__xludf.DUMMYFUNCTION("FILTER ('Research Papers'!D:D,'Research Papers'!A:A=C169)"),"HyperRAG: Reasoning N-ary Facts over Hypergraphs for Retrieval Augmented Generation")</f>
        <v>HyperRAG: Reasoning N-ary Facts over Hypergraphs for Retrieval Augmented Generation</v>
      </c>
      <c r="C169" s="133" t="s">
        <v>536</v>
      </c>
      <c r="D169" s="153" t="str">
        <f t="shared" si="1"/>
        <v>HyperRAG: Reasoning N-ary Facts over Hypergraphs for Retrieval Augmented Generation
Wen-Sheng Lien, Yu-Kai Chan, Hao-Lung Hsiao, Bo-Kai Ruan,
Meng-Fen Chiang, Chien-An Chen, Yi-Ren Yeh and Hong-Han
Shuai
</v>
      </c>
      <c r="E169" s="153" t="str">
        <f>IFERROR(__xludf.DUMMYFUNCTION("TEXTJOIN(CHAR(10), TRUE,FILTER('Research Papers'!$C:$C,'Research Papers'!$A:$A=C169))"),"Wen-Sheng Lien, Yu-Kai Chan, Hao-Lung Hsiao, Bo-Kai Ruan,
Meng-Fen Chiang, Chien-An Chen, Yi-Ren Yeh and Hong-Han
Shuai")</f>
        <v>Wen-Sheng Lien, Yu-Kai Chan, Hao-Lung Hsiao, Bo-Kai Ruan,
Meng-Fen Chiang, Chien-An Chen, Yi-Ren Yeh and Hong-Han
Shuai</v>
      </c>
      <c r="F169" s="133" t="s">
        <v>76</v>
      </c>
      <c r="G169" s="153"/>
      <c r="H169" s="153"/>
      <c r="I169" s="120"/>
      <c r="J169" s="120"/>
      <c r="K169" s="153"/>
      <c r="L169" s="153"/>
      <c r="M169" s="153"/>
      <c r="N169" s="153"/>
      <c r="O169" s="153"/>
      <c r="P169" s="153"/>
      <c r="Q169" s="153"/>
      <c r="R169" s="153"/>
      <c r="S169" s="153"/>
      <c r="T169" s="153"/>
      <c r="U169" s="153"/>
      <c r="V169" s="153"/>
      <c r="W169" s="153"/>
      <c r="X169" s="153"/>
      <c r="Y169" s="153"/>
      <c r="Z169" s="153"/>
      <c r="AA169" s="153"/>
      <c r="AB169" s="153"/>
      <c r="AC169" s="153"/>
    </row>
    <row r="170">
      <c r="A170" s="152" t="s">
        <v>326</v>
      </c>
      <c r="B170" s="133" t="str">
        <f>IFERROR(__xludf.DUMMYFUNCTION("FILTER ('Research Papers'!D:D,'Research Papers'!A:A=C170)"),"Difficulty-Aware Agentic Orchestration for Query-Specific Multi-Agent Workflows")</f>
        <v>Difficulty-Aware Agentic Orchestration for Query-Specific Multi-Agent Workflows</v>
      </c>
      <c r="C170" s="133" t="s">
        <v>537</v>
      </c>
      <c r="D170" s="153" t="str">
        <f t="shared" si="1"/>
        <v>Difficulty-Aware Agentic Orchestration for Query-Specific Multi-Agent Workflows
Jinwei Su, Qizhen Lan, Yinghui Xia, Lifan Sun, Weiyou Tian,
Tianyu Shi and Lewei He
</v>
      </c>
      <c r="E170" s="153" t="str">
        <f>IFERROR(__xludf.DUMMYFUNCTION("TEXTJOIN(CHAR(10), TRUE,FILTER('Research Papers'!$C:$C,'Research Papers'!$A:$A=C170))"),"Jinwei Su, Qizhen Lan, Yinghui Xia, Lifan Sun, Weiyou Tian,
Tianyu Shi and Lewei He")</f>
        <v>Jinwei Su, Qizhen Lan, Yinghui Xia, Lifan Sun, Weiyou Tian,
Tianyu Shi and Lewei He</v>
      </c>
      <c r="F170" s="133" t="s">
        <v>97</v>
      </c>
      <c r="G170" s="153"/>
      <c r="H170" s="153"/>
      <c r="I170" s="120"/>
      <c r="J170" s="120"/>
      <c r="K170" s="153"/>
      <c r="L170" s="153"/>
      <c r="M170" s="153"/>
      <c r="N170" s="153"/>
      <c r="O170" s="153"/>
      <c r="P170" s="153"/>
      <c r="Q170" s="153"/>
      <c r="R170" s="153"/>
      <c r="S170" s="153"/>
      <c r="T170" s="153"/>
      <c r="U170" s="153"/>
      <c r="V170" s="153"/>
      <c r="W170" s="153"/>
      <c r="X170" s="153"/>
      <c r="Y170" s="153"/>
      <c r="Z170" s="153"/>
      <c r="AA170" s="153"/>
      <c r="AB170" s="153"/>
      <c r="AC170" s="153"/>
    </row>
    <row r="171">
      <c r="A171" s="152" t="s">
        <v>326</v>
      </c>
      <c r="B171" s="133" t="str">
        <f>IFERROR(__xludf.DUMMYFUNCTION("FILTER ('Research Papers'!D:D,'Research Papers'!A:A=C171)"),"Toward Generalized Web Agent Training: A Deep Dive into Entropy-Balanced Reinforcement Learning")</f>
        <v>Toward Generalized Web Agent Training: A Deep Dive into Entropy-Balanced Reinforcement Learning</v>
      </c>
      <c r="C171" s="133" t="s">
        <v>538</v>
      </c>
      <c r="D171" s="153" t="str">
        <f t="shared" si="1"/>
        <v>Toward Generalized Web Agent Training: A Deep Dive into Entropy-Balanced Reinforcement Learning
Guanting Dong, Licheng Bao, Zhongyuan Wang, Kangzhi Zhao,
Xiaoxi Li, Jiajie Jin, Jinghan Yang, Hangyu Mao, Fuzheng
Zhang, Kun Gai, Guorui Zhou, Yutao Zhu, Ji-Rong Wen and
Zhicheng Dou
</v>
      </c>
      <c r="E171" s="153" t="str">
        <f>IFERROR(__xludf.DUMMYFUNCTION("TEXTJOIN(CHAR(10), TRUE,FILTER('Research Papers'!$C:$C,'Research Papers'!$A:$A=C171))"),"Guanting Dong, Licheng Bao, Zhongyuan Wang, Kangzhi Zhao,
Xiaoxi Li, Jiajie Jin, Jinghan Yang, Hangyu Mao, Fuzheng
Zhang, Kun Gai, Guorui Zhou, Yutao Zhu, Ji-Rong Wen and
Zhicheng Dou")</f>
        <v>Guanting Dong, Licheng Bao, Zhongyuan Wang, Kangzhi Zhao,
Xiaoxi Li, Jiajie Jin, Jinghan Yang, Hangyu Mao, Fuzheng
Zhang, Kun Gai, Guorui Zhou, Yutao Zhu, Ji-Rong Wen and
Zhicheng Dou</v>
      </c>
      <c r="F171" s="133" t="s">
        <v>97</v>
      </c>
      <c r="G171" s="153"/>
      <c r="H171" s="153"/>
      <c r="I171" s="120"/>
      <c r="J171" s="120"/>
      <c r="K171" s="153"/>
      <c r="L171" s="153"/>
      <c r="M171" s="153"/>
      <c r="N171" s="153"/>
      <c r="O171" s="153"/>
      <c r="P171" s="153"/>
      <c r="Q171" s="153"/>
      <c r="R171" s="153"/>
      <c r="S171" s="153"/>
      <c r="T171" s="153"/>
      <c r="U171" s="153"/>
      <c r="V171" s="153"/>
      <c r="W171" s="153"/>
      <c r="X171" s="153"/>
      <c r="Y171" s="153"/>
      <c r="Z171" s="153"/>
      <c r="AA171" s="153"/>
      <c r="AB171" s="153"/>
      <c r="AC171" s="153"/>
    </row>
    <row r="172">
      <c r="A172" s="152" t="s">
        <v>326</v>
      </c>
      <c r="B172" s="133" t="str">
        <f>IFERROR(__xludf.DUMMYFUNCTION("FILTER ('Research Papers'!D:D,'Research Papers'!A:A=C172)"),"QChunker: Learning Question-Aware Text Chunking for Domain RAG via Multi-Agent Debate")</f>
        <v>QChunker: Learning Question-Aware Text Chunking for Domain RAG via Multi-Agent Debate</v>
      </c>
      <c r="C172" s="133" t="s">
        <v>539</v>
      </c>
      <c r="D172" s="153" t="str">
        <f t="shared" si="1"/>
        <v>QChunker: Learning Question-Aware Text Chunking for Domain RAG via Multi-Agent Debate
Jihao Zhao, Daixuan Li, Pengfei Li, Shuaishuai Zu, Biao Qin
and Hongyan Liu
</v>
      </c>
      <c r="E172" s="153" t="str">
        <f>IFERROR(__xludf.DUMMYFUNCTION("TEXTJOIN(CHAR(10), TRUE,FILTER('Research Papers'!$C:$C,'Research Papers'!$A:$A=C172))"),"Jihao Zhao, Daixuan Li, Pengfei Li, Shuaishuai Zu, Biao Qin
and Hongyan Liu")</f>
        <v>Jihao Zhao, Daixuan Li, Pengfei Li, Shuaishuai Zu, Biao Qin
and Hongyan Liu</v>
      </c>
      <c r="F172" s="133" t="s">
        <v>97</v>
      </c>
      <c r="G172" s="153"/>
      <c r="H172" s="153"/>
      <c r="I172" s="120"/>
      <c r="J172" s="120"/>
      <c r="K172" s="153"/>
      <c r="L172" s="153"/>
      <c r="M172" s="153"/>
      <c r="N172" s="153"/>
      <c r="O172" s="153"/>
      <c r="P172" s="153"/>
      <c r="Q172" s="153"/>
      <c r="R172" s="153"/>
      <c r="S172" s="153"/>
      <c r="T172" s="153"/>
      <c r="U172" s="153"/>
      <c r="V172" s="153"/>
      <c r="W172" s="153"/>
      <c r="X172" s="153"/>
      <c r="Y172" s="153"/>
      <c r="Z172" s="153"/>
      <c r="AA172" s="153"/>
      <c r="AB172" s="153"/>
      <c r="AC172" s="153"/>
    </row>
    <row r="173">
      <c r="A173" s="152" t="s">
        <v>326</v>
      </c>
      <c r="B173" s="133" t="str">
        <f>IFERROR(__xludf.DUMMYFUNCTION("FILTER ('Research Papers'!D:D,'Research Papers'!A:A=C173)"),"DeepAgent: A General Reasoning Agent with Scalable Toolsets")</f>
        <v>DeepAgent: A General Reasoning Agent with Scalable Toolsets</v>
      </c>
      <c r="C173" s="133" t="s">
        <v>540</v>
      </c>
      <c r="D173" s="153" t="str">
        <f t="shared" si="1"/>
        <v>DeepAgent: A General Reasoning Agent with Scalable Toolsets
Xiaoxi Li, Wenxiang Jiao, Jiarui Jin, Guanting Dong, Jiajie
Jin, Yinuo Wang, Hao Wang, Yutao Zhu, Ji-Rong Wen, Yuan Lu
and Zhicheng Dou
</v>
      </c>
      <c r="E173" s="153" t="str">
        <f>IFERROR(__xludf.DUMMYFUNCTION("TEXTJOIN(CHAR(10), TRUE,FILTER('Research Papers'!$C:$C,'Research Papers'!$A:$A=C173))"),"Xiaoxi Li, Wenxiang Jiao, Jiarui Jin, Guanting Dong, Jiajie
Jin, Yinuo Wang, Hao Wang, Yutao Zhu, Ji-Rong Wen, Yuan Lu
and Zhicheng Dou")</f>
        <v>Xiaoxi Li, Wenxiang Jiao, Jiarui Jin, Guanting Dong, Jiajie
Jin, Yinuo Wang, Hao Wang, Yutao Zhu, Ji-Rong Wen, Yuan Lu
and Zhicheng Dou</v>
      </c>
      <c r="F173" s="133" t="s">
        <v>97</v>
      </c>
      <c r="G173" s="153"/>
      <c r="H173" s="153"/>
      <c r="I173" s="120"/>
      <c r="J173" s="120"/>
      <c r="K173" s="153"/>
      <c r="L173" s="153"/>
      <c r="M173" s="153"/>
      <c r="N173" s="153"/>
      <c r="O173" s="153"/>
      <c r="P173" s="153"/>
      <c r="Q173" s="153"/>
      <c r="R173" s="153"/>
      <c r="S173" s="153"/>
      <c r="T173" s="153"/>
      <c r="U173" s="153"/>
      <c r="V173" s="153"/>
      <c r="W173" s="153"/>
      <c r="X173" s="153"/>
      <c r="Y173" s="153"/>
      <c r="Z173" s="153"/>
      <c r="AA173" s="153"/>
      <c r="AB173" s="153"/>
      <c r="AC173" s="153"/>
    </row>
    <row r="174">
      <c r="A174" s="152" t="s">
        <v>326</v>
      </c>
      <c r="B174" s="133" t="str">
        <f>IFERROR(__xludf.DUMMYFUNCTION("FILTER ('Research Papers'!D:D,'Research Papers'!A:A=C174)"),"Reasoning by Exploration: A Unified Approach to Retrieval and Generation over Graphs")</f>
        <v>Reasoning by Exploration: A Unified Approach to Retrieval and Generation over Graphs</v>
      </c>
      <c r="C174" s="133" t="s">
        <v>541</v>
      </c>
      <c r="D174" s="153" t="str">
        <f t="shared" si="1"/>
        <v>Reasoning by Exploration: A Unified Approach to Retrieval and Generation over Graphs
Haoyu Han, Kai Guo, Harry Shomer, Yu Wang, Yucheng Chu,
Hang Li, Li Ma and Jiliang Tang
</v>
      </c>
      <c r="E174" s="153" t="str">
        <f>IFERROR(__xludf.DUMMYFUNCTION("TEXTJOIN(CHAR(10), TRUE,FILTER('Research Papers'!$C:$C,'Research Papers'!$A:$A=C174))"),"Haoyu Han, Kai Guo, Harry Shomer, Yu Wang, Yucheng Chu,
Hang Li, Li Ma and Jiliang Tang")</f>
        <v>Haoyu Han, Kai Guo, Harry Shomer, Yu Wang, Yucheng Chu,
Hang Li, Li Ma and Jiliang Tang</v>
      </c>
      <c r="F174" s="133" t="s">
        <v>97</v>
      </c>
      <c r="G174" s="153"/>
      <c r="H174" s="153"/>
      <c r="I174" s="120"/>
      <c r="J174" s="120"/>
      <c r="K174" s="153"/>
      <c r="L174" s="153"/>
      <c r="M174" s="153"/>
      <c r="N174" s="153"/>
      <c r="O174" s="153"/>
      <c r="P174" s="153"/>
      <c r="Q174" s="153"/>
      <c r="R174" s="153"/>
      <c r="S174" s="153"/>
      <c r="T174" s="153"/>
      <c r="U174" s="153"/>
      <c r="V174" s="153"/>
      <c r="W174" s="153"/>
      <c r="X174" s="153"/>
      <c r="Y174" s="153"/>
      <c r="Z174" s="153"/>
      <c r="AA174" s="153"/>
      <c r="AB174" s="153"/>
      <c r="AC174" s="153"/>
    </row>
    <row r="175">
      <c r="A175" s="152" t="s">
        <v>326</v>
      </c>
      <c r="B175" s="133" t="str">
        <f>IFERROR(__xludf.DUMMYFUNCTION("FILTER ('Research Papers'!D:D,'Research Papers'!A:A=C175)"),"CompactRAG: Reducing LLM Calls and Token Overhead in Multi-Hop Question Answering")</f>
        <v>CompactRAG: Reducing LLM Calls and Token Overhead in Multi-Hop Question Answering</v>
      </c>
      <c r="C175" s="133" t="s">
        <v>542</v>
      </c>
      <c r="D175" s="153" t="str">
        <f t="shared" si="1"/>
        <v>CompactRAG: Reducing LLM Calls and Token Overhead in Multi-Hop Question Answering
Hao Yang, Zhiyu Yang, Xvpeng Zhang, Wei Wei, Yunjie Zhang
and Lin Yang
</v>
      </c>
      <c r="E175" s="153" t="str">
        <f>IFERROR(__xludf.DUMMYFUNCTION("TEXTJOIN(CHAR(10), TRUE,FILTER('Research Papers'!$C:$C,'Research Papers'!$A:$A=C175))"),"Hao Yang, Zhiyu Yang, Xvpeng Zhang, Wei Wei, Yunjie Zhang
and Lin Yang")</f>
        <v>Hao Yang, Zhiyu Yang, Xvpeng Zhang, Wei Wei, Yunjie Zhang
and Lin Yang</v>
      </c>
      <c r="F175" s="133" t="s">
        <v>129</v>
      </c>
      <c r="G175" s="153"/>
      <c r="H175" s="153"/>
      <c r="I175" s="120"/>
      <c r="J175" s="120"/>
      <c r="K175" s="153"/>
      <c r="L175" s="153"/>
      <c r="M175" s="153"/>
      <c r="N175" s="153"/>
      <c r="O175" s="153"/>
      <c r="P175" s="153"/>
      <c r="Q175" s="153"/>
      <c r="R175" s="153"/>
      <c r="S175" s="153"/>
      <c r="T175" s="153"/>
      <c r="U175" s="153"/>
      <c r="V175" s="153"/>
      <c r="W175" s="153"/>
      <c r="X175" s="153"/>
      <c r="Y175" s="153"/>
      <c r="Z175" s="153"/>
      <c r="AA175" s="153"/>
      <c r="AB175" s="153"/>
      <c r="AC175" s="153"/>
    </row>
    <row r="176">
      <c r="A176" s="152" t="s">
        <v>326</v>
      </c>
      <c r="B176" s="133" t="str">
        <f>IFERROR(__xludf.DUMMYFUNCTION("FILTER ('Research Papers'!D:D,'Research Papers'!A:A=C176)"),"KEPo: Knowledge Evolution Poison on Graph-based Retrieval-Augmented Generation")</f>
        <v>KEPo: Knowledge Evolution Poison on Graph-based Retrieval-Augmented Generation</v>
      </c>
      <c r="C176" s="133" t="s">
        <v>543</v>
      </c>
      <c r="D176" s="153" t="str">
        <f t="shared" si="1"/>
        <v>KEPo: Knowledge Evolution Poison on Graph-based Retrieval-Augmented Generation
Qizhi Chen, Chao Qi, Yihong Huang, Muquan Li, Rongzheng
Wang, Dongyang Zhang, Ke Qin and Shuang Liang
</v>
      </c>
      <c r="E176" s="153" t="str">
        <f>IFERROR(__xludf.DUMMYFUNCTION("TEXTJOIN(CHAR(10), TRUE,FILTER('Research Papers'!$C:$C,'Research Papers'!$A:$A=C176))"),"Qizhi Chen, Chao Qi, Yihong Huang, Muquan Li, Rongzheng
Wang, Dongyang Zhang, Ke Qin and Shuang Liang")</f>
        <v>Qizhi Chen, Chao Qi, Yihong Huang, Muquan Li, Rongzheng
Wang, Dongyang Zhang, Ke Qin and Shuang Liang</v>
      </c>
      <c r="F176" s="133" t="s">
        <v>129</v>
      </c>
      <c r="G176" s="153"/>
      <c r="H176" s="153"/>
      <c r="I176" s="120"/>
      <c r="J176" s="120"/>
      <c r="K176" s="153"/>
      <c r="L176" s="153"/>
      <c r="M176" s="153"/>
      <c r="N176" s="153"/>
      <c r="O176" s="153"/>
      <c r="P176" s="153"/>
      <c r="Q176" s="153"/>
      <c r="R176" s="153"/>
      <c r="S176" s="153"/>
      <c r="T176" s="153"/>
      <c r="U176" s="153"/>
      <c r="V176" s="153"/>
      <c r="W176" s="153"/>
      <c r="X176" s="153"/>
      <c r="Y176" s="153"/>
      <c r="Z176" s="153"/>
      <c r="AA176" s="153"/>
      <c r="AB176" s="153"/>
      <c r="AC176" s="153"/>
    </row>
    <row r="177">
      <c r="A177" s="152" t="s">
        <v>326</v>
      </c>
      <c r="B177" s="133" t="str">
        <f>IFERROR(__xludf.DUMMYFUNCTION("FILTER ('Research Papers'!D:D,'Research Papers'!A:A=C177)"),"Inferential Question Answering")</f>
        <v>Inferential Question Answering</v>
      </c>
      <c r="C177" s="133" t="s">
        <v>544</v>
      </c>
      <c r="D177" s="153" t="str">
        <f t="shared" si="1"/>
        <v>Inferential Question Answering
Jamshid Mozafari, Hamed Zamani, Guido Zuccon and Adam Jatowt
</v>
      </c>
      <c r="E177" s="153" t="str">
        <f>IFERROR(__xludf.DUMMYFUNCTION("TEXTJOIN(CHAR(10), TRUE,FILTER('Research Papers'!$C:$C,'Research Papers'!$A:$A=C177))"),"Jamshid Mozafari, Hamed Zamani, Guido Zuccon and Adam Jatowt")</f>
        <v>Jamshid Mozafari, Hamed Zamani, Guido Zuccon and Adam Jatowt</v>
      </c>
      <c r="F177" s="133" t="s">
        <v>129</v>
      </c>
      <c r="G177" s="153"/>
      <c r="H177" s="153"/>
      <c r="I177" s="120"/>
      <c r="J177" s="120"/>
      <c r="K177" s="153"/>
      <c r="L177" s="153"/>
      <c r="M177" s="153"/>
      <c r="N177" s="153"/>
      <c r="O177" s="153"/>
      <c r="P177" s="153"/>
      <c r="Q177" s="153"/>
      <c r="R177" s="153"/>
      <c r="S177" s="153"/>
      <c r="T177" s="153"/>
      <c r="U177" s="153"/>
      <c r="V177" s="153"/>
      <c r="W177" s="153"/>
      <c r="X177" s="153"/>
      <c r="Y177" s="153"/>
      <c r="Z177" s="153"/>
      <c r="AA177" s="153"/>
      <c r="AB177" s="153"/>
      <c r="AC177" s="153"/>
    </row>
    <row r="178">
      <c r="A178" s="152" t="s">
        <v>326</v>
      </c>
      <c r="B178" s="133" t="str">
        <f>IFERROR(__xludf.DUMMYFUNCTION("FILTER ('Research Papers'!D:D,'Research Papers'!A:A=C178)"),"From Retrieval to Generation: Unifying External and Parametric Knowledge for Medical Question Answering")</f>
        <v>From Retrieval to Generation: Unifying External and Parametric Knowledge for Medical Question Answering</v>
      </c>
      <c r="C178" s="133" t="s">
        <v>545</v>
      </c>
      <c r="D178" s="153" t="str">
        <f t="shared" si="1"/>
        <v>From Retrieval to Generation: Unifying External and Parametric Knowledge for Medical Question Answering
Lei Li, Xiao Zhou, Yingying Zhang and Xian Wu
</v>
      </c>
      <c r="E178" s="153" t="str">
        <f>IFERROR(__xludf.DUMMYFUNCTION("TEXTJOIN(CHAR(10), TRUE,FILTER('Research Papers'!$C:$C,'Research Papers'!$A:$A=C178))"),"Lei Li, Xiao Zhou, Yingying Zhang and Xian Wu")</f>
        <v>Lei Li, Xiao Zhou, Yingying Zhang and Xian Wu</v>
      </c>
      <c r="F178" s="133" t="s">
        <v>287</v>
      </c>
      <c r="G178" s="133" t="s">
        <v>204</v>
      </c>
      <c r="H178" s="153"/>
      <c r="I178" s="120"/>
      <c r="J178" s="120"/>
      <c r="K178" s="153"/>
      <c r="L178" s="153"/>
      <c r="M178" s="153"/>
      <c r="N178" s="153"/>
      <c r="O178" s="153"/>
      <c r="P178" s="153"/>
      <c r="Q178" s="153"/>
      <c r="R178" s="153"/>
      <c r="S178" s="153"/>
      <c r="T178" s="153"/>
      <c r="U178" s="153"/>
      <c r="V178" s="153"/>
      <c r="W178" s="153"/>
      <c r="X178" s="153"/>
      <c r="Y178" s="153"/>
      <c r="Z178" s="153"/>
      <c r="AA178" s="153"/>
      <c r="AB178" s="153"/>
      <c r="AC178" s="153"/>
    </row>
    <row r="179">
      <c r="A179" s="152" t="s">
        <v>326</v>
      </c>
      <c r="B179" s="133" t="str">
        <f>IFERROR(__xludf.DUMMYFUNCTION("FILTER ('Research Papers'!D:D,'Research Papers'!A:A=C179)"),"RPO-RAG: Aligning Small LLMs with Relation-aware Preference Optimization for Knowledge Graph Question Answering")</f>
        <v>RPO-RAG: Aligning Small LLMs with Relation-aware Preference Optimization for Knowledge Graph Question Answering</v>
      </c>
      <c r="C179" s="133" t="s">
        <v>546</v>
      </c>
      <c r="D179" s="153" t="str">
        <f t="shared" si="1"/>
        <v>RPO-RAG: Aligning Small LLMs with Relation-aware Preference Optimization for Knowledge Graph Question Answering
Kaehyun Um, Kyuhwan Yeom, Haerim Yang, Minyoung Choi,
Hyeongjun Yang and Kyong-Ho Lee
</v>
      </c>
      <c r="E179" s="153" t="str">
        <f>IFERROR(__xludf.DUMMYFUNCTION("TEXTJOIN(CHAR(10), TRUE,FILTER('Research Papers'!$C:$C,'Research Papers'!$A:$A=C179))"),"Kaehyun Um, Kyuhwan Yeom, Haerim Yang, Minyoung Choi,
Hyeongjun Yang and Kyong-Ho Lee")</f>
        <v>Kaehyun Um, Kyuhwan Yeom, Haerim Yang, Minyoung Choi,
Hyeongjun Yang and Kyong-Ho Lee</v>
      </c>
      <c r="F179" s="133" t="s">
        <v>129</v>
      </c>
      <c r="G179" s="153"/>
      <c r="H179" s="153"/>
      <c r="I179" s="120"/>
      <c r="J179" s="120"/>
      <c r="K179" s="153"/>
      <c r="L179" s="153"/>
      <c r="M179" s="153"/>
      <c r="N179" s="153"/>
      <c r="O179" s="153"/>
      <c r="P179" s="153"/>
      <c r="Q179" s="153"/>
      <c r="R179" s="153"/>
      <c r="S179" s="153"/>
      <c r="T179" s="153"/>
      <c r="U179" s="153"/>
      <c r="V179" s="153"/>
      <c r="W179" s="153"/>
      <c r="X179" s="153"/>
      <c r="Y179" s="153"/>
      <c r="Z179" s="153"/>
      <c r="AA179" s="153"/>
      <c r="AB179" s="153"/>
      <c r="AC179" s="153"/>
    </row>
    <row r="180">
      <c r="A180" s="152" t="s">
        <v>326</v>
      </c>
      <c r="B180" s="133" t="str">
        <f>IFERROR(__xludf.DUMMYFUNCTION("FILTER ('Research Papers'!D:D,'Research Papers'!A:A=C180)"),"PruneRAG: Confidence-Guided Query Decomposition Trees for Efficient Retrieval-Augmented Generation")</f>
        <v>PruneRAG: Confidence-Guided Query Decomposition Trees for Efficient Retrieval-Augmented Generation</v>
      </c>
      <c r="C180" s="133" t="s">
        <v>547</v>
      </c>
      <c r="D180" s="153" t="str">
        <f t="shared" si="1"/>
        <v>PruneRAG: Confidence-Guided Query Decomposition Trees for Efficient Retrieval-Augmented Generation
Shuguang Jiao, Xinyu Xiao, Yunfan Wei, Shuhan Qi, Chengkai
Huang, Quan Z. Michael Sheng and Lina Yao
</v>
      </c>
      <c r="E180" s="153" t="str">
        <f>IFERROR(__xludf.DUMMYFUNCTION("TEXTJOIN(CHAR(10), TRUE,FILTER('Research Papers'!$C:$C,'Research Papers'!$A:$A=C180))"),"Shuguang Jiao, Xinyu Xiao, Yunfan Wei, Shuhan Qi, Chengkai
Huang, Quan Z. Michael Sheng and Lina Yao")</f>
        <v>Shuguang Jiao, Xinyu Xiao, Yunfan Wei, Shuhan Qi, Chengkai
Huang, Quan Z. Michael Sheng and Lina Yao</v>
      </c>
      <c r="F180" s="133" t="s">
        <v>149</v>
      </c>
      <c r="G180" s="153"/>
      <c r="H180" s="153"/>
      <c r="I180" s="120"/>
      <c r="J180" s="120"/>
      <c r="K180" s="153"/>
      <c r="L180" s="153"/>
      <c r="M180" s="153"/>
      <c r="N180" s="153"/>
      <c r="O180" s="153"/>
      <c r="P180" s="153"/>
      <c r="Q180" s="153"/>
      <c r="R180" s="153"/>
      <c r="S180" s="153"/>
      <c r="T180" s="153"/>
      <c r="U180" s="153"/>
      <c r="V180" s="153"/>
      <c r="W180" s="153"/>
      <c r="X180" s="153"/>
      <c r="Y180" s="153"/>
      <c r="Z180" s="153"/>
      <c r="AA180" s="153"/>
      <c r="AB180" s="153"/>
      <c r="AC180" s="153"/>
    </row>
    <row r="181">
      <c r="A181" s="152" t="s">
        <v>326</v>
      </c>
      <c r="B181" s="133" t="str">
        <f>IFERROR(__xludf.DUMMYFUNCTION("FILTER ('Research Papers'!D:D,'Research Papers'!A:A=C181)"),"Model Editing for New Document Integration in Generative Information Retrieval")</f>
        <v>Model Editing for New Document Integration in Generative Information Retrieval</v>
      </c>
      <c r="C181" s="133" t="s">
        <v>548</v>
      </c>
      <c r="D181" s="153" t="str">
        <f t="shared" si="1"/>
        <v>Model Editing for New Document Integration in Generative Information Retrieval
Zhen Zhang, Zihan Wang, Xinyu Ma, Shuaiqiang Wang, Dawei
Yin, Xin Xin, Pengjie Ren, Maarten de Rijke and Zhaochun Ren
</v>
      </c>
      <c r="E181" s="153" t="str">
        <f>IFERROR(__xludf.DUMMYFUNCTION("TEXTJOIN(CHAR(10), TRUE,FILTER('Research Papers'!$C:$C,'Research Papers'!$A:$A=C181))"),"Zhen Zhang, Zihan Wang, Xinyu Ma, Shuaiqiang Wang, Dawei
Yin, Xin Xin, Pengjie Ren, Maarten de Rijke and Zhaochun Ren")</f>
        <v>Zhen Zhang, Zihan Wang, Xinyu Ma, Shuaiqiang Wang, Dawei
Yin, Xin Xin, Pengjie Ren, Maarten de Rijke and Zhaochun Ren</v>
      </c>
      <c r="F181" s="133" t="s">
        <v>149</v>
      </c>
      <c r="G181" s="153"/>
      <c r="H181" s="153"/>
      <c r="I181" s="120"/>
      <c r="J181" s="120"/>
      <c r="K181" s="153"/>
      <c r="L181" s="153"/>
      <c r="M181" s="153"/>
      <c r="N181" s="153"/>
      <c r="O181" s="153"/>
      <c r="P181" s="153"/>
      <c r="Q181" s="153"/>
      <c r="R181" s="153"/>
      <c r="S181" s="153"/>
      <c r="T181" s="153"/>
      <c r="U181" s="153"/>
      <c r="V181" s="153"/>
      <c r="W181" s="153"/>
      <c r="X181" s="153"/>
      <c r="Y181" s="153"/>
      <c r="Z181" s="153"/>
      <c r="AA181" s="153"/>
      <c r="AB181" s="153"/>
      <c r="AC181" s="153"/>
    </row>
    <row r="182">
      <c r="A182" s="152" t="s">
        <v>326</v>
      </c>
      <c r="B182" s="133" t="str">
        <f>IFERROR(__xludf.DUMMYFUNCTION("FILTER ('Research Papers'!D:D,'Research Papers'!A:A=C182)"),"DMAP: Human-Aligned Structural Document Map for Multimodal Document Understanding")</f>
        <v>DMAP: Human-Aligned Structural Document Map for Multimodal Document Understanding</v>
      </c>
      <c r="C182" s="133" t="s">
        <v>549</v>
      </c>
      <c r="D182" s="153" t="str">
        <f t="shared" si="1"/>
        <v>DMAP: Human-Aligned Structural Document Map for Multimodal Document Understanding
Shunliang Fu, Yanxin Zhang, Yixin Xiang, Xiaoyu Du and
Jinhui Tang
</v>
      </c>
      <c r="E182" s="153" t="str">
        <f>IFERROR(__xludf.DUMMYFUNCTION("TEXTJOIN(CHAR(10), TRUE,FILTER('Research Papers'!$C:$C,'Research Papers'!$A:$A=C182))"),"Shunliang Fu, Yanxin Zhang, Yixin Xiang, Xiaoyu Du and
Jinhui Tang")</f>
        <v>Shunliang Fu, Yanxin Zhang, Yixin Xiang, Xiaoyu Du and
Jinhui Tang</v>
      </c>
      <c r="F182" s="133" t="s">
        <v>149</v>
      </c>
      <c r="G182" s="153"/>
      <c r="H182" s="153"/>
      <c r="I182" s="120"/>
      <c r="J182" s="120"/>
      <c r="K182" s="153"/>
      <c r="L182" s="153"/>
      <c r="M182" s="153"/>
      <c r="N182" s="153"/>
      <c r="O182" s="153"/>
      <c r="P182" s="153"/>
      <c r="Q182" s="153"/>
      <c r="R182" s="153"/>
      <c r="S182" s="153"/>
      <c r="T182" s="153"/>
      <c r="U182" s="153"/>
      <c r="V182" s="153"/>
      <c r="W182" s="153"/>
      <c r="X182" s="153"/>
      <c r="Y182" s="153"/>
      <c r="Z182" s="153"/>
      <c r="AA182" s="153"/>
      <c r="AB182" s="153"/>
      <c r="AC182" s="153"/>
    </row>
    <row r="183">
      <c r="A183" s="152" t="s">
        <v>326</v>
      </c>
      <c r="B183" s="133" t="str">
        <f>IFERROR(__xludf.DUMMYFUNCTION("FILTER ('Research Papers'!D:D,'Research Papers'!A:A=C183)"),"Evidential Matching, Uncertainty Calibration: Towards Robust Composed Video Retrieval with Noisy Triplets")</f>
        <v>Evidential Matching, Uncertainty Calibration: Towards Robust Composed Video Retrieval with Noisy Triplets</v>
      </c>
      <c r="C183" s="133" t="s">
        <v>550</v>
      </c>
      <c r="D183" s="153" t="str">
        <f t="shared" si="1"/>
        <v>Evidential Matching, Uncertainty Calibration: Towards Robust Composed Video Retrieval with Noisy Triplets
Zhangtao Cheng, Bozhu Zheng, Ting Zhong and Fan Zhou
</v>
      </c>
      <c r="E183" s="153" t="str">
        <f>IFERROR(__xludf.DUMMYFUNCTION("TEXTJOIN(CHAR(10), TRUE,FILTER('Research Papers'!$C:$C,'Research Papers'!$A:$A=C183))"),"Zhangtao Cheng, Bozhu Zheng, Ting Zhong and Fan Zhou")</f>
        <v>Zhangtao Cheng, Bozhu Zheng, Ting Zhong and Fan Zhou</v>
      </c>
      <c r="F183" s="133" t="s">
        <v>149</v>
      </c>
      <c r="G183" s="153"/>
      <c r="H183" s="153"/>
      <c r="I183" s="120"/>
      <c r="J183" s="120"/>
      <c r="K183" s="153"/>
      <c r="L183" s="153"/>
      <c r="M183" s="153"/>
      <c r="N183" s="153"/>
      <c r="O183" s="153"/>
      <c r="P183" s="153"/>
      <c r="Q183" s="153"/>
      <c r="R183" s="153"/>
      <c r="S183" s="153"/>
      <c r="T183" s="153"/>
      <c r="U183" s="153"/>
      <c r="V183" s="153"/>
      <c r="W183" s="153"/>
      <c r="X183" s="153"/>
      <c r="Y183" s="153"/>
      <c r="Z183" s="153"/>
      <c r="AA183" s="153"/>
      <c r="AB183" s="153"/>
      <c r="AC183" s="153"/>
    </row>
    <row r="184">
      <c r="A184" s="152" t="s">
        <v>326</v>
      </c>
      <c r="B184" s="133" t="str">
        <f>IFERROR(__xludf.DUMMYFUNCTION("FILTER ('Research Papers'!D:D,'Research Papers'!A:A=C184)"),"PairSem: LLM-Guided Pairwise Semantic Matching for Scientific Document Retrieval")</f>
        <v>PairSem: LLM-Guided Pairwise Semantic Matching for Scientific Document Retrieval</v>
      </c>
      <c r="C184" s="133" t="s">
        <v>551</v>
      </c>
      <c r="D184" s="153" t="str">
        <f t="shared" si="1"/>
        <v>PairSem: LLM-Guided Pairwise Semantic Matching for Scientific Document Retrieval
Wonbin Kweon, Runchu Tian, Seongku Kang, Pengcheng Jiang,
Zhiyong Lu, Jiawei Han and Hwanjo Yu
</v>
      </c>
      <c r="E184" s="153" t="str">
        <f>IFERROR(__xludf.DUMMYFUNCTION("TEXTJOIN(CHAR(10), TRUE,FILTER('Research Papers'!$C:$C,'Research Papers'!$A:$A=C184))"),"Wonbin Kweon, Runchu Tian, Seongku Kang, Pengcheng Jiang,
Zhiyong Lu, Jiawei Han and Hwanjo Yu")</f>
        <v>Wonbin Kweon, Runchu Tian, Seongku Kang, Pengcheng Jiang,
Zhiyong Lu, Jiawei Han and Hwanjo Yu</v>
      </c>
      <c r="F184" s="133" t="s">
        <v>149</v>
      </c>
      <c r="G184" s="153"/>
      <c r="H184" s="153"/>
      <c r="I184" s="120"/>
      <c r="J184" s="120"/>
      <c r="K184" s="153"/>
      <c r="L184" s="153"/>
      <c r="M184" s="153"/>
      <c r="N184" s="153"/>
      <c r="O184" s="153"/>
      <c r="P184" s="153"/>
      <c r="Q184" s="153"/>
      <c r="R184" s="153"/>
      <c r="S184" s="153"/>
      <c r="T184" s="153"/>
      <c r="U184" s="153"/>
      <c r="V184" s="153"/>
      <c r="W184" s="153"/>
      <c r="X184" s="153"/>
      <c r="Y184" s="153"/>
      <c r="Z184" s="153"/>
      <c r="AA184" s="153"/>
      <c r="AB184" s="153"/>
      <c r="AC184" s="153"/>
    </row>
    <row r="185">
      <c r="A185" s="152" t="s">
        <v>326</v>
      </c>
      <c r="B185" s="133" t="str">
        <f>IFERROR(__xludf.DUMMYFUNCTION("FILTER ('Research Papers'!D:D,'Research Papers'!A:A=C185)"),"LoVR: A Benchmark for Long Video Retrieval in Multimodal Contexts")</f>
        <v>LoVR: A Benchmark for Long Video Retrieval in Multimodal Contexts</v>
      </c>
      <c r="C185" s="133" t="s">
        <v>552</v>
      </c>
      <c r="D185" s="153" t="str">
        <f t="shared" si="1"/>
        <v>LoVR: A Benchmark for Long Video Retrieval in Multimodal Contexts
Hao Liang, Qifeng Cai, Zhaoyang Han, Hejun Dong, Meiyi
Qiang, Ruichuan An, Quanqing Xu, Bin Cui and Wentao Zhang
</v>
      </c>
      <c r="E185" s="153" t="str">
        <f>IFERROR(__xludf.DUMMYFUNCTION("TEXTJOIN(CHAR(10), TRUE,FILTER('Research Papers'!$C:$C,'Research Papers'!$A:$A=C185))"),"Hao Liang, Qifeng Cai, Zhaoyang Han, Hejun Dong, Meiyi
Qiang, Ruichuan An, Quanqing Xu, Bin Cui and Wentao Zhang")</f>
        <v>Hao Liang, Qifeng Cai, Zhaoyang Han, Hejun Dong, Meiyi
Qiang, Ruichuan An, Quanqing Xu, Bin Cui and Wentao Zhang</v>
      </c>
      <c r="F185" s="133" t="s">
        <v>167</v>
      </c>
      <c r="G185" s="153"/>
      <c r="H185" s="153"/>
      <c r="I185" s="120"/>
      <c r="J185" s="120"/>
      <c r="K185" s="153"/>
      <c r="L185" s="153"/>
      <c r="M185" s="153"/>
      <c r="N185" s="153"/>
      <c r="O185" s="153"/>
      <c r="P185" s="153"/>
      <c r="Q185" s="153"/>
      <c r="R185" s="153"/>
      <c r="S185" s="153"/>
      <c r="T185" s="153"/>
      <c r="U185" s="153"/>
      <c r="V185" s="153"/>
      <c r="W185" s="153"/>
      <c r="X185" s="153"/>
      <c r="Y185" s="153"/>
      <c r="Z185" s="153"/>
      <c r="AA185" s="153"/>
      <c r="AB185" s="153"/>
      <c r="AC185" s="153"/>
    </row>
    <row r="186">
      <c r="A186" s="152" t="s">
        <v>326</v>
      </c>
      <c r="B186" s="133" t="str">
        <f>IFERROR(__xludf.DUMMYFUNCTION("FILTER ('Research Papers'!D:D,'Research Papers'!A:A=C186)"),"LongRanker: Efficient One-Pass Document Reranking with Long-Context Large Language Models")</f>
        <v>LongRanker: Efficient One-Pass Document Reranking with Long-Context Large Language Models</v>
      </c>
      <c r="C186" s="133" t="s">
        <v>553</v>
      </c>
      <c r="D186" s="153" t="str">
        <f t="shared" si="1"/>
        <v>LongRanker: Efficient One-Pass Document Reranking with Long-Context Large Language Models
Changjiang Zhou, Ruqing Zhang, Jiafeng Guo, Maarten de
Rijke, Fan Yixing and Xueqi Cheng
</v>
      </c>
      <c r="E186" s="153" t="str">
        <f>IFERROR(__xludf.DUMMYFUNCTION("TEXTJOIN(CHAR(10), TRUE,FILTER('Research Papers'!$C:$C,'Research Papers'!$A:$A=C186))"),"Changjiang Zhou, Ruqing Zhang, Jiafeng Guo, Maarten de
Rijke, Fan Yixing and Xueqi Cheng")</f>
        <v>Changjiang Zhou, Ruqing Zhang, Jiafeng Guo, Maarten de
Rijke, Fan Yixing and Xueqi Cheng</v>
      </c>
      <c r="F186" s="133" t="s">
        <v>167</v>
      </c>
      <c r="G186" s="153"/>
      <c r="H186" s="153"/>
      <c r="I186" s="120"/>
      <c r="J186" s="120"/>
      <c r="K186" s="153"/>
      <c r="L186" s="153"/>
      <c r="M186" s="153"/>
      <c r="N186" s="153"/>
      <c r="O186" s="153"/>
      <c r="P186" s="153"/>
      <c r="Q186" s="153"/>
      <c r="R186" s="153"/>
      <c r="S186" s="153"/>
      <c r="T186" s="153"/>
      <c r="U186" s="153"/>
      <c r="V186" s="153"/>
      <c r="W186" s="153"/>
      <c r="X186" s="153"/>
      <c r="Y186" s="153"/>
      <c r="Z186" s="153"/>
      <c r="AA186" s="153"/>
      <c r="AB186" s="153"/>
      <c r="AC186" s="153"/>
    </row>
    <row r="187">
      <c r="A187" s="152" t="s">
        <v>326</v>
      </c>
      <c r="B187" s="133" t="str">
        <f>IFERROR(__xludf.DUMMYFUNCTION("FILTER ('Research Papers'!D:D,'Research Papers'!A:A=C187)"),"Breaking the Single-Reference-Vector Barrier in Approximate Nearest Neighbor Search")</f>
        <v>Breaking the Single-Reference-Vector Barrier in Approximate Nearest Neighbor Search</v>
      </c>
      <c r="C187" s="133" t="s">
        <v>554</v>
      </c>
      <c r="D187" s="153" t="str">
        <f t="shared" si="1"/>
        <v>Breaking the Single-Reference-Vector Barrier in Approximate Nearest Neighbor Search
Jiadong Xie, Jeffrey Liang, Siyi Teng, Jeffrey Xu Yu and
Yingfan Liu
</v>
      </c>
      <c r="E187" s="153" t="str">
        <f>IFERROR(__xludf.DUMMYFUNCTION("TEXTJOIN(CHAR(10), TRUE,FILTER('Research Papers'!$C:$C,'Research Papers'!$A:$A=C187))"),"Jiadong Xie, Jeffrey Liang, Siyi Teng, Jeffrey Xu Yu and
Yingfan Liu")</f>
        <v>Jiadong Xie, Jeffrey Liang, Siyi Teng, Jeffrey Xu Yu and
Yingfan Liu</v>
      </c>
      <c r="F187" s="133" t="s">
        <v>167</v>
      </c>
      <c r="G187" s="153"/>
      <c r="H187" s="153"/>
      <c r="I187" s="120"/>
      <c r="J187" s="120"/>
      <c r="K187" s="153"/>
      <c r="L187" s="153"/>
      <c r="M187" s="153"/>
      <c r="N187" s="153"/>
      <c r="O187" s="153"/>
      <c r="P187" s="153"/>
      <c r="Q187" s="153"/>
      <c r="R187" s="153"/>
      <c r="S187" s="153"/>
      <c r="T187" s="153"/>
      <c r="U187" s="153"/>
      <c r="V187" s="153"/>
      <c r="W187" s="153"/>
      <c r="X187" s="153"/>
      <c r="Y187" s="153"/>
      <c r="Z187" s="153"/>
      <c r="AA187" s="153"/>
      <c r="AB187" s="153"/>
      <c r="AC187" s="153"/>
    </row>
    <row r="188">
      <c r="A188" s="152" t="s">
        <v>326</v>
      </c>
      <c r="B188" s="133" t="str">
        <f>IFERROR(__xludf.DUMMYFUNCTION("FILTER ('Research Papers'!D:D,'Research Papers'!A:A=C188)"),"OpenDecoder: Open Large Language Model Decoding to Incorporate Document Quality in RAG")</f>
        <v>OpenDecoder: Open Large Language Model Decoding to Incorporate Document Quality in RAG</v>
      </c>
      <c r="C188" s="133" t="s">
        <v>555</v>
      </c>
      <c r="D188" s="153" t="str">
        <f t="shared" si="1"/>
        <v>OpenDecoder: Open Large Language Model Decoding to Incorporate Document Quality in RAG
Fengran Mo, Zhan Su, Yuchen Hui, Jinghan Zhang, Jia Ao Sun,
Zheyuan Liu, Chao Zhang, Tetsuya Sakai and Jian-Yun Nie
</v>
      </c>
      <c r="E188" s="153" t="str">
        <f>IFERROR(__xludf.DUMMYFUNCTION("TEXTJOIN(CHAR(10), TRUE,FILTER('Research Papers'!$C:$C,'Research Papers'!$A:$A=C188))"),"Fengran Mo, Zhan Su, Yuchen Hui, Jinghan Zhang, Jia Ao Sun,
Zheyuan Liu, Chao Zhang, Tetsuya Sakai and Jian-Yun Nie")</f>
        <v>Fengran Mo, Zhan Su, Yuchen Hui, Jinghan Zhang, Jia Ao Sun,
Zheyuan Liu, Chao Zhang, Tetsuya Sakai and Jian-Yun Nie</v>
      </c>
      <c r="F188" s="133" t="s">
        <v>167</v>
      </c>
      <c r="G188" s="153"/>
      <c r="H188" s="153"/>
      <c r="I188" s="120"/>
      <c r="J188" s="120"/>
      <c r="K188" s="153"/>
      <c r="L188" s="153"/>
      <c r="M188" s="153"/>
      <c r="N188" s="153"/>
      <c r="O188" s="153"/>
      <c r="P188" s="153"/>
      <c r="Q188" s="153"/>
      <c r="R188" s="153"/>
      <c r="S188" s="153"/>
      <c r="T188" s="153"/>
      <c r="U188" s="153"/>
      <c r="V188" s="153"/>
      <c r="W188" s="153"/>
      <c r="X188" s="153"/>
      <c r="Y188" s="153"/>
      <c r="Z188" s="153"/>
      <c r="AA188" s="153"/>
      <c r="AB188" s="153"/>
      <c r="AC188" s="153"/>
    </row>
    <row r="189">
      <c r="A189" s="152" t="s">
        <v>326</v>
      </c>
      <c r="B189" s="133" t="str">
        <f>IFERROR(__xludf.DUMMYFUNCTION("FILTER ('Research Papers'!D:D,'Research Papers'!A:A=C189)"),"DocResearcher: A Unified System for Multimodal Document Parsing and Deep Research")</f>
        <v>DocResearcher: A Unified System for Multimodal Document Parsing and Deep Research</v>
      </c>
      <c r="C189" s="133" t="s">
        <v>556</v>
      </c>
      <c r="D189" s="153" t="str">
        <f t="shared" si="1"/>
        <v>DocResearcher: A Unified System for Multimodal Document Parsing and Deep Research
Kuicai Dong, Shurui Huang, Fangda Ye, Wei Han, Zhi Zhang,
Dexun Li, Wenjun Li, Qu Yang, Gang Wang, Yichao Wang, Chen
Zhang and Yong Liu
</v>
      </c>
      <c r="E189" s="153" t="str">
        <f>IFERROR(__xludf.DUMMYFUNCTION("TEXTJOIN(CHAR(10), TRUE,FILTER('Research Papers'!$C:$C,'Research Papers'!$A:$A=C189))"),"Kuicai Dong, Shurui Huang, Fangda Ye, Wei Han, Zhi Zhang,
Dexun Li, Wenjun Li, Qu Yang, Gang Wang, Yichao Wang, Chen
Zhang and Yong Liu")</f>
        <v>Kuicai Dong, Shurui Huang, Fangda Ye, Wei Han, Zhi Zhang,
Dexun Li, Wenjun Li, Qu Yang, Gang Wang, Yichao Wang, Chen
Zhang and Yong Liu</v>
      </c>
      <c r="F189" s="133" t="s">
        <v>167</v>
      </c>
      <c r="G189" s="153"/>
      <c r="H189" s="153"/>
      <c r="I189" s="120"/>
      <c r="J189" s="120"/>
      <c r="K189" s="153"/>
      <c r="L189" s="153"/>
      <c r="M189" s="153"/>
      <c r="N189" s="153"/>
      <c r="O189" s="153"/>
      <c r="P189" s="153"/>
      <c r="Q189" s="153"/>
      <c r="R189" s="153"/>
      <c r="S189" s="153"/>
      <c r="T189" s="153"/>
      <c r="U189" s="153"/>
      <c r="V189" s="153"/>
      <c r="W189" s="153"/>
      <c r="X189" s="153"/>
      <c r="Y189" s="153"/>
      <c r="Z189" s="153"/>
      <c r="AA189" s="153"/>
      <c r="AB189" s="153"/>
      <c r="AC189" s="153"/>
    </row>
    <row r="190">
      <c r="A190" s="152" t="s">
        <v>326</v>
      </c>
      <c r="B190" s="133" t="str">
        <f>IFERROR(__xludf.DUMMYFUNCTION("FILTER ('Research Papers'!D:D,'Research Papers'!A:A=C190)"),"MCoT-MVS: Multi-level Vision Selection by Multi-modal Chain-of-Thought Reasoning for Composed Image Retrieval")</f>
        <v>MCoT-MVS: Multi-level Vision Selection by Multi-modal Chain-of-Thought Reasoning for Composed Image Retrieval</v>
      </c>
      <c r="C190" s="133" t="s">
        <v>557</v>
      </c>
      <c r="D190" s="153" t="str">
        <f t="shared" si="1"/>
        <v>MCoT-MVS: Multi-level Vision Selection by Multi-modal Chain-of-Thought Reasoning for Composed Image Retrieval
Xuri Ge, Chunhao Wang, Xindi Wang, Zheyun Qin, Zhumin Chen
and Xin Xin
</v>
      </c>
      <c r="E190" s="153" t="str">
        <f>IFERROR(__xludf.DUMMYFUNCTION("TEXTJOIN(CHAR(10), TRUE,FILTER('Research Papers'!$C:$C,'Research Papers'!$A:$A=C190))"),"Xuri Ge, Chunhao Wang, Xindi Wang, Zheyun Qin, Zhumin Chen
and Xin Xin")</f>
        <v>Xuri Ge, Chunhao Wang, Xindi Wang, Zheyun Qin, Zhumin Chen
and Xin Xin</v>
      </c>
      <c r="F190" s="133" t="s">
        <v>194</v>
      </c>
      <c r="G190" s="153"/>
      <c r="H190" s="153"/>
      <c r="I190" s="120"/>
      <c r="J190" s="120"/>
      <c r="K190" s="153"/>
      <c r="L190" s="153"/>
      <c r="M190" s="153"/>
      <c r="N190" s="153"/>
      <c r="O190" s="153"/>
      <c r="P190" s="153"/>
      <c r="Q190" s="153"/>
      <c r="R190" s="153"/>
      <c r="S190" s="153"/>
      <c r="T190" s="153"/>
      <c r="U190" s="153"/>
      <c r="V190" s="153"/>
      <c r="W190" s="153"/>
      <c r="X190" s="153"/>
      <c r="Y190" s="153"/>
      <c r="Z190" s="153"/>
      <c r="AA190" s="153"/>
      <c r="AB190" s="153"/>
      <c r="AC190" s="153"/>
    </row>
    <row r="191">
      <c r="A191" s="152" t="s">
        <v>326</v>
      </c>
      <c r="B191" s="133" t="str">
        <f>IFERROR(__xludf.DUMMYFUNCTION("FILTER ('Research Papers'!D:D,'Research Papers'!A:A=C191)"),"BANCO: Drift-Aware Batched Bandits for Adaptive Proximity Graph Pruning")</f>
        <v>BANCO: Drift-Aware Batched Bandits for Adaptive Proximity Graph Pruning</v>
      </c>
      <c r="C191" s="133" t="s">
        <v>558</v>
      </c>
      <c r="D191" s="153" t="str">
        <f t="shared" si="1"/>
        <v>BANCO: Drift-Aware Batched Bandits for Adaptive Proximity Graph Pruning
Jin Cheng, Xiangxiang Dai, Ningning Ding, John C.S. Lui and
Jianwei Huang
</v>
      </c>
      <c r="E191" s="153" t="str">
        <f>IFERROR(__xludf.DUMMYFUNCTION("TEXTJOIN(CHAR(10), TRUE,FILTER('Research Papers'!$C:$C,'Research Papers'!$A:$A=C191))"),"Jin Cheng, Xiangxiang Dai, Ningning Ding, John C.S. Lui and
Jianwei Huang")</f>
        <v>Jin Cheng, Xiangxiang Dai, Ningning Ding, John C.S. Lui and
Jianwei Huang</v>
      </c>
      <c r="F191" s="133" t="s">
        <v>194</v>
      </c>
      <c r="G191" s="153"/>
      <c r="H191" s="153"/>
      <c r="I191" s="120"/>
      <c r="J191" s="120"/>
      <c r="K191" s="153"/>
      <c r="L191" s="153"/>
      <c r="M191" s="153"/>
      <c r="N191" s="153"/>
      <c r="O191" s="153"/>
      <c r="P191" s="153"/>
      <c r="Q191" s="153"/>
      <c r="R191" s="153"/>
      <c r="S191" s="153"/>
      <c r="T191" s="153"/>
      <c r="U191" s="153"/>
      <c r="V191" s="153"/>
      <c r="W191" s="153"/>
      <c r="X191" s="153"/>
      <c r="Y191" s="153"/>
      <c r="Z191" s="153"/>
      <c r="AA191" s="153"/>
      <c r="AB191" s="153"/>
      <c r="AC191" s="153"/>
    </row>
    <row r="192">
      <c r="A192" s="152" t="s">
        <v>326</v>
      </c>
      <c r="B192" s="133" t="str">
        <f>IFERROR(__xludf.DUMMYFUNCTION("FILTER ('Research Papers'!D:D,'Research Papers'!A:A=C192)"),"Enhancing Domain-Adaptive Hashing via Evidential Learning and Progressive Alignment")</f>
        <v>Enhancing Domain-Adaptive Hashing via Evidential Learning and Progressive Alignment</v>
      </c>
      <c r="C192" s="133" t="s">
        <v>559</v>
      </c>
      <c r="D192" s="153" t="str">
        <f t="shared" si="1"/>
        <v>Enhancing Domain-Adaptive Hashing via Evidential Learning and Progressive Alignment
Junsheng Wang, Tiantian Gong, Yeyun Wu and Liyan Zhang
</v>
      </c>
      <c r="E192" s="153" t="str">
        <f>IFERROR(__xludf.DUMMYFUNCTION("TEXTJOIN(CHAR(10), TRUE,FILTER('Research Papers'!$C:$C,'Research Papers'!$A:$A=C192))"),"Junsheng Wang, Tiantian Gong, Yeyun Wu and Liyan Zhang")</f>
        <v>Junsheng Wang, Tiantian Gong, Yeyun Wu and Liyan Zhang</v>
      </c>
      <c r="F192" s="133" t="s">
        <v>194</v>
      </c>
      <c r="G192" s="153"/>
      <c r="H192" s="153"/>
      <c r="I192" s="120"/>
      <c r="J192" s="120"/>
      <c r="K192" s="153"/>
      <c r="L192" s="153"/>
      <c r="M192" s="153"/>
      <c r="N192" s="153"/>
      <c r="O192" s="153"/>
      <c r="P192" s="153"/>
      <c r="Q192" s="153"/>
      <c r="R192" s="153"/>
      <c r="S192" s="153"/>
      <c r="T192" s="153"/>
      <c r="U192" s="153"/>
      <c r="V192" s="153"/>
      <c r="W192" s="153"/>
      <c r="X192" s="153"/>
      <c r="Y192" s="153"/>
      <c r="Z192" s="153"/>
      <c r="AA192" s="153"/>
      <c r="AB192" s="153"/>
      <c r="AC192" s="153"/>
    </row>
    <row r="193">
      <c r="A193" s="152" t="s">
        <v>326</v>
      </c>
      <c r="B193" s="133" t="str">
        <f>IFERROR(__xludf.DUMMYFUNCTION("FILTER ('Research Papers'!D:D,'Research Papers'!A:A=C193)"),"Diversifying Differentiable Graph Retrieval with Topic-Adaptive Multi-Intent Learning")</f>
        <v>Diversifying Differentiable Graph Retrieval with Topic-Adaptive Multi-Intent Learning</v>
      </c>
      <c r="C193" s="133" t="s">
        <v>560</v>
      </c>
      <c r="D193" s="153" t="str">
        <f t="shared" si="1"/>
        <v>Diversifying Differentiable Graph Retrieval with Topic-Adaptive Multi-Intent Learning
Dongcheon Lee, Ji-Yeon Park, Hye-Yoon Baek, Jimyeung Seo,
Seyeong Kim and Byungkook Oh
</v>
      </c>
      <c r="E193" s="153" t="str">
        <f>IFERROR(__xludf.DUMMYFUNCTION("TEXTJOIN(CHAR(10), TRUE,FILTER('Research Papers'!$C:$C,'Research Papers'!$A:$A=C193))"),"Dongcheon Lee, Ji-Yeon Park, Hye-Yoon Baek, Jimyeung Seo,
Seyeong Kim and Byungkook Oh")</f>
        <v>Dongcheon Lee, Ji-Yeon Park, Hye-Yoon Baek, Jimyeung Seo,
Seyeong Kim and Byungkook Oh</v>
      </c>
      <c r="F193" s="133" t="s">
        <v>194</v>
      </c>
      <c r="G193" s="153"/>
      <c r="H193" s="153"/>
      <c r="I193" s="120"/>
      <c r="J193" s="120"/>
      <c r="K193" s="153"/>
      <c r="L193" s="153"/>
      <c r="M193" s="153"/>
      <c r="N193" s="153"/>
      <c r="O193" s="153"/>
      <c r="P193" s="153"/>
      <c r="Q193" s="153"/>
      <c r="R193" s="153"/>
      <c r="S193" s="153"/>
      <c r="T193" s="153"/>
      <c r="U193" s="153"/>
      <c r="V193" s="153"/>
      <c r="W193" s="153"/>
      <c r="X193" s="153"/>
      <c r="Y193" s="153"/>
      <c r="Z193" s="153"/>
      <c r="AA193" s="153"/>
      <c r="AB193" s="153"/>
      <c r="AC193" s="153"/>
    </row>
    <row r="194">
      <c r="A194" s="152" t="s">
        <v>326</v>
      </c>
      <c r="B194" s="133" t="str">
        <f>IFERROR(__xludf.DUMMYFUNCTION("FILTER ('Research Papers'!D:D,'Research Papers'!A:A=C194)"),"Cost-Aware Retrieval-Augmentation Reasoning Models with Adaptive Retrieval Depth")</f>
        <v>Cost-Aware Retrieval-Augmentation Reasoning Models with Adaptive Retrieval Depth</v>
      </c>
      <c r="C194" s="133" t="s">
        <v>561</v>
      </c>
      <c r="D194" s="153" t="str">
        <f t="shared" si="1"/>
        <v>Cost-Aware Retrieval-Augmentation Reasoning Models with Adaptive Retrieval Depth
Helia Hashemi, Victor Rühle and Saravan Rajmohan
</v>
      </c>
      <c r="E194" s="153" t="str">
        <f>IFERROR(__xludf.DUMMYFUNCTION("TEXTJOIN(CHAR(10), TRUE,FILTER('Research Papers'!$C:$C,'Research Papers'!$A:$A=C194))"),"Helia Hashemi, Victor Rühle and Saravan Rajmohan")</f>
        <v>Helia Hashemi, Victor Rühle and Saravan Rajmohan</v>
      </c>
      <c r="F194" s="133" t="s">
        <v>194</v>
      </c>
      <c r="G194" s="153"/>
      <c r="H194" s="153"/>
      <c r="I194" s="120"/>
      <c r="J194" s="120"/>
      <c r="K194" s="153"/>
      <c r="L194" s="153"/>
      <c r="M194" s="153"/>
      <c r="N194" s="153"/>
      <c r="O194" s="153"/>
      <c r="P194" s="153"/>
      <c r="Q194" s="153"/>
      <c r="R194" s="153"/>
      <c r="S194" s="153"/>
      <c r="T194" s="153"/>
      <c r="U194" s="153"/>
      <c r="V194" s="153"/>
      <c r="W194" s="153"/>
      <c r="X194" s="153"/>
      <c r="Y194" s="153"/>
      <c r="Z194" s="153"/>
      <c r="AA194" s="153"/>
      <c r="AB194" s="153"/>
      <c r="AC194" s="153"/>
    </row>
    <row r="195">
      <c r="A195" s="152" t="s">
        <v>326</v>
      </c>
      <c r="B195" s="133" t="str">
        <f>IFERROR(__xludf.DUMMYFUNCTION("FILTER ('Research Papers'!D:D,'Research Papers'!A:A=C195)"),"What Should I Cite? A RAG Benchmark for Academic Citation Prediction")</f>
        <v>What Should I Cite? A RAG Benchmark for Academic Citation Prediction</v>
      </c>
      <c r="C195" s="133" t="s">
        <v>562</v>
      </c>
      <c r="D195" s="153" t="str">
        <f t="shared" si="1"/>
        <v>What Should I Cite? A RAG Benchmark for Academic Citation Prediction
Leqi Zheng, Jiajun Zhang, Canzhi Chen, Chaokun Wang,
Hongwei Li, Yuying Li, Yaoxin Mao, Shannan Yan, Zixin Song,
Zhiyuan Feng, Zhaolu Kang, Zirong Chen, Hang Zhang, Qiang
Liu, Liang Wang and Ziyang Liu
</v>
      </c>
      <c r="E195" s="153" t="str">
        <f>IFERROR(__xludf.DUMMYFUNCTION("TEXTJOIN(CHAR(10), TRUE,FILTER('Research Papers'!$C:$C,'Research Papers'!$A:$A=C195))"),"Leqi Zheng, Jiajun Zhang, Canzhi Chen, Chaokun Wang,
Hongwei Li, Yuying Li, Yaoxin Mao, Shannan Yan, Zixin Song,
Zhiyuan Feng, Zhaolu Kang, Zirong Chen, Hang Zhang, Qiang
Liu, Liang Wang and Ziyang Liu")</f>
        <v>Leqi Zheng, Jiajun Zhang, Canzhi Chen, Chaokun Wang,
Hongwei Li, Yuying Li, Yaoxin Mao, Shannan Yan, Zixin Song,
Zhiyuan Feng, Zhaolu Kang, Zirong Chen, Hang Zhang, Qiang
Liu, Liang Wang and Ziyang Liu</v>
      </c>
      <c r="F195" s="133" t="s">
        <v>217</v>
      </c>
      <c r="G195" s="133" t="s">
        <v>327</v>
      </c>
      <c r="H195" s="153"/>
      <c r="I195" s="149" t="s">
        <v>367</v>
      </c>
      <c r="J195" s="114">
        <f>COUNTIF(F:F,F195)</f>
        <v>30</v>
      </c>
      <c r="K195" s="153"/>
      <c r="L195" s="153"/>
      <c r="M195" s="153"/>
      <c r="N195" s="153"/>
      <c r="O195" s="153"/>
      <c r="P195" s="153"/>
      <c r="Q195" s="153"/>
      <c r="R195" s="153"/>
      <c r="S195" s="153"/>
      <c r="T195" s="153"/>
      <c r="U195" s="153"/>
      <c r="V195" s="153"/>
      <c r="W195" s="153"/>
      <c r="X195" s="153"/>
      <c r="Y195" s="153"/>
      <c r="Z195" s="153"/>
      <c r="AA195" s="153"/>
      <c r="AB195" s="153"/>
      <c r="AC195" s="153"/>
    </row>
    <row r="196">
      <c r="A196" s="152" t="s">
        <v>326</v>
      </c>
      <c r="B196" s="133" t="str">
        <f>IFERROR(__xludf.DUMMYFUNCTION("FILTER ('Research Papers'!D:D,'Research Papers'!A:A=C196)"),"Med-R$^2$: Crafting Trustworthy LLM Physicians via Retrieval and Reasoning of Evidence-Based Medicine")</f>
        <v>Med-R$^2$: Crafting Trustworthy LLM Physicians via Retrieval and Reasoning of Evidence-Based Medicine</v>
      </c>
      <c r="C196" s="133" t="s">
        <v>563</v>
      </c>
      <c r="D196" s="153" t="str">
        <f t="shared" si="1"/>
        <v>Med-R$^2$: Crafting Trustworthy LLM Physicians via Retrieval and Reasoning of Evidence-Based Medicine
Lu Keer, Zheng Liang, Da Pan, Shusen Zhang, Guosheng Dong,
Huang Leng, Bin Cui, Zhonghai Wu and Wentao Zhang
</v>
      </c>
      <c r="E196" s="153" t="str">
        <f>IFERROR(__xludf.DUMMYFUNCTION("TEXTJOIN(CHAR(10), TRUE,FILTER('Research Papers'!$C:$C,'Research Papers'!$A:$A=C196))"),"Lu Keer, Zheng Liang, Da Pan, Shusen Zhang, Guosheng Dong,
Huang Leng, Bin Cui, Zhonghai Wu and Wentao Zhang")</f>
        <v>Lu Keer, Zheng Liang, Da Pan, Shusen Zhang, Guosheng Dong,
Huang Leng, Bin Cui, Zhonghai Wu and Wentao Zhang</v>
      </c>
      <c r="F196" s="133" t="s">
        <v>217</v>
      </c>
      <c r="G196" s="133" t="s">
        <v>327</v>
      </c>
      <c r="H196" s="153"/>
      <c r="I196" s="120"/>
      <c r="J196" s="120"/>
      <c r="K196" s="153"/>
      <c r="L196" s="153"/>
      <c r="M196" s="153"/>
      <c r="N196" s="153"/>
      <c r="O196" s="153"/>
      <c r="P196" s="153"/>
      <c r="Q196" s="153"/>
      <c r="R196" s="153"/>
      <c r="S196" s="153"/>
      <c r="T196" s="153"/>
      <c r="U196" s="153"/>
      <c r="V196" s="153"/>
      <c r="W196" s="153"/>
      <c r="X196" s="153"/>
      <c r="Y196" s="153"/>
      <c r="Z196" s="153"/>
      <c r="AA196" s="153"/>
      <c r="AB196" s="153"/>
      <c r="AC196" s="153"/>
    </row>
    <row r="197">
      <c r="A197" s="152" t="s">
        <v>326</v>
      </c>
      <c r="B197" s="133" t="str">
        <f>IFERROR(__xludf.DUMMYFUNCTION("FILTER ('Research Papers'!D:D,'Research Papers'!A:A=C197)"),"Generalized Pseudo-Relevance Feedback")</f>
        <v>Generalized Pseudo-Relevance Feedback</v>
      </c>
      <c r="C197" s="133" t="s">
        <v>564</v>
      </c>
      <c r="D197" s="153" t="str">
        <f t="shared" si="1"/>
        <v>Generalized Pseudo-Relevance Feedback
Yiteng Tu, Weihang Su, Yujia Zhou, Yiqun Liu, Fen Lin, Qin
Liu and Qingyao Ai
</v>
      </c>
      <c r="E197" s="153" t="str">
        <f>IFERROR(__xludf.DUMMYFUNCTION("TEXTJOIN(CHAR(10), TRUE,FILTER('Research Papers'!$C:$C,'Research Papers'!$A:$A=C197))"),"Yiteng Tu, Weihang Su, Yujia Zhou, Yiqun Liu, Fen Lin, Qin
Liu and Qingyao Ai")</f>
        <v>Yiteng Tu, Weihang Su, Yujia Zhou, Yiqun Liu, Fen Lin, Qin
Liu and Qingyao Ai</v>
      </c>
      <c r="F197" s="133" t="s">
        <v>217</v>
      </c>
      <c r="G197" s="133" t="s">
        <v>327</v>
      </c>
      <c r="H197" s="153"/>
      <c r="I197" s="120"/>
      <c r="J197" s="120"/>
      <c r="K197" s="153"/>
      <c r="L197" s="153"/>
      <c r="M197" s="153"/>
      <c r="N197" s="153"/>
      <c r="O197" s="153"/>
      <c r="P197" s="153"/>
      <c r="Q197" s="153"/>
      <c r="R197" s="153"/>
      <c r="S197" s="153"/>
      <c r="T197" s="153"/>
      <c r="U197" s="153"/>
      <c r="V197" s="153"/>
      <c r="W197" s="153"/>
      <c r="X197" s="153"/>
      <c r="Y197" s="153"/>
      <c r="Z197" s="153"/>
      <c r="AA197" s="153"/>
      <c r="AB197" s="153"/>
      <c r="AC197" s="153"/>
    </row>
    <row r="198">
      <c r="A198" s="152" t="s">
        <v>326</v>
      </c>
      <c r="B198" s="133" t="str">
        <f>IFERROR(__xludf.DUMMYFUNCTION("FILTER ('Research Papers'!D:D,'Research Papers'!A:A=C198)"),"Rethinking the Hidden Risk of Reranking: Achieving Risk-aware Reranking with Information Gain for RAG with LLMs")</f>
        <v>Rethinking the Hidden Risk of Reranking: Achieving Risk-aware Reranking with Information Gain for RAG with LLMs</v>
      </c>
      <c r="C198" s="133" t="s">
        <v>565</v>
      </c>
      <c r="D198" s="153" t="str">
        <f t="shared" si="1"/>
        <v>Rethinking the Hidden Risk of Reranking: Achieving Risk-aware Reranking with Information Gain for RAG with LLMs
Zhizhao Liu, Zhihua Wen, Zhiliang Tian, Zhen Huang,
Miaorong Zhu, Zimian Wei, Yifu Gao, Liang Ding and
Dongsheng Li
</v>
      </c>
      <c r="E198" s="153" t="str">
        <f>IFERROR(__xludf.DUMMYFUNCTION("TEXTJOIN(CHAR(10), TRUE,FILTER('Research Papers'!$C:$C,'Research Papers'!$A:$A=C198))"),"Zhizhao Liu, Zhihua Wen, Zhiliang Tian, Zhen Huang,
Miaorong Zhu, Zimian Wei, Yifu Gao, Liang Ding and
Dongsheng Li")</f>
        <v>Zhizhao Liu, Zhihua Wen, Zhiliang Tian, Zhen Huang,
Miaorong Zhu, Zimian Wei, Yifu Gao, Liang Ding and
Dongsheng Li</v>
      </c>
      <c r="F198" s="133" t="s">
        <v>217</v>
      </c>
      <c r="G198" s="133" t="s">
        <v>327</v>
      </c>
      <c r="H198" s="153"/>
      <c r="I198" s="120"/>
      <c r="J198" s="120"/>
      <c r="K198" s="153"/>
      <c r="L198" s="153"/>
      <c r="M198" s="153"/>
      <c r="N198" s="153"/>
      <c r="O198" s="153"/>
      <c r="P198" s="153"/>
      <c r="Q198" s="153"/>
      <c r="R198" s="153"/>
      <c r="S198" s="153"/>
      <c r="T198" s="153"/>
      <c r="U198" s="153"/>
      <c r="V198" s="153"/>
      <c r="W198" s="153"/>
      <c r="X198" s="153"/>
      <c r="Y198" s="153"/>
      <c r="Z198" s="153"/>
      <c r="AA198" s="153"/>
      <c r="AB198" s="153"/>
      <c r="AC198" s="153"/>
    </row>
    <row r="199">
      <c r="A199" s="152" t="s">
        <v>326</v>
      </c>
      <c r="B199" s="133" t="str">
        <f>IFERROR(__xludf.DUMMYFUNCTION("FILTER ('Research Papers'!D:D,'Research Papers'!A:A=C199)"),"NeocorRAG: Less Irrelevant Information, More Explicit Evidence, and More Effective Recall via Evidence Chains")</f>
        <v>NeocorRAG: Less Irrelevant Information, More Explicit Evidence, and More Effective Recall via Evidence Chains</v>
      </c>
      <c r="C199" s="133" t="s">
        <v>566</v>
      </c>
      <c r="D199" s="153" t="str">
        <f t="shared" si="1"/>
        <v>NeocorRAG: Less Irrelevant Information, More Explicit Evidence, and More Effective Recall via Evidence Chains
Shiyao Peng, Qianhe Zheng, Zhuodi Hao, Zichen Tang, Rongjin
Li, Qing Huang, Jiayu Huang, Jiacheng Liu, Yifan Zhu and
Haihong E
</v>
      </c>
      <c r="E199" s="153" t="str">
        <f>IFERROR(__xludf.DUMMYFUNCTION("TEXTJOIN(CHAR(10), TRUE,FILTER('Research Papers'!$C:$C,'Research Papers'!$A:$A=C199))"),"Shiyao Peng, Qianhe Zheng, Zhuodi Hao, Zichen Tang, Rongjin
Li, Qing Huang, Jiayu Huang, Jiacheng Liu, Yifan Zhu and
Haihong E")</f>
        <v>Shiyao Peng, Qianhe Zheng, Zhuodi Hao, Zichen Tang, Rongjin
Li, Qing Huang, Jiayu Huang, Jiacheng Liu, Yifan Zhu and
Haihong E</v>
      </c>
      <c r="F199" s="133" t="s">
        <v>217</v>
      </c>
      <c r="G199" s="133" t="s">
        <v>327</v>
      </c>
      <c r="H199" s="153"/>
      <c r="I199" s="120"/>
      <c r="J199" s="120"/>
      <c r="K199" s="153"/>
      <c r="L199" s="153"/>
      <c r="M199" s="153"/>
      <c r="N199" s="153"/>
      <c r="O199" s="153"/>
      <c r="P199" s="153"/>
      <c r="Q199" s="153"/>
      <c r="R199" s="153"/>
      <c r="S199" s="153"/>
      <c r="T199" s="153"/>
      <c r="U199" s="153"/>
      <c r="V199" s="153"/>
      <c r="W199" s="153"/>
      <c r="X199" s="153"/>
      <c r="Y199" s="153"/>
      <c r="Z199" s="153"/>
      <c r="AA199" s="153"/>
      <c r="AB199" s="153"/>
      <c r="AC199" s="153"/>
    </row>
    <row r="200">
      <c r="A200" s="152" t="s">
        <v>326</v>
      </c>
      <c r="B200" s="133" t="str">
        <f>IFERROR(__xludf.DUMMYFUNCTION("FILTER ('Research Papers'!D:D,'Research Papers'!A:A=C200)"),"Pedestrian-Centric Discriminative and Fine-grained Semantic Mining for Text-based Person Retrieval")</f>
        <v>Pedestrian-Centric Discriminative and Fine-grained Semantic Mining for Text-based Person Retrieval</v>
      </c>
      <c r="C200" s="133" t="s">
        <v>567</v>
      </c>
      <c r="D200" s="153" t="str">
        <f t="shared" si="1"/>
        <v>Pedestrian-Centric Discriminative and Fine-grained Semantic Mining for Text-based Person Retrieval
Yuheng Liang, Haipeng Chen, Yu Liu, Yingda Lyu and Xue Wang
</v>
      </c>
      <c r="E200" s="153" t="str">
        <f>IFERROR(__xludf.DUMMYFUNCTION("TEXTJOIN(CHAR(10), TRUE,FILTER('Research Papers'!$C:$C,'Research Papers'!$A:$A=C200))"),"Yuheng Liang, Haipeng Chen, Yu Liu, Yingda Lyu and Xue Wang")</f>
        <v>Yuheng Liang, Haipeng Chen, Yu Liu, Yingda Lyu and Xue Wang</v>
      </c>
      <c r="F200" s="133" t="s">
        <v>217</v>
      </c>
      <c r="G200" s="133" t="s">
        <v>327</v>
      </c>
      <c r="H200" s="153"/>
      <c r="I200" s="120"/>
      <c r="J200" s="120"/>
      <c r="K200" s="153"/>
      <c r="L200" s="153"/>
      <c r="M200" s="153"/>
      <c r="N200" s="153"/>
      <c r="O200" s="153"/>
      <c r="P200" s="153"/>
      <c r="Q200" s="153"/>
      <c r="R200" s="153"/>
      <c r="S200" s="153"/>
      <c r="T200" s="153"/>
      <c r="U200" s="153"/>
      <c r="V200" s="153"/>
      <c r="W200" s="153"/>
      <c r="X200" s="153"/>
      <c r="Y200" s="153"/>
      <c r="Z200" s="153"/>
      <c r="AA200" s="153"/>
      <c r="AB200" s="153"/>
      <c r="AC200" s="153"/>
    </row>
    <row r="201">
      <c r="A201" s="152" t="s">
        <v>326</v>
      </c>
      <c r="B201" s="133" t="str">
        <f>IFERROR(__xludf.DUMMYFUNCTION("FILTER ('Research Papers'!D:D,'Research Papers'!A:A=C201)"),"Dual-Branch Multi-Granularity Network with Structured Contrastive Ranking for Cross-Modal Retrieval")</f>
        <v>Dual-Branch Multi-Granularity Network with Structured Contrastive Ranking for Cross-Modal Retrieval</v>
      </c>
      <c r="C201" s="133" t="s">
        <v>568</v>
      </c>
      <c r="D201" s="153" t="str">
        <f t="shared" si="1"/>
        <v>Dual-Branch Multi-Granularity Network with Structured Contrastive Ranking for Cross-Modal Retrieval
Zihao Chen, Chenyang Bu, Shengwei Ji and Xindong Wu
</v>
      </c>
      <c r="E201" s="153" t="str">
        <f>IFERROR(__xludf.DUMMYFUNCTION("TEXTJOIN(CHAR(10), TRUE,FILTER('Research Papers'!$C:$C,'Research Papers'!$A:$A=C201))"),"Zihao Chen, Chenyang Bu, Shengwei Ji and Xindong Wu")</f>
        <v>Zihao Chen, Chenyang Bu, Shengwei Ji and Xindong Wu</v>
      </c>
      <c r="F201" s="133" t="s">
        <v>217</v>
      </c>
      <c r="G201" s="133" t="s">
        <v>113</v>
      </c>
      <c r="H201" s="153"/>
      <c r="I201" s="120"/>
      <c r="J201" s="120"/>
      <c r="K201" s="153"/>
      <c r="L201" s="153"/>
      <c r="M201" s="153"/>
      <c r="N201" s="153"/>
      <c r="O201" s="153"/>
      <c r="P201" s="153"/>
      <c r="Q201" s="153"/>
      <c r="R201" s="153"/>
      <c r="S201" s="153"/>
      <c r="T201" s="153"/>
      <c r="U201" s="153"/>
      <c r="V201" s="153"/>
      <c r="W201" s="153"/>
      <c r="X201" s="153"/>
      <c r="Y201" s="153"/>
      <c r="Z201" s="153"/>
      <c r="AA201" s="153"/>
      <c r="AB201" s="153"/>
      <c r="AC201" s="153"/>
    </row>
    <row r="202">
      <c r="A202" s="152" t="s">
        <v>326</v>
      </c>
      <c r="B202" s="133" t="str">
        <f>IFERROR(__xludf.DUMMYFUNCTION("FILTER ('Research Papers'!D:D,'Research Papers'!A:A=C202)"),"Less is More: Compact Clue Selection for Efficient Retrieval-Augmented Generation Reasoning")</f>
        <v>Less is More: Compact Clue Selection for Efficient Retrieval-Augmented Generation Reasoning</v>
      </c>
      <c r="C202" s="133" t="s">
        <v>569</v>
      </c>
      <c r="D202" s="153" t="str">
        <f t="shared" si="1"/>
        <v>Less is More: Compact Clue Selection for Efficient Retrieval-Augmented Generation Reasoning
Qianchi Zhang, Hainan Zhang, Liang Pang, Yongxin Tong,
Hongwei Zheng and Zhiming Zheng
</v>
      </c>
      <c r="E202" s="153" t="str">
        <f>IFERROR(__xludf.DUMMYFUNCTION("TEXTJOIN(CHAR(10), TRUE,FILTER('Research Papers'!$C:$C,'Research Papers'!$A:$A=C202))"),"Qianchi Zhang, Hainan Zhang, Liang Pang, Yongxin Tong,
Hongwei Zheng and Zhiming Zheng")</f>
        <v>Qianchi Zhang, Hainan Zhang, Liang Pang, Yongxin Tong,
Hongwei Zheng and Zhiming Zheng</v>
      </c>
      <c r="F202" s="133" t="s">
        <v>217</v>
      </c>
      <c r="G202" s="133" t="s">
        <v>113</v>
      </c>
      <c r="H202" s="153"/>
      <c r="I202" s="120"/>
      <c r="J202" s="120"/>
      <c r="K202" s="153"/>
      <c r="L202" s="153"/>
      <c r="M202" s="153"/>
      <c r="N202" s="153"/>
      <c r="O202" s="153"/>
      <c r="P202" s="153"/>
      <c r="Q202" s="153"/>
      <c r="R202" s="153"/>
      <c r="S202" s="153"/>
      <c r="T202" s="153"/>
      <c r="U202" s="153"/>
      <c r="V202" s="153"/>
      <c r="W202" s="153"/>
      <c r="X202" s="153"/>
      <c r="Y202" s="153"/>
      <c r="Z202" s="153"/>
      <c r="AA202" s="153"/>
      <c r="AB202" s="153"/>
      <c r="AC202" s="153"/>
    </row>
    <row r="203">
      <c r="A203" s="152" t="s">
        <v>326</v>
      </c>
      <c r="B203" s="133" t="str">
        <f>IFERROR(__xludf.DUMMYFUNCTION("FILTER ('Research Papers'!D:D,'Research Papers'!A:A=C203)"),"Déjà Vu of Strange Stickers! Enhancing Out-of-Distribution Robustness in Sticker Retrieval via Cross-Modal Intent Alignment")</f>
        <v>Déjà Vu of Strange Stickers! Enhancing Out-of-Distribution Robustness in Sticker Retrieval via Cross-Modal Intent Alignment</v>
      </c>
      <c r="C203" s="133" t="s">
        <v>570</v>
      </c>
      <c r="D203" s="153" t="str">
        <f t="shared" si="1"/>
        <v>Déjà Vu of Strange Stickers! Enhancing Out-of-Distribution Robustness in Sticker Retrieval via Cross-Modal Intent Alignment
Yu-An Liu, Ruqing Zhang, Jiafeng Guo, Changjiang Zhou, Fan
Zhang and Yinhu Zhao
</v>
      </c>
      <c r="E203" s="153" t="str">
        <f>IFERROR(__xludf.DUMMYFUNCTION("TEXTJOIN(CHAR(10), TRUE,FILTER('Research Papers'!$C:$C,'Research Papers'!$A:$A=C203))"),"Yu-An Liu, Ruqing Zhang, Jiafeng Guo, Changjiang Zhou, Fan
Zhang and Yinhu Zhao")</f>
        <v>Yu-An Liu, Ruqing Zhang, Jiafeng Guo, Changjiang Zhou, Fan
Zhang and Yinhu Zhao</v>
      </c>
      <c r="F203" s="133" t="s">
        <v>217</v>
      </c>
      <c r="G203" s="133" t="s">
        <v>113</v>
      </c>
      <c r="H203" s="153"/>
      <c r="I203" s="120"/>
      <c r="J203" s="120"/>
      <c r="K203" s="153"/>
      <c r="L203" s="153"/>
      <c r="M203" s="153"/>
      <c r="N203" s="153"/>
      <c r="O203" s="153"/>
      <c r="P203" s="153"/>
      <c r="Q203" s="153"/>
      <c r="R203" s="153"/>
      <c r="S203" s="153"/>
      <c r="T203" s="153"/>
      <c r="U203" s="153"/>
      <c r="V203" s="153"/>
      <c r="W203" s="153"/>
      <c r="X203" s="153"/>
      <c r="Y203" s="153"/>
      <c r="Z203" s="153"/>
      <c r="AA203" s="153"/>
      <c r="AB203" s="153"/>
      <c r="AC203" s="153"/>
    </row>
    <row r="204">
      <c r="A204" s="152" t="s">
        <v>326</v>
      </c>
      <c r="B204" s="133" t="str">
        <f>IFERROR(__xludf.DUMMYFUNCTION("FILTER ('Research Papers'!D:D,'Research Papers'!A:A=C204)"),"SQL-Checker: Error Detection and Labeling for Text-to-SQL with Interpretability Analysis")</f>
        <v>SQL-Checker: Error Detection and Labeling for Text-to-SQL with Interpretability Analysis</v>
      </c>
      <c r="C204" s="133" t="s">
        <v>571</v>
      </c>
      <c r="D204" s="153" t="str">
        <f t="shared" si="1"/>
        <v>SQL-Checker: Error Detection and Labeling for Text-to-SQL with Interpretability Analysis
Xingyu Ma, Xin Tian, Lingxiang Wu, Xuepeng Wang, Xueming
Tang and Jinqiao Wang
</v>
      </c>
      <c r="E204" s="153" t="str">
        <f>IFERROR(__xludf.DUMMYFUNCTION("TEXTJOIN(CHAR(10), TRUE,FILTER('Research Papers'!$C:$C,'Research Papers'!$A:$A=C204))"),"Xingyu Ma, Xin Tian, Lingxiang Wu, Xuepeng Wang, Xueming
Tang and Jinqiao Wang")</f>
        <v>Xingyu Ma, Xin Tian, Lingxiang Wu, Xuepeng Wang, Xueming
Tang and Jinqiao Wang</v>
      </c>
      <c r="F204" s="133" t="s">
        <v>217</v>
      </c>
      <c r="G204" s="133" t="s">
        <v>113</v>
      </c>
      <c r="H204" s="153"/>
      <c r="I204" s="120"/>
      <c r="J204" s="120"/>
      <c r="K204" s="153"/>
      <c r="L204" s="153"/>
      <c r="M204" s="153"/>
      <c r="N204" s="153"/>
      <c r="O204" s="153"/>
      <c r="P204" s="153"/>
      <c r="Q204" s="153"/>
      <c r="R204" s="153"/>
      <c r="S204" s="153"/>
      <c r="T204" s="153"/>
      <c r="U204" s="153"/>
      <c r="V204" s="153"/>
      <c r="W204" s="153"/>
      <c r="X204" s="153"/>
      <c r="Y204" s="153"/>
      <c r="Z204" s="153"/>
      <c r="AA204" s="153"/>
      <c r="AB204" s="153"/>
      <c r="AC204" s="153"/>
    </row>
    <row r="205">
      <c r="A205" s="152" t="s">
        <v>326</v>
      </c>
      <c r="B205" s="133" t="str">
        <f>IFERROR(__xludf.DUMMYFUNCTION("FILTER ('Research Papers'!D:D,'Research Papers'!A:A=C205)"),"To Search or Not to Search: Aligning the Decision Boundary of Deep Search Agents via Causal Intervention")</f>
        <v>To Search or Not to Search: Aligning the Decision Boundary of Deep Search Agents via Causal Intervention</v>
      </c>
      <c r="C205" s="133" t="s">
        <v>572</v>
      </c>
      <c r="D205" s="153" t="str">
        <f t="shared" si="1"/>
        <v>To Search or Not to Search: Aligning the Decision Boundary of Deep Search Agents via Causal Intervention
Wenlin Zhang, Kuicai Dong, Junyi Li, Yingyi Zhang, Xiaopeng
Li, Pengyue Jia, Yi Wen, Derong Xu, Maolin Wang, Yichao
Wang, Yong Liu and Xiangyu Zhao
</v>
      </c>
      <c r="E205" s="153" t="str">
        <f>IFERROR(__xludf.DUMMYFUNCTION("TEXTJOIN(CHAR(10), TRUE,FILTER('Research Papers'!$C:$C,'Research Papers'!$A:$A=C205))"),"Wenlin Zhang, Kuicai Dong, Junyi Li, Yingyi Zhang, Xiaopeng
Li, Pengyue Jia, Yi Wen, Derong Xu, Maolin Wang, Yichao
Wang, Yong Liu and Xiangyu Zhao")</f>
        <v>Wenlin Zhang, Kuicai Dong, Junyi Li, Yingyi Zhang, Xiaopeng
Li, Pengyue Jia, Yi Wen, Derong Xu, Maolin Wang, Yichao
Wang, Yong Liu and Xiangyu Zhao</v>
      </c>
      <c r="F205" s="133" t="s">
        <v>217</v>
      </c>
      <c r="G205" s="133" t="s">
        <v>113</v>
      </c>
      <c r="H205" s="153"/>
      <c r="I205" s="120"/>
      <c r="J205" s="120"/>
      <c r="K205" s="153"/>
      <c r="L205" s="153"/>
      <c r="M205" s="153"/>
      <c r="N205" s="153"/>
      <c r="O205" s="153"/>
      <c r="P205" s="153"/>
      <c r="Q205" s="153"/>
      <c r="R205" s="153"/>
      <c r="S205" s="153"/>
      <c r="T205" s="153"/>
      <c r="U205" s="153"/>
      <c r="V205" s="153"/>
      <c r="W205" s="153"/>
      <c r="X205" s="153"/>
      <c r="Y205" s="153"/>
      <c r="Z205" s="153"/>
      <c r="AA205" s="153"/>
      <c r="AB205" s="153"/>
      <c r="AC205" s="153"/>
    </row>
    <row r="206">
      <c r="A206" s="152" t="s">
        <v>326</v>
      </c>
      <c r="B206" s="133" t="str">
        <f>IFERROR(__xludf.DUMMYFUNCTION("FILTER ('Research Papers'!D:D,'Research Papers'!A:A=C206)"),"XR: Cross-Modal Agents for Composed Image Retrieval")</f>
        <v>XR: Cross-Modal Agents for Composed Image Retrieval</v>
      </c>
      <c r="C206" s="133" t="s">
        <v>573</v>
      </c>
      <c r="D206" s="153" t="str">
        <f t="shared" si="1"/>
        <v>XR: Cross-Modal Agents for Composed Image Retrieval
Zhongyu Yang, Wei Pang and Yingfang Yuan
</v>
      </c>
      <c r="E206" s="153" t="str">
        <f>IFERROR(__xludf.DUMMYFUNCTION("TEXTJOIN(CHAR(10), TRUE,FILTER('Research Papers'!$C:$C,'Research Papers'!$A:$A=C206))"),"Zhongyu Yang, Wei Pang and Yingfang Yuan")</f>
        <v>Zhongyu Yang, Wei Pang and Yingfang Yuan</v>
      </c>
      <c r="F206" s="133" t="s">
        <v>217</v>
      </c>
      <c r="G206" s="133" t="s">
        <v>113</v>
      </c>
      <c r="H206" s="153"/>
      <c r="I206" s="120"/>
      <c r="J206" s="120"/>
      <c r="K206" s="153"/>
      <c r="L206" s="153"/>
      <c r="M206" s="153"/>
      <c r="N206" s="153"/>
      <c r="O206" s="153"/>
      <c r="P206" s="153"/>
      <c r="Q206" s="153"/>
      <c r="R206" s="153"/>
      <c r="S206" s="153"/>
      <c r="T206" s="153"/>
      <c r="U206" s="153"/>
      <c r="V206" s="153"/>
      <c r="W206" s="153"/>
      <c r="X206" s="153"/>
      <c r="Y206" s="153"/>
      <c r="Z206" s="153"/>
      <c r="AA206" s="153"/>
      <c r="AB206" s="153"/>
      <c r="AC206" s="153"/>
    </row>
    <row r="207">
      <c r="A207" s="152" t="s">
        <v>326</v>
      </c>
      <c r="B207" s="133" t="str">
        <f>IFERROR(__xludf.DUMMYFUNCTION("FILTER ('Research Papers'!D:D,'Research Papers'!A:A=C207)"),"Are LLM Web Search Engines Sustainable? A Web-Measurement Study of Real-Time Fetching")</f>
        <v>Are LLM Web Search Engines Sustainable? A Web-Measurement Study of Real-Time Fetching</v>
      </c>
      <c r="C207" s="133" t="s">
        <v>574</v>
      </c>
      <c r="D207" s="153" t="str">
        <f t="shared" si="1"/>
        <v>Are LLM Web Search Engines Sustainable? A Web-Measurement Study of Real-Time Fetching
Abdur-Rahman Ibrahim Sayyid-Ali, Daanish Uddin Khan and
Naveed Bhatti
</v>
      </c>
      <c r="E207" s="153" t="str">
        <f>IFERROR(__xludf.DUMMYFUNCTION("TEXTJOIN(CHAR(10), TRUE,FILTER('Research Papers'!$C:$C,'Research Papers'!$A:$A=C207))"),"Abdur-Rahman Ibrahim Sayyid-Ali, Daanish Uddin Khan and
Naveed Bhatti")</f>
        <v>Abdur-Rahman Ibrahim Sayyid-Ali, Daanish Uddin Khan and
Naveed Bhatti</v>
      </c>
      <c r="F207" s="133" t="s">
        <v>217</v>
      </c>
      <c r="G207" s="133" t="s">
        <v>328</v>
      </c>
      <c r="H207" s="153"/>
      <c r="I207" s="120"/>
      <c r="J207" s="120"/>
      <c r="K207" s="153"/>
      <c r="L207" s="153"/>
      <c r="M207" s="153"/>
      <c r="N207" s="153"/>
      <c r="O207" s="153"/>
      <c r="P207" s="153"/>
      <c r="Q207" s="153"/>
      <c r="R207" s="153"/>
      <c r="S207" s="153"/>
      <c r="T207" s="153"/>
      <c r="U207" s="153"/>
      <c r="V207" s="153"/>
      <c r="W207" s="153"/>
      <c r="X207" s="153"/>
      <c r="Y207" s="153"/>
      <c r="Z207" s="153"/>
      <c r="AA207" s="153"/>
      <c r="AB207" s="153"/>
      <c r="AC207" s="153"/>
    </row>
    <row r="208">
      <c r="A208" s="152" t="s">
        <v>326</v>
      </c>
      <c r="B208" s="133" t="str">
        <f>IFERROR(__xludf.DUMMYFUNCTION("FILTER ('Research Papers'!D:D,'Research Papers'!A:A=C208)"),"A Fact-Checking Framework with Denoising Evidence Retrieval and LLM-Based Debate Verification")</f>
        <v>A Fact-Checking Framework with Denoising Evidence Retrieval and LLM-Based Debate Verification</v>
      </c>
      <c r="C208" s="133" t="s">
        <v>575</v>
      </c>
      <c r="D208" s="153" t="str">
        <f t="shared" si="1"/>
        <v>A Fact-Checking Framework with Denoising Evidence Retrieval and LLM-Based Debate Verification
Jun Yang, Bai Yuhan, Dandan Song, Zhijing Wu and Yuhang Tian
</v>
      </c>
      <c r="E208" s="153" t="str">
        <f>IFERROR(__xludf.DUMMYFUNCTION("TEXTJOIN(CHAR(10), TRUE,FILTER('Research Papers'!$C:$C,'Research Papers'!$A:$A=C208))"),"Jun Yang, Bai Yuhan, Dandan Song, Zhijing Wu and Yuhang Tian")</f>
        <v>Jun Yang, Bai Yuhan, Dandan Song, Zhijing Wu and Yuhang Tian</v>
      </c>
      <c r="F208" s="133" t="s">
        <v>217</v>
      </c>
      <c r="G208" s="133" t="s">
        <v>328</v>
      </c>
      <c r="H208" s="153"/>
      <c r="I208" s="120"/>
      <c r="J208" s="120"/>
      <c r="K208" s="153"/>
      <c r="L208" s="153"/>
      <c r="M208" s="153"/>
      <c r="N208" s="153"/>
      <c r="O208" s="153"/>
      <c r="P208" s="153"/>
      <c r="Q208" s="153"/>
      <c r="R208" s="153"/>
      <c r="S208" s="153"/>
      <c r="T208" s="153"/>
      <c r="U208" s="153"/>
      <c r="V208" s="153"/>
      <c r="W208" s="153"/>
      <c r="X208" s="153"/>
      <c r="Y208" s="153"/>
      <c r="Z208" s="153"/>
      <c r="AA208" s="153"/>
      <c r="AB208" s="153"/>
      <c r="AC208" s="153"/>
    </row>
    <row r="209">
      <c r="A209" s="152" t="s">
        <v>326</v>
      </c>
      <c r="B209" s="133" t="str">
        <f>IFERROR(__xludf.DUMMYFUNCTION("FILTER ('Research Papers'!D:D,'Research Papers'!A:A=C209)"),"Conflict-Aware RAG: Multi-Stage Learning with Conflict Signals for Robust Retrieval-Augmented Generation")</f>
        <v>Conflict-Aware RAG: Multi-Stage Learning with Conflict Signals for Robust Retrieval-Augmented Generation</v>
      </c>
      <c r="C209" s="133" t="s">
        <v>576</v>
      </c>
      <c r="D209" s="153" t="str">
        <f t="shared" si="1"/>
        <v>Conflict-Aware RAG: Multi-Stage Learning with Conflict Signals for Robust Retrieval-Augmented Generation
Haiyan Wu, Chenchen Wang, Chaoqun Sun, Chengxiong Lu,
Zhiqiang Zhang and Yanhong Chen
</v>
      </c>
      <c r="E209" s="153" t="str">
        <f>IFERROR(__xludf.DUMMYFUNCTION("TEXTJOIN(CHAR(10), TRUE,FILTER('Research Papers'!$C:$C,'Research Papers'!$A:$A=C209))"),"Haiyan Wu, Chenchen Wang, Chaoqun Sun, Chengxiong Lu,
Zhiqiang Zhang and Yanhong Chen")</f>
        <v>Haiyan Wu, Chenchen Wang, Chaoqun Sun, Chengxiong Lu,
Zhiqiang Zhang and Yanhong Chen</v>
      </c>
      <c r="F209" s="133" t="s">
        <v>217</v>
      </c>
      <c r="G209" s="133" t="s">
        <v>328</v>
      </c>
      <c r="H209" s="153"/>
      <c r="I209" s="120"/>
      <c r="J209" s="120"/>
      <c r="K209" s="153"/>
      <c r="L209" s="153"/>
      <c r="M209" s="153"/>
      <c r="N209" s="153"/>
      <c r="O209" s="153"/>
      <c r="P209" s="153"/>
      <c r="Q209" s="153"/>
      <c r="R209" s="153"/>
      <c r="S209" s="153"/>
      <c r="T209" s="153"/>
      <c r="U209" s="153"/>
      <c r="V209" s="153"/>
      <c r="W209" s="153"/>
      <c r="X209" s="153"/>
      <c r="Y209" s="153"/>
      <c r="Z209" s="153"/>
      <c r="AA209" s="153"/>
      <c r="AB209" s="153"/>
      <c r="AC209" s="153"/>
    </row>
    <row r="210">
      <c r="A210" s="152" t="s">
        <v>326</v>
      </c>
      <c r="B210" s="133" t="str">
        <f>IFERROR(__xludf.DUMMYFUNCTION("FILTER ('Research Papers'!D:D,'Research Papers'!A:A=C210)"),"IRAG: Robust Multimodal Retrieval-Augmented Generation via Hazard Separation")</f>
        <v>IRAG: Robust Multimodal Retrieval-Augmented Generation via Hazard Separation</v>
      </c>
      <c r="C210" s="133" t="s">
        <v>577</v>
      </c>
      <c r="D210" s="153" t="str">
        <f t="shared" si="1"/>
        <v>IRAG: Robust Multimodal Retrieval-Augmented Generation via Hazard Separation
Ruikun Luo, Zixiao Feng, Lin Gu and Xiaoyu Xia
</v>
      </c>
      <c r="E210" s="153" t="str">
        <f>IFERROR(__xludf.DUMMYFUNCTION("TEXTJOIN(CHAR(10), TRUE,FILTER('Research Papers'!$C:$C,'Research Papers'!$A:$A=C210))"),"Ruikun Luo, Zixiao Feng, Lin Gu and Xiaoyu Xia")</f>
        <v>Ruikun Luo, Zixiao Feng, Lin Gu and Xiaoyu Xia</v>
      </c>
      <c r="F210" s="133" t="s">
        <v>217</v>
      </c>
      <c r="G210" s="133" t="s">
        <v>328</v>
      </c>
      <c r="H210" s="153"/>
      <c r="I210" s="120"/>
      <c r="J210" s="120"/>
      <c r="K210" s="153"/>
      <c r="L210" s="153"/>
      <c r="M210" s="153"/>
      <c r="N210" s="153"/>
      <c r="O210" s="153"/>
      <c r="P210" s="153"/>
      <c r="Q210" s="153"/>
      <c r="R210" s="153"/>
      <c r="S210" s="153"/>
      <c r="T210" s="153"/>
      <c r="U210" s="153"/>
      <c r="V210" s="153"/>
      <c r="W210" s="153"/>
      <c r="X210" s="153"/>
      <c r="Y210" s="153"/>
      <c r="Z210" s="153"/>
      <c r="AA210" s="153"/>
      <c r="AB210" s="153"/>
      <c r="AC210" s="153"/>
    </row>
    <row r="211">
      <c r="A211" s="152" t="s">
        <v>326</v>
      </c>
      <c r="B211" s="133" t="str">
        <f>IFERROR(__xludf.DUMMYFUNCTION("FILTER ('Research Papers'!D:D,'Research Papers'!A:A=C211)"),"Towards Open-World Retrieval-Augmented Generation on Knowledge Graph: A Multi-Agent Collaboration Framework")</f>
        <v>Towards Open-World Retrieval-Augmented Generation on Knowledge Graph: A Multi-Agent Collaboration Framework</v>
      </c>
      <c r="C211" s="133" t="s">
        <v>578</v>
      </c>
      <c r="D211" s="153" t="str">
        <f t="shared" si="1"/>
        <v>Towards Open-World Retrieval-Augmented Generation on Knowledge Graph: A Multi-Agent Collaboration Framework
Jiasheng Xu, Mingda Li, Yongqiang Tang, Peijie Wang and
Wensheng Zhang
</v>
      </c>
      <c r="E211" s="153" t="str">
        <f>IFERROR(__xludf.DUMMYFUNCTION("TEXTJOIN(CHAR(10), TRUE,FILTER('Research Papers'!$C:$C,'Research Papers'!$A:$A=C211))"),"Jiasheng Xu, Mingda Li, Yongqiang Tang, Peijie Wang and
Wensheng Zhang")</f>
        <v>Jiasheng Xu, Mingda Li, Yongqiang Tang, Peijie Wang and
Wensheng Zhang</v>
      </c>
      <c r="F211" s="133" t="s">
        <v>217</v>
      </c>
      <c r="G211" s="133" t="s">
        <v>328</v>
      </c>
      <c r="H211" s="153"/>
      <c r="I211" s="120"/>
      <c r="J211" s="120"/>
      <c r="K211" s="153"/>
      <c r="L211" s="153"/>
      <c r="M211" s="153"/>
      <c r="N211" s="153"/>
      <c r="O211" s="153"/>
      <c r="P211" s="153"/>
      <c r="Q211" s="153"/>
      <c r="R211" s="153"/>
      <c r="S211" s="153"/>
      <c r="T211" s="153"/>
      <c r="U211" s="153"/>
      <c r="V211" s="153"/>
      <c r="W211" s="153"/>
      <c r="X211" s="153"/>
      <c r="Y211" s="153"/>
      <c r="Z211" s="153"/>
      <c r="AA211" s="153"/>
      <c r="AB211" s="153"/>
      <c r="AC211" s="153"/>
    </row>
    <row r="212">
      <c r="A212" s="152" t="s">
        <v>326</v>
      </c>
      <c r="B212" s="133" t="str">
        <f>IFERROR(__xludf.DUMMYFUNCTION("FILTER ('Research Papers'!D:D,'Research Papers'!A:A=C212)"),"HL-CMR: Hypergraph Learning for Cross-Modal Retrieval")</f>
        <v>HL-CMR: Hypergraph Learning for Cross-Modal Retrieval</v>
      </c>
      <c r="C212" s="133" t="s">
        <v>579</v>
      </c>
      <c r="D212" s="153" t="str">
        <f t="shared" si="1"/>
        <v>HL-CMR: Hypergraph Learning for Cross-Modal Retrieval
Guohui Ding, Jing Li, Yimin Xu and Rui Zhou
</v>
      </c>
      <c r="E212" s="153" t="str">
        <f>IFERROR(__xludf.DUMMYFUNCTION("TEXTJOIN(CHAR(10), TRUE,FILTER('Research Papers'!$C:$C,'Research Papers'!$A:$A=C212))"),"Guohui Ding, Jing Li, Yimin Xu and Rui Zhou")</f>
        <v>Guohui Ding, Jing Li, Yimin Xu and Rui Zhou</v>
      </c>
      <c r="F212" s="133" t="s">
        <v>217</v>
      </c>
      <c r="G212" s="133" t="s">
        <v>328</v>
      </c>
      <c r="H212" s="153"/>
      <c r="I212" s="120"/>
      <c r="J212" s="120"/>
      <c r="K212" s="153"/>
      <c r="L212" s="153"/>
      <c r="M212" s="153"/>
      <c r="N212" s="153"/>
      <c r="O212" s="153"/>
      <c r="P212" s="153"/>
      <c r="Q212" s="153"/>
      <c r="R212" s="153"/>
      <c r="S212" s="153"/>
      <c r="T212" s="153"/>
      <c r="U212" s="153"/>
      <c r="V212" s="153"/>
      <c r="W212" s="153"/>
      <c r="X212" s="153"/>
      <c r="Y212" s="153"/>
      <c r="Z212" s="153"/>
      <c r="AA212" s="153"/>
      <c r="AB212" s="153"/>
      <c r="AC212" s="153"/>
    </row>
    <row r="213">
      <c r="A213" s="152" t="s">
        <v>326</v>
      </c>
      <c r="B213" s="133" t="str">
        <f>IFERROR(__xludf.DUMMYFUNCTION("FILTER ('Research Papers'!D:D,'Research Papers'!A:A=C213)"),"ToolBox-RL: Learning to Generalize Tool Use Across Massive Repositories")</f>
        <v>ToolBox-RL: Learning to Generalize Tool Use Across Massive Repositories</v>
      </c>
      <c r="C213" s="133" t="s">
        <v>580</v>
      </c>
      <c r="D213" s="153" t="str">
        <f t="shared" si="1"/>
        <v>ToolBox-RL: Learning to Generalize Tool Use Across Massive Repositories
Xinyan Shi, Renzhi Wang, Haodong Liu and Piji Li
</v>
      </c>
      <c r="E213" s="153" t="str">
        <f>IFERROR(__xludf.DUMMYFUNCTION("TEXTJOIN(CHAR(10), TRUE,FILTER('Research Papers'!$C:$C,'Research Papers'!$A:$A=C213))"),"Xinyan Shi, Renzhi Wang, Haodong Liu and Piji Li")</f>
        <v>Xinyan Shi, Renzhi Wang, Haodong Liu and Piji Li</v>
      </c>
      <c r="F213" s="133" t="s">
        <v>217</v>
      </c>
      <c r="G213" s="133" t="s">
        <v>329</v>
      </c>
      <c r="H213" s="153"/>
      <c r="I213" s="120"/>
      <c r="J213" s="120"/>
      <c r="K213" s="153"/>
      <c r="L213" s="153"/>
      <c r="M213" s="153"/>
      <c r="N213" s="153"/>
      <c r="O213" s="153"/>
      <c r="P213" s="153"/>
      <c r="Q213" s="153"/>
      <c r="R213" s="153"/>
      <c r="S213" s="153"/>
      <c r="T213" s="153"/>
      <c r="U213" s="153"/>
      <c r="V213" s="153"/>
      <c r="W213" s="153"/>
      <c r="X213" s="153"/>
      <c r="Y213" s="153"/>
      <c r="Z213" s="153"/>
      <c r="AA213" s="153"/>
      <c r="AB213" s="153"/>
      <c r="AC213" s="153"/>
    </row>
    <row r="214">
      <c r="A214" s="152" t="s">
        <v>326</v>
      </c>
      <c r="B214" s="133" t="str">
        <f>IFERROR(__xludf.DUMMYFUNCTION("FILTER ('Research Papers'!D:D,'Research Papers'!A:A=C214)"),"Facilitating Generative Retrieval with Logical Denoising for Interpretable Conversational Search")</f>
        <v>Facilitating Generative Retrieval with Logical Denoising for Interpretable Conversational Search</v>
      </c>
      <c r="C214" s="133" t="s">
        <v>581</v>
      </c>
      <c r="D214" s="153" t="str">
        <f t="shared" si="1"/>
        <v>Facilitating Generative Retrieval with Logical Denoising for Interpretable Conversational Search
Qichuan Liu, Chentao Zhang, Yuxuan Hu, Chenfeng Zheng,
Qinggang Zhang and Zhihong Zhang
</v>
      </c>
      <c r="E214" s="153" t="str">
        <f>IFERROR(__xludf.DUMMYFUNCTION("TEXTJOIN(CHAR(10), TRUE,FILTER('Research Papers'!$C:$C,'Research Papers'!$A:$A=C214))"),"Qichuan Liu, Chentao Zhang, Yuxuan Hu, Chenfeng Zheng,
Qinggang Zhang and Zhihong Zhang")</f>
        <v>Qichuan Liu, Chentao Zhang, Yuxuan Hu, Chenfeng Zheng,
Qinggang Zhang and Zhihong Zhang</v>
      </c>
      <c r="F214" s="133" t="s">
        <v>217</v>
      </c>
      <c r="G214" s="133" t="s">
        <v>329</v>
      </c>
      <c r="H214" s="153"/>
      <c r="I214" s="120"/>
      <c r="J214" s="120"/>
      <c r="K214" s="153"/>
      <c r="L214" s="153"/>
      <c r="M214" s="153"/>
      <c r="N214" s="153"/>
      <c r="O214" s="153"/>
      <c r="P214" s="153"/>
      <c r="Q214" s="153"/>
      <c r="R214" s="153"/>
      <c r="S214" s="153"/>
      <c r="T214" s="153"/>
      <c r="U214" s="153"/>
      <c r="V214" s="153"/>
      <c r="W214" s="153"/>
      <c r="X214" s="153"/>
      <c r="Y214" s="153"/>
      <c r="Z214" s="153"/>
      <c r="AA214" s="153"/>
      <c r="AB214" s="153"/>
      <c r="AC214" s="153"/>
    </row>
    <row r="215">
      <c r="A215" s="152" t="s">
        <v>326</v>
      </c>
      <c r="B215" s="133" t="str">
        <f>IFERROR(__xludf.DUMMYFUNCTION("FILTER ('Research Papers'!D:D,'Research Papers'!A:A=C215)"),"Beyond More Context: Retrieval Diversity Boosts Multi-Turn Intent Understanding")</f>
        <v>Beyond More Context: Retrieval Diversity Boosts Multi-Turn Intent Understanding</v>
      </c>
      <c r="C215" s="133" t="s">
        <v>582</v>
      </c>
      <c r="D215" s="153" t="str">
        <f t="shared" si="1"/>
        <v>Beyond More Context: Retrieval Diversity Boosts Multi-Turn Intent Understanding
Zhiming Lin, Canran Xiao and Kai Zhao
</v>
      </c>
      <c r="E215" s="153" t="str">
        <f>IFERROR(__xludf.DUMMYFUNCTION("TEXTJOIN(CHAR(10), TRUE,FILTER('Research Papers'!$C:$C,'Research Papers'!$A:$A=C215))"),"Zhiming Lin, Canran Xiao and Kai Zhao")</f>
        <v>Zhiming Lin, Canran Xiao and Kai Zhao</v>
      </c>
      <c r="F215" s="133" t="s">
        <v>217</v>
      </c>
      <c r="G215" s="133" t="s">
        <v>329</v>
      </c>
      <c r="H215" s="153"/>
      <c r="I215" s="120"/>
      <c r="J215" s="120"/>
      <c r="K215" s="153"/>
      <c r="L215" s="153"/>
      <c r="M215" s="153"/>
      <c r="N215" s="153"/>
      <c r="O215" s="153"/>
      <c r="P215" s="153"/>
      <c r="Q215" s="153"/>
      <c r="R215" s="153"/>
      <c r="S215" s="153"/>
      <c r="T215" s="153"/>
      <c r="U215" s="153"/>
      <c r="V215" s="153"/>
      <c r="W215" s="153"/>
      <c r="X215" s="153"/>
      <c r="Y215" s="153"/>
      <c r="Z215" s="153"/>
      <c r="AA215" s="153"/>
      <c r="AB215" s="153"/>
      <c r="AC215" s="153"/>
    </row>
    <row r="216">
      <c r="A216" s="152" t="s">
        <v>326</v>
      </c>
      <c r="B216" s="133" t="str">
        <f>IFERROR(__xludf.DUMMYFUNCTION("FILTER ('Research Papers'!D:D,'Research Papers'!A:A=C216)"),"PaperAsk: A Benchmark for Reliability Evaluation of LLMs in Paper Search and Reading")</f>
        <v>PaperAsk: A Benchmark for Reliability Evaluation of LLMs in Paper Search and Reading</v>
      </c>
      <c r="C216" s="133" t="s">
        <v>583</v>
      </c>
      <c r="D216" s="153" t="str">
        <f t="shared" si="1"/>
        <v>PaperAsk: A Benchmark for Reliability Evaluation of LLMs in Paper Search and Reading
Yutao Wu, Xiao Liu, Yunhao Feng, Jiale Ding and Xingjun Ma
</v>
      </c>
      <c r="E216" s="153" t="str">
        <f>IFERROR(__xludf.DUMMYFUNCTION("TEXTJOIN(CHAR(10), TRUE,FILTER('Research Papers'!$C:$C,'Research Papers'!$A:$A=C216))"),"Yutao Wu, Xiao Liu, Yunhao Feng, Jiale Ding and Xingjun Ma")</f>
        <v>Yutao Wu, Xiao Liu, Yunhao Feng, Jiale Ding and Xingjun Ma</v>
      </c>
      <c r="F216" s="133" t="s">
        <v>217</v>
      </c>
      <c r="G216" s="133" t="s">
        <v>329</v>
      </c>
      <c r="H216" s="153"/>
      <c r="I216" s="120"/>
      <c r="J216" s="120"/>
      <c r="K216" s="153"/>
      <c r="L216" s="153"/>
      <c r="M216" s="153"/>
      <c r="N216" s="153"/>
      <c r="O216" s="153"/>
      <c r="P216" s="153"/>
      <c r="Q216" s="153"/>
      <c r="R216" s="153"/>
      <c r="S216" s="153"/>
      <c r="T216" s="153"/>
      <c r="U216" s="153"/>
      <c r="V216" s="153"/>
      <c r="W216" s="153"/>
      <c r="X216" s="153"/>
      <c r="Y216" s="153"/>
      <c r="Z216" s="153"/>
      <c r="AA216" s="153"/>
      <c r="AB216" s="153"/>
      <c r="AC216" s="153"/>
    </row>
    <row r="217">
      <c r="A217" s="152" t="s">
        <v>326</v>
      </c>
      <c r="B217" s="133" t="str">
        <f>IFERROR(__xludf.DUMMYFUNCTION("FILTER ('Research Papers'!D:D,'Research Papers'!A:A=C217)"),"SeaRAG: Reducing Hallucination in Retrieval-Augmented Generation via Statement-Entity Adaptive Ranking")</f>
        <v>SeaRAG: Reducing Hallucination in Retrieval-Augmented Generation via Statement-Entity Adaptive Ranking</v>
      </c>
      <c r="C217" s="133" t="s">
        <v>584</v>
      </c>
      <c r="D217" s="153" t="str">
        <f t="shared" si="1"/>
        <v>SeaRAG: Reducing Hallucination in Retrieval-Augmented Generation via Statement-Entity Adaptive Ranking
Xiaosong Yuan, Xiaofeng Zhang, Di Zhao, Yijia Zhang and
Ying Wang
</v>
      </c>
      <c r="E217" s="153" t="str">
        <f>IFERROR(__xludf.DUMMYFUNCTION("TEXTJOIN(CHAR(10), TRUE,FILTER('Research Papers'!$C:$C,'Research Papers'!$A:$A=C217))"),"Xiaosong Yuan, Xiaofeng Zhang, Di Zhao, Yijia Zhang and
Ying Wang")</f>
        <v>Xiaosong Yuan, Xiaofeng Zhang, Di Zhao, Yijia Zhang and
Ying Wang</v>
      </c>
      <c r="F217" s="133" t="s">
        <v>217</v>
      </c>
      <c r="G217" s="133" t="s">
        <v>329</v>
      </c>
      <c r="H217" s="153"/>
      <c r="I217" s="120"/>
      <c r="J217" s="120"/>
      <c r="K217" s="153"/>
      <c r="L217" s="153"/>
      <c r="M217" s="153"/>
      <c r="N217" s="153"/>
      <c r="O217" s="153"/>
      <c r="P217" s="153"/>
      <c r="Q217" s="153"/>
      <c r="R217" s="153"/>
      <c r="S217" s="153"/>
      <c r="T217" s="153"/>
      <c r="U217" s="153"/>
      <c r="V217" s="153"/>
      <c r="W217" s="153"/>
      <c r="X217" s="153"/>
      <c r="Y217" s="153"/>
      <c r="Z217" s="153"/>
      <c r="AA217" s="153"/>
      <c r="AB217" s="153"/>
      <c r="AC217" s="153"/>
    </row>
    <row r="218">
      <c r="A218" s="152" t="s">
        <v>326</v>
      </c>
      <c r="B218" s="133" t="str">
        <f>IFERROR(__xludf.DUMMYFUNCTION("FILTER ('Research Papers'!D:D,'Research Papers'!A:A=C218)"),"Experience is the Best Teacher: Augmenting LLM Reasoning with Knowledge Learned from the Past")</f>
        <v>Experience is the Best Teacher: Augmenting LLM Reasoning with Knowledge Learned from the Past</v>
      </c>
      <c r="C218" s="133" t="s">
        <v>585</v>
      </c>
      <c r="D218" s="153" t="str">
        <f t="shared" si="1"/>
        <v>Experience is the Best Teacher: Augmenting LLM Reasoning with Knowledge Learned from the Past
Mingjun Zhou, Weixin Zeng and Xiang Zhao
</v>
      </c>
      <c r="E218" s="153" t="str">
        <f>IFERROR(__xludf.DUMMYFUNCTION("TEXTJOIN(CHAR(10), TRUE,FILTER('Research Papers'!$C:$C,'Research Papers'!$A:$A=C218))"),"Mingjun Zhou, Weixin Zeng and Xiang Zhao")</f>
        <v>Mingjun Zhou, Weixin Zeng and Xiang Zhao</v>
      </c>
      <c r="F218" s="133" t="s">
        <v>217</v>
      </c>
      <c r="G218" s="133" t="s">
        <v>329</v>
      </c>
      <c r="H218" s="153"/>
      <c r="I218" s="120"/>
      <c r="J218" s="120"/>
      <c r="K218" s="153"/>
      <c r="L218" s="153"/>
      <c r="M218" s="153"/>
      <c r="N218" s="153"/>
      <c r="O218" s="153"/>
      <c r="P218" s="153"/>
      <c r="Q218" s="153"/>
      <c r="R218" s="153"/>
      <c r="S218" s="153"/>
      <c r="T218" s="153"/>
      <c r="U218" s="153"/>
      <c r="V218" s="153"/>
      <c r="W218" s="153"/>
      <c r="X218" s="153"/>
      <c r="Y218" s="153"/>
      <c r="Z218" s="153"/>
      <c r="AA218" s="153"/>
      <c r="AB218" s="153"/>
      <c r="AC218" s="153"/>
    </row>
    <row r="219">
      <c r="A219" s="152" t="s">
        <v>326</v>
      </c>
      <c r="B219" s="133" t="str">
        <f>IFERROR(__xludf.DUMMYFUNCTION("FILTER ('Research Papers'!D:D,'Research Papers'!A:A=C219)"),"Rethinking Soft Compression in Retrieval-Augmented Generation: A Query-Conditioned Selector Perspective")</f>
        <v>Rethinking Soft Compression in Retrieval-Augmented Generation: A Query-Conditioned Selector Perspective</v>
      </c>
      <c r="C219" s="133" t="s">
        <v>586</v>
      </c>
      <c r="D219" s="153" t="str">
        <f t="shared" si="1"/>
        <v>Rethinking Soft Compression in Retrieval-Augmented Generation: A Query-Conditioned Selector Perspective
Yunhao Liu, Zian Jia, Xinyu Gao, Kanjun Xu and Yun Xiong
</v>
      </c>
      <c r="E219" s="153" t="str">
        <f>IFERROR(__xludf.DUMMYFUNCTION("TEXTJOIN(CHAR(10), TRUE,FILTER('Research Papers'!$C:$C,'Research Papers'!$A:$A=C219))"),"Yunhao Liu, Zian Jia, Xinyu Gao, Kanjun Xu and Yun Xiong")</f>
        <v>Yunhao Liu, Zian Jia, Xinyu Gao, Kanjun Xu and Yun Xiong</v>
      </c>
      <c r="F219" s="133" t="s">
        <v>217</v>
      </c>
      <c r="G219" s="133" t="s">
        <v>182</v>
      </c>
      <c r="H219" s="153"/>
      <c r="I219" s="120"/>
      <c r="J219" s="120"/>
      <c r="K219" s="153"/>
      <c r="L219" s="153"/>
      <c r="M219" s="153"/>
      <c r="N219" s="153"/>
      <c r="O219" s="153"/>
      <c r="P219" s="153"/>
      <c r="Q219" s="153"/>
      <c r="R219" s="153"/>
      <c r="S219" s="153"/>
      <c r="T219" s="153"/>
      <c r="U219" s="153"/>
      <c r="V219" s="153"/>
      <c r="W219" s="153"/>
      <c r="X219" s="153"/>
      <c r="Y219" s="153"/>
      <c r="Z219" s="153"/>
      <c r="AA219" s="153"/>
      <c r="AB219" s="153"/>
      <c r="AC219" s="153"/>
    </row>
    <row r="220">
      <c r="A220" s="152" t="s">
        <v>326</v>
      </c>
      <c r="B220" s="133" t="str">
        <f>IFERROR(__xludf.DUMMYFUNCTION("FILTER ('Research Papers'!D:D,'Research Papers'!A:A=C220)"),"SketchMind: Understanding Abstract Sketches with MLLMs for Fine-Grained Sketch-Based Image Retrieval")</f>
        <v>SketchMind: Understanding Abstract Sketches with MLLMs for Fine-Grained Sketch-Based Image Retrieval</v>
      </c>
      <c r="C220" s="133" t="s">
        <v>587</v>
      </c>
      <c r="D220" s="153" t="str">
        <f t="shared" si="1"/>
        <v>SketchMind: Understanding Abstract Sketches with MLLMs for Fine-Grained Sketch-Based Image Retrieval
Li Changxing, Donglin Zhang, Zhikai Hu, Xiao-Jun Wu and
Josef Kittler
</v>
      </c>
      <c r="E220" s="153" t="str">
        <f>IFERROR(__xludf.DUMMYFUNCTION("TEXTJOIN(CHAR(10), TRUE,FILTER('Research Papers'!$C:$C,'Research Papers'!$A:$A=C220))"),"Li Changxing, Donglin Zhang, Zhikai Hu, Xiao-Jun Wu and
Josef Kittler")</f>
        <v>Li Changxing, Donglin Zhang, Zhikai Hu, Xiao-Jun Wu and
Josef Kittler</v>
      </c>
      <c r="F220" s="133" t="s">
        <v>217</v>
      </c>
      <c r="G220" s="133" t="s">
        <v>182</v>
      </c>
      <c r="H220" s="153"/>
      <c r="I220" s="120"/>
      <c r="J220" s="120"/>
      <c r="K220" s="153"/>
      <c r="L220" s="153"/>
      <c r="M220" s="153"/>
      <c r="N220" s="153"/>
      <c r="O220" s="153"/>
      <c r="P220" s="153"/>
      <c r="Q220" s="153"/>
      <c r="R220" s="153"/>
      <c r="S220" s="153"/>
      <c r="T220" s="153"/>
      <c r="U220" s="153"/>
      <c r="V220" s="153"/>
      <c r="W220" s="153"/>
      <c r="X220" s="153"/>
      <c r="Y220" s="153"/>
      <c r="Z220" s="153"/>
      <c r="AA220" s="153"/>
      <c r="AB220" s="153"/>
      <c r="AC220" s="153"/>
    </row>
    <row r="221">
      <c r="A221" s="152" t="s">
        <v>326</v>
      </c>
      <c r="B221" s="133" t="str">
        <f>IFERROR(__xludf.DUMMYFUNCTION("FILTER ('Research Papers'!D:D,'Research Papers'!A:A=C221)"),"A Unified Framework for Context-Aware and Relation-Aware Graph Retrieval-Augmented Generation")</f>
        <v>A Unified Framework for Context-Aware and Relation-Aware Graph Retrieval-Augmented Generation</v>
      </c>
      <c r="C221" s="133" t="s">
        <v>588</v>
      </c>
      <c r="D221" s="153" t="str">
        <f t="shared" si="1"/>
        <v>A Unified Framework for Context-Aware and Relation-Aware Graph Retrieval-Augmented Generation
Haoyang Zhong, Yifei Sun, Antong Zhang, Chunping Wang, Lei
Chen and Yang Yang
</v>
      </c>
      <c r="E221" s="153" t="str">
        <f>IFERROR(__xludf.DUMMYFUNCTION("TEXTJOIN(CHAR(10), TRUE,FILTER('Research Papers'!$C:$C,'Research Papers'!$A:$A=C221))"),"Haoyang Zhong, Yifei Sun, Antong Zhang, Chunping Wang, Lei
Chen and Yang Yang")</f>
        <v>Haoyang Zhong, Yifei Sun, Antong Zhang, Chunping Wang, Lei
Chen and Yang Yang</v>
      </c>
      <c r="F221" s="133" t="s">
        <v>217</v>
      </c>
      <c r="G221" s="133" t="s">
        <v>182</v>
      </c>
      <c r="H221" s="153"/>
      <c r="I221" s="120"/>
      <c r="J221" s="120"/>
      <c r="K221" s="153"/>
      <c r="L221" s="153"/>
      <c r="M221" s="153"/>
      <c r="N221" s="153"/>
      <c r="O221" s="153"/>
      <c r="P221" s="153"/>
      <c r="Q221" s="153"/>
      <c r="R221" s="153"/>
      <c r="S221" s="153"/>
      <c r="T221" s="153"/>
      <c r="U221" s="153"/>
      <c r="V221" s="153"/>
      <c r="W221" s="153"/>
      <c r="X221" s="153"/>
      <c r="Y221" s="153"/>
      <c r="Z221" s="153"/>
      <c r="AA221" s="153"/>
      <c r="AB221" s="153"/>
      <c r="AC221" s="153"/>
    </row>
    <row r="222">
      <c r="A222" s="152" t="s">
        <v>326</v>
      </c>
      <c r="B222" s="133" t="str">
        <f>IFERROR(__xludf.DUMMYFUNCTION("FILTER ('Research Papers'!D:D,'Research Papers'!A:A=C222)"),"AgenticShop: Benchmarking Agentic Product Curation for Personalized Web Shopping")</f>
        <v>AgenticShop: Benchmarking Agentic Product Curation for Personalized Web Shopping</v>
      </c>
      <c r="C222" s="133" t="s">
        <v>589</v>
      </c>
      <c r="D222" s="153" t="str">
        <f t="shared" si="1"/>
        <v>AgenticShop: Benchmarking Agentic Product Curation for Personalized Web Shopping
Sunghwan Kim, Ryang Heo, Yongsik Seo, Jinyoung Yeo and
Dongha Lee
</v>
      </c>
      <c r="E222" s="153" t="str">
        <f>IFERROR(__xludf.DUMMYFUNCTION("TEXTJOIN(CHAR(10), TRUE,FILTER('Research Papers'!$C:$C,'Research Papers'!$A:$A=C222))"),"Sunghwan Kim, Ryang Heo, Yongsik Seo, Jinyoung Yeo and
Dongha Lee")</f>
        <v>Sunghwan Kim, Ryang Heo, Yongsik Seo, Jinyoung Yeo and
Dongha Lee</v>
      </c>
      <c r="F222" s="133" t="s">
        <v>217</v>
      </c>
      <c r="G222" s="133" t="s">
        <v>182</v>
      </c>
      <c r="H222" s="153"/>
      <c r="I222" s="120"/>
      <c r="J222" s="120"/>
      <c r="K222" s="153"/>
      <c r="L222" s="153"/>
      <c r="M222" s="153"/>
      <c r="N222" s="153"/>
      <c r="O222" s="153"/>
      <c r="P222" s="153"/>
      <c r="Q222" s="153"/>
      <c r="R222" s="153"/>
      <c r="S222" s="153"/>
      <c r="T222" s="153"/>
      <c r="U222" s="153"/>
      <c r="V222" s="153"/>
      <c r="W222" s="153"/>
      <c r="X222" s="153"/>
      <c r="Y222" s="153"/>
      <c r="Z222" s="153"/>
      <c r="AA222" s="153"/>
      <c r="AB222" s="153"/>
      <c r="AC222" s="153"/>
    </row>
    <row r="223">
      <c r="A223" s="152" t="s">
        <v>326</v>
      </c>
      <c r="B223" s="133" t="str">
        <f>IFERROR(__xludf.DUMMYFUNCTION("FILTER ('Research Papers'!D:D,'Research Papers'!A:A=C223)"),"CFVBench: A Comprehensive Video Benchmark for Fine-grained Multimodal Retrieval-Augmented Generation")</f>
        <v>CFVBench: A Comprehensive Video Benchmark for Fine-grained Multimodal Retrieval-Augmented Generation</v>
      </c>
      <c r="C223" s="133" t="s">
        <v>590</v>
      </c>
      <c r="D223" s="153" t="str">
        <f t="shared" si="1"/>
        <v>CFVBench: A Comprehensive Video Benchmark for Fine-grained Multimodal Retrieval-Augmented Generation
Kaiwen Wei, Xiao Liu, Jie Zhang, Zijian Wang, Ruida Liu,
Yuming Yang, Xin Xiao, Xiao Sun, Haoyang Zeng, Changzai
Pan, Yidan Zhang, Jiang Zhong, Peijin Wang and Yingchao Feng
</v>
      </c>
      <c r="E223" s="153" t="str">
        <f>IFERROR(__xludf.DUMMYFUNCTION("TEXTJOIN(CHAR(10), TRUE,FILTER('Research Papers'!$C:$C,'Research Papers'!$A:$A=C223))"),"Kaiwen Wei, Xiao Liu, Jie Zhang, Zijian Wang, Ruida Liu,
Yuming Yang, Xin Xiao, Xiao Sun, Haoyang Zeng, Changzai
Pan, Yidan Zhang, Jiang Zhong, Peijin Wang and Yingchao Feng")</f>
        <v>Kaiwen Wei, Xiao Liu, Jie Zhang, Zijian Wang, Ruida Liu,
Yuming Yang, Xin Xiao, Xiao Sun, Haoyang Zeng, Changzai
Pan, Yidan Zhang, Jiang Zhong, Peijin Wang and Yingchao Feng</v>
      </c>
      <c r="F223" s="133" t="s">
        <v>217</v>
      </c>
      <c r="G223" s="133" t="s">
        <v>182</v>
      </c>
      <c r="H223" s="153"/>
      <c r="I223" s="120"/>
      <c r="J223" s="120"/>
      <c r="K223" s="153"/>
      <c r="L223" s="153"/>
      <c r="M223" s="153"/>
      <c r="N223" s="153"/>
      <c r="O223" s="153"/>
      <c r="P223" s="153"/>
      <c r="Q223" s="153"/>
      <c r="R223" s="153"/>
      <c r="S223" s="153"/>
      <c r="T223" s="153"/>
      <c r="U223" s="153"/>
      <c r="V223" s="153"/>
      <c r="W223" s="153"/>
      <c r="X223" s="153"/>
      <c r="Y223" s="153"/>
      <c r="Z223" s="153"/>
      <c r="AA223" s="153"/>
      <c r="AB223" s="153"/>
      <c r="AC223" s="153"/>
    </row>
    <row r="224">
      <c r="A224" s="152" t="s">
        <v>326</v>
      </c>
      <c r="B224" s="133" t="str">
        <f>IFERROR(__xludf.DUMMYFUNCTION("FILTER ('Research Papers'!D:D,'Research Papers'!A:A=C224)"),"TRACE: Trajectory-Aware Comprehensive Evaluation for Deep Research Agents")</f>
        <v>TRACE: Trajectory-Aware Comprehensive Evaluation for Deep Research Agents</v>
      </c>
      <c r="C224" s="133" t="s">
        <v>591</v>
      </c>
      <c r="D224" s="153" t="str">
        <f t="shared" si="1"/>
        <v>TRACE: Trajectory-Aware Comprehensive Evaluation for Deep Research Agents
Yanyu Chen, Jiyue Jiang, Jiahong Liu, Yifei Zhang, Xiao Guo
and Irwin King
</v>
      </c>
      <c r="E224" s="153" t="str">
        <f>IFERROR(__xludf.DUMMYFUNCTION("TEXTJOIN(CHAR(10), TRUE,FILTER('Research Papers'!$C:$C,'Research Papers'!$A:$A=C224))"),"Yanyu Chen, Jiyue Jiang, Jiahong Liu, Yifei Zhang, Xiao Guo
and Irwin King")</f>
        <v>Yanyu Chen, Jiyue Jiang, Jiahong Liu, Yifei Zhang, Xiao Guo
and Irwin King</v>
      </c>
      <c r="F224" s="133" t="s">
        <v>217</v>
      </c>
      <c r="G224" s="133" t="s">
        <v>182</v>
      </c>
      <c r="H224" s="153"/>
      <c r="I224" s="120"/>
      <c r="J224" s="120"/>
      <c r="K224" s="153"/>
      <c r="L224" s="153"/>
      <c r="M224" s="153"/>
      <c r="N224" s="153"/>
      <c r="O224" s="153"/>
      <c r="P224" s="153"/>
      <c r="Q224" s="153"/>
      <c r="R224" s="153"/>
      <c r="S224" s="153"/>
      <c r="T224" s="153"/>
      <c r="U224" s="153"/>
      <c r="V224" s="153"/>
      <c r="W224" s="153"/>
      <c r="X224" s="153"/>
      <c r="Y224" s="153"/>
      <c r="Z224" s="153"/>
      <c r="AA224" s="153"/>
      <c r="AB224" s="153"/>
      <c r="AC224" s="153"/>
    </row>
    <row r="225">
      <c r="A225" s="153"/>
      <c r="B225" s="153"/>
      <c r="C225" s="153"/>
      <c r="D225" s="153" t="str">
        <f t="shared" si="1"/>
        <v>
</v>
      </c>
      <c r="E225" s="153" t="str">
        <f>IFERROR(__xludf.DUMMYFUNCTION("TEXTJOIN(CHAR(10), TRUE,FILTER('Research Papers'!$C:$C,'Research Papers'!$A:$A=C225))"),"")</f>
        <v/>
      </c>
      <c r="F225" s="153"/>
      <c r="G225" s="153"/>
      <c r="H225" s="153"/>
      <c r="I225" s="120"/>
      <c r="J225" s="120"/>
      <c r="K225" s="153"/>
      <c r="L225" s="153"/>
      <c r="M225" s="153"/>
      <c r="N225" s="153"/>
      <c r="O225" s="153"/>
      <c r="P225" s="153"/>
      <c r="Q225" s="153"/>
      <c r="R225" s="153"/>
      <c r="S225" s="153"/>
      <c r="T225" s="153"/>
      <c r="U225" s="153"/>
      <c r="V225" s="153"/>
      <c r="W225" s="153"/>
      <c r="X225" s="153"/>
      <c r="Y225" s="153"/>
      <c r="Z225" s="153"/>
      <c r="AA225" s="153"/>
      <c r="AB225" s="153"/>
      <c r="AC225" s="153"/>
    </row>
    <row r="226">
      <c r="A226" s="152" t="s">
        <v>330</v>
      </c>
      <c r="B226" s="133" t="str">
        <f>IFERROR(__xludf.DUMMYFUNCTION("FILTER ('Research Papers'!D:D,'Research Papers'!A:A=C226)"),"Multimodal Graph Conditioned Diffusion Model for Video Captioning")</f>
        <v>Multimodal Graph Conditioned Diffusion Model for Video Captioning</v>
      </c>
      <c r="C226" s="133" t="s">
        <v>592</v>
      </c>
      <c r="D226" s="153" t="str">
        <f t="shared" si="1"/>
        <v>Multimodal Graph Conditioned Diffusion Model for Video Captioning
Benhui Zhang, Junyu Gao and Yuan Yuan
</v>
      </c>
      <c r="E226" s="153" t="str">
        <f>IFERROR(__xludf.DUMMYFUNCTION("TEXTJOIN(CHAR(10), TRUE,FILTER('Research Papers'!$C:$C,'Research Papers'!$A:$A=C226))"),"Benhui Zhang, Junyu Gao and Yuan Yuan")</f>
        <v>Benhui Zhang, Junyu Gao and Yuan Yuan</v>
      </c>
      <c r="F226" s="133" t="s">
        <v>166</v>
      </c>
      <c r="G226" s="153"/>
      <c r="H226" s="153"/>
      <c r="I226" s="120"/>
      <c r="J226" s="120"/>
      <c r="K226" s="153"/>
      <c r="L226" s="153"/>
      <c r="M226" s="153"/>
      <c r="N226" s="153"/>
      <c r="O226" s="153"/>
      <c r="P226" s="153"/>
      <c r="Q226" s="153"/>
      <c r="R226" s="153"/>
      <c r="S226" s="153"/>
      <c r="T226" s="153"/>
      <c r="U226" s="153"/>
      <c r="V226" s="153"/>
      <c r="W226" s="153"/>
      <c r="X226" s="153"/>
      <c r="Y226" s="153"/>
      <c r="Z226" s="153"/>
      <c r="AA226" s="153"/>
      <c r="AB226" s="153"/>
      <c r="AC226" s="153"/>
    </row>
    <row r="227">
      <c r="A227" s="152" t="s">
        <v>330</v>
      </c>
      <c r="B227" s="133" t="str">
        <f>IFERROR(__xludf.DUMMYFUNCTION("FILTER ('Research Papers'!D:D,'Research Papers'!A:A=C227)"),"MMTableBench: A Multi-level Multimodal Benchmark for Reasoning and Layout Complexity in Table QA")</f>
        <v>MMTableBench: A Multi-level Multimodal Benchmark for Reasoning and Layout Complexity in Table QA</v>
      </c>
      <c r="C227" s="133" t="s">
        <v>593</v>
      </c>
      <c r="D227" s="153" t="str">
        <f t="shared" si="1"/>
        <v>MMTableBench: A Multi-level Multimodal Benchmark for Reasoning and Layout Complexity in Table QA
Xianjie Wu, Xiaohang Xu, Tingyu Jiang, Jian Yang, Di Liang,
Xianfu Cheng, Zhenhe Wu, Linzheng Chai, Wei Zhang, Jiaheng
Liu, Ge Zhang, Bob Simons, Tongliang Li and Zhoujun Li
</v>
      </c>
      <c r="E227" s="153" t="str">
        <f>IFERROR(__xludf.DUMMYFUNCTION("TEXTJOIN(CHAR(10), TRUE,FILTER('Research Papers'!$C:$C,'Research Papers'!$A:$A=C227))"),"Xianjie Wu, Xiaohang Xu, Tingyu Jiang, Jian Yang, Di Liang,
Xianfu Cheng, Zhenhe Wu, Linzheng Chai, Wei Zhang, Jiaheng
Liu, Ge Zhang, Bob Simons, Tongliang Li and Zhoujun Li")</f>
        <v>Xianjie Wu, Xiaohang Xu, Tingyu Jiang, Jian Yang, Di Liang,
Xianfu Cheng, Zhenhe Wu, Linzheng Chai, Wei Zhang, Jiaheng
Liu, Ge Zhang, Bob Simons, Tongliang Li and Zhoujun Li</v>
      </c>
      <c r="F227" s="133" t="s">
        <v>166</v>
      </c>
      <c r="G227" s="153"/>
      <c r="H227" s="153"/>
      <c r="I227" s="120"/>
      <c r="J227" s="120"/>
      <c r="K227" s="153"/>
      <c r="L227" s="153"/>
      <c r="M227" s="153"/>
      <c r="N227" s="153"/>
      <c r="O227" s="153"/>
      <c r="P227" s="153"/>
      <c r="Q227" s="153"/>
      <c r="R227" s="153"/>
      <c r="S227" s="153"/>
      <c r="T227" s="153"/>
      <c r="U227" s="153"/>
      <c r="V227" s="153"/>
      <c r="W227" s="153"/>
      <c r="X227" s="153"/>
      <c r="Y227" s="153"/>
      <c r="Z227" s="153"/>
      <c r="AA227" s="153"/>
      <c r="AB227" s="153"/>
      <c r="AC227" s="153"/>
    </row>
    <row r="228">
      <c r="A228" s="152" t="s">
        <v>330</v>
      </c>
      <c r="B228" s="133" t="str">
        <f>IFERROR(__xludf.DUMMYFUNCTION("FILTER ('Research Papers'!D:D,'Research Papers'!A:A=C228)"),"Adaptive Task Balancing for Visual Instruction Tuning via Inter-Task Contribution and Intra-Task Difficulty")</f>
        <v>Adaptive Task Balancing for Visual Instruction Tuning via Inter-Task Contribution and Intra-Task Difficulty</v>
      </c>
      <c r="C228" s="133" t="s">
        <v>594</v>
      </c>
      <c r="D228" s="153" t="str">
        <f t="shared" si="1"/>
        <v>Adaptive Task Balancing for Visual Instruction Tuning via Inter-Task Contribution and Intra-Task Difficulty
Yanqi Dai, Yong Wang, Zebin You, Dong Jing, Xiangxiang Chu
and Zhiwu Lu
</v>
      </c>
      <c r="E228" s="153" t="str">
        <f>IFERROR(__xludf.DUMMYFUNCTION("TEXTJOIN(CHAR(10), TRUE,FILTER('Research Papers'!$C:$C,'Research Papers'!$A:$A=C228))"),"Yanqi Dai, Yong Wang, Zebin You, Dong Jing, Xiangxiang Chu
and Zhiwu Lu")</f>
        <v>Yanqi Dai, Yong Wang, Zebin You, Dong Jing, Xiangxiang Chu
and Zhiwu Lu</v>
      </c>
      <c r="F228" s="133" t="s">
        <v>166</v>
      </c>
      <c r="G228" s="153"/>
      <c r="H228" s="153"/>
      <c r="I228" s="120"/>
      <c r="J228" s="120"/>
      <c r="K228" s="153"/>
      <c r="L228" s="153"/>
      <c r="M228" s="153"/>
      <c r="N228" s="153"/>
      <c r="O228" s="153"/>
      <c r="P228" s="153"/>
      <c r="Q228" s="153"/>
      <c r="R228" s="153"/>
      <c r="S228" s="153"/>
      <c r="T228" s="153"/>
      <c r="U228" s="153"/>
      <c r="V228" s="153"/>
      <c r="W228" s="153"/>
      <c r="X228" s="153"/>
      <c r="Y228" s="153"/>
      <c r="Z228" s="153"/>
      <c r="AA228" s="153"/>
      <c r="AB228" s="153"/>
      <c r="AC228" s="153"/>
    </row>
    <row r="229">
      <c r="A229" s="152" t="s">
        <v>330</v>
      </c>
      <c r="B229" s="133" t="str">
        <f>IFERROR(__xludf.DUMMYFUNCTION("FILTER ('Research Papers'!D:D,'Research Papers'!A:A=C229)"),"Multimodal Trajectory Representation Learning for Travel Time Estimation")</f>
        <v>Multimodal Trajectory Representation Learning for Travel Time Estimation</v>
      </c>
      <c r="C229" s="133" t="s">
        <v>595</v>
      </c>
      <c r="D229" s="153" t="str">
        <f t="shared" si="1"/>
        <v>Multimodal Trajectory Representation Learning for Travel Time Estimation
Zhi Liu, Xuyuan Hu, Xiao Han, Zhehao Dai, Zhaolin Deng,
Guojiang Shen and Xiangjie Kong
</v>
      </c>
      <c r="E229" s="153" t="str">
        <f>IFERROR(__xludf.DUMMYFUNCTION("TEXTJOIN(CHAR(10), TRUE,FILTER('Research Papers'!$C:$C,'Research Papers'!$A:$A=C229))"),"Zhi Liu, Xuyuan Hu, Xiao Han, Zhehao Dai, Zhaolin Deng,
Guojiang Shen and Xiangjie Kong")</f>
        <v>Zhi Liu, Xuyuan Hu, Xiao Han, Zhehao Dai, Zhaolin Deng,
Guojiang Shen and Xiangjie Kong</v>
      </c>
      <c r="F229" s="133" t="s">
        <v>166</v>
      </c>
      <c r="G229" s="153"/>
      <c r="H229" s="153"/>
      <c r="I229" s="120"/>
      <c r="J229" s="120"/>
      <c r="K229" s="153"/>
      <c r="L229" s="153"/>
      <c r="M229" s="153"/>
      <c r="N229" s="153"/>
      <c r="O229" s="153"/>
      <c r="P229" s="153"/>
      <c r="Q229" s="153"/>
      <c r="R229" s="153"/>
      <c r="S229" s="153"/>
      <c r="T229" s="153"/>
      <c r="U229" s="153"/>
      <c r="V229" s="153"/>
      <c r="W229" s="153"/>
      <c r="X229" s="153"/>
      <c r="Y229" s="153"/>
      <c r="Z229" s="153"/>
      <c r="AA229" s="153"/>
      <c r="AB229" s="153"/>
      <c r="AC229" s="153"/>
    </row>
    <row r="230">
      <c r="A230" s="152" t="s">
        <v>330</v>
      </c>
      <c r="B230" s="133" t="str">
        <f>IFERROR(__xludf.DUMMYFUNCTION("FILTER ('Research Papers'!D:D,'Research Papers'!A:A=C230)"),"Towards Foundation Models for MMKG: Multi-Task Inductive Generalization via Task-Aware Routing")</f>
        <v>Towards Foundation Models for MMKG: Multi-Task Inductive Generalization via Task-Aware Routing</v>
      </c>
      <c r="C230" s="133" t="s">
        <v>596</v>
      </c>
      <c r="D230" s="153" t="str">
        <f t="shared" si="1"/>
        <v>Towards Foundation Models for MMKG: Multi-Task Inductive Generalization via Task-Aware Routing
Shundong Yang, Jing Yang, Xiaowen Jiang, Xiaofen Wang,
Laurence T. Yang, Yuan Gao, Xinfa Jiang, Jie Chen and
Chaojun Zhang
</v>
      </c>
      <c r="E230" s="153" t="str">
        <f>IFERROR(__xludf.DUMMYFUNCTION("TEXTJOIN(CHAR(10), TRUE,FILTER('Research Papers'!$C:$C,'Research Papers'!$A:$A=C230))"),"Shundong Yang, Jing Yang, Xiaowen Jiang, Xiaofen Wang,
Laurence T. Yang, Yuan Gao, Xinfa Jiang, Jie Chen and
Chaojun Zhang")</f>
        <v>Shundong Yang, Jing Yang, Xiaowen Jiang, Xiaofen Wang,
Laurence T. Yang, Yuan Gao, Xinfa Jiang, Jie Chen and
Chaojun Zhang</v>
      </c>
      <c r="F230" s="133" t="s">
        <v>166</v>
      </c>
      <c r="G230" s="153"/>
      <c r="H230" s="153"/>
      <c r="I230" s="120"/>
      <c r="J230" s="120"/>
      <c r="K230" s="153"/>
      <c r="L230" s="153"/>
      <c r="M230" s="153"/>
      <c r="N230" s="153"/>
      <c r="O230" s="153"/>
      <c r="P230" s="153"/>
      <c r="Q230" s="153"/>
      <c r="R230" s="153"/>
      <c r="S230" s="153"/>
      <c r="T230" s="153"/>
      <c r="U230" s="153"/>
      <c r="V230" s="153"/>
      <c r="W230" s="153"/>
      <c r="X230" s="153"/>
      <c r="Y230" s="153"/>
      <c r="Z230" s="153"/>
      <c r="AA230" s="153"/>
      <c r="AB230" s="153"/>
      <c r="AC230" s="153"/>
    </row>
    <row r="231">
      <c r="A231" s="152" t="s">
        <v>330</v>
      </c>
      <c r="B231" s="133" t="str">
        <f>IFERROR(__xludf.DUMMYFUNCTION("FILTER ('Research Papers'!D:D,'Research Papers'!A:A=C231)"),"ReaLM: Residual Quantization Bridges Knowledge Graph Embeddings and Large Language Models")</f>
        <v>ReaLM: Residual Quantization Bridges Knowledge Graph Embeddings and Large Language Models</v>
      </c>
      <c r="C231" s="133" t="s">
        <v>597</v>
      </c>
      <c r="D231" s="153" t="str">
        <f t="shared" si="1"/>
        <v>ReaLM: Residual Quantization Bridges Knowledge Graph Embeddings and Large Language Models
Wenbin Guo, Xin Wang, Jiaoyan Chen, Lingbing Guo, Zhao Li
and Zirui Chen
</v>
      </c>
      <c r="E231" s="153" t="str">
        <f>IFERROR(__xludf.DUMMYFUNCTION("TEXTJOIN(CHAR(10), TRUE,FILTER('Research Papers'!$C:$C,'Research Papers'!$A:$A=C231))"),"Wenbin Guo, Xin Wang, Jiaoyan Chen, Lingbing Guo, Zhao Li
and Zirui Chen")</f>
        <v>Wenbin Guo, Xin Wang, Jiaoyan Chen, Lingbing Guo, Zhao Li
and Zirui Chen</v>
      </c>
      <c r="F231" s="133" t="s">
        <v>193</v>
      </c>
      <c r="G231" s="153"/>
      <c r="H231" s="153"/>
      <c r="I231" s="120"/>
      <c r="J231" s="120"/>
      <c r="K231" s="153"/>
      <c r="L231" s="153"/>
      <c r="M231" s="153"/>
      <c r="N231" s="153"/>
      <c r="O231" s="153"/>
      <c r="P231" s="153"/>
      <c r="Q231" s="153"/>
      <c r="R231" s="153"/>
      <c r="S231" s="153"/>
      <c r="T231" s="153"/>
      <c r="U231" s="153"/>
      <c r="V231" s="153"/>
      <c r="W231" s="153"/>
      <c r="X231" s="153"/>
      <c r="Y231" s="153"/>
      <c r="Z231" s="153"/>
      <c r="AA231" s="153"/>
      <c r="AB231" s="153"/>
      <c r="AC231" s="153"/>
    </row>
    <row r="232">
      <c r="A232" s="152" t="s">
        <v>330</v>
      </c>
      <c r="B232" s="133" t="str">
        <f>IFERROR(__xludf.DUMMYFUNCTION("FILTER ('Research Papers'!D:D,'Research Papers'!A:A=C232)"),"Language Model Representations for Efficient Few-Shot Tabular Classification")</f>
        <v>Language Model Representations for Efficient Few-Shot Tabular Classification</v>
      </c>
      <c r="C232" s="133" t="s">
        <v>598</v>
      </c>
      <c r="D232" s="153" t="str">
        <f t="shared" si="1"/>
        <v>Language Model Representations for Efficient Few-Shot Tabular Classification
Inwon Kang, Parikshit Ram, Yi Zhou, Horst Samulowitz and
Oshani Seneviratne
</v>
      </c>
      <c r="E232" s="153" t="str">
        <f>IFERROR(__xludf.DUMMYFUNCTION("TEXTJOIN(CHAR(10), TRUE,FILTER('Research Papers'!$C:$C,'Research Papers'!$A:$A=C232))"),"Inwon Kang, Parikshit Ram, Yi Zhou, Horst Samulowitz and
Oshani Seneviratne")</f>
        <v>Inwon Kang, Parikshit Ram, Yi Zhou, Horst Samulowitz and
Oshani Seneviratne</v>
      </c>
      <c r="F232" s="133" t="s">
        <v>193</v>
      </c>
      <c r="G232" s="153"/>
      <c r="H232" s="153"/>
      <c r="I232" s="120"/>
      <c r="J232" s="120"/>
      <c r="K232" s="153"/>
      <c r="L232" s="153"/>
      <c r="M232" s="153"/>
      <c r="N232" s="153"/>
      <c r="O232" s="153"/>
      <c r="P232" s="153"/>
      <c r="Q232" s="153"/>
      <c r="R232" s="153"/>
      <c r="S232" s="153"/>
      <c r="T232" s="153"/>
      <c r="U232" s="153"/>
      <c r="V232" s="153"/>
      <c r="W232" s="153"/>
      <c r="X232" s="153"/>
      <c r="Y232" s="153"/>
      <c r="Z232" s="153"/>
      <c r="AA232" s="153"/>
      <c r="AB232" s="153"/>
      <c r="AC232" s="153"/>
    </row>
    <row r="233">
      <c r="A233" s="152" t="s">
        <v>330</v>
      </c>
      <c r="B233" s="133" t="str">
        <f>IFERROR(__xludf.DUMMYFUNCTION("FILTER ('Research Papers'!D:D,'Research Papers'!A:A=C233)"),"KG-BiLM: Knowledge Graph Embedding via Bidirectional Language Models")</f>
        <v>KG-BiLM: Knowledge Graph Embedding via Bidirectional Language Models</v>
      </c>
      <c r="C233" s="133" t="s">
        <v>599</v>
      </c>
      <c r="D233" s="153" t="str">
        <f t="shared" si="1"/>
        <v>KG-BiLM: Knowledge Graph Embedding via Bidirectional Language Models
Zirui Chen, Xin Wang, Zhao Li, Wenbin Guo, Dongxiao He,
Yanbing Li and Wushour Silamu
</v>
      </c>
      <c r="E233" s="153" t="str">
        <f>IFERROR(__xludf.DUMMYFUNCTION("TEXTJOIN(CHAR(10), TRUE,FILTER('Research Papers'!$C:$C,'Research Papers'!$A:$A=C233))"),"Zirui Chen, Xin Wang, Zhao Li, Wenbin Guo, Dongxiao He,
Yanbing Li and Wushour Silamu")</f>
        <v>Zirui Chen, Xin Wang, Zhao Li, Wenbin Guo, Dongxiao He,
Yanbing Li and Wushour Silamu</v>
      </c>
      <c r="F233" s="133" t="s">
        <v>193</v>
      </c>
      <c r="G233" s="153"/>
      <c r="H233" s="153"/>
      <c r="I233" s="120"/>
      <c r="J233" s="120"/>
      <c r="K233" s="153"/>
      <c r="L233" s="153"/>
      <c r="M233" s="153"/>
      <c r="N233" s="153"/>
      <c r="O233" s="153"/>
      <c r="P233" s="153"/>
      <c r="Q233" s="153"/>
      <c r="R233" s="153"/>
      <c r="S233" s="153"/>
      <c r="T233" s="153"/>
      <c r="U233" s="153"/>
      <c r="V233" s="153"/>
      <c r="W233" s="153"/>
      <c r="X233" s="153"/>
      <c r="Y233" s="153"/>
      <c r="Z233" s="153"/>
      <c r="AA233" s="153"/>
      <c r="AB233" s="153"/>
      <c r="AC233" s="153"/>
    </row>
    <row r="234">
      <c r="A234" s="152" t="s">
        <v>330</v>
      </c>
      <c r="B234" s="133" t="str">
        <f>IFERROR(__xludf.DUMMYFUNCTION("FILTER ('Research Papers'!D:D,'Research Papers'!A:A=C234)"),"TaxoBell: Gaussian Box Embeddings for Self-Supervised Taxonomy Expansion")</f>
        <v>TaxoBell: Gaussian Box Embeddings for Self-Supervised Taxonomy Expansion</v>
      </c>
      <c r="C234" s="133" t="s">
        <v>600</v>
      </c>
      <c r="D234" s="153" t="str">
        <f t="shared" si="1"/>
        <v>TaxoBell: Gaussian Box Embeddings for Self-Supervised Taxonomy Expansion
Sahil Mishra, Srinitish Srinivasan, Srikanta Bedathur and
Tanmoy Chakraborty
</v>
      </c>
      <c r="E234" s="153" t="str">
        <f>IFERROR(__xludf.DUMMYFUNCTION("TEXTJOIN(CHAR(10), TRUE,FILTER('Research Papers'!$C:$C,'Research Papers'!$A:$A=C234))"),"Sahil Mishra, Srinitish Srinivasan, Srikanta Bedathur and
Tanmoy Chakraborty")</f>
        <v>Sahil Mishra, Srinitish Srinivasan, Srikanta Bedathur and
Tanmoy Chakraborty</v>
      </c>
      <c r="F234" s="133" t="s">
        <v>193</v>
      </c>
      <c r="G234" s="153"/>
      <c r="H234" s="153"/>
      <c r="I234" s="120"/>
      <c r="J234" s="120"/>
      <c r="K234" s="153"/>
      <c r="L234" s="153"/>
      <c r="M234" s="153"/>
      <c r="N234" s="153"/>
      <c r="O234" s="153"/>
      <c r="P234" s="153"/>
      <c r="Q234" s="153"/>
      <c r="R234" s="153"/>
      <c r="S234" s="153"/>
      <c r="T234" s="153"/>
      <c r="U234" s="153"/>
      <c r="V234" s="153"/>
      <c r="W234" s="153"/>
      <c r="X234" s="153"/>
      <c r="Y234" s="153"/>
      <c r="Z234" s="153"/>
      <c r="AA234" s="153"/>
      <c r="AB234" s="153"/>
      <c r="AC234" s="153"/>
    </row>
    <row r="235">
      <c r="A235" s="152" t="s">
        <v>330</v>
      </c>
      <c r="B235" s="133" t="str">
        <f>IFERROR(__xludf.DUMMYFUNCTION("FILTER ('Research Papers'!D:D,'Research Papers'!A:A=C235)"),"Node Role-Guided LLMs for Dynamic Graph Clustering")</f>
        <v>Node Role-Guided LLMs for Dynamic Graph Clustering</v>
      </c>
      <c r="C235" s="133" t="s">
        <v>601</v>
      </c>
      <c r="D235" s="153" t="str">
        <f t="shared" si="1"/>
        <v>Node Role-Guided LLMs for Dynamic Graph Clustering
Dongyuan Li, Ying Zhang, Yaozu Wu and Renhe Jiang
</v>
      </c>
      <c r="E235" s="153" t="str">
        <f>IFERROR(__xludf.DUMMYFUNCTION("TEXTJOIN(CHAR(10), TRUE,FILTER('Research Papers'!$C:$C,'Research Papers'!$A:$A=C235))"),"Dongyuan Li, Ying Zhang, Yaozu Wu and Renhe Jiang")</f>
        <v>Dongyuan Li, Ying Zhang, Yaozu Wu and Renhe Jiang</v>
      </c>
      <c r="F235" s="133" t="s">
        <v>193</v>
      </c>
      <c r="G235" s="153"/>
      <c r="H235" s="153"/>
      <c r="I235" s="120"/>
      <c r="J235" s="120"/>
      <c r="K235" s="153"/>
      <c r="L235" s="153"/>
      <c r="M235" s="153"/>
      <c r="N235" s="153"/>
      <c r="O235" s="153"/>
      <c r="P235" s="153"/>
      <c r="Q235" s="153"/>
      <c r="R235" s="153"/>
      <c r="S235" s="153"/>
      <c r="T235" s="153"/>
      <c r="U235" s="153"/>
      <c r="V235" s="153"/>
      <c r="W235" s="153"/>
      <c r="X235" s="153"/>
      <c r="Y235" s="153"/>
      <c r="Z235" s="153"/>
      <c r="AA235" s="153"/>
      <c r="AB235" s="153"/>
      <c r="AC235" s="153"/>
    </row>
    <row r="236">
      <c r="A236" s="152" t="s">
        <v>330</v>
      </c>
      <c r="B236" s="133" t="str">
        <f>IFERROR(__xludf.DUMMYFUNCTION("FILTER ('Research Papers'!D:D,'Research Papers'!A:A=C236)"),"Unifying Deductive and Abductive Reasoning in Knowledge Graphs with Masked Diffusion Model")</f>
        <v>Unifying Deductive and Abductive Reasoning in Knowledge Graphs with Masked Diffusion Model</v>
      </c>
      <c r="C236" s="133" t="s">
        <v>602</v>
      </c>
      <c r="D236" s="153" t="str">
        <f t="shared" si="1"/>
        <v>Unifying Deductive and Abductive Reasoning in Knowledge Graphs with Masked Diffusion Model
Yisen Gao, Jiaxin Bai, Yi Huang, Xingcheng Fu, Qingyun Sun
and Yangqiu Song
</v>
      </c>
      <c r="E236" s="153" t="str">
        <f>IFERROR(__xludf.DUMMYFUNCTION("TEXTJOIN(CHAR(10), TRUE,FILTER('Research Papers'!$C:$C,'Research Papers'!$A:$A=C236))"),"Yisen Gao, Jiaxin Bai, Yi Huang, Xingcheng Fu, Qingyun Sun
and Yangqiu Song")</f>
        <v>Yisen Gao, Jiaxin Bai, Yi Huang, Xingcheng Fu, Qingyun Sun
and Yangqiu Song</v>
      </c>
      <c r="F236" s="133" t="s">
        <v>77</v>
      </c>
      <c r="G236" s="153"/>
      <c r="H236" s="153"/>
      <c r="I236" s="120"/>
      <c r="J236" s="120"/>
      <c r="K236" s="153"/>
      <c r="L236" s="153"/>
      <c r="M236" s="153"/>
      <c r="N236" s="153"/>
      <c r="O236" s="153"/>
      <c r="P236" s="153"/>
      <c r="Q236" s="153"/>
      <c r="R236" s="153"/>
      <c r="S236" s="153"/>
      <c r="T236" s="153"/>
      <c r="U236" s="153"/>
      <c r="V236" s="153"/>
      <c r="W236" s="153"/>
      <c r="X236" s="153"/>
      <c r="Y236" s="153"/>
      <c r="Z236" s="153"/>
      <c r="AA236" s="153"/>
      <c r="AB236" s="153"/>
      <c r="AC236" s="153"/>
    </row>
    <row r="237">
      <c r="A237" s="152" t="s">
        <v>330</v>
      </c>
      <c r="B237" s="133" t="str">
        <f>IFERROR(__xludf.DUMMYFUNCTION("FILTER ('Research Papers'!D:D,'Research Papers'!A:A=C237)"),"Are LLMs Stable Formal Logic Translators in Logical Reasoning Across Linguistically Diversified Texts?")</f>
        <v>Are LLMs Stable Formal Logic Translators in Logical Reasoning Across Linguistically Diversified Texts?</v>
      </c>
      <c r="C237" s="133" t="s">
        <v>603</v>
      </c>
      <c r="D237" s="153" t="str">
        <f t="shared" si="1"/>
        <v>Are LLMs Stable Formal Logic Translators in Logical Reasoning Across Linguistically Diversified Texts?
Qingchuan Li, Jiatong Li, Zirui Liu, Mingyue Cheng, Yitong
Zhou, Yuting Zeng, Qi Liu and Tongxuan Liu
</v>
      </c>
      <c r="E237" s="153" t="str">
        <f>IFERROR(__xludf.DUMMYFUNCTION("TEXTJOIN(CHAR(10), TRUE,FILTER('Research Papers'!$C:$C,'Research Papers'!$A:$A=C237))"),"Qingchuan Li, Jiatong Li, Zirui Liu, Mingyue Cheng, Yitong
Zhou, Yuting Zeng, Qi Liu and Tongxuan Liu")</f>
        <v>Qingchuan Li, Jiatong Li, Zirui Liu, Mingyue Cheng, Yitong
Zhou, Yuting Zeng, Qi Liu and Tongxuan Liu</v>
      </c>
      <c r="F237" s="133" t="s">
        <v>77</v>
      </c>
      <c r="G237" s="153"/>
      <c r="H237" s="153"/>
      <c r="I237" s="120"/>
      <c r="J237" s="120"/>
      <c r="K237" s="153"/>
      <c r="L237" s="153"/>
      <c r="M237" s="153"/>
      <c r="N237" s="153"/>
      <c r="O237" s="153"/>
      <c r="P237" s="153"/>
      <c r="Q237" s="153"/>
      <c r="R237" s="153"/>
      <c r="S237" s="153"/>
      <c r="T237" s="153"/>
      <c r="U237" s="153"/>
      <c r="V237" s="153"/>
      <c r="W237" s="153"/>
      <c r="X237" s="153"/>
      <c r="Y237" s="153"/>
      <c r="Z237" s="153"/>
      <c r="AA237" s="153"/>
      <c r="AB237" s="153"/>
      <c r="AC237" s="153"/>
    </row>
    <row r="238">
      <c r="A238" s="152" t="s">
        <v>330</v>
      </c>
      <c r="B238" s="133" t="str">
        <f>IFERROR(__xludf.DUMMYFUNCTION("FILTER ('Research Papers'!D:D,'Research Papers'!A:A=C238)"),"Matrix as Plan: Structured Logical Reasoning with Feedback-Driven Replanning")</f>
        <v>Matrix as Plan: Structured Logical Reasoning with Feedback-Driven Replanning</v>
      </c>
      <c r="C238" s="133" t="s">
        <v>604</v>
      </c>
      <c r="D238" s="153" t="str">
        <f t="shared" si="1"/>
        <v>Matrix as Plan: Structured Logical Reasoning with Feedback-Driven Replanning
Ke Chen, Jiandian Zeng, Zihao Peng, Guo Li, Guangxue Zhang
and Tian Wang
</v>
      </c>
      <c r="E238" s="153" t="str">
        <f>IFERROR(__xludf.DUMMYFUNCTION("TEXTJOIN(CHAR(10), TRUE,FILTER('Research Papers'!$C:$C,'Research Papers'!$A:$A=C238))"),"Ke Chen, Jiandian Zeng, Zihao Peng, Guo Li, Guangxue Zhang
and Tian Wang")</f>
        <v>Ke Chen, Jiandian Zeng, Zihao Peng, Guo Li, Guangxue Zhang
and Tian Wang</v>
      </c>
      <c r="F238" s="133" t="s">
        <v>77</v>
      </c>
      <c r="G238" s="153"/>
      <c r="H238" s="153"/>
      <c r="I238" s="120"/>
      <c r="J238" s="120"/>
      <c r="K238" s="153"/>
      <c r="L238" s="153"/>
      <c r="M238" s="153"/>
      <c r="N238" s="153"/>
      <c r="O238" s="153"/>
      <c r="P238" s="153"/>
      <c r="Q238" s="153"/>
      <c r="R238" s="153"/>
      <c r="S238" s="153"/>
      <c r="T238" s="153"/>
      <c r="U238" s="153"/>
      <c r="V238" s="153"/>
      <c r="W238" s="153"/>
      <c r="X238" s="153"/>
      <c r="Y238" s="153"/>
      <c r="Z238" s="153"/>
      <c r="AA238" s="153"/>
      <c r="AB238" s="153"/>
      <c r="AC238" s="153"/>
    </row>
    <row r="239">
      <c r="A239" s="152" t="s">
        <v>330</v>
      </c>
      <c r="B239" s="133" t="str">
        <f>IFERROR(__xludf.DUMMYFUNCTION("FILTER ('Research Papers'!D:D,'Research Papers'!A:A=C239)"),"GraphCogent: Mitigating LLMs' Working Memory Constraints via Multi-Agent Collaboration in Complex Graph Understanding")</f>
        <v>GraphCogent: Mitigating LLMs' Working Memory Constraints via Multi-Agent Collaboration in Complex Graph Understanding</v>
      </c>
      <c r="C239" s="133" t="s">
        <v>605</v>
      </c>
      <c r="D239" s="153" t="str">
        <f t="shared" si="1"/>
        <v>GraphCogent: Mitigating LLMs' Working Memory Constraints via Multi-Agent Collaboration in Complex Graph Understanding
Rongzheng Wang, Shuang Liang, Qizhi Chen, Yihong Huang,
Muquan Li, Yizhuo Ma, Dongyang Zhang, Ke Qin and Man-Fai
Leung
</v>
      </c>
      <c r="E239" s="153" t="str">
        <f>IFERROR(__xludf.DUMMYFUNCTION("TEXTJOIN(CHAR(10), TRUE,FILTER('Research Papers'!$C:$C,'Research Papers'!$A:$A=C239))"),"Rongzheng Wang, Shuang Liang, Qizhi Chen, Yihong Huang,
Muquan Li, Yizhuo Ma, Dongyang Zhang, Ke Qin and Man-Fai
Leung")</f>
        <v>Rongzheng Wang, Shuang Liang, Qizhi Chen, Yihong Huang,
Muquan Li, Yizhuo Ma, Dongyang Zhang, Ke Qin and Man-Fai
Leung</v>
      </c>
      <c r="F239" s="133" t="s">
        <v>77</v>
      </c>
      <c r="G239" s="153"/>
      <c r="H239" s="153"/>
      <c r="I239" s="120"/>
      <c r="J239" s="120"/>
      <c r="K239" s="153"/>
      <c r="L239" s="153"/>
      <c r="M239" s="153"/>
      <c r="N239" s="153"/>
      <c r="O239" s="153"/>
      <c r="P239" s="153"/>
      <c r="Q239" s="153"/>
      <c r="R239" s="153"/>
      <c r="S239" s="153"/>
      <c r="T239" s="153"/>
      <c r="U239" s="153"/>
      <c r="V239" s="153"/>
      <c r="W239" s="153"/>
      <c r="X239" s="153"/>
      <c r="Y239" s="153"/>
      <c r="Z239" s="153"/>
      <c r="AA239" s="153"/>
      <c r="AB239" s="153"/>
      <c r="AC239" s="153"/>
    </row>
    <row r="240">
      <c r="A240" s="152" t="s">
        <v>330</v>
      </c>
      <c r="B240" s="133" t="str">
        <f>IFERROR(__xludf.DUMMYFUNCTION("FILTER ('Research Papers'!D:D,'Research Papers'!A:A=C240)"),"Large Language Model for OWL Proofs")</f>
        <v>Large Language Model for OWL Proofs</v>
      </c>
      <c r="C240" s="133" t="s">
        <v>606</v>
      </c>
      <c r="D240" s="153" t="str">
        <f t="shared" si="1"/>
        <v>Large Language Model for OWL Proofs
Hui Yang, Jiaoyan Chen and Uli Sattler
</v>
      </c>
      <c r="E240" s="153" t="str">
        <f>IFERROR(__xludf.DUMMYFUNCTION("TEXTJOIN(CHAR(10), TRUE,FILTER('Research Papers'!$C:$C,'Research Papers'!$A:$A=C240))"),"Hui Yang, Jiaoyan Chen and Uli Sattler")</f>
        <v>Hui Yang, Jiaoyan Chen and Uli Sattler</v>
      </c>
      <c r="F240" s="133" t="s">
        <v>77</v>
      </c>
      <c r="G240" s="153"/>
      <c r="H240" s="153"/>
      <c r="I240" s="120"/>
      <c r="J240" s="120"/>
      <c r="K240" s="153"/>
      <c r="L240" s="153"/>
      <c r="M240" s="153"/>
      <c r="N240" s="153"/>
      <c r="O240" s="153"/>
      <c r="P240" s="153"/>
      <c r="Q240" s="153"/>
      <c r="R240" s="153"/>
      <c r="S240" s="153"/>
      <c r="T240" s="153"/>
      <c r="U240" s="153"/>
      <c r="V240" s="153"/>
      <c r="W240" s="153"/>
      <c r="X240" s="153"/>
      <c r="Y240" s="153"/>
      <c r="Z240" s="153"/>
      <c r="AA240" s="153"/>
      <c r="AB240" s="153"/>
      <c r="AC240" s="153"/>
    </row>
    <row r="241">
      <c r="A241" s="152" t="s">
        <v>330</v>
      </c>
      <c r="B241" s="133" t="str">
        <f>IFERROR(__xludf.DUMMYFUNCTION("FILTER ('Research Papers'!D:D,'Research Papers'!A:A=C241)"),"EMSEdit: Efficient Multi-Step Meta-Learning-based Model Editing")</f>
        <v>EMSEdit: Efficient Multi-Step Meta-Learning-based Model Editing</v>
      </c>
      <c r="C241" s="133" t="s">
        <v>607</v>
      </c>
      <c r="D241" s="153" t="str">
        <f t="shared" si="1"/>
        <v>EMSEdit: Efficient Multi-Step Meta-Learning-based Model Editing
Xiaopeng Li, Shasha Li, Xi Wang, Shezheng Song, Bin Ji,
Shangwen Wang, Jun Ma, Xiaodong Liu, Mina Liu and Jie Yu
</v>
      </c>
      <c r="E241" s="153" t="str">
        <f>IFERROR(__xludf.DUMMYFUNCTION("TEXTJOIN(CHAR(10), TRUE,FILTER('Research Papers'!$C:$C,'Research Papers'!$A:$A=C241))"),"Xiaopeng Li, Shasha Li, Xi Wang, Shezheng Song, Bin Ji,
Shangwen Wang, Jun Ma, Xiaodong Liu, Mina Liu and Jie Yu")</f>
        <v>Xiaopeng Li, Shasha Li, Xi Wang, Shezheng Song, Bin Ji,
Shangwen Wang, Jun Ma, Xiaodong Liu, Mina Liu and Jie Yu</v>
      </c>
      <c r="F241" s="133" t="s">
        <v>98</v>
      </c>
      <c r="G241" s="153"/>
      <c r="H241" s="153"/>
      <c r="I241" s="120"/>
      <c r="J241" s="120"/>
      <c r="K241" s="153"/>
      <c r="L241" s="153"/>
      <c r="M241" s="153"/>
      <c r="N241" s="153"/>
      <c r="O241" s="153"/>
      <c r="P241" s="153"/>
      <c r="Q241" s="153"/>
      <c r="R241" s="153"/>
      <c r="S241" s="153"/>
      <c r="T241" s="153"/>
      <c r="U241" s="153"/>
      <c r="V241" s="153"/>
      <c r="W241" s="153"/>
      <c r="X241" s="153"/>
      <c r="Y241" s="153"/>
      <c r="Z241" s="153"/>
      <c r="AA241" s="153"/>
      <c r="AB241" s="153"/>
      <c r="AC241" s="153"/>
    </row>
    <row r="242">
      <c r="A242" s="152" t="s">
        <v>330</v>
      </c>
      <c r="B242" s="133" t="str">
        <f>IFERROR(__xludf.DUMMYFUNCTION("FILTER ('Research Papers'!D:D,'Research Papers'!A:A=C242)"),"CASE: Conflict-assessed Knowledge-sensitive Neuron Tuning for Lifelong Model Editing")</f>
        <v>CASE: Conflict-assessed Knowledge-sensitive Neuron Tuning for Lifelong Model Editing</v>
      </c>
      <c r="C242" s="133" t="s">
        <v>608</v>
      </c>
      <c r="D242" s="153" t="str">
        <f t="shared" si="1"/>
        <v>CASE: Conflict-assessed Knowledge-sensitive Neuron Tuning for Lifelong Model Editing
Zhange Zhang, Yuqing Ma, Yulong Wang, Tianbo Wang, Jiakai
Wang, Simin Li and Xianglong Liu
</v>
      </c>
      <c r="E242" s="153" t="str">
        <f>IFERROR(__xludf.DUMMYFUNCTION("TEXTJOIN(CHAR(10), TRUE,FILTER('Research Papers'!$C:$C,'Research Papers'!$A:$A=C242))"),"Zhange Zhang, Yuqing Ma, Yulong Wang, Tianbo Wang, Jiakai
Wang, Simin Li and Xianglong Liu")</f>
        <v>Zhange Zhang, Yuqing Ma, Yulong Wang, Tianbo Wang, Jiakai
Wang, Simin Li and Xianglong Liu</v>
      </c>
      <c r="F242" s="133" t="s">
        <v>98</v>
      </c>
      <c r="G242" s="153"/>
      <c r="H242" s="153"/>
      <c r="I242" s="120"/>
      <c r="J242" s="120"/>
      <c r="K242" s="153"/>
      <c r="L242" s="153"/>
      <c r="M242" s="153"/>
      <c r="N242" s="153"/>
      <c r="O242" s="153"/>
      <c r="P242" s="153"/>
      <c r="Q242" s="153"/>
      <c r="R242" s="153"/>
      <c r="S242" s="153"/>
      <c r="T242" s="153"/>
      <c r="U242" s="153"/>
      <c r="V242" s="153"/>
      <c r="W242" s="153"/>
      <c r="X242" s="153"/>
      <c r="Y242" s="153"/>
      <c r="Z242" s="153"/>
      <c r="AA242" s="153"/>
      <c r="AB242" s="153"/>
      <c r="AC242" s="153"/>
    </row>
    <row r="243">
      <c r="A243" s="152" t="s">
        <v>330</v>
      </c>
      <c r="B243" s="133" t="str">
        <f>IFERROR(__xludf.DUMMYFUNCTION("FILTER ('Research Papers'!D:D,'Research Papers'!A:A=C243)"),"RAIE:Region-Aware Incremental Preference Editing with LoRA for LLM-based Recommendation")</f>
        <v>RAIE:Region-Aware Incremental Preference Editing with LoRA for LLM-based Recommendation</v>
      </c>
      <c r="C243" s="133" t="s">
        <v>609</v>
      </c>
      <c r="D243" s="153" t="str">
        <f t="shared" si="1"/>
        <v>RAIE:Region-Aware Incremental Preference Editing with LoRA for LLM-based Recommendation
Jin Zeng, Yupeng Qi, Hui Li, Chengming Li, Ziyu Lyu, Lixin
Cui and Lu Bai
</v>
      </c>
      <c r="E243" s="153" t="str">
        <f>IFERROR(__xludf.DUMMYFUNCTION("TEXTJOIN(CHAR(10), TRUE,FILTER('Research Papers'!$C:$C,'Research Papers'!$A:$A=C243))"),"Jin Zeng, Yupeng Qi, Hui Li, Chengming Li, Ziyu Lyu, Lixin
Cui and Lu Bai")</f>
        <v>Jin Zeng, Yupeng Qi, Hui Li, Chengming Li, Ziyu Lyu, Lixin
Cui and Lu Bai</v>
      </c>
      <c r="F243" s="133" t="s">
        <v>98</v>
      </c>
      <c r="G243" s="153"/>
      <c r="H243" s="153"/>
      <c r="I243" s="120"/>
      <c r="J243" s="120"/>
      <c r="K243" s="153"/>
      <c r="L243" s="153"/>
      <c r="M243" s="153"/>
      <c r="N243" s="153"/>
      <c r="O243" s="153"/>
      <c r="P243" s="153"/>
      <c r="Q243" s="153"/>
      <c r="R243" s="153"/>
      <c r="S243" s="153"/>
      <c r="T243" s="153"/>
      <c r="U243" s="153"/>
      <c r="V243" s="153"/>
      <c r="W243" s="153"/>
      <c r="X243" s="153"/>
      <c r="Y243" s="153"/>
      <c r="Z243" s="153"/>
      <c r="AA243" s="153"/>
      <c r="AB243" s="153"/>
      <c r="AC243" s="153"/>
    </row>
    <row r="244">
      <c r="A244" s="152" t="s">
        <v>330</v>
      </c>
      <c r="B244" s="133" t="str">
        <f>IFERROR(__xludf.DUMMYFUNCTION("FILTER ('Research Papers'!D:D,'Research Papers'!A:A=C244)"),"Towards Meta-Cognitive Knowledge Editing for Multimodal LLMs")</f>
        <v>Towards Meta-Cognitive Knowledge Editing for Multimodal LLMs</v>
      </c>
      <c r="C244" s="133" t="s">
        <v>610</v>
      </c>
      <c r="D244" s="153" t="str">
        <f t="shared" si="1"/>
        <v>Towards Meta-Cognitive Knowledge Editing for Multimodal LLMs
Zhaoyu Fan, Kaihang Pan, Mingze Zhou, Bosheng Qin, Juncheng
Li, Shengyu Zhang, Wenqiao Zhang, Siliang Tang, Fei Wu and
Yueting Zhuang
</v>
      </c>
      <c r="E244" s="153" t="str">
        <f>IFERROR(__xludf.DUMMYFUNCTION("TEXTJOIN(CHAR(10), TRUE,FILTER('Research Papers'!$C:$C,'Research Papers'!$A:$A=C244))"),"Zhaoyu Fan, Kaihang Pan, Mingze Zhou, Bosheng Qin, Juncheng
Li, Shengyu Zhang, Wenqiao Zhang, Siliang Tang, Fei Wu and
Yueting Zhuang")</f>
        <v>Zhaoyu Fan, Kaihang Pan, Mingze Zhou, Bosheng Qin, Juncheng
Li, Shengyu Zhang, Wenqiao Zhang, Siliang Tang, Fei Wu and
Yueting Zhuang</v>
      </c>
      <c r="F244" s="133" t="s">
        <v>98</v>
      </c>
      <c r="G244" s="153"/>
      <c r="H244" s="153"/>
      <c r="I244" s="120"/>
      <c r="J244" s="120"/>
      <c r="K244" s="153"/>
      <c r="L244" s="153"/>
      <c r="M244" s="153"/>
      <c r="N244" s="153"/>
      <c r="O244" s="153"/>
      <c r="P244" s="153"/>
      <c r="Q244" s="153"/>
      <c r="R244" s="153"/>
      <c r="S244" s="153"/>
      <c r="T244" s="153"/>
      <c r="U244" s="153"/>
      <c r="V244" s="153"/>
      <c r="W244" s="153"/>
      <c r="X244" s="153"/>
      <c r="Y244" s="153"/>
      <c r="Z244" s="153"/>
      <c r="AA244" s="153"/>
      <c r="AB244" s="153"/>
      <c r="AC244" s="153"/>
    </row>
    <row r="245">
      <c r="A245" s="152" t="s">
        <v>330</v>
      </c>
      <c r="B245" s="133" t="str">
        <f>IFERROR(__xludf.DUMMYFUNCTION("FILTER ('Research Papers'!D:D,'Research Papers'!A:A=C245)"),"WiNELL: Wikipedia Never-Ending Updating with LLM Agents")</f>
        <v>WiNELL: Wikipedia Never-Ending Updating with LLM Agents</v>
      </c>
      <c r="C245" s="133" t="s">
        <v>611</v>
      </c>
      <c r="D245" s="153" t="str">
        <f t="shared" si="1"/>
        <v>WiNELL: Wikipedia Never-Ending Updating with LLM Agents
Revanth Gangi Reddy, Tanay Dixit, Jiaxin Qin, Cheng Qian,
Daniel Lee, Jiawei Han, Kevin Small, Xing Fan, Ruhi
Sarikaya and Heng Ji
</v>
      </c>
      <c r="E245" s="153" t="str">
        <f>IFERROR(__xludf.DUMMYFUNCTION("TEXTJOIN(CHAR(10), TRUE,FILTER('Research Papers'!$C:$C,'Research Papers'!$A:$A=C245))"),"Revanth Gangi Reddy, Tanay Dixit, Jiaxin Qin, Cheng Qian,
Daniel Lee, Jiawei Han, Kevin Small, Xing Fan, Ruhi
Sarikaya and Heng Ji")</f>
        <v>Revanth Gangi Reddy, Tanay Dixit, Jiaxin Qin, Cheng Qian,
Daniel Lee, Jiawei Han, Kevin Small, Xing Fan, Ruhi
Sarikaya and Heng Ji</v>
      </c>
      <c r="F245" s="133" t="s">
        <v>98</v>
      </c>
      <c r="G245" s="153"/>
      <c r="H245" s="153"/>
      <c r="I245" s="120"/>
      <c r="J245" s="120"/>
      <c r="K245" s="153"/>
      <c r="L245" s="153"/>
      <c r="M245" s="153"/>
      <c r="N245" s="153"/>
      <c r="O245" s="153"/>
      <c r="P245" s="153"/>
      <c r="Q245" s="153"/>
      <c r="R245" s="153"/>
      <c r="S245" s="153"/>
      <c r="T245" s="153"/>
      <c r="U245" s="153"/>
      <c r="V245" s="153"/>
      <c r="W245" s="153"/>
      <c r="X245" s="153"/>
      <c r="Y245" s="153"/>
      <c r="Z245" s="153"/>
      <c r="AA245" s="153"/>
      <c r="AB245" s="153"/>
      <c r="AC245" s="153"/>
    </row>
    <row r="246">
      <c r="A246" s="152" t="s">
        <v>330</v>
      </c>
      <c r="B246" s="133" t="str">
        <f>IFERROR(__xludf.DUMMYFUNCTION("FILTER ('Research Papers'!D:D,'Research Papers'!A:A=C246)"),"Dual History Enhancement with Hybrid Hypergraph-Graph Networks for Temporal Knowledge Graph Reasoning")</f>
        <v>Dual History Enhancement with Hybrid Hypergraph-Graph Networks for Temporal Knowledge Graph Reasoning</v>
      </c>
      <c r="C246" s="133" t="s">
        <v>612</v>
      </c>
      <c r="D246" s="153" t="str">
        <f t="shared" si="1"/>
        <v>Dual History Enhancement with Hybrid Hypergraph-Graph Networks for Temporal Knowledge Graph Reasoning
Kailun Ye, Xiangjie Kong, Yuchao Zhang, Xuan Wang, Linan
Zhu, Jiaxin Du, Guojiang Shen and Jianxin Li
</v>
      </c>
      <c r="E246" s="153" t="str">
        <f>IFERROR(__xludf.DUMMYFUNCTION("TEXTJOIN(CHAR(10), TRUE,FILTER('Research Papers'!$C:$C,'Research Papers'!$A:$A=C246))"),"Kailun Ye, Xiangjie Kong, Yuchao Zhang, Xuan Wang, Linan
Zhu, Jiaxin Du, Guojiang Shen and Jianxin Li")</f>
        <v>Kailun Ye, Xiangjie Kong, Yuchao Zhang, Xuan Wang, Linan
Zhu, Jiaxin Du, Guojiang Shen and Jianxin Li</v>
      </c>
      <c r="F246" s="133" t="s">
        <v>168</v>
      </c>
      <c r="G246" s="153"/>
      <c r="H246" s="153"/>
      <c r="I246" s="120"/>
      <c r="J246" s="120"/>
      <c r="K246" s="153"/>
      <c r="L246" s="153"/>
      <c r="M246" s="153"/>
      <c r="N246" s="153"/>
      <c r="O246" s="153"/>
      <c r="P246" s="153"/>
      <c r="Q246" s="153"/>
      <c r="R246" s="153"/>
      <c r="S246" s="153"/>
      <c r="T246" s="153"/>
      <c r="U246" s="153"/>
      <c r="V246" s="153"/>
      <c r="W246" s="153"/>
      <c r="X246" s="153"/>
      <c r="Y246" s="153"/>
      <c r="Z246" s="153"/>
      <c r="AA246" s="153"/>
      <c r="AB246" s="153"/>
      <c r="AC246" s="153"/>
    </row>
    <row r="247">
      <c r="A247" s="152" t="s">
        <v>330</v>
      </c>
      <c r="B247" s="133" t="str">
        <f>IFERROR(__xludf.DUMMYFUNCTION("FILTER ('Research Papers'!D:D,'Research Papers'!A:A=C247)"),"STARK: Structure-Aware and Adaptive Representation Learning for Continual Knowledge Graph Embedding")</f>
        <v>STARK: Structure-Aware and Adaptive Representation Learning for Continual Knowledge Graph Embedding</v>
      </c>
      <c r="C247" s="133" t="s">
        <v>613</v>
      </c>
      <c r="D247" s="153" t="str">
        <f t="shared" si="1"/>
        <v>STARK: Structure-Aware and Adaptive Representation Learning for Continual Knowledge Graph Embedding
Kyunghwan Lee and Dong-Wan Choi
</v>
      </c>
      <c r="E247" s="153" t="str">
        <f>IFERROR(__xludf.DUMMYFUNCTION("TEXTJOIN(CHAR(10), TRUE,FILTER('Research Papers'!$C:$C,'Research Papers'!$A:$A=C247))"),"Kyunghwan Lee and Dong-Wan Choi")</f>
        <v>Kyunghwan Lee and Dong-Wan Choi</v>
      </c>
      <c r="F247" s="133" t="s">
        <v>168</v>
      </c>
      <c r="G247" s="153"/>
      <c r="H247" s="153"/>
      <c r="I247" s="120"/>
      <c r="J247" s="120"/>
      <c r="K247" s="153"/>
      <c r="L247" s="153"/>
      <c r="M247" s="153"/>
      <c r="N247" s="153"/>
      <c r="O247" s="153"/>
      <c r="P247" s="153"/>
      <c r="Q247" s="153"/>
      <c r="R247" s="153"/>
      <c r="S247" s="153"/>
      <c r="T247" s="153"/>
      <c r="U247" s="153"/>
      <c r="V247" s="153"/>
      <c r="W247" s="153"/>
      <c r="X247" s="153"/>
      <c r="Y247" s="153"/>
      <c r="Z247" s="153"/>
      <c r="AA247" s="153"/>
      <c r="AB247" s="153"/>
      <c r="AC247" s="153"/>
    </row>
    <row r="248">
      <c r="A248" s="152" t="s">
        <v>330</v>
      </c>
      <c r="B248" s="133" t="str">
        <f>IFERROR(__xludf.DUMMYFUNCTION("FILTER ('Research Papers'!D:D,'Research Papers'!A:A=C248)"),"Unlearning of Knowledge Graph Embedding via Preference Optimization")</f>
        <v>Unlearning of Knowledge Graph Embedding via Preference Optimization</v>
      </c>
      <c r="C248" s="133" t="s">
        <v>614</v>
      </c>
      <c r="D248" s="153" t="str">
        <f t="shared" si="1"/>
        <v>Unlearning of Knowledge Graph Embedding via Preference Optimization
Jiajun Liu, Wenjun Ke, Peng Wang, Yao He, Ziyu Shang,
Guozheng Li, Zijie Xu and Ke Ji
</v>
      </c>
      <c r="E248" s="153" t="str">
        <f>IFERROR(__xludf.DUMMYFUNCTION("TEXTJOIN(CHAR(10), TRUE,FILTER('Research Papers'!$C:$C,'Research Papers'!$A:$A=C248))"),"Jiajun Liu, Wenjun Ke, Peng Wang, Yao He, Ziyu Shang,
Guozheng Li, Zijie Xu and Ke Ji")</f>
        <v>Jiajun Liu, Wenjun Ke, Peng Wang, Yao He, Ziyu Shang,
Guozheng Li, Zijie Xu and Ke Ji</v>
      </c>
      <c r="F248" s="133" t="s">
        <v>168</v>
      </c>
      <c r="G248" s="153"/>
      <c r="H248" s="153"/>
      <c r="I248" s="120"/>
      <c r="J248" s="120"/>
      <c r="K248" s="153"/>
      <c r="L248" s="153"/>
      <c r="M248" s="153"/>
      <c r="N248" s="153"/>
      <c r="O248" s="153"/>
      <c r="P248" s="153"/>
      <c r="Q248" s="153"/>
      <c r="R248" s="153"/>
      <c r="S248" s="153"/>
      <c r="T248" s="153"/>
      <c r="U248" s="153"/>
      <c r="V248" s="153"/>
      <c r="W248" s="153"/>
      <c r="X248" s="153"/>
      <c r="Y248" s="153"/>
      <c r="Z248" s="153"/>
      <c r="AA248" s="153"/>
      <c r="AB248" s="153"/>
      <c r="AC248" s="153"/>
    </row>
    <row r="249">
      <c r="A249" s="152" t="s">
        <v>330</v>
      </c>
      <c r="B249" s="133" t="str">
        <f>IFERROR(__xludf.DUMMYFUNCTION("FILTER ('Research Papers'!D:D,'Research Papers'!A:A=C249)"),"Conditional Information Extraction with Diffusion Model on Fact-Condition Star Graph")</f>
        <v>Conditional Information Extraction with Diffusion Model on Fact-Condition Star Graph</v>
      </c>
      <c r="C249" s="133" t="s">
        <v>615</v>
      </c>
      <c r="D249" s="153" t="str">
        <f t="shared" si="1"/>
        <v>Conditional Information Extraction with Diffusion Model on Fact-Condition Star Graph
Yunxiao Yang, Jianting Chen, Xiaoying Gao, Zaiyuan Di and
Yang Xiang
</v>
      </c>
      <c r="E249" s="153" t="str">
        <f>IFERROR(__xludf.DUMMYFUNCTION("TEXTJOIN(CHAR(10), TRUE,FILTER('Research Papers'!$C:$C,'Research Papers'!$A:$A=C249))"),"Yunxiao Yang, Jianting Chen, Xiaoying Gao, Zaiyuan Di and
Yang Xiang")</f>
        <v>Yunxiao Yang, Jianting Chen, Xiaoying Gao, Zaiyuan Di and
Yang Xiang</v>
      </c>
      <c r="F249" s="133" t="s">
        <v>168</v>
      </c>
      <c r="G249" s="153"/>
      <c r="H249" s="153"/>
      <c r="I249" s="120"/>
      <c r="J249" s="120"/>
      <c r="K249" s="153"/>
      <c r="L249" s="153"/>
      <c r="M249" s="153"/>
      <c r="N249" s="153"/>
      <c r="O249" s="153"/>
      <c r="P249" s="153"/>
      <c r="Q249" s="153"/>
      <c r="R249" s="153"/>
      <c r="S249" s="153"/>
      <c r="T249" s="153"/>
      <c r="U249" s="153"/>
      <c r="V249" s="153"/>
      <c r="W249" s="153"/>
      <c r="X249" s="153"/>
      <c r="Y249" s="153"/>
      <c r="Z249" s="153"/>
      <c r="AA249" s="153"/>
      <c r="AB249" s="153"/>
      <c r="AC249" s="153"/>
    </row>
    <row r="250">
      <c r="A250" s="152" t="s">
        <v>330</v>
      </c>
      <c r="B250" s="133" t="str">
        <f>IFERROR(__xludf.DUMMYFUNCTION("FILTER ('Research Papers'!D:D,'Research Papers'!A:A=C250)"),"Learning to Evolve: Bayesian-Guided Continual Knowledge Graph Embedding")</f>
        <v>Learning to Evolve: Bayesian-Guided Continual Knowledge Graph Embedding</v>
      </c>
      <c r="C250" s="133" t="s">
        <v>616</v>
      </c>
      <c r="D250" s="153" t="str">
        <f t="shared" si="1"/>
        <v>Learning to Evolve: Bayesian-Guided Continual Knowledge Graph Embedding
Linyu Li, Zhi Jin, Yuanpeng He, Dongming Jin, Yichi Zhang,
Haoran Duan, Xuan Zhang, Zhengwei Tao and Tashi Nyima
</v>
      </c>
      <c r="E250" s="153" t="str">
        <f>IFERROR(__xludf.DUMMYFUNCTION("TEXTJOIN(CHAR(10), TRUE,FILTER('Research Papers'!$C:$C,'Research Papers'!$A:$A=C250))"),"Linyu Li, Zhi Jin, Yuanpeng He, Dongming Jin, Yichi Zhang,
Haoran Duan, Xuan Zhang, Zhengwei Tao and Tashi Nyima")</f>
        <v>Linyu Li, Zhi Jin, Yuanpeng He, Dongming Jin, Yichi Zhang,
Haoran Duan, Xuan Zhang, Zhengwei Tao and Tashi Nyima</v>
      </c>
      <c r="F250" s="133" t="s">
        <v>168</v>
      </c>
      <c r="G250" s="153"/>
      <c r="H250" s="153"/>
      <c r="I250" s="120"/>
      <c r="J250" s="120"/>
      <c r="K250" s="153"/>
      <c r="L250" s="153"/>
      <c r="M250" s="153"/>
      <c r="N250" s="153"/>
      <c r="O250" s="153"/>
      <c r="P250" s="153"/>
      <c r="Q250" s="153"/>
      <c r="R250" s="153"/>
      <c r="S250" s="153"/>
      <c r="T250" s="153"/>
      <c r="U250" s="153"/>
      <c r="V250" s="153"/>
      <c r="W250" s="153"/>
      <c r="X250" s="153"/>
      <c r="Y250" s="153"/>
      <c r="Z250" s="153"/>
      <c r="AA250" s="153"/>
      <c r="AB250" s="153"/>
      <c r="AC250" s="153"/>
    </row>
    <row r="251">
      <c r="A251" s="152" t="s">
        <v>330</v>
      </c>
      <c r="B251" s="133" t="str">
        <f>IFERROR(__xludf.DUMMYFUNCTION("FILTER ('Research Papers'!D:D,'Research Papers'!A:A=C251)"),"Aligning Multiple Knowledge Graphs in A Single Pass")</f>
        <v>Aligning Multiple Knowledge Graphs in A Single Pass</v>
      </c>
      <c r="C251" s="133" t="s">
        <v>617</v>
      </c>
      <c r="D251" s="153" t="str">
        <f t="shared" si="1"/>
        <v>Aligning Multiple Knowledge Graphs in A Single Pass
Yaming Yang, Zhe Wang, Ziyu Guan, Wei Zhao, Weigang Lu,
Xinyan Huang, Jiangtao Cui and Xiaofei He
</v>
      </c>
      <c r="E251" s="153" t="str">
        <f>IFERROR(__xludf.DUMMYFUNCTION("TEXTJOIN(CHAR(10), TRUE,FILTER('Research Papers'!$C:$C,'Research Papers'!$A:$A=C251))"),"Yaming Yang, Zhe Wang, Ziyu Guan, Wei Zhao, Weigang Lu,
Xinyan Huang, Jiangtao Cui and Xiaofei He")</f>
        <v>Yaming Yang, Zhe Wang, Ziyu Guan, Wei Zhao, Weigang Lu,
Xinyan Huang, Jiangtao Cui and Xiaofei He</v>
      </c>
      <c r="F251" s="133" t="s">
        <v>150</v>
      </c>
      <c r="G251" s="153"/>
      <c r="H251" s="153"/>
      <c r="I251" s="120"/>
      <c r="J251" s="120"/>
      <c r="K251" s="153"/>
      <c r="L251" s="153"/>
      <c r="M251" s="153"/>
      <c r="N251" s="153"/>
      <c r="O251" s="153"/>
      <c r="P251" s="153"/>
      <c r="Q251" s="153"/>
      <c r="R251" s="153"/>
      <c r="S251" s="153"/>
      <c r="T251" s="153"/>
      <c r="U251" s="153"/>
      <c r="V251" s="153"/>
      <c r="W251" s="153"/>
      <c r="X251" s="153"/>
      <c r="Y251" s="153"/>
      <c r="Z251" s="153"/>
      <c r="AA251" s="153"/>
      <c r="AB251" s="153"/>
      <c r="AC251" s="153"/>
    </row>
    <row r="252">
      <c r="A252" s="152" t="s">
        <v>330</v>
      </c>
      <c r="B252" s="133" t="str">
        <f>IFERROR(__xludf.DUMMYFUNCTION("FILTER ('Research Papers'!D:D,'Research Papers'!A:A=C252)"),"CausalSKyHop: Knowledge-Aware Causal Explanation of Dynamic GNNs via Higher-Order Semantic Reasoning")</f>
        <v>CausalSKyHop: Knowledge-Aware Causal Explanation of Dynamic GNNs via Higher-Order Semantic Reasoning</v>
      </c>
      <c r="C252" s="133" t="s">
        <v>618</v>
      </c>
      <c r="D252" s="153" t="str">
        <f t="shared" si="1"/>
        <v>CausalSKyHop: Knowledge-Aware Causal Explanation of Dynamic GNNs via Higher-Order Semantic Reasoning
Jixuan Wu, Limei Lin, Xiaoding Wang, Kunpeng Xu and Jie Wu
</v>
      </c>
      <c r="E252" s="153" t="str">
        <f>IFERROR(__xludf.DUMMYFUNCTION("TEXTJOIN(CHAR(10), TRUE,FILTER('Research Papers'!$C:$C,'Research Papers'!$A:$A=C252))"),"Jixuan Wu, Limei Lin, Xiaoding Wang, Kunpeng Xu and Jie Wu")</f>
        <v>Jixuan Wu, Limei Lin, Xiaoding Wang, Kunpeng Xu and Jie Wu</v>
      </c>
      <c r="F252" s="133" t="s">
        <v>150</v>
      </c>
      <c r="G252" s="153"/>
      <c r="H252" s="153"/>
      <c r="I252" s="120"/>
      <c r="J252" s="120"/>
      <c r="K252" s="153"/>
      <c r="L252" s="153"/>
      <c r="M252" s="153"/>
      <c r="N252" s="153"/>
      <c r="O252" s="153"/>
      <c r="P252" s="153"/>
      <c r="Q252" s="153"/>
      <c r="R252" s="153"/>
      <c r="S252" s="153"/>
      <c r="T252" s="153"/>
      <c r="U252" s="153"/>
      <c r="V252" s="153"/>
      <c r="W252" s="153"/>
      <c r="X252" s="153"/>
      <c r="Y252" s="153"/>
      <c r="Z252" s="153"/>
      <c r="AA252" s="153"/>
      <c r="AB252" s="153"/>
      <c r="AC252" s="153"/>
    </row>
    <row r="253">
      <c r="A253" s="152" t="s">
        <v>330</v>
      </c>
      <c r="B253" s="133" t="str">
        <f>IFERROR(__xludf.DUMMYFUNCTION("FILTER ('Research Papers'!D:D,'Research Papers'!A:A=C253)"),"Conditional Diffusion Guided Knowledge Transfer for Multi-Domain Knowledge Graph Completion")</f>
        <v>Conditional Diffusion Guided Knowledge Transfer for Multi-Domain Knowledge Graph Completion</v>
      </c>
      <c r="C253" s="133" t="s">
        <v>619</v>
      </c>
      <c r="D253" s="153" t="str">
        <f t="shared" si="1"/>
        <v>Conditional Diffusion Guided Knowledge Transfer for Multi-Domain Knowledge Graph Completion
Jiawei Sheng, Taoyu Su, Xixun Lin, Xiaodong Li and Tingwen
Liu
</v>
      </c>
      <c r="E253" s="153" t="str">
        <f>IFERROR(__xludf.DUMMYFUNCTION("TEXTJOIN(CHAR(10), TRUE,FILTER('Research Papers'!$C:$C,'Research Papers'!$A:$A=C253))"),"Jiawei Sheng, Taoyu Su, Xixun Lin, Xiaodong Li and Tingwen
Liu")</f>
        <v>Jiawei Sheng, Taoyu Su, Xixun Lin, Xiaodong Li and Tingwen
Liu</v>
      </c>
      <c r="F253" s="133" t="s">
        <v>150</v>
      </c>
      <c r="G253" s="153"/>
      <c r="H253" s="153"/>
      <c r="I253" s="120"/>
      <c r="J253" s="120"/>
      <c r="K253" s="153"/>
      <c r="L253" s="153"/>
      <c r="M253" s="153"/>
      <c r="N253" s="153"/>
      <c r="O253" s="153"/>
      <c r="P253" s="153"/>
      <c r="Q253" s="153"/>
      <c r="R253" s="153"/>
      <c r="S253" s="153"/>
      <c r="T253" s="153"/>
      <c r="U253" s="153"/>
      <c r="V253" s="153"/>
      <c r="W253" s="153"/>
      <c r="X253" s="153"/>
      <c r="Y253" s="153"/>
      <c r="Z253" s="153"/>
      <c r="AA253" s="153"/>
      <c r="AB253" s="153"/>
      <c r="AC253" s="153"/>
    </row>
    <row r="254">
      <c r="A254" s="152" t="s">
        <v>330</v>
      </c>
      <c r="B254" s="133" t="str">
        <f>IFERROR(__xludf.DUMMYFUNCTION("FILTER ('Research Papers'!D:D,'Research Papers'!A:A=C254)"),"How Human Experts Educate Specialized LLMs: Filling Knowledge Gaps in KG-Augmented Generation through Hallucination Detection")</f>
        <v>How Human Experts Educate Specialized LLMs: Filling Knowledge Gaps in KG-Augmented Generation through Hallucination Detection</v>
      </c>
      <c r="C254" s="133" t="s">
        <v>620</v>
      </c>
      <c r="D254" s="153" t="str">
        <f t="shared" si="1"/>
        <v>How Human Experts Educate Specialized LLMs: Filling Knowledge Gaps in KG-Augmented Generation through Hallucination Detection
Chaofan Li, Lixing Chen, Junhua Tang, Yang Bai, Yutong
Zhang, Zhi Zheng, Pan Zhou and Zhe Qu
</v>
      </c>
      <c r="E254" s="153" t="str">
        <f>IFERROR(__xludf.DUMMYFUNCTION("TEXTJOIN(CHAR(10), TRUE,FILTER('Research Papers'!$C:$C,'Research Papers'!$A:$A=C254))"),"Chaofan Li, Lixing Chen, Junhua Tang, Yang Bai, Yutong
Zhang, Zhi Zheng, Pan Zhou and Zhe Qu")</f>
        <v>Chaofan Li, Lixing Chen, Junhua Tang, Yang Bai, Yutong
Zhang, Zhi Zheng, Pan Zhou and Zhe Qu</v>
      </c>
      <c r="F254" s="133" t="s">
        <v>150</v>
      </c>
      <c r="G254" s="153"/>
      <c r="H254" s="153"/>
      <c r="I254" s="120"/>
      <c r="J254" s="120"/>
      <c r="K254" s="153"/>
      <c r="L254" s="153"/>
      <c r="M254" s="153"/>
      <c r="N254" s="153"/>
      <c r="O254" s="153"/>
      <c r="P254" s="153"/>
      <c r="Q254" s="153"/>
      <c r="R254" s="153"/>
      <c r="S254" s="153"/>
      <c r="T254" s="153"/>
      <c r="U254" s="153"/>
      <c r="V254" s="153"/>
      <c r="W254" s="153"/>
      <c r="X254" s="153"/>
      <c r="Y254" s="153"/>
      <c r="Z254" s="153"/>
      <c r="AA254" s="153"/>
      <c r="AB254" s="153"/>
      <c r="AC254" s="153"/>
    </row>
    <row r="255">
      <c r="A255" s="152" t="s">
        <v>330</v>
      </c>
      <c r="B255" s="133" t="str">
        <f>IFERROR(__xludf.DUMMYFUNCTION("FILTER ('Research Papers'!D:D,'Research Papers'!A:A=C255)"),"A Unified Framework for Rule Learning: Integrating Commonsense Knowledge from LLMs with Structured Knowledge from Knowledge Graphs")</f>
        <v>A Unified Framework for Rule Learning: Integrating Commonsense Knowledge from LLMs with Structured Knowledge from Knowledge Graphs</v>
      </c>
      <c r="C255" s="133" t="s">
        <v>621</v>
      </c>
      <c r="D255" s="153" t="str">
        <f t="shared" si="1"/>
        <v>A Unified Framework for Rule Learning: Integrating Commonsense Knowledge from LLMs with Structured Knowledge from Knowledge Graphs
Qirui Hao, Kewei Cheng, Tongze Zhang, Hongyuan Liu, Junming
Shao and Carl Yang
</v>
      </c>
      <c r="E255" s="153" t="str">
        <f>IFERROR(__xludf.DUMMYFUNCTION("TEXTJOIN(CHAR(10), TRUE,FILTER('Research Papers'!$C:$C,'Research Papers'!$A:$A=C255))"),"Qirui Hao, Kewei Cheng, Tongze Zhang, Hongyuan Liu, Junming
Shao and Carl Yang")</f>
        <v>Qirui Hao, Kewei Cheng, Tongze Zhang, Hongyuan Liu, Junming
Shao and Carl Yang</v>
      </c>
      <c r="F255" s="133" t="s">
        <v>150</v>
      </c>
      <c r="G255" s="153"/>
      <c r="H255" s="153"/>
      <c r="I255" s="120"/>
      <c r="J255" s="120"/>
      <c r="K255" s="153"/>
      <c r="L255" s="153"/>
      <c r="M255" s="153"/>
      <c r="N255" s="153"/>
      <c r="O255" s="153"/>
      <c r="P255" s="153"/>
      <c r="Q255" s="153"/>
      <c r="R255" s="153"/>
      <c r="S255" s="153"/>
      <c r="T255" s="153"/>
      <c r="U255" s="153"/>
      <c r="V255" s="153"/>
      <c r="W255" s="153"/>
      <c r="X255" s="153"/>
      <c r="Y255" s="153"/>
      <c r="Z255" s="153"/>
      <c r="AA255" s="153"/>
      <c r="AB255" s="153"/>
      <c r="AC255" s="153"/>
    </row>
    <row r="256">
      <c r="A256" s="152" t="s">
        <v>330</v>
      </c>
      <c r="B256" s="133" t="str">
        <f>IFERROR(__xludf.DUMMYFUNCTION("FILTER ('Research Papers'!D:D,'Research Papers'!A:A=C256)"),"Multi-Granularity Multi-Modal Knowledge Graph Representation Learning via Subgraph-Aware Adaptive Fusion and Hierarchical Relation Modeling")</f>
        <v>Multi-Granularity Multi-Modal Knowledge Graph Representation Learning via Subgraph-Aware Adaptive Fusion and Hierarchical Relation Modeling</v>
      </c>
      <c r="C256" s="133" t="s">
        <v>622</v>
      </c>
      <c r="D256" s="153" t="str">
        <f t="shared" si="1"/>
        <v>Multi-Granularity Multi-Modal Knowledge Graph Representation Learning via Subgraph-Aware Adaptive Fusion and Hierarchical Relation Modeling
Peining Li, Meiyu Liang, Wei Huang, Junping Du, Zhe Xue,
Guanhua Ye, Wu Liu and Lei Shi
</v>
      </c>
      <c r="E256" s="153" t="str">
        <f>IFERROR(__xludf.DUMMYFUNCTION("TEXTJOIN(CHAR(10), TRUE,FILTER('Research Papers'!$C:$C,'Research Papers'!$A:$A=C256))"),"Peining Li, Meiyu Liang, Wei Huang, Junping Du, Zhe Xue,
Guanhua Ye, Wu Liu and Lei Shi")</f>
        <v>Peining Li, Meiyu Liang, Wei Huang, Junping Du, Zhe Xue,
Guanhua Ye, Wu Liu and Lei Shi</v>
      </c>
      <c r="F256" s="133" t="s">
        <v>130</v>
      </c>
      <c r="G256" s="153"/>
      <c r="H256" s="153"/>
      <c r="I256" s="120"/>
      <c r="J256" s="120"/>
      <c r="K256" s="153"/>
      <c r="L256" s="153"/>
      <c r="M256" s="153"/>
      <c r="N256" s="153"/>
      <c r="O256" s="153"/>
      <c r="P256" s="153"/>
      <c r="Q256" s="153"/>
      <c r="R256" s="153"/>
      <c r="S256" s="153"/>
      <c r="T256" s="153"/>
      <c r="U256" s="153"/>
      <c r="V256" s="153"/>
      <c r="W256" s="153"/>
      <c r="X256" s="153"/>
      <c r="Y256" s="153"/>
      <c r="Z256" s="153"/>
      <c r="AA256" s="153"/>
      <c r="AB256" s="153"/>
      <c r="AC256" s="153"/>
    </row>
    <row r="257">
      <c r="A257" s="152" t="s">
        <v>330</v>
      </c>
      <c r="B257" s="133" t="str">
        <f>IFERROR(__xludf.DUMMYFUNCTION("FILTER ('Research Papers'!D:D,'Research Papers'!A:A=C257)"),"Grasp: Refining Semantic Graphs into Purified Knowledge for Cross-Modal Communication")</f>
        <v>Grasp: Refining Semantic Graphs into Purified Knowledge for Cross-Modal Communication</v>
      </c>
      <c r="C257" s="133" t="s">
        <v>623</v>
      </c>
      <c r="D257" s="153" t="str">
        <f t="shared" si="1"/>
        <v>Grasp: Refining Semantic Graphs into Purified Knowledge for Cross-Modal Communication
Liang Chen, Xiaoding Wang, Limei Lin, Dajin Wang, Zhiquan
Liu and Jie Wu
</v>
      </c>
      <c r="E257" s="153" t="str">
        <f>IFERROR(__xludf.DUMMYFUNCTION("TEXTJOIN(CHAR(10), TRUE,FILTER('Research Papers'!$C:$C,'Research Papers'!$A:$A=C257))"),"Liang Chen, Xiaoding Wang, Limei Lin, Dajin Wang, Zhiquan
Liu and Jie Wu")</f>
        <v>Liang Chen, Xiaoding Wang, Limei Lin, Dajin Wang, Zhiquan
Liu and Jie Wu</v>
      </c>
      <c r="F257" s="133" t="s">
        <v>130</v>
      </c>
      <c r="G257" s="153"/>
      <c r="H257" s="153"/>
      <c r="I257" s="120"/>
      <c r="J257" s="120"/>
      <c r="K257" s="153"/>
      <c r="L257" s="153"/>
      <c r="M257" s="153"/>
      <c r="N257" s="153"/>
      <c r="O257" s="153"/>
      <c r="P257" s="153"/>
      <c r="Q257" s="153"/>
      <c r="R257" s="153"/>
      <c r="S257" s="153"/>
      <c r="T257" s="153"/>
      <c r="U257" s="153"/>
      <c r="V257" s="153"/>
      <c r="W257" s="153"/>
      <c r="X257" s="153"/>
      <c r="Y257" s="153"/>
      <c r="Z257" s="153"/>
      <c r="AA257" s="153"/>
      <c r="AB257" s="153"/>
      <c r="AC257" s="153"/>
    </row>
    <row r="258">
      <c r="A258" s="152" t="s">
        <v>330</v>
      </c>
      <c r="B258" s="133" t="str">
        <f>IFERROR(__xludf.DUMMYFUNCTION("FILTER ('Research Papers'!D:D,'Research Papers'!A:A=C258)"),"Enhancing Multi-Modal Entity Alignment via Multi-Grained Decision Fusion")</f>
        <v>Enhancing Multi-Modal Entity Alignment via Multi-Grained Decision Fusion</v>
      </c>
      <c r="C258" s="133" t="s">
        <v>624</v>
      </c>
      <c r="D258" s="153" t="str">
        <f t="shared" si="1"/>
        <v>Enhancing Multi-Modal Entity Alignment via Multi-Grained Decision Fusion
Yu Xing, Qizhuo Xie, You Lv, Ziyang Zhou, Qianzi Hou, Qing
Gu, Bin Chong and Tieke He
</v>
      </c>
      <c r="E258" s="153" t="str">
        <f>IFERROR(__xludf.DUMMYFUNCTION("TEXTJOIN(CHAR(10), TRUE,FILTER('Research Papers'!$C:$C,'Research Papers'!$A:$A=C258))"),"Yu Xing, Qizhuo Xie, You Lv, Ziyang Zhou, Qianzi Hou, Qing
Gu, Bin Chong and Tieke He")</f>
        <v>Yu Xing, Qizhuo Xie, You Lv, Ziyang Zhou, Qianzi Hou, Qing
Gu, Bin Chong and Tieke He</v>
      </c>
      <c r="F258" s="133" t="s">
        <v>130</v>
      </c>
      <c r="G258" s="153"/>
      <c r="H258" s="153"/>
      <c r="I258" s="120"/>
      <c r="J258" s="120"/>
      <c r="K258" s="153"/>
      <c r="L258" s="153"/>
      <c r="M258" s="153"/>
      <c r="N258" s="153"/>
      <c r="O258" s="153"/>
      <c r="P258" s="153"/>
      <c r="Q258" s="153"/>
      <c r="R258" s="153"/>
      <c r="S258" s="153"/>
      <c r="T258" s="153"/>
      <c r="U258" s="153"/>
      <c r="V258" s="153"/>
      <c r="W258" s="153"/>
      <c r="X258" s="153"/>
      <c r="Y258" s="153"/>
      <c r="Z258" s="153"/>
      <c r="AA258" s="153"/>
      <c r="AB258" s="153"/>
      <c r="AC258" s="153"/>
    </row>
    <row r="259">
      <c r="A259" s="152" t="s">
        <v>330</v>
      </c>
      <c r="B259" s="133" t="str">
        <f>IFERROR(__xludf.DUMMYFUNCTION("FILTER ('Research Papers'!D:D,'Research Papers'!A:A=C259)"),"Relation-Aware Multimodal Analogical Reasoning with Modality Fingerprints and Adaptive Gating")</f>
        <v>Relation-Aware Multimodal Analogical Reasoning with Modality Fingerprints and Adaptive Gating</v>
      </c>
      <c r="C259" s="133" t="s">
        <v>625</v>
      </c>
      <c r="D259" s="153" t="str">
        <f t="shared" si="1"/>
        <v>Relation-Aware Multimodal Analogical Reasoning with Modality Fingerprints and Adaptive Gating
Ruofan Wang, Zijian Huang, Qiqi Wang, Yuchen Su, Robert
Amor, Kaiqi Zhao and Meng-Fen Chiang
</v>
      </c>
      <c r="E259" s="153" t="str">
        <f>IFERROR(__xludf.DUMMYFUNCTION("TEXTJOIN(CHAR(10), TRUE,FILTER('Research Papers'!$C:$C,'Research Papers'!$A:$A=C259))"),"Ruofan Wang, Zijian Huang, Qiqi Wang, Yuchen Su, Robert
Amor, Kaiqi Zhao and Meng-Fen Chiang")</f>
        <v>Ruofan Wang, Zijian Huang, Qiqi Wang, Yuchen Su, Robert
Amor, Kaiqi Zhao and Meng-Fen Chiang</v>
      </c>
      <c r="F259" s="133" t="s">
        <v>130</v>
      </c>
      <c r="G259" s="153"/>
      <c r="H259" s="153"/>
      <c r="I259" s="120"/>
      <c r="J259" s="120"/>
      <c r="K259" s="153"/>
      <c r="L259" s="153"/>
      <c r="M259" s="153"/>
      <c r="N259" s="153"/>
      <c r="O259" s="153"/>
      <c r="P259" s="153"/>
      <c r="Q259" s="153"/>
      <c r="R259" s="153"/>
      <c r="S259" s="153"/>
      <c r="T259" s="153"/>
      <c r="U259" s="153"/>
      <c r="V259" s="153"/>
      <c r="W259" s="153"/>
      <c r="X259" s="153"/>
      <c r="Y259" s="153"/>
      <c r="Z259" s="153"/>
      <c r="AA259" s="153"/>
      <c r="AB259" s="153"/>
      <c r="AC259" s="153"/>
    </row>
    <row r="260">
      <c r="A260" s="152" t="s">
        <v>330</v>
      </c>
      <c r="B260" s="133" t="str">
        <f>IFERROR(__xludf.DUMMYFUNCTION("FILTER ('Research Papers'!D:D,'Research Papers'!A:A=C260)"),"DyMRL: Dynamic Multispace Representation Learning for Multimodal Event Forecasting in Knowledge Graph")</f>
        <v>DyMRL: Dynamic Multispace Representation Learning for Multimodal Event Forecasting in Knowledge Graph</v>
      </c>
      <c r="C260" s="133" t="s">
        <v>626</v>
      </c>
      <c r="D260" s="153" t="str">
        <f t="shared" si="1"/>
        <v>DyMRL: Dynamic Multispace Representation Learning for Multimodal Event Forecasting in Knowledge Graph
Feng Zhao, Kangzheng Liu, Teng Peng, Yu Yang and Guandong Xu
</v>
      </c>
      <c r="E260" s="153" t="str">
        <f>IFERROR(__xludf.DUMMYFUNCTION("TEXTJOIN(CHAR(10), TRUE,FILTER('Research Papers'!$C:$C,'Research Papers'!$A:$A=C260))"),"Feng Zhao, Kangzheng Liu, Teng Peng, Yu Yang and Guandong Xu")</f>
        <v>Feng Zhao, Kangzheng Liu, Teng Peng, Yu Yang and Guandong Xu</v>
      </c>
      <c r="F260" s="133" t="s">
        <v>130</v>
      </c>
      <c r="G260" s="153"/>
      <c r="H260" s="153"/>
      <c r="I260" s="120"/>
      <c r="J260" s="120"/>
      <c r="K260" s="153"/>
      <c r="L260" s="153"/>
      <c r="M260" s="153"/>
      <c r="N260" s="153"/>
      <c r="O260" s="153"/>
      <c r="P260" s="153"/>
      <c r="Q260" s="153"/>
      <c r="R260" s="153"/>
      <c r="S260" s="153"/>
      <c r="T260" s="153"/>
      <c r="U260" s="153"/>
      <c r="V260" s="153"/>
      <c r="W260" s="153"/>
      <c r="X260" s="153"/>
      <c r="Y260" s="153"/>
      <c r="Z260" s="153"/>
      <c r="AA260" s="153"/>
      <c r="AB260" s="153"/>
      <c r="AC260" s="153"/>
    </row>
    <row r="261">
      <c r="A261" s="152" t="s">
        <v>330</v>
      </c>
      <c r="B261" s="133" t="str">
        <f>IFERROR(__xludf.DUMMYFUNCTION("FILTER ('Research Papers'!D:D,'Research Papers'!A:A=C261)"),"DSTAG: A Semantic Tag-Enhanced Dual-Graph Convolutional Network for Temporal Knowledge Graph Completion")</f>
        <v>DSTAG: A Semantic Tag-Enhanced Dual-Graph Convolutional Network for Temporal Knowledge Graph Completion</v>
      </c>
      <c r="C261" s="133" t="s">
        <v>627</v>
      </c>
      <c r="D261" s="153" t="str">
        <f t="shared" si="1"/>
        <v>DSTAG: A Semantic Tag-Enhanced Dual-Graph Convolutional Network for Temporal Knowledge Graph Completion
Yuchao Zhang, Xiangjie Kong, Kailun Ye, Shangfei Zheng and
Guojiang Shen
</v>
      </c>
      <c r="E261" s="153" t="str">
        <f>IFERROR(__xludf.DUMMYFUNCTION("TEXTJOIN(CHAR(10), TRUE,FILTER('Research Papers'!$C:$C,'Research Papers'!$A:$A=C261))"),"Yuchao Zhang, Xiangjie Kong, Kailun Ye, Shangfei Zheng and
Guojiang Shen")</f>
        <v>Yuchao Zhang, Xiangjie Kong, Kailun Ye, Shangfei Zheng and
Guojiang Shen</v>
      </c>
      <c r="F261" s="133" t="s">
        <v>195</v>
      </c>
      <c r="G261" s="153"/>
      <c r="H261" s="153"/>
      <c r="I261" s="120"/>
      <c r="J261" s="120"/>
      <c r="K261" s="153"/>
      <c r="L261" s="153"/>
      <c r="M261" s="153"/>
      <c r="N261" s="153"/>
      <c r="O261" s="153"/>
      <c r="P261" s="153"/>
      <c r="Q261" s="153"/>
      <c r="R261" s="153"/>
      <c r="S261" s="153"/>
      <c r="T261" s="153"/>
      <c r="U261" s="153"/>
      <c r="V261" s="153"/>
      <c r="W261" s="153"/>
      <c r="X261" s="153"/>
      <c r="Y261" s="153"/>
      <c r="Z261" s="153"/>
      <c r="AA261" s="153"/>
      <c r="AB261" s="153"/>
      <c r="AC261" s="153"/>
    </row>
    <row r="262">
      <c r="A262" s="152" t="s">
        <v>330</v>
      </c>
      <c r="B262" s="133" t="str">
        <f>IFERROR(__xludf.DUMMYFUNCTION("FILTER ('Research Papers'!D:D,'Research Papers'!A:A=C262)"),"Plan Then Retrieve: Reinforcement Learning-Guided Complex Reasoning over Knowledge Graphs")</f>
        <v>Plan Then Retrieve: Reinforcement Learning-Guided Complex Reasoning over Knowledge Graphs</v>
      </c>
      <c r="C262" s="133" t="s">
        <v>628</v>
      </c>
      <c r="D262" s="153" t="str">
        <f t="shared" si="1"/>
        <v>Plan Then Retrieve: Reinforcement Learning-Guided Complex Reasoning over Knowledge Graphs
Yanlin Song, Ben Liu, Víctor Gutiérrez-Basulto, Zhiwei Hu,
Qianqian Xie, Min Peng, Sophia Ananiadou and Jeff Z. Pan
</v>
      </c>
      <c r="E262" s="153" t="str">
        <f>IFERROR(__xludf.DUMMYFUNCTION("TEXTJOIN(CHAR(10), TRUE,FILTER('Research Papers'!$C:$C,'Research Papers'!$A:$A=C262))"),"Yanlin Song, Ben Liu, Víctor Gutiérrez-Basulto, Zhiwei Hu,
Qianqian Xie, Min Peng, Sophia Ananiadou and Jeff Z. Pan")</f>
        <v>Yanlin Song, Ben Liu, Víctor Gutiérrez-Basulto, Zhiwei Hu,
Qianqian Xie, Min Peng, Sophia Ananiadou and Jeff Z. Pan</v>
      </c>
      <c r="F262" s="133" t="s">
        <v>195</v>
      </c>
      <c r="G262" s="153"/>
      <c r="H262" s="153"/>
      <c r="I262" s="120"/>
      <c r="J262" s="120"/>
      <c r="K262" s="153"/>
      <c r="L262" s="153"/>
      <c r="M262" s="153"/>
      <c r="N262" s="153"/>
      <c r="O262" s="153"/>
      <c r="P262" s="153"/>
      <c r="Q262" s="153"/>
      <c r="R262" s="153"/>
      <c r="S262" s="153"/>
      <c r="T262" s="153"/>
      <c r="U262" s="153"/>
      <c r="V262" s="153"/>
      <c r="W262" s="153"/>
      <c r="X262" s="153"/>
      <c r="Y262" s="153"/>
      <c r="Z262" s="153"/>
      <c r="AA262" s="153"/>
      <c r="AB262" s="153"/>
      <c r="AC262" s="153"/>
    </row>
    <row r="263">
      <c r="A263" s="152" t="s">
        <v>330</v>
      </c>
      <c r="B263" s="133" t="str">
        <f>IFERROR(__xludf.DUMMYFUNCTION("FILTER ('Research Papers'!D:D,'Research Papers'!A:A=C263)"),"MemoTime: Memory-Augmented Temporal Knowledge Graph Enhanced Large Language Model Reasoning")</f>
        <v>MemoTime: Memory-Augmented Temporal Knowledge Graph Enhanced Large Language Model Reasoning</v>
      </c>
      <c r="C263" s="133" t="s">
        <v>629</v>
      </c>
      <c r="D263" s="153" t="str">
        <f t="shared" si="1"/>
        <v>MemoTime: Memory-Augmented Temporal Knowledge Graph Enhanced Large Language Model Reasoning
Xingyu Tan, Xiaoyang Wang, Qing Liu, Xiwei Xu, Xin Yuan,
Liming Zhu and Wenjie Zhang
</v>
      </c>
      <c r="E263" s="153" t="str">
        <f>IFERROR(__xludf.DUMMYFUNCTION("TEXTJOIN(CHAR(10), TRUE,FILTER('Research Papers'!$C:$C,'Research Papers'!$A:$A=C263))"),"Xingyu Tan, Xiaoyang Wang, Qing Liu, Xiwei Xu, Xin Yuan,
Liming Zhu and Wenjie Zhang")</f>
        <v>Xingyu Tan, Xiaoyang Wang, Qing Liu, Xiwei Xu, Xin Yuan,
Liming Zhu and Wenjie Zhang</v>
      </c>
      <c r="F263" s="133" t="s">
        <v>195</v>
      </c>
      <c r="G263" s="153"/>
      <c r="H263" s="153"/>
      <c r="I263" s="120"/>
      <c r="J263" s="120"/>
      <c r="K263" s="153"/>
      <c r="L263" s="153"/>
      <c r="M263" s="153"/>
      <c r="N263" s="153"/>
      <c r="O263" s="153"/>
      <c r="P263" s="153"/>
      <c r="Q263" s="153"/>
      <c r="R263" s="153"/>
      <c r="S263" s="153"/>
      <c r="T263" s="153"/>
      <c r="U263" s="153"/>
      <c r="V263" s="153"/>
      <c r="W263" s="153"/>
      <c r="X263" s="153"/>
      <c r="Y263" s="153"/>
      <c r="Z263" s="153"/>
      <c r="AA263" s="153"/>
      <c r="AB263" s="153"/>
      <c r="AC263" s="153"/>
    </row>
    <row r="264">
      <c r="A264" s="152" t="s">
        <v>330</v>
      </c>
      <c r="B264" s="133" t="str">
        <f>IFERROR(__xludf.DUMMYFUNCTION("FILTER ('Research Papers'!D:D,'Research Papers'!A:A=C264)"),"PRoH: Dynamic Planning and Reasoning over Knowledge Hypergraphs for Retrieval-Augmented Generation")</f>
        <v>PRoH: Dynamic Planning and Reasoning over Knowledge Hypergraphs for Retrieval-Augmented Generation</v>
      </c>
      <c r="C264" s="133" t="s">
        <v>630</v>
      </c>
      <c r="D264" s="153" t="str">
        <f t="shared" si="1"/>
        <v>PRoH: Dynamic Planning and Reasoning over Knowledge Hypergraphs for Retrieval-Augmented Generation
Xiangjun Zai, Xingyu Tan, Xiaoyang Wang, Qing Liu, Xiwei Xu
and Wenjie Zhang
</v>
      </c>
      <c r="E264" s="153" t="str">
        <f>IFERROR(__xludf.DUMMYFUNCTION("TEXTJOIN(CHAR(10), TRUE,FILTER('Research Papers'!$C:$C,'Research Papers'!$A:$A=C264))"),"Xiangjun Zai, Xingyu Tan, Xiaoyang Wang, Qing Liu, Xiwei Xu
and Wenjie Zhang")</f>
        <v>Xiangjun Zai, Xingyu Tan, Xiaoyang Wang, Qing Liu, Xiwei Xu
and Wenjie Zhang</v>
      </c>
      <c r="F264" s="133" t="s">
        <v>195</v>
      </c>
      <c r="G264" s="153"/>
      <c r="H264" s="153"/>
      <c r="I264" s="120"/>
      <c r="J264" s="120"/>
      <c r="K264" s="153"/>
      <c r="L264" s="153"/>
      <c r="M264" s="153"/>
      <c r="N264" s="153"/>
      <c r="O264" s="153"/>
      <c r="P264" s="153"/>
      <c r="Q264" s="153"/>
      <c r="R264" s="153"/>
      <c r="S264" s="153"/>
      <c r="T264" s="153"/>
      <c r="U264" s="153"/>
      <c r="V264" s="153"/>
      <c r="W264" s="153"/>
      <c r="X264" s="153"/>
      <c r="Y264" s="153"/>
      <c r="Z264" s="153"/>
      <c r="AA264" s="153"/>
      <c r="AB264" s="153"/>
      <c r="AC264" s="153"/>
    </row>
    <row r="265">
      <c r="A265" s="152" t="s">
        <v>330</v>
      </c>
      <c r="B265" s="133" t="str">
        <f>IFERROR(__xludf.DUMMYFUNCTION("FILTER ('Research Papers'!D:D,'Research Papers'!A:A=C265)"),"Beyond Single Pass, Looping Through Time: KG-IRAG with Iterative Knowledge Retrieval")</f>
        <v>Beyond Single Pass, Looping Through Time: KG-IRAG with Iterative Knowledge Retrieval</v>
      </c>
      <c r="C265" s="133" t="s">
        <v>631</v>
      </c>
      <c r="D265" s="153" t="str">
        <f t="shared" si="1"/>
        <v>Beyond Single Pass, Looping Through Time: KG-IRAG with Iterative Knowledge Retrieval
Ruiyi Yang, Hao Xue, Imran Razzak and Flora D. Salim
</v>
      </c>
      <c r="E265" s="153" t="str">
        <f>IFERROR(__xludf.DUMMYFUNCTION("TEXTJOIN(CHAR(10), TRUE,FILTER('Research Papers'!$C:$C,'Research Papers'!$A:$A=C265))"),"Ruiyi Yang, Hao Xue, Imran Razzak and Flora D. Salim")</f>
        <v>Ruiyi Yang, Hao Xue, Imran Razzak and Flora D. Salim</v>
      </c>
      <c r="F265" s="133" t="s">
        <v>195</v>
      </c>
      <c r="G265" s="153"/>
      <c r="H265" s="153"/>
      <c r="I265" s="120"/>
      <c r="J265" s="120"/>
      <c r="K265" s="153"/>
      <c r="L265" s="153"/>
      <c r="M265" s="153"/>
      <c r="N265" s="153"/>
      <c r="O265" s="153"/>
      <c r="P265" s="153"/>
      <c r="Q265" s="153"/>
      <c r="R265" s="153"/>
      <c r="S265" s="153"/>
      <c r="T265" s="153"/>
      <c r="U265" s="153"/>
      <c r="V265" s="153"/>
      <c r="W265" s="153"/>
      <c r="X265" s="153"/>
      <c r="Y265" s="153"/>
      <c r="Z265" s="153"/>
      <c r="AA265" s="153"/>
      <c r="AB265" s="153"/>
      <c r="AC265" s="153"/>
    </row>
    <row r="266">
      <c r="A266" s="152" t="s">
        <v>330</v>
      </c>
      <c r="B266" s="133" t="str">
        <f>IFERROR(__xludf.DUMMYFUNCTION("FILTER ('Research Papers'!D:D,'Research Papers'!A:A=C266)"),"Bridging Expert Reasoning and LLM Detection: A Knowledge-Driven Framework for Malicious Packages")</f>
        <v>Bridging Expert Reasoning and LLM Detection: A Knowledge-Driven Framework for Malicious Packages</v>
      </c>
      <c r="C266" s="133" t="s">
        <v>632</v>
      </c>
      <c r="D266" s="153" t="str">
        <f t="shared" si="1"/>
        <v>Bridging Expert Reasoning and LLM Detection: A Knowledge-Driven Framework for Malicious Packages
Wenbo Guo, Shiwen Song, Jiaxun Guo, Zhengzi Xu, Chengwei
Liu, Haoran Ou, Mengmeng Ge and Yang Liu
</v>
      </c>
      <c r="E266" s="153" t="str">
        <f>IFERROR(__xludf.DUMMYFUNCTION("TEXTJOIN(CHAR(10), TRUE,FILTER('Research Papers'!$C:$C,'Research Papers'!$A:$A=C266))"),"Wenbo Guo, Shiwen Song, Jiaxun Guo, Zhengzi Xu, Chengwei
Liu, Haoran Ou, Mengmeng Ge and Yang Liu")</f>
        <v>Wenbo Guo, Shiwen Song, Jiaxun Guo, Zhengzi Xu, Chengwei
Liu, Haoran Ou, Mengmeng Ge and Yang Liu</v>
      </c>
      <c r="F266" s="133" t="s">
        <v>218</v>
      </c>
      <c r="G266" s="133" t="s">
        <v>331</v>
      </c>
      <c r="H266" s="153"/>
      <c r="I266" s="149" t="s">
        <v>367</v>
      </c>
      <c r="J266" s="114">
        <f>COUNTIF(F:F,F266)</f>
        <v>40</v>
      </c>
      <c r="K266" s="153"/>
      <c r="L266" s="153"/>
      <c r="M266" s="153"/>
      <c r="N266" s="153"/>
      <c r="O266" s="153"/>
      <c r="P266" s="153"/>
      <c r="Q266" s="153"/>
      <c r="R266" s="153"/>
      <c r="S266" s="153"/>
      <c r="T266" s="153"/>
      <c r="U266" s="153"/>
      <c r="V266" s="153"/>
      <c r="W266" s="153"/>
      <c r="X266" s="153"/>
      <c r="Y266" s="153"/>
      <c r="Z266" s="153"/>
      <c r="AA266" s="153"/>
      <c r="AB266" s="153"/>
      <c r="AC266" s="153"/>
    </row>
    <row r="267">
      <c r="A267" s="152" t="s">
        <v>330</v>
      </c>
      <c r="B267" s="133" t="str">
        <f>IFERROR(__xludf.DUMMYFUNCTION("FILTER ('Research Papers'!D:D,'Research Papers'!A:A=C267)"),"HingeMem: Boundary Guided Long-Term Memory with Query Adaptive Retrieval for Scalable Dialogues")</f>
        <v>HingeMem: Boundary Guided Long-Term Memory with Query Adaptive Retrieval for Scalable Dialogues</v>
      </c>
      <c r="C267" s="133" t="s">
        <v>633</v>
      </c>
      <c r="D267" s="153" t="str">
        <f t="shared" si="1"/>
        <v>HingeMem: Boundary Guided Long-Term Memory with Query Adaptive Retrieval for Scalable Dialogues
Yijie Zhong, Yunfan Gao and Haofen Wang
</v>
      </c>
      <c r="E267" s="153" t="str">
        <f>IFERROR(__xludf.DUMMYFUNCTION("TEXTJOIN(CHAR(10), TRUE,FILTER('Research Papers'!$C:$C,'Research Papers'!$A:$A=C267))"),"Yijie Zhong, Yunfan Gao and Haofen Wang")</f>
        <v>Yijie Zhong, Yunfan Gao and Haofen Wang</v>
      </c>
      <c r="F267" s="133" t="s">
        <v>218</v>
      </c>
      <c r="G267" s="133" t="s">
        <v>331</v>
      </c>
      <c r="H267" s="153"/>
      <c r="I267" s="120"/>
      <c r="J267" s="120"/>
      <c r="K267" s="153"/>
      <c r="L267" s="153"/>
      <c r="M267" s="153"/>
      <c r="N267" s="153"/>
      <c r="O267" s="153"/>
      <c r="P267" s="153"/>
      <c r="Q267" s="153"/>
      <c r="R267" s="153"/>
      <c r="S267" s="153"/>
      <c r="T267" s="153"/>
      <c r="U267" s="153"/>
      <c r="V267" s="153"/>
      <c r="W267" s="153"/>
      <c r="X267" s="153"/>
      <c r="Y267" s="153"/>
      <c r="Z267" s="153"/>
      <c r="AA267" s="153"/>
      <c r="AB267" s="153"/>
      <c r="AC267" s="153"/>
    </row>
    <row r="268">
      <c r="A268" s="152" t="s">
        <v>330</v>
      </c>
      <c r="B268" s="133" t="str">
        <f>IFERROR(__xludf.DUMMYFUNCTION("FILTER ('Research Papers'!D:D,'Research Papers'!A:A=C268)"),"LHG: LLM-enhanced and Heterogeneous Graph-induced for Unsupervised Social Event Detection")</f>
        <v>LHG: LLM-enhanced and Heterogeneous Graph-induced for Unsupervised Social Event Detection</v>
      </c>
      <c r="C268" s="133" t="s">
        <v>634</v>
      </c>
      <c r="D268" s="153" t="str">
        <f t="shared" si="1"/>
        <v>LHG: LLM-enhanced and Heterogeneous Graph-induced for Unsupervised Social Event Detection
Zitai Qiu, Rongwei Xu, Congbo Ma, Shan Xue, Jian Yang,
Guanfeng Liu, Quan Z. Sheng, Amin Beheshti and Jia Wu
</v>
      </c>
      <c r="E268" s="153" t="str">
        <f>IFERROR(__xludf.DUMMYFUNCTION("TEXTJOIN(CHAR(10), TRUE,FILTER('Research Papers'!$C:$C,'Research Papers'!$A:$A=C268))"),"Zitai Qiu, Rongwei Xu, Congbo Ma, Shan Xue, Jian Yang,
Guanfeng Liu, Quan Z. Sheng, Amin Beheshti and Jia Wu")</f>
        <v>Zitai Qiu, Rongwei Xu, Congbo Ma, Shan Xue, Jian Yang,
Guanfeng Liu, Quan Z. Sheng, Amin Beheshti and Jia Wu</v>
      </c>
      <c r="F268" s="133" t="s">
        <v>218</v>
      </c>
      <c r="G268" s="133" t="s">
        <v>331</v>
      </c>
      <c r="H268" s="153"/>
      <c r="I268" s="120"/>
      <c r="J268" s="120"/>
      <c r="K268" s="153"/>
      <c r="L268" s="153"/>
      <c r="M268" s="153"/>
      <c r="N268" s="153"/>
      <c r="O268" s="153"/>
      <c r="P268" s="153"/>
      <c r="Q268" s="153"/>
      <c r="R268" s="153"/>
      <c r="S268" s="153"/>
      <c r="T268" s="153"/>
      <c r="U268" s="153"/>
      <c r="V268" s="153"/>
      <c r="W268" s="153"/>
      <c r="X268" s="153"/>
      <c r="Y268" s="153"/>
      <c r="Z268" s="153"/>
      <c r="AA268" s="153"/>
      <c r="AB268" s="153"/>
      <c r="AC268" s="153"/>
    </row>
    <row r="269">
      <c r="A269" s="152" t="s">
        <v>330</v>
      </c>
      <c r="B269" s="133" t="str">
        <f>IFERROR(__xludf.DUMMYFUNCTION("FILTER ('Research Papers'!D:D,'Research Papers'!A:A=C269)"),"Decoding Web Memorization: A Semantic Membership Inference Attack on LLMs")</f>
        <v>Decoding Web Memorization: A Semantic Membership Inference Attack on LLMs</v>
      </c>
      <c r="C269" s="133" t="s">
        <v>635</v>
      </c>
      <c r="D269" s="153" t="str">
        <f t="shared" si="1"/>
        <v>Decoding Web Memorization: A Semantic Membership Inference Attack on LLMs
Zhiyao Wu, Zi Liang and Haibo Hu
</v>
      </c>
      <c r="E269" s="153" t="str">
        <f>IFERROR(__xludf.DUMMYFUNCTION("TEXTJOIN(CHAR(10), TRUE,FILTER('Research Papers'!$C:$C,'Research Papers'!$A:$A=C269))"),"Zhiyao Wu, Zi Liang and Haibo Hu")</f>
        <v>Zhiyao Wu, Zi Liang and Haibo Hu</v>
      </c>
      <c r="F269" s="133" t="s">
        <v>218</v>
      </c>
      <c r="G269" s="133" t="s">
        <v>331</v>
      </c>
      <c r="H269" s="153"/>
      <c r="I269" s="120"/>
      <c r="J269" s="120"/>
      <c r="K269" s="153"/>
      <c r="L269" s="153"/>
      <c r="M269" s="153"/>
      <c r="N269" s="153"/>
      <c r="O269" s="153"/>
      <c r="P269" s="153"/>
      <c r="Q269" s="153"/>
      <c r="R269" s="153"/>
      <c r="S269" s="153"/>
      <c r="T269" s="153"/>
      <c r="U269" s="153"/>
      <c r="V269" s="153"/>
      <c r="W269" s="153"/>
      <c r="X269" s="153"/>
      <c r="Y269" s="153"/>
      <c r="Z269" s="153"/>
      <c r="AA269" s="153"/>
      <c r="AB269" s="153"/>
      <c r="AC269" s="153"/>
    </row>
    <row r="270">
      <c r="A270" s="152" t="s">
        <v>330</v>
      </c>
      <c r="B270" s="133" t="str">
        <f>IFERROR(__xludf.DUMMYFUNCTION("FILTER ('Research Papers'!D:D,'Research Papers'!A:A=C270)"),"Bridging Semantic Understanding and Popularity Bias with LLMs")</f>
        <v>Bridging Semantic Understanding and Popularity Bias with LLMs</v>
      </c>
      <c r="C270" s="133" t="s">
        <v>636</v>
      </c>
      <c r="D270" s="153" t="str">
        <f t="shared" si="1"/>
        <v>Bridging Semantic Understanding and Popularity Bias with LLMs
Renqiang Luo, Dong Zhang, Yupeng Gao, Wen Shi, Mingliang
Hou, Jiaying Liu, Zhe Wang and Shuo Yu
</v>
      </c>
      <c r="E270" s="153" t="str">
        <f>IFERROR(__xludf.DUMMYFUNCTION("TEXTJOIN(CHAR(10), TRUE,FILTER('Research Papers'!$C:$C,'Research Papers'!$A:$A=C270))"),"Renqiang Luo, Dong Zhang, Yupeng Gao, Wen Shi, Mingliang
Hou, Jiaying Liu, Zhe Wang and Shuo Yu")</f>
        <v>Renqiang Luo, Dong Zhang, Yupeng Gao, Wen Shi, Mingliang
Hou, Jiaying Liu, Zhe Wang and Shuo Yu</v>
      </c>
      <c r="F270" s="133" t="s">
        <v>218</v>
      </c>
      <c r="G270" s="133" t="s">
        <v>331</v>
      </c>
      <c r="H270" s="153"/>
      <c r="I270" s="120"/>
      <c r="J270" s="120"/>
      <c r="K270" s="153"/>
      <c r="L270" s="153"/>
      <c r="M270" s="153"/>
      <c r="N270" s="153"/>
      <c r="O270" s="153"/>
      <c r="P270" s="153"/>
      <c r="Q270" s="153"/>
      <c r="R270" s="153"/>
      <c r="S270" s="153"/>
      <c r="T270" s="153"/>
      <c r="U270" s="153"/>
      <c r="V270" s="153"/>
      <c r="W270" s="153"/>
      <c r="X270" s="153"/>
      <c r="Y270" s="153"/>
      <c r="Z270" s="153"/>
      <c r="AA270" s="153"/>
      <c r="AB270" s="153"/>
      <c r="AC270" s="153"/>
    </row>
    <row r="271">
      <c r="A271" s="152" t="s">
        <v>330</v>
      </c>
      <c r="B271" s="133" t="str">
        <f>IFERROR(__xludf.DUMMYFUNCTION("FILTER ('Research Papers'!D:D,'Research Papers'!A:A=C271)"),"Simple-Sampling and Hard-Mixup with Prototypes to Rebalance Contrastive Learning for Text Classification")</f>
        <v>Simple-Sampling and Hard-Mixup with Prototypes to Rebalance Contrastive Learning for Text Classification</v>
      </c>
      <c r="C271" s="133" t="s">
        <v>637</v>
      </c>
      <c r="D271" s="153" t="str">
        <f t="shared" si="1"/>
        <v>Simple-Sampling and Hard-Mixup with Prototypes to Rebalance Contrastive Learning for Text Classification
Mengyu Li, Yonghao Liu, Fausto Giunchiglia, Ximing Li,
Xiaoyue Feng and Renchu Guan
</v>
      </c>
      <c r="E271" s="153" t="str">
        <f>IFERROR(__xludf.DUMMYFUNCTION("TEXTJOIN(CHAR(10), TRUE,FILTER('Research Papers'!$C:$C,'Research Papers'!$A:$A=C271))"),"Mengyu Li, Yonghao Liu, Fausto Giunchiglia, Ximing Li,
Xiaoyue Feng and Renchu Guan")</f>
        <v>Mengyu Li, Yonghao Liu, Fausto Giunchiglia, Ximing Li,
Xiaoyue Feng and Renchu Guan</v>
      </c>
      <c r="F271" s="133" t="s">
        <v>218</v>
      </c>
      <c r="G271" s="133" t="s">
        <v>331</v>
      </c>
      <c r="H271" s="153"/>
      <c r="I271" s="120"/>
      <c r="J271" s="120"/>
      <c r="K271" s="153"/>
      <c r="L271" s="153"/>
      <c r="M271" s="153"/>
      <c r="N271" s="153"/>
      <c r="O271" s="153"/>
      <c r="P271" s="153"/>
      <c r="Q271" s="153"/>
      <c r="R271" s="153"/>
      <c r="S271" s="153"/>
      <c r="T271" s="153"/>
      <c r="U271" s="153"/>
      <c r="V271" s="153"/>
      <c r="W271" s="153"/>
      <c r="X271" s="153"/>
      <c r="Y271" s="153"/>
      <c r="Z271" s="153"/>
      <c r="AA271" s="153"/>
      <c r="AB271" s="153"/>
      <c r="AC271" s="153"/>
    </row>
    <row r="272">
      <c r="A272" s="152" t="s">
        <v>330</v>
      </c>
      <c r="B272" s="133" t="str">
        <f>IFERROR(__xludf.DUMMYFUNCTION("FILTER ('Research Papers'!D:D,'Research Papers'!A:A=C272)"),"Traceable Latent Variable Discovery Based on Multi-Agent Collaboration")</f>
        <v>Traceable Latent Variable Discovery Based on Multi-Agent Collaboration</v>
      </c>
      <c r="C272" s="133" t="s">
        <v>638</v>
      </c>
      <c r="D272" s="153" t="str">
        <f t="shared" si="1"/>
        <v>Traceable Latent Variable Discovery Based on Multi-Agent Collaboration
Huaming Du, Tao Hu, Yijie Huang, Yu Zhao, Guisong Liu, Tao
Gu, Gang Kou and Carl Yang
</v>
      </c>
      <c r="E272" s="153" t="str">
        <f>IFERROR(__xludf.DUMMYFUNCTION("TEXTJOIN(CHAR(10), TRUE,FILTER('Research Papers'!$C:$C,'Research Papers'!$A:$A=C272))"),"Huaming Du, Tao Hu, Yijie Huang, Yu Zhao, Guisong Liu, Tao
Gu, Gang Kou and Carl Yang")</f>
        <v>Huaming Du, Tao Hu, Yijie Huang, Yu Zhao, Guisong Liu, Tao
Gu, Gang Kou and Carl Yang</v>
      </c>
      <c r="F272" s="133" t="s">
        <v>218</v>
      </c>
      <c r="G272" s="133" t="s">
        <v>331</v>
      </c>
      <c r="H272" s="153"/>
      <c r="I272" s="120"/>
      <c r="J272" s="120"/>
      <c r="K272" s="153"/>
      <c r="L272" s="153"/>
      <c r="M272" s="153"/>
      <c r="N272" s="153"/>
      <c r="O272" s="153"/>
      <c r="P272" s="153"/>
      <c r="Q272" s="153"/>
      <c r="R272" s="153"/>
      <c r="S272" s="153"/>
      <c r="T272" s="153"/>
      <c r="U272" s="153"/>
      <c r="V272" s="153"/>
      <c r="W272" s="153"/>
      <c r="X272" s="153"/>
      <c r="Y272" s="153"/>
      <c r="Z272" s="153"/>
      <c r="AA272" s="153"/>
      <c r="AB272" s="153"/>
      <c r="AC272" s="153"/>
    </row>
    <row r="273">
      <c r="A273" s="152" t="s">
        <v>330</v>
      </c>
      <c r="B273" s="133" t="str">
        <f>IFERROR(__xludf.DUMMYFUNCTION("FILTER ('Research Papers'!D:D,'Research Papers'!A:A=C273)"),"DyLogNet: A Dynamic Multi-Relational Graph Framework for Log Anomaly Detection")</f>
        <v>DyLogNet: A Dynamic Multi-Relational Graph Framework for Log Anomaly Detection</v>
      </c>
      <c r="C273" s="133" t="s">
        <v>639</v>
      </c>
      <c r="D273" s="153" t="str">
        <f t="shared" si="1"/>
        <v>DyLogNet: A Dynamic Multi-Relational Graph Framework for Log Anomaly Detection
Xudong Zhao, Xiaolong Xu, Haolong Xiang, Tong Gao, Lianyong
Qi, Amin Beheshti, Xuyun Zhang and Wanchun Dou
</v>
      </c>
      <c r="E273" s="153" t="str">
        <f>IFERROR(__xludf.DUMMYFUNCTION("TEXTJOIN(CHAR(10), TRUE,FILTER('Research Papers'!$C:$C,'Research Papers'!$A:$A=C273))"),"Xudong Zhao, Xiaolong Xu, Haolong Xiang, Tong Gao, Lianyong
Qi, Amin Beheshti, Xuyun Zhang and Wanchun Dou")</f>
        <v>Xudong Zhao, Xiaolong Xu, Haolong Xiang, Tong Gao, Lianyong
Qi, Amin Beheshti, Xuyun Zhang and Wanchun Dou</v>
      </c>
      <c r="F273" s="133" t="s">
        <v>218</v>
      </c>
      <c r="G273" s="133" t="s">
        <v>331</v>
      </c>
      <c r="H273" s="153"/>
      <c r="I273" s="120"/>
      <c r="J273" s="120"/>
      <c r="K273" s="153"/>
      <c r="L273" s="153"/>
      <c r="M273" s="153"/>
      <c r="N273" s="153"/>
      <c r="O273" s="153"/>
      <c r="P273" s="153"/>
      <c r="Q273" s="153"/>
      <c r="R273" s="153"/>
      <c r="S273" s="153"/>
      <c r="T273" s="153"/>
      <c r="U273" s="153"/>
      <c r="V273" s="153"/>
      <c r="W273" s="153"/>
      <c r="X273" s="153"/>
      <c r="Y273" s="153"/>
      <c r="Z273" s="153"/>
      <c r="AA273" s="153"/>
      <c r="AB273" s="153"/>
      <c r="AC273" s="153"/>
    </row>
    <row r="274">
      <c r="A274" s="152" t="s">
        <v>330</v>
      </c>
      <c r="B274" s="133" t="str">
        <f>IFERROR(__xludf.DUMMYFUNCTION("FILTER ('Research Papers'!D:D,'Research Papers'!A:A=C274)"),"Lifting Manifolds to Mitigate Pseudo-Alignment in LLM4TS")</f>
        <v>Lifting Manifolds to Mitigate Pseudo-Alignment in LLM4TS</v>
      </c>
      <c r="C274" s="133" t="s">
        <v>640</v>
      </c>
      <c r="D274" s="153" t="str">
        <f t="shared" si="1"/>
        <v>Lifting Manifolds to Mitigate Pseudo-Alignment in LLM4TS
Liangwei Nathan Zheng, Wenhao Liang, Wei Emma Zhang, Miao
Xu, Olaf Maennel and Weitong Chen
</v>
      </c>
      <c r="E274" s="153" t="str">
        <f>IFERROR(__xludf.DUMMYFUNCTION("TEXTJOIN(CHAR(10), TRUE,FILTER('Research Papers'!$C:$C,'Research Papers'!$A:$A=C274))"),"Liangwei Nathan Zheng, Wenhao Liang, Wei Emma Zhang, Miao
Xu, Olaf Maennel and Weitong Chen")</f>
        <v>Liangwei Nathan Zheng, Wenhao Liang, Wei Emma Zhang, Miao
Xu, Olaf Maennel and Weitong Chen</v>
      </c>
      <c r="F274" s="133" t="s">
        <v>218</v>
      </c>
      <c r="G274" s="133" t="s">
        <v>114</v>
      </c>
      <c r="H274" s="153"/>
      <c r="I274" s="120"/>
      <c r="J274" s="120"/>
      <c r="K274" s="153"/>
      <c r="L274" s="153"/>
      <c r="M274" s="153"/>
      <c r="N274" s="153"/>
      <c r="O274" s="153"/>
      <c r="P274" s="153"/>
      <c r="Q274" s="153"/>
      <c r="R274" s="153"/>
      <c r="S274" s="153"/>
      <c r="T274" s="153"/>
      <c r="U274" s="153"/>
      <c r="V274" s="153"/>
      <c r="W274" s="153"/>
      <c r="X274" s="153"/>
      <c r="Y274" s="153"/>
      <c r="Z274" s="153"/>
      <c r="AA274" s="153"/>
      <c r="AB274" s="153"/>
      <c r="AC274" s="153"/>
    </row>
    <row r="275">
      <c r="A275" s="152" t="s">
        <v>330</v>
      </c>
      <c r="B275" s="133" t="str">
        <f>IFERROR(__xludf.DUMMYFUNCTION("FILTER ('Research Papers'!D:D,'Research Papers'!A:A=C275)"),"MePe: Rethinking Multimodal Chinese Idiom Reading Comprehension from a Metaphorical Perspective")</f>
        <v>MePe: Rethinking Multimodal Chinese Idiom Reading Comprehension from a Metaphorical Perspective</v>
      </c>
      <c r="C275" s="133" t="s">
        <v>641</v>
      </c>
      <c r="D275" s="153" t="str">
        <f t="shared" si="1"/>
        <v>MePe: Rethinking Multimodal Chinese Idiom Reading Comprehension from a Metaphorical Perspective
Tongguan Wang, Junkai Li, Feiyue Xue, Hui Liu, Dongyu Su,
Wangjun Huang and Ying Sha
</v>
      </c>
      <c r="E275" s="153" t="str">
        <f>IFERROR(__xludf.DUMMYFUNCTION("TEXTJOIN(CHAR(10), TRUE,FILTER('Research Papers'!$C:$C,'Research Papers'!$A:$A=C275))"),"Tongguan Wang, Junkai Li, Feiyue Xue, Hui Liu, Dongyu Su,
Wangjun Huang and Ying Sha")</f>
        <v>Tongguan Wang, Junkai Li, Feiyue Xue, Hui Liu, Dongyu Su,
Wangjun Huang and Ying Sha</v>
      </c>
      <c r="F275" s="133" t="s">
        <v>218</v>
      </c>
      <c r="G275" s="133" t="s">
        <v>114</v>
      </c>
      <c r="H275" s="153"/>
      <c r="I275" s="120"/>
      <c r="J275" s="120"/>
      <c r="K275" s="153"/>
      <c r="L275" s="153"/>
      <c r="M275" s="153"/>
      <c r="N275" s="153"/>
      <c r="O275" s="153"/>
      <c r="P275" s="153"/>
      <c r="Q275" s="153"/>
      <c r="R275" s="153"/>
      <c r="S275" s="153"/>
      <c r="T275" s="153"/>
      <c r="U275" s="153"/>
      <c r="V275" s="153"/>
      <c r="W275" s="153"/>
      <c r="X275" s="153"/>
      <c r="Y275" s="153"/>
      <c r="Z275" s="153"/>
      <c r="AA275" s="153"/>
      <c r="AB275" s="153"/>
      <c r="AC275" s="153"/>
    </row>
    <row r="276">
      <c r="A276" s="152" t="s">
        <v>330</v>
      </c>
      <c r="B276" s="133" t="str">
        <f>IFERROR(__xludf.DUMMYFUNCTION("FILTER ('Research Papers'!D:D,'Research Papers'!A:A=C276)"),"PLIKD: Prompt Learning with Instance-aware Knowledge Distillation for Web-scale Semantic Image Classification")</f>
        <v>PLIKD: Prompt Learning with Instance-aware Knowledge Distillation for Web-scale Semantic Image Classification</v>
      </c>
      <c r="C276" s="133" t="s">
        <v>642</v>
      </c>
      <c r="D276" s="153" t="str">
        <f t="shared" si="1"/>
        <v>PLIKD: Prompt Learning with Instance-aware Knowledge Distillation for Web-scale Semantic Image Classification
Jianye Xie, Chunhua Hu, Lianyong Qi, Fan Wang, Xiaolong Xu,
Haolong Xiang, Xuyun Zhang, Shichao Pei, Amin Beheshti,
Wanchun Dou and Xiaokang Zhou
</v>
      </c>
      <c r="E276" s="153" t="str">
        <f>IFERROR(__xludf.DUMMYFUNCTION("TEXTJOIN(CHAR(10), TRUE,FILTER('Research Papers'!$C:$C,'Research Papers'!$A:$A=C276))"),"Jianye Xie, Chunhua Hu, Lianyong Qi, Fan Wang, Xiaolong Xu,
Haolong Xiang, Xuyun Zhang, Shichao Pei, Amin Beheshti,
Wanchun Dou and Xiaokang Zhou")</f>
        <v>Jianye Xie, Chunhua Hu, Lianyong Qi, Fan Wang, Xiaolong Xu,
Haolong Xiang, Xuyun Zhang, Shichao Pei, Amin Beheshti,
Wanchun Dou and Xiaokang Zhou</v>
      </c>
      <c r="F276" s="133" t="s">
        <v>218</v>
      </c>
      <c r="G276" s="133" t="s">
        <v>114</v>
      </c>
      <c r="H276" s="153"/>
      <c r="I276" s="120"/>
      <c r="J276" s="120"/>
      <c r="K276" s="153"/>
      <c r="L276" s="153"/>
      <c r="M276" s="153"/>
      <c r="N276" s="153"/>
      <c r="O276" s="153"/>
      <c r="P276" s="153"/>
      <c r="Q276" s="153"/>
      <c r="R276" s="153"/>
      <c r="S276" s="153"/>
      <c r="T276" s="153"/>
      <c r="U276" s="153"/>
      <c r="V276" s="153"/>
      <c r="W276" s="153"/>
      <c r="X276" s="153"/>
      <c r="Y276" s="153"/>
      <c r="Z276" s="153"/>
      <c r="AA276" s="153"/>
      <c r="AB276" s="153"/>
      <c r="AC276" s="153"/>
    </row>
    <row r="277">
      <c r="A277" s="152" t="s">
        <v>330</v>
      </c>
      <c r="B277" s="133" t="str">
        <f>IFERROR(__xludf.DUMMYFUNCTION("FILTER ('Research Papers'!D:D,'Research Papers'!A:A=C277)"),"Neuro-Sym Supporter: A Thoughtful Emotion Support Agent Integrating Neural and Symbolic Policy Learning")</f>
        <v>Neuro-Sym Supporter: A Thoughtful Emotion Support Agent Integrating Neural and Symbolic Policy Learning</v>
      </c>
      <c r="C277" s="133" t="s">
        <v>643</v>
      </c>
      <c r="D277" s="153" t="str">
        <f t="shared" si="1"/>
        <v>Neuro-Sym Supporter: A Thoughtful Emotion Support Agent Integrating Neural and Symbolic Policy Learning
Minghui Ma, Bin Guo, Mengqi Chen, Jingqi Liu, Yasan Ding,
Yan Liu and Han Wang
</v>
      </c>
      <c r="E277" s="153" t="str">
        <f>IFERROR(__xludf.DUMMYFUNCTION("TEXTJOIN(CHAR(10), TRUE,FILTER('Research Papers'!$C:$C,'Research Papers'!$A:$A=C277))"),"Minghui Ma, Bin Guo, Mengqi Chen, Jingqi Liu, Yasan Ding,
Yan Liu and Han Wang")</f>
        <v>Minghui Ma, Bin Guo, Mengqi Chen, Jingqi Liu, Yasan Ding,
Yan Liu and Han Wang</v>
      </c>
      <c r="F277" s="133" t="s">
        <v>218</v>
      </c>
      <c r="G277" s="133" t="s">
        <v>114</v>
      </c>
      <c r="H277" s="153"/>
      <c r="I277" s="120"/>
      <c r="J277" s="120"/>
      <c r="K277" s="153"/>
      <c r="L277" s="153"/>
      <c r="M277" s="153"/>
      <c r="N277" s="153"/>
      <c r="O277" s="153"/>
      <c r="P277" s="153"/>
      <c r="Q277" s="153"/>
      <c r="R277" s="153"/>
      <c r="S277" s="153"/>
      <c r="T277" s="153"/>
      <c r="U277" s="153"/>
      <c r="V277" s="153"/>
      <c r="W277" s="153"/>
      <c r="X277" s="153"/>
      <c r="Y277" s="153"/>
      <c r="Z277" s="153"/>
      <c r="AA277" s="153"/>
      <c r="AB277" s="153"/>
      <c r="AC277" s="153"/>
    </row>
    <row r="278">
      <c r="A278" s="152" t="s">
        <v>330</v>
      </c>
      <c r="B278" s="133" t="str">
        <f>IFERROR(__xludf.DUMMYFUNCTION("FILTER ('Research Papers'!D:D,'Research Papers'!A:A=C278)"),"LoSemB: Logic-Guided Semantic Bridging for Inductive Tool Retrieval")</f>
        <v>LoSemB: Logic-Guided Semantic Bridging for Inductive Tool Retrieval</v>
      </c>
      <c r="C278" s="133" t="s">
        <v>644</v>
      </c>
      <c r="D278" s="153" t="str">
        <f t="shared" si="1"/>
        <v>LoSemB: Logic-Guided Semantic Bridging for Inductive Tool Retrieval
Luyao Zhuang, Qinggang Zhang, Huachi Zhou, Yujing Zhang and
Xiao Huang
</v>
      </c>
      <c r="E278" s="153" t="str">
        <f>IFERROR(__xludf.DUMMYFUNCTION("TEXTJOIN(CHAR(10), TRUE,FILTER('Research Papers'!$C:$C,'Research Papers'!$A:$A=C278))"),"Luyao Zhuang, Qinggang Zhang, Huachi Zhou, Yujing Zhang and
Xiao Huang")</f>
        <v>Luyao Zhuang, Qinggang Zhang, Huachi Zhou, Yujing Zhang and
Xiao Huang</v>
      </c>
      <c r="F278" s="133" t="s">
        <v>218</v>
      </c>
      <c r="G278" s="133" t="s">
        <v>114</v>
      </c>
      <c r="H278" s="153"/>
      <c r="I278" s="120"/>
      <c r="J278" s="120"/>
      <c r="K278" s="153"/>
      <c r="L278" s="153"/>
      <c r="M278" s="153"/>
      <c r="N278" s="153"/>
      <c r="O278" s="153"/>
      <c r="P278" s="153"/>
      <c r="Q278" s="153"/>
      <c r="R278" s="153"/>
      <c r="S278" s="153"/>
      <c r="T278" s="153"/>
      <c r="U278" s="153"/>
      <c r="V278" s="153"/>
      <c r="W278" s="153"/>
      <c r="X278" s="153"/>
      <c r="Y278" s="153"/>
      <c r="Z278" s="153"/>
      <c r="AA278" s="153"/>
      <c r="AB278" s="153"/>
      <c r="AC278" s="153"/>
    </row>
    <row r="279">
      <c r="A279" s="152" t="s">
        <v>330</v>
      </c>
      <c r="B279" s="133" t="str">
        <f>IFERROR(__xludf.DUMMYFUNCTION("FILTER ('Research Papers'!D:D,'Research Papers'!A:A=C279)"),"When to Trust: A Causality-Aware Calibration Framework for Accurate Knowledge Graph Retrieval-Augmented Generation")</f>
        <v>When to Trust: A Causality-Aware Calibration Framework for Accurate Knowledge Graph Retrieval-Augmented Generation</v>
      </c>
      <c r="C279" s="133" t="s">
        <v>645</v>
      </c>
      <c r="D279" s="153" t="str">
        <f t="shared" si="1"/>
        <v>When to Trust: A Causality-Aware Calibration Framework for Accurate Knowledge Graph Retrieval-Augmented Generation
Jing Ren, Bowen Li, Ziqi Xu, Xikun Zhang, Haytham Fayek and
Xiaodong Li
</v>
      </c>
      <c r="E279" s="153" t="str">
        <f>IFERROR(__xludf.DUMMYFUNCTION("TEXTJOIN(CHAR(10), TRUE,FILTER('Research Papers'!$C:$C,'Research Papers'!$A:$A=C279))"),"Jing Ren, Bowen Li, Ziqi Xu, Xikun Zhang, Haytham Fayek and
Xiaodong Li")</f>
        <v>Jing Ren, Bowen Li, Ziqi Xu, Xikun Zhang, Haytham Fayek and
Xiaodong Li</v>
      </c>
      <c r="F279" s="133" t="s">
        <v>287</v>
      </c>
      <c r="G279" s="133" t="s">
        <v>204</v>
      </c>
      <c r="H279" s="153"/>
      <c r="I279" s="120"/>
      <c r="J279" s="120"/>
      <c r="K279" s="153"/>
      <c r="L279" s="153"/>
      <c r="M279" s="153"/>
      <c r="N279" s="153"/>
      <c r="O279" s="153"/>
      <c r="P279" s="153"/>
      <c r="Q279" s="153"/>
      <c r="R279" s="153"/>
      <c r="S279" s="153"/>
      <c r="T279" s="153"/>
      <c r="U279" s="153"/>
      <c r="V279" s="153"/>
      <c r="W279" s="153"/>
      <c r="X279" s="153"/>
      <c r="Y279" s="153"/>
      <c r="Z279" s="153"/>
      <c r="AA279" s="153"/>
      <c r="AB279" s="153"/>
      <c r="AC279" s="153"/>
    </row>
    <row r="280">
      <c r="A280" s="152" t="s">
        <v>330</v>
      </c>
      <c r="B280" s="133" t="str">
        <f>IFERROR(__xludf.DUMMYFUNCTION("FILTER ('Research Papers'!D:D,'Research Papers'!A:A=C280)"),"Beyond Factual Queries: A Novel Predictive Retrieval-Augmented Generation")</f>
        <v>Beyond Factual Queries: A Novel Predictive Retrieval-Augmented Generation</v>
      </c>
      <c r="C280" s="133" t="s">
        <v>646</v>
      </c>
      <c r="D280" s="153" t="str">
        <f t="shared" si="1"/>
        <v>Beyond Factual Queries: A Novel Predictive Retrieval-Augmented Generation
Debo Cheng, Jianfeng Deng, Qingfeng Chen, Jinyi Jie and
Jiangzhang Gan
</v>
      </c>
      <c r="E280" s="153" t="str">
        <f>IFERROR(__xludf.DUMMYFUNCTION("TEXTJOIN(CHAR(10), TRUE,FILTER('Research Papers'!$C:$C,'Research Papers'!$A:$A=C280))"),"Debo Cheng, Jianfeng Deng, Qingfeng Chen, Jinyi Jie and
Jiangzhang Gan")</f>
        <v>Debo Cheng, Jianfeng Deng, Qingfeng Chen, Jinyi Jie and
Jiangzhang Gan</v>
      </c>
      <c r="F280" s="133" t="s">
        <v>218</v>
      </c>
      <c r="G280" s="133" t="s">
        <v>114</v>
      </c>
      <c r="H280" s="153"/>
      <c r="I280" s="120"/>
      <c r="J280" s="120"/>
      <c r="K280" s="153"/>
      <c r="L280" s="153"/>
      <c r="M280" s="153"/>
      <c r="N280" s="153"/>
      <c r="O280" s="153"/>
      <c r="P280" s="153"/>
      <c r="Q280" s="153"/>
      <c r="R280" s="153"/>
      <c r="S280" s="153"/>
      <c r="T280" s="153"/>
      <c r="U280" s="153"/>
      <c r="V280" s="153"/>
      <c r="W280" s="153"/>
      <c r="X280" s="153"/>
      <c r="Y280" s="153"/>
      <c r="Z280" s="153"/>
      <c r="AA280" s="153"/>
      <c r="AB280" s="153"/>
      <c r="AC280" s="153"/>
    </row>
    <row r="281">
      <c r="A281" s="152" t="s">
        <v>330</v>
      </c>
      <c r="B281" s="133" t="str">
        <f>IFERROR(__xludf.DUMMYFUNCTION("FILTER ('Research Papers'!D:D,'Research Papers'!A:A=C281)"),"Generalized Incremental Learning under Concept Drift across Evolving Data Streams")</f>
        <v>Generalized Incremental Learning under Concept Drift across Evolving Data Streams</v>
      </c>
      <c r="C281" s="133" t="s">
        <v>647</v>
      </c>
      <c r="D281" s="153" t="str">
        <f t="shared" si="1"/>
        <v>Generalized Incremental Learning under Concept Drift across Evolving Data Streams
En Yu, Jie Lu and Guangquan Zhang
</v>
      </c>
      <c r="E281" s="153" t="str">
        <f>IFERROR(__xludf.DUMMYFUNCTION("TEXTJOIN(CHAR(10), TRUE,FILTER('Research Papers'!$C:$C,'Research Papers'!$A:$A=C281))"),"En Yu, Jie Lu and Guangquan Zhang")</f>
        <v>En Yu, Jie Lu and Guangquan Zhang</v>
      </c>
      <c r="F281" s="133" t="s">
        <v>218</v>
      </c>
      <c r="G281" s="133" t="s">
        <v>114</v>
      </c>
      <c r="H281" s="153"/>
      <c r="I281" s="120"/>
      <c r="J281" s="120"/>
      <c r="K281" s="153"/>
      <c r="L281" s="153"/>
      <c r="M281" s="153"/>
      <c r="N281" s="153"/>
      <c r="O281" s="153"/>
      <c r="P281" s="153"/>
      <c r="Q281" s="153"/>
      <c r="R281" s="153"/>
      <c r="S281" s="153"/>
      <c r="T281" s="153"/>
      <c r="U281" s="153"/>
      <c r="V281" s="153"/>
      <c r="W281" s="153"/>
      <c r="X281" s="153"/>
      <c r="Y281" s="153"/>
      <c r="Z281" s="153"/>
      <c r="AA281" s="153"/>
      <c r="AB281" s="153"/>
      <c r="AC281" s="153"/>
    </row>
    <row r="282">
      <c r="A282" s="152" t="s">
        <v>330</v>
      </c>
      <c r="B282" s="133" t="str">
        <f>IFERROR(__xludf.DUMMYFUNCTION("FILTER ('Research Papers'!D:D,'Research Papers'!A:A=C282)"),"MARCH: Multi-Teacher Contrastive Hypergraph Distillation")</f>
        <v>MARCH: Multi-Teacher Contrastive Hypergraph Distillation</v>
      </c>
      <c r="C282" s="133" t="s">
        <v>648</v>
      </c>
      <c r="D282" s="153" t="str">
        <f t="shared" si="1"/>
        <v>MARCH: Multi-Teacher Contrastive Hypergraph Distillation
Rongwei Xu, Zitai Qiu, Pengfei Ding, Jia Wu, Yan Wang, Amin
Beheshti and Guanfeng Liu
</v>
      </c>
      <c r="E282" s="153" t="str">
        <f>IFERROR(__xludf.DUMMYFUNCTION("TEXTJOIN(CHAR(10), TRUE,FILTER('Research Papers'!$C:$C,'Research Papers'!$A:$A=C282))"),"Rongwei Xu, Zitai Qiu, Pengfei Ding, Jia Wu, Yan Wang, Amin
Beheshti and Guanfeng Liu")</f>
        <v>Rongwei Xu, Zitai Qiu, Pengfei Ding, Jia Wu, Yan Wang, Amin
Beheshti and Guanfeng Liu</v>
      </c>
      <c r="F282" s="133" t="s">
        <v>218</v>
      </c>
      <c r="G282" s="133" t="s">
        <v>332</v>
      </c>
      <c r="H282" s="153"/>
      <c r="I282" s="120"/>
      <c r="J282" s="120"/>
      <c r="K282" s="153"/>
      <c r="L282" s="153"/>
      <c r="M282" s="153"/>
      <c r="N282" s="153"/>
      <c r="O282" s="153"/>
      <c r="P282" s="153"/>
      <c r="Q282" s="153"/>
      <c r="R282" s="153"/>
      <c r="S282" s="153"/>
      <c r="T282" s="153"/>
      <c r="U282" s="153"/>
      <c r="V282" s="153"/>
      <c r="W282" s="153"/>
      <c r="X282" s="153"/>
      <c r="Y282" s="153"/>
      <c r="Z282" s="153"/>
      <c r="AA282" s="153"/>
      <c r="AB282" s="153"/>
      <c r="AC282" s="153"/>
    </row>
    <row r="283">
      <c r="A283" s="152" t="s">
        <v>330</v>
      </c>
      <c r="B283" s="133" t="str">
        <f>IFERROR(__xludf.DUMMYFUNCTION("FILTER ('Research Papers'!D:D,'Research Papers'!A:A=C283)"),"Missingness-aware Federated Contrastive Learning on Semantic Graphs")</f>
        <v>Missingness-aware Federated Contrastive Learning on Semantic Graphs</v>
      </c>
      <c r="C283" s="133" t="s">
        <v>649</v>
      </c>
      <c r="D283" s="153" t="str">
        <f t="shared" si="1"/>
        <v>Missingness-aware Federated Contrastive Learning on Semantic Graphs
Shuo Yu, Zhuoyang Han, Guoqing Han, Tao Tang, Feng Ding and
Qiang Zhang
</v>
      </c>
      <c r="E283" s="153" t="str">
        <f>IFERROR(__xludf.DUMMYFUNCTION("TEXTJOIN(CHAR(10), TRUE,FILTER('Research Papers'!$C:$C,'Research Papers'!$A:$A=C283))"),"Shuo Yu, Zhuoyang Han, Guoqing Han, Tao Tang, Feng Ding and
Qiang Zhang")</f>
        <v>Shuo Yu, Zhuoyang Han, Guoqing Han, Tao Tang, Feng Ding and
Qiang Zhang</v>
      </c>
      <c r="F283" s="133" t="s">
        <v>218</v>
      </c>
      <c r="G283" s="133" t="s">
        <v>332</v>
      </c>
      <c r="H283" s="153"/>
      <c r="I283" s="120"/>
      <c r="J283" s="120"/>
      <c r="K283" s="153"/>
      <c r="L283" s="153"/>
      <c r="M283" s="153"/>
      <c r="N283" s="153"/>
      <c r="O283" s="153"/>
      <c r="P283" s="153"/>
      <c r="Q283" s="153"/>
      <c r="R283" s="153"/>
      <c r="S283" s="153"/>
      <c r="T283" s="153"/>
      <c r="U283" s="153"/>
      <c r="V283" s="153"/>
      <c r="W283" s="153"/>
      <c r="X283" s="153"/>
      <c r="Y283" s="153"/>
      <c r="Z283" s="153"/>
      <c r="AA283" s="153"/>
      <c r="AB283" s="153"/>
      <c r="AC283" s="153"/>
    </row>
    <row r="284">
      <c r="A284" s="152" t="s">
        <v>330</v>
      </c>
      <c r="B284" s="133" t="str">
        <f>IFERROR(__xludf.DUMMYFUNCTION("FILTER ('Research Papers'!D:D,'Research Papers'!A:A=C284)"),"Adaptive Multi-Interaction Web Semantic Graph Representation")</f>
        <v>Adaptive Multi-Interaction Web Semantic Graph Representation</v>
      </c>
      <c r="C284" s="133" t="s">
        <v>650</v>
      </c>
      <c r="D284" s="153" t="str">
        <f t="shared" si="1"/>
        <v>Adaptive Multi-Interaction Web Semantic Graph Representation
Feng Ding, Tingting Wang, Ruolin Li, Ying Jin, Junxiang
Zhang, Shan Jin, Yicong Li and Xin Ye
</v>
      </c>
      <c r="E284" s="153" t="str">
        <f>IFERROR(__xludf.DUMMYFUNCTION("TEXTJOIN(CHAR(10), TRUE,FILTER('Research Papers'!$C:$C,'Research Papers'!$A:$A=C284))"),"Feng Ding, Tingting Wang, Ruolin Li, Ying Jin, Junxiang
Zhang, Shan Jin, Yicong Li and Xin Ye")</f>
        <v>Feng Ding, Tingting Wang, Ruolin Li, Ying Jin, Junxiang
Zhang, Shan Jin, Yicong Li and Xin Ye</v>
      </c>
      <c r="F284" s="133" t="s">
        <v>218</v>
      </c>
      <c r="G284" s="133" t="s">
        <v>332</v>
      </c>
      <c r="H284" s="153"/>
      <c r="I284" s="120"/>
      <c r="J284" s="120"/>
      <c r="K284" s="153"/>
      <c r="L284" s="153"/>
      <c r="M284" s="153"/>
      <c r="N284" s="153"/>
      <c r="O284" s="153"/>
      <c r="P284" s="153"/>
      <c r="Q284" s="153"/>
      <c r="R284" s="153"/>
      <c r="S284" s="153"/>
      <c r="T284" s="153"/>
      <c r="U284" s="153"/>
      <c r="V284" s="153"/>
      <c r="W284" s="153"/>
      <c r="X284" s="153"/>
      <c r="Y284" s="153"/>
      <c r="Z284" s="153"/>
      <c r="AA284" s="153"/>
      <c r="AB284" s="153"/>
      <c r="AC284" s="153"/>
    </row>
    <row r="285">
      <c r="A285" s="152" t="s">
        <v>330</v>
      </c>
      <c r="B285" s="133" t="str">
        <f>IFERROR(__xludf.DUMMYFUNCTION("FILTER ('Research Papers'!D:D,'Research Papers'!A:A=C285)"),"Counterfactual Augmented Causal Reasoning for Aspect-Based Sentiment Analysis")</f>
        <v>Counterfactual Augmented Causal Reasoning for Aspect-Based Sentiment Analysis</v>
      </c>
      <c r="C285" s="133" t="s">
        <v>651</v>
      </c>
      <c r="D285" s="153" t="str">
        <f t="shared" si="1"/>
        <v>Counterfactual Augmented Causal Reasoning for Aspect-Based Sentiment Analysis
Yiming Wu, Liang Hu, Mingzhu Zhou, Tangwei Ye, Xuejie Yang,
Xun Yang, Zhongyuan Lai, Qi Zhang and Usman Naseem
</v>
      </c>
      <c r="E285" s="153" t="str">
        <f>IFERROR(__xludf.DUMMYFUNCTION("TEXTJOIN(CHAR(10), TRUE,FILTER('Research Papers'!$C:$C,'Research Papers'!$A:$A=C285))"),"Yiming Wu, Liang Hu, Mingzhu Zhou, Tangwei Ye, Xuejie Yang,
Xun Yang, Zhongyuan Lai, Qi Zhang and Usman Naseem")</f>
        <v>Yiming Wu, Liang Hu, Mingzhu Zhou, Tangwei Ye, Xuejie Yang,
Xun Yang, Zhongyuan Lai, Qi Zhang and Usman Naseem</v>
      </c>
      <c r="F285" s="133" t="s">
        <v>218</v>
      </c>
      <c r="G285" s="133" t="s">
        <v>332</v>
      </c>
      <c r="H285" s="153"/>
      <c r="I285" s="120"/>
      <c r="J285" s="120"/>
      <c r="K285" s="153"/>
      <c r="L285" s="153"/>
      <c r="M285" s="153"/>
      <c r="N285" s="153"/>
      <c r="O285" s="153"/>
      <c r="P285" s="153"/>
      <c r="Q285" s="153"/>
      <c r="R285" s="153"/>
      <c r="S285" s="153"/>
      <c r="T285" s="153"/>
      <c r="U285" s="153"/>
      <c r="V285" s="153"/>
      <c r="W285" s="153"/>
      <c r="X285" s="153"/>
      <c r="Y285" s="153"/>
      <c r="Z285" s="153"/>
      <c r="AA285" s="153"/>
      <c r="AB285" s="153"/>
      <c r="AC285" s="153"/>
    </row>
    <row r="286">
      <c r="A286" s="152" t="s">
        <v>330</v>
      </c>
      <c r="B286" s="133" t="str">
        <f>IFERROR(__xludf.DUMMYFUNCTION("FILTER ('Research Papers'!D:D,'Research Papers'!A:A=C286)"),"S-Path-RAG: Semantic-Aware Shortest-Path Retrieval Augmented Generation for Multi-Hop Knowledge Graph Question Answering")</f>
        <v>S-Path-RAG: Semantic-Aware Shortest-Path Retrieval Augmented Generation for Multi-Hop Knowledge Graph Question Answering</v>
      </c>
      <c r="C286" s="133" t="s">
        <v>652</v>
      </c>
      <c r="D286" s="153" t="str">
        <f t="shared" si="1"/>
        <v>S-Path-RAG: Semantic-Aware Shortest-Path Retrieval Augmented Generation for Multi-Hop Knowledge Graph Question Answering
Rong Fu, Yemin Wang, Tianxiang Xu, Yongtai Liu, Weizhi
Tang, Wangyu Wu, Xiaowen Ma and Simon Fong
</v>
      </c>
      <c r="E286" s="153" t="str">
        <f>IFERROR(__xludf.DUMMYFUNCTION("TEXTJOIN(CHAR(10), TRUE,FILTER('Research Papers'!$C:$C,'Research Papers'!$A:$A=C286))"),"Rong Fu, Yemin Wang, Tianxiang Xu, Yongtai Liu, Weizhi
Tang, Wangyu Wu, Xiaowen Ma and Simon Fong")</f>
        <v>Rong Fu, Yemin Wang, Tianxiang Xu, Yongtai Liu, Weizhi
Tang, Wangyu Wu, Xiaowen Ma and Simon Fong</v>
      </c>
      <c r="F286" s="133" t="s">
        <v>218</v>
      </c>
      <c r="G286" s="133" t="s">
        <v>332</v>
      </c>
      <c r="H286" s="153"/>
      <c r="I286" s="120"/>
      <c r="J286" s="120"/>
      <c r="K286" s="153"/>
      <c r="L286" s="153"/>
      <c r="M286" s="153"/>
      <c r="N286" s="153"/>
      <c r="O286" s="153"/>
      <c r="P286" s="153"/>
      <c r="Q286" s="153"/>
      <c r="R286" s="153"/>
      <c r="S286" s="153"/>
      <c r="T286" s="153"/>
      <c r="U286" s="153"/>
      <c r="V286" s="153"/>
      <c r="W286" s="153"/>
      <c r="X286" s="153"/>
      <c r="Y286" s="153"/>
      <c r="Z286" s="153"/>
      <c r="AA286" s="153"/>
      <c r="AB286" s="153"/>
      <c r="AC286" s="153"/>
    </row>
    <row r="287">
      <c r="A287" s="152" t="s">
        <v>330</v>
      </c>
      <c r="B287" s="133" t="str">
        <f>IFERROR(__xludf.DUMMYFUNCTION("FILTER ('Research Papers'!D:D,'Research Papers'!A:A=C287)"),"Harnessing LLM for Noise-Robust Cognitive Diagnosis in Web-Based Intelligent Education Systems")</f>
        <v>Harnessing LLM for Noise-Robust Cognitive Diagnosis in Web-Based Intelligent Education Systems</v>
      </c>
      <c r="C287" s="133" t="s">
        <v>653</v>
      </c>
      <c r="D287" s="153" t="str">
        <f t="shared" si="1"/>
        <v>Harnessing LLM for Noise-Robust Cognitive Diagnosis in Web-Based Intelligent Education Systems
Guixian Zhang, Guan Yuan, Ziqi Xu, Yanmei Zhang, Jing Ren,
Zhenyun Deng and Debo Cheng
</v>
      </c>
      <c r="E287" s="153" t="str">
        <f>IFERROR(__xludf.DUMMYFUNCTION("TEXTJOIN(CHAR(10), TRUE,FILTER('Research Papers'!$C:$C,'Research Papers'!$A:$A=C287))"),"Guixian Zhang, Guan Yuan, Ziqi Xu, Yanmei Zhang, Jing Ren,
Zhenyun Deng and Debo Cheng")</f>
        <v>Guixian Zhang, Guan Yuan, Ziqi Xu, Yanmei Zhang, Jing Ren,
Zhenyun Deng and Debo Cheng</v>
      </c>
      <c r="F287" s="133" t="s">
        <v>218</v>
      </c>
      <c r="G287" s="133" t="s">
        <v>332</v>
      </c>
      <c r="H287" s="153"/>
      <c r="I287" s="120"/>
      <c r="J287" s="120"/>
      <c r="K287" s="153"/>
      <c r="L287" s="153"/>
      <c r="M287" s="153"/>
      <c r="N287" s="153"/>
      <c r="O287" s="153"/>
      <c r="P287" s="153"/>
      <c r="Q287" s="153"/>
      <c r="R287" s="153"/>
      <c r="S287" s="153"/>
      <c r="T287" s="153"/>
      <c r="U287" s="153"/>
      <c r="V287" s="153"/>
      <c r="W287" s="153"/>
      <c r="X287" s="153"/>
      <c r="Y287" s="153"/>
      <c r="Z287" s="153"/>
      <c r="AA287" s="153"/>
      <c r="AB287" s="153"/>
      <c r="AC287" s="153"/>
    </row>
    <row r="288">
      <c r="A288" s="152" t="s">
        <v>330</v>
      </c>
      <c r="B288" s="133" t="str">
        <f>IFERROR(__xludf.DUMMYFUNCTION("FILTER ('Research Papers'!D:D,'Research Papers'!A:A=C288)"),"DTransKT: A Dual Transferable Knowledge Tracing Framework for Cross-Disciplinary Self-Adaptation")</f>
        <v>DTransKT: A Dual Transferable Knowledge Tracing Framework for Cross-Disciplinary Self-Adaptation</v>
      </c>
      <c r="C288" s="133" t="s">
        <v>654</v>
      </c>
      <c r="D288" s="153" t="str">
        <f t="shared" si="1"/>
        <v>DTransKT: A Dual Transferable Knowledge Tracing Framework for Cross-Disciplinary Self-Adaptation
Kun Liang, Jiake Ge, Xin Wang and Yiying Zhang
</v>
      </c>
      <c r="E288" s="153" t="str">
        <f>IFERROR(__xludf.DUMMYFUNCTION("TEXTJOIN(CHAR(10), TRUE,FILTER('Research Papers'!$C:$C,'Research Papers'!$A:$A=C288))"),"Kun Liang, Jiake Ge, Xin Wang and Yiying Zhang")</f>
        <v>Kun Liang, Jiake Ge, Xin Wang and Yiying Zhang</v>
      </c>
      <c r="F288" s="133" t="s">
        <v>218</v>
      </c>
      <c r="G288" s="133" t="s">
        <v>332</v>
      </c>
      <c r="H288" s="153"/>
      <c r="I288" s="120"/>
      <c r="J288" s="120"/>
      <c r="K288" s="153"/>
      <c r="L288" s="153"/>
      <c r="M288" s="153"/>
      <c r="N288" s="153"/>
      <c r="O288" s="153"/>
      <c r="P288" s="153"/>
      <c r="Q288" s="153"/>
      <c r="R288" s="153"/>
      <c r="S288" s="153"/>
      <c r="T288" s="153"/>
      <c r="U288" s="153"/>
      <c r="V288" s="153"/>
      <c r="W288" s="153"/>
      <c r="X288" s="153"/>
      <c r="Y288" s="153"/>
      <c r="Z288" s="153"/>
      <c r="AA288" s="153"/>
      <c r="AB288" s="153"/>
      <c r="AC288" s="153"/>
    </row>
    <row r="289">
      <c r="A289" s="152" t="s">
        <v>330</v>
      </c>
      <c r="B289" s="133" t="str">
        <f>IFERROR(__xludf.DUMMYFUNCTION("FILTER ('Research Papers'!D:D,'Research Papers'!A:A=C289)"),"DRMD: Explainable Depression Detection Based on Metaphorical Conceptual Mapping")</f>
        <v>DRMD: Explainable Depression Detection Based on Metaphorical Conceptual Mapping</v>
      </c>
      <c r="C289" s="133" t="s">
        <v>655</v>
      </c>
      <c r="D289" s="153" t="str">
        <f t="shared" si="1"/>
        <v>DRMD: Explainable Depression Detection Based on Metaphorical Conceptual Mapping
Dongyu Zhang, Wanqiu Liao, Weichen Hu and Hongfei Lin
</v>
      </c>
      <c r="E289" s="153" t="str">
        <f>IFERROR(__xludf.DUMMYFUNCTION("TEXTJOIN(CHAR(10), TRUE,FILTER('Research Papers'!$C:$C,'Research Papers'!$A:$A=C289))"),"Dongyu Zhang, Wanqiu Liao, Weichen Hu and Hongfei Lin")</f>
        <v>Dongyu Zhang, Wanqiu Liao, Weichen Hu and Hongfei Lin</v>
      </c>
      <c r="F289" s="133" t="s">
        <v>218</v>
      </c>
      <c r="G289" s="133" t="s">
        <v>332</v>
      </c>
      <c r="H289" s="153"/>
      <c r="I289" s="120"/>
      <c r="J289" s="120"/>
      <c r="K289" s="153"/>
      <c r="L289" s="153"/>
      <c r="M289" s="153"/>
      <c r="N289" s="153"/>
      <c r="O289" s="153"/>
      <c r="P289" s="153"/>
      <c r="Q289" s="153"/>
      <c r="R289" s="153"/>
      <c r="S289" s="153"/>
      <c r="T289" s="153"/>
      <c r="U289" s="153"/>
      <c r="V289" s="153"/>
      <c r="W289" s="153"/>
      <c r="X289" s="153"/>
      <c r="Y289" s="153"/>
      <c r="Z289" s="153"/>
      <c r="AA289" s="153"/>
      <c r="AB289" s="153"/>
      <c r="AC289" s="153"/>
    </row>
    <row r="290">
      <c r="A290" s="152" t="s">
        <v>330</v>
      </c>
      <c r="B290" s="133" t="str">
        <f>IFERROR(__xludf.DUMMYFUNCTION("FILTER ('Research Papers'!D:D,'Research Papers'!A:A=C290)"),"Spectral Disentanglement and Enhancement: A Dual-domain Contrastive Framework for Representation Learning")</f>
        <v>Spectral Disentanglement and Enhancement: A Dual-domain Contrastive Framework for Representation Learning</v>
      </c>
      <c r="C290" s="133" t="s">
        <v>656</v>
      </c>
      <c r="D290" s="153" t="str">
        <f t="shared" si="1"/>
        <v>Spectral Disentanglement and Enhancement: A Dual-domain Contrastive Framework for Representation Learning
Jinjin Guo, Yexin Li, Zhichao Huang, Jun Fang, Zhiyuan Liu,
Chao Liu, Pengzhang Liu and Qixia Jiang
</v>
      </c>
      <c r="E290" s="153" t="str">
        <f>IFERROR(__xludf.DUMMYFUNCTION("TEXTJOIN(CHAR(10), TRUE,FILTER('Research Papers'!$C:$C,'Research Papers'!$A:$A=C290))"),"Jinjin Guo, Yexin Li, Zhichao Huang, Jun Fang, Zhiyuan Liu,
Chao Liu, Pengzhang Liu and Qixia Jiang")</f>
        <v>Jinjin Guo, Yexin Li, Zhichao Huang, Jun Fang, Zhiyuan Liu,
Chao Liu, Pengzhang Liu and Qixia Jiang</v>
      </c>
      <c r="F290" s="133" t="s">
        <v>218</v>
      </c>
      <c r="G290" s="133" t="s">
        <v>333</v>
      </c>
      <c r="H290" s="153"/>
      <c r="I290" s="120"/>
      <c r="J290" s="120"/>
      <c r="K290" s="153"/>
      <c r="L290" s="153"/>
      <c r="M290" s="153"/>
      <c r="N290" s="153"/>
      <c r="O290" s="153"/>
      <c r="P290" s="153"/>
      <c r="Q290" s="153"/>
      <c r="R290" s="153"/>
      <c r="S290" s="153"/>
      <c r="T290" s="153"/>
      <c r="U290" s="153"/>
      <c r="V290" s="153"/>
      <c r="W290" s="153"/>
      <c r="X290" s="153"/>
      <c r="Y290" s="153"/>
      <c r="Z290" s="153"/>
      <c r="AA290" s="153"/>
      <c r="AB290" s="153"/>
      <c r="AC290" s="153"/>
    </row>
    <row r="291">
      <c r="A291" s="152" t="s">
        <v>330</v>
      </c>
      <c r="B291" s="133" t="str">
        <f>IFERROR(__xludf.DUMMYFUNCTION("FILTER ('Research Papers'!D:D,'Research Papers'!A:A=C291)"),"Verifiable Federated Representation Learning for Cross-domain Sequential Recommendation")</f>
        <v>Verifiable Federated Representation Learning for Cross-domain Sequential Recommendation</v>
      </c>
      <c r="C291" s="133" t="s">
        <v>657</v>
      </c>
      <c r="D291" s="153" t="str">
        <f t="shared" si="1"/>
        <v>Verifiable Federated Representation Learning for Cross-domain Sequential Recommendation
Tao Tang, Botao Liu, Ciyuan Peng, Ivan Lee and Xiangjie Kong
</v>
      </c>
      <c r="E291" s="153" t="str">
        <f>IFERROR(__xludf.DUMMYFUNCTION("TEXTJOIN(CHAR(10), TRUE,FILTER('Research Papers'!$C:$C,'Research Papers'!$A:$A=C291))"),"Tao Tang, Botao Liu, Ciyuan Peng, Ivan Lee and Xiangjie Kong")</f>
        <v>Tao Tang, Botao Liu, Ciyuan Peng, Ivan Lee and Xiangjie Kong</v>
      </c>
      <c r="F291" s="133" t="s">
        <v>218</v>
      </c>
      <c r="G291" s="133" t="s">
        <v>333</v>
      </c>
      <c r="H291" s="153"/>
      <c r="I291" s="120"/>
      <c r="J291" s="120"/>
      <c r="K291" s="153"/>
      <c r="L291" s="153"/>
      <c r="M291" s="153"/>
      <c r="N291" s="153"/>
      <c r="O291" s="153"/>
      <c r="P291" s="153"/>
      <c r="Q291" s="153"/>
      <c r="R291" s="153"/>
      <c r="S291" s="153"/>
      <c r="T291" s="153"/>
      <c r="U291" s="153"/>
      <c r="V291" s="153"/>
      <c r="W291" s="153"/>
      <c r="X291" s="153"/>
      <c r="Y291" s="153"/>
      <c r="Z291" s="153"/>
      <c r="AA291" s="153"/>
      <c r="AB291" s="153"/>
      <c r="AC291" s="153"/>
    </row>
    <row r="292">
      <c r="A292" s="152" t="s">
        <v>330</v>
      </c>
      <c r="B292" s="133" t="str">
        <f>IFERROR(__xludf.DUMMYFUNCTION("FILTER ('Research Papers'!D:D,'Research Papers'!A:A=C292)"),"Kleene Closure Property Path Query Optimization  Based on Node Clustered Index")</f>
        <v>Kleene Closure Property Path Query Optimization  Based on Node Clustered Index</v>
      </c>
      <c r="C292" s="133" t="s">
        <v>658</v>
      </c>
      <c r="D292" s="153" t="str">
        <f t="shared" si="1"/>
        <v>Kleene Closure Property Path Query Optimization  Based on Node Clustered Index
Tenglong Ren, Lulu Yang, Xiaowang Zhang and Zhiyong Feng
</v>
      </c>
      <c r="E292" s="153" t="str">
        <f>IFERROR(__xludf.DUMMYFUNCTION("TEXTJOIN(CHAR(10), TRUE,FILTER('Research Papers'!$C:$C,'Research Papers'!$A:$A=C292))"),"Tenglong Ren, Lulu Yang, Xiaowang Zhang and Zhiyong Feng")</f>
        <v>Tenglong Ren, Lulu Yang, Xiaowang Zhang and Zhiyong Feng</v>
      </c>
      <c r="F292" s="133" t="s">
        <v>218</v>
      </c>
      <c r="G292" s="133" t="s">
        <v>333</v>
      </c>
      <c r="H292" s="153"/>
      <c r="I292" s="120"/>
      <c r="J292" s="120"/>
      <c r="K292" s="153"/>
      <c r="L292" s="153"/>
      <c r="M292" s="153"/>
      <c r="N292" s="153"/>
      <c r="O292" s="153"/>
      <c r="P292" s="153"/>
      <c r="Q292" s="153"/>
      <c r="R292" s="153"/>
      <c r="S292" s="153"/>
      <c r="T292" s="153"/>
      <c r="U292" s="153"/>
      <c r="V292" s="153"/>
      <c r="W292" s="153"/>
      <c r="X292" s="153"/>
      <c r="Y292" s="153"/>
      <c r="Z292" s="153"/>
      <c r="AA292" s="153"/>
      <c r="AB292" s="153"/>
      <c r="AC292" s="153"/>
    </row>
    <row r="293">
      <c r="A293" s="152" t="s">
        <v>330</v>
      </c>
      <c r="B293" s="133" t="str">
        <f>IFERROR(__xludf.DUMMYFUNCTION("FILTER ('Research Papers'!D:D,'Research Papers'!A:A=C293)"),"AgentPRM: Process Reward Models for LLM Agents via Step-Wise Promise and Progress")</f>
        <v>AgentPRM: Process Reward Models for LLM Agents via Step-Wise Promise and Progress</v>
      </c>
      <c r="C293" s="133" t="s">
        <v>659</v>
      </c>
      <c r="D293" s="153" t="str">
        <f t="shared" si="1"/>
        <v>AgentPRM: Process Reward Models for LLM Agents via Step-Wise Promise and Progress
Zhiheng Xi, Chenyang Liao, Guanyu Li, Zhihao Zhang,
Wenxiang Chen, Binghai Wang, Senjie Jin, Yuhao Zhou, Jian
Guan, Wei Wu, Tao Ji, Tao Gui, Qi Zhang and Xuanjing Huang
</v>
      </c>
      <c r="E293" s="153" t="str">
        <f>IFERROR(__xludf.DUMMYFUNCTION("TEXTJOIN(CHAR(10), TRUE,FILTER('Research Papers'!$C:$C,'Research Papers'!$A:$A=C293))"),"Zhiheng Xi, Chenyang Liao, Guanyu Li, Zhihao Zhang,
Wenxiang Chen, Binghai Wang, Senjie Jin, Yuhao Zhou, Jian
Guan, Wei Wu, Tao Ji, Tao Gui, Qi Zhang and Xuanjing Huang")</f>
        <v>Zhiheng Xi, Chenyang Liao, Guanyu Li, Zhihao Zhang,
Wenxiang Chen, Binghai Wang, Senjie Jin, Yuhao Zhou, Jian
Guan, Wei Wu, Tao Ji, Tao Gui, Qi Zhang and Xuanjing Huang</v>
      </c>
      <c r="F293" s="133" t="s">
        <v>218</v>
      </c>
      <c r="G293" s="133" t="s">
        <v>333</v>
      </c>
      <c r="H293" s="153"/>
      <c r="I293" s="120"/>
      <c r="J293" s="120"/>
      <c r="K293" s="153"/>
      <c r="L293" s="153"/>
      <c r="M293" s="153"/>
      <c r="N293" s="153"/>
      <c r="O293" s="153"/>
      <c r="P293" s="153"/>
      <c r="Q293" s="153"/>
      <c r="R293" s="153"/>
      <c r="S293" s="153"/>
      <c r="T293" s="153"/>
      <c r="U293" s="153"/>
      <c r="V293" s="153"/>
      <c r="W293" s="153"/>
      <c r="X293" s="153"/>
      <c r="Y293" s="153"/>
      <c r="Z293" s="153"/>
      <c r="AA293" s="153"/>
      <c r="AB293" s="153"/>
      <c r="AC293" s="153"/>
    </row>
    <row r="294">
      <c r="A294" s="152" t="s">
        <v>330</v>
      </c>
      <c r="B294" s="133" t="str">
        <f>IFERROR(__xludf.DUMMYFUNCTION("FILTER ('Research Papers'!D:D,'Research Papers'!A:A=C294)"),"A Simplex Approach to Synthetic Knowledge Graph Generation")</f>
        <v>A Simplex Approach to Synthetic Knowledge Graph Generation</v>
      </c>
      <c r="C294" s="133" t="s">
        <v>660</v>
      </c>
      <c r="D294" s="153" t="str">
        <f t="shared" si="1"/>
        <v>A Simplex Approach to Synthetic Knowledge Graph Generation
Ana Alexandra Morim da Silva, Atul Bhopalsing Pundir,
Michael Röder and Axel-Cyrille Ngonga Ngomo
</v>
      </c>
      <c r="E294" s="153" t="str">
        <f>IFERROR(__xludf.DUMMYFUNCTION("TEXTJOIN(CHAR(10), TRUE,FILTER('Research Papers'!$C:$C,'Research Papers'!$A:$A=C294))"),"Ana Alexandra Morim da Silva, Atul Bhopalsing Pundir,
Michael Röder and Axel-Cyrille Ngonga Ngomo")</f>
        <v>Ana Alexandra Morim da Silva, Atul Bhopalsing Pundir,
Michael Röder and Axel-Cyrille Ngonga Ngomo</v>
      </c>
      <c r="F294" s="133" t="s">
        <v>218</v>
      </c>
      <c r="G294" s="133" t="s">
        <v>333</v>
      </c>
      <c r="H294" s="153"/>
      <c r="I294" s="120"/>
      <c r="J294" s="120"/>
      <c r="K294" s="153"/>
      <c r="L294" s="153"/>
      <c r="M294" s="153"/>
      <c r="N294" s="153"/>
      <c r="O294" s="153"/>
      <c r="P294" s="153"/>
      <c r="Q294" s="153"/>
      <c r="R294" s="153"/>
      <c r="S294" s="153"/>
      <c r="T294" s="153"/>
      <c r="U294" s="153"/>
      <c r="V294" s="153"/>
      <c r="W294" s="153"/>
      <c r="X294" s="153"/>
      <c r="Y294" s="153"/>
      <c r="Z294" s="153"/>
      <c r="AA294" s="153"/>
      <c r="AB294" s="153"/>
      <c r="AC294" s="153"/>
    </row>
    <row r="295">
      <c r="A295" s="152" t="s">
        <v>330</v>
      </c>
      <c r="B295" s="133" t="str">
        <f>IFERROR(__xludf.DUMMYFUNCTION("FILTER ('Research Papers'!D:D,'Research Papers'!A:A=C295)"),"Detecting Miscitation on the Scholarly Web through LLM-Augmented Text-Rich Graph Learning")</f>
        <v>Detecting Miscitation on the Scholarly Web through LLM-Augmented Text-Rich Graph Learning</v>
      </c>
      <c r="C295" s="133" t="s">
        <v>661</v>
      </c>
      <c r="D295" s="153" t="str">
        <f t="shared" si="1"/>
        <v>Detecting Miscitation on the Scholarly Web through LLM-Augmented Text-Rich Graph Learning
Huidong Wu, Haojia Xiang, Jingtong Gao, Xiangyu Zhao,
Dengsheng Wu and Jianping Li
</v>
      </c>
      <c r="E295" s="153" t="str">
        <f>IFERROR(__xludf.DUMMYFUNCTION("TEXTJOIN(CHAR(10), TRUE,FILTER('Research Papers'!$C:$C,'Research Papers'!$A:$A=C295))"),"Huidong Wu, Haojia Xiang, Jingtong Gao, Xiangyu Zhao,
Dengsheng Wu and Jianping Li")</f>
        <v>Huidong Wu, Haojia Xiang, Jingtong Gao, Xiangyu Zhao,
Dengsheng Wu and Jianping Li</v>
      </c>
      <c r="F295" s="133" t="s">
        <v>218</v>
      </c>
      <c r="G295" s="133" t="s">
        <v>333</v>
      </c>
      <c r="H295" s="153"/>
      <c r="I295" s="120"/>
      <c r="J295" s="120"/>
      <c r="K295" s="153"/>
      <c r="L295" s="153"/>
      <c r="M295" s="153"/>
      <c r="N295" s="153"/>
      <c r="O295" s="153"/>
      <c r="P295" s="153"/>
      <c r="Q295" s="153"/>
      <c r="R295" s="153"/>
      <c r="S295" s="153"/>
      <c r="T295" s="153"/>
      <c r="U295" s="153"/>
      <c r="V295" s="153"/>
      <c r="W295" s="153"/>
      <c r="X295" s="153"/>
      <c r="Y295" s="153"/>
      <c r="Z295" s="153"/>
      <c r="AA295" s="153"/>
      <c r="AB295" s="153"/>
      <c r="AC295" s="153"/>
    </row>
    <row r="296">
      <c r="A296" s="152" t="s">
        <v>330</v>
      </c>
      <c r="B296" s="133" t="str">
        <f>IFERROR(__xludf.DUMMYFUNCTION("FILTER ('Research Papers'!D:D,'Research Papers'!A:A=C296)"),"Empowering LLMs for Structure-Based Drug Design via Exploration-Augmented Latent Inference")</f>
        <v>Empowering LLMs for Structure-Based Drug Design via Exploration-Augmented Latent Inference</v>
      </c>
      <c r="C296" s="133" t="s">
        <v>662</v>
      </c>
      <c r="D296" s="153" t="str">
        <f t="shared" si="1"/>
        <v>Empowering LLMs for Structure-Based Drug Design via Exploration-Augmented Latent Inference
Xuanning Hu, Anchen Li, Qianli Xing, Jinglong Ji, Hao Tuo
and Bo Yang
</v>
      </c>
      <c r="E296" s="153" t="str">
        <f>IFERROR(__xludf.DUMMYFUNCTION("TEXTJOIN(CHAR(10), TRUE,FILTER('Research Papers'!$C:$C,'Research Papers'!$A:$A=C296))"),"Xuanning Hu, Anchen Li, Qianli Xing, Jinglong Ji, Hao Tuo
and Bo Yang")</f>
        <v>Xuanning Hu, Anchen Li, Qianli Xing, Jinglong Ji, Hao Tuo
and Bo Yang</v>
      </c>
      <c r="F296" s="133" t="s">
        <v>218</v>
      </c>
      <c r="G296" s="133" t="s">
        <v>333</v>
      </c>
      <c r="H296" s="153"/>
      <c r="I296" s="120"/>
      <c r="J296" s="120"/>
      <c r="K296" s="153"/>
      <c r="L296" s="153"/>
      <c r="M296" s="153"/>
      <c r="N296" s="153"/>
      <c r="O296" s="153"/>
      <c r="P296" s="153"/>
      <c r="Q296" s="153"/>
      <c r="R296" s="153"/>
      <c r="S296" s="153"/>
      <c r="T296" s="153"/>
      <c r="U296" s="153"/>
      <c r="V296" s="153"/>
      <c r="W296" s="153"/>
      <c r="X296" s="153"/>
      <c r="Y296" s="153"/>
      <c r="Z296" s="153"/>
      <c r="AA296" s="153"/>
      <c r="AB296" s="153"/>
      <c r="AC296" s="153"/>
    </row>
    <row r="297">
      <c r="A297" s="152" t="s">
        <v>330</v>
      </c>
      <c r="B297" s="133" t="str">
        <f>IFERROR(__xludf.DUMMYFUNCTION("FILTER ('Research Papers'!D:D,'Research Papers'!A:A=C297)"),"A Unified and Time-Efficient Multi-Agent Framework for Data Discovery")</f>
        <v>A Unified and Time-Efficient Multi-Agent Framework for Data Discovery</v>
      </c>
      <c r="C297" s="133" t="s">
        <v>663</v>
      </c>
      <c r="D297" s="153" t="str">
        <f t="shared" si="1"/>
        <v>A Unified and Time-Efficient Multi-Agent Framework for Data Discovery
Yunhao Xiao, Ying Wang, Michael Bewong, Selasi Kwashie,
Xiaoxia Li and Zaiwen Feng
</v>
      </c>
      <c r="E297" s="153" t="str">
        <f>IFERROR(__xludf.DUMMYFUNCTION("TEXTJOIN(CHAR(10), TRUE,FILTER('Research Papers'!$C:$C,'Research Papers'!$A:$A=C297))"),"Yunhao Xiao, Ying Wang, Michael Bewong, Selasi Kwashie,
Xiaoxia Li and Zaiwen Feng")</f>
        <v>Yunhao Xiao, Ying Wang, Michael Bewong, Selasi Kwashie,
Xiaoxia Li and Zaiwen Feng</v>
      </c>
      <c r="F297" s="133" t="s">
        <v>218</v>
      </c>
      <c r="G297" s="133" t="s">
        <v>333</v>
      </c>
      <c r="H297" s="153"/>
      <c r="I297" s="120"/>
      <c r="J297" s="120"/>
      <c r="K297" s="153"/>
      <c r="L297" s="153"/>
      <c r="M297" s="153"/>
      <c r="N297" s="153"/>
      <c r="O297" s="153"/>
      <c r="P297" s="153"/>
      <c r="Q297" s="153"/>
      <c r="R297" s="153"/>
      <c r="S297" s="153"/>
      <c r="T297" s="153"/>
      <c r="U297" s="153"/>
      <c r="V297" s="153"/>
      <c r="W297" s="153"/>
      <c r="X297" s="153"/>
      <c r="Y297" s="153"/>
      <c r="Z297" s="153"/>
      <c r="AA297" s="153"/>
      <c r="AB297" s="153"/>
      <c r="AC297" s="153"/>
    </row>
    <row r="298">
      <c r="A298" s="152" t="s">
        <v>330</v>
      </c>
      <c r="B298" s="133" t="str">
        <f>IFERROR(__xludf.DUMMYFUNCTION("FILTER ('Research Papers'!D:D,'Research Papers'!A:A=C298)"),"Expectation-Guided Self-Verification for Aligning Large Reasoning Models with Domain Knowledge")</f>
        <v>Expectation-Guided Self-Verification for Aligning Large Reasoning Models with Domain Knowledge</v>
      </c>
      <c r="C298" s="133" t="s">
        <v>664</v>
      </c>
      <c r="D298" s="153" t="str">
        <f t="shared" si="1"/>
        <v>Expectation-Guided Self-Verification for Aligning Large Reasoning Models with Domain Knowledge
Han Zhang, Chen Zhao, Shasha Wang, Gang Chen and Chenghong
Zhang
</v>
      </c>
      <c r="E298" s="153" t="str">
        <f>IFERROR(__xludf.DUMMYFUNCTION("TEXTJOIN(CHAR(10), TRUE,FILTER('Research Papers'!$C:$C,'Research Papers'!$A:$A=C298))"),"Han Zhang, Chen Zhao, Shasha Wang, Gang Chen and Chenghong
Zhang")</f>
        <v>Han Zhang, Chen Zhao, Shasha Wang, Gang Chen and Chenghong
Zhang</v>
      </c>
      <c r="F298" s="133" t="s">
        <v>218</v>
      </c>
      <c r="G298" s="133" t="s">
        <v>183</v>
      </c>
      <c r="H298" s="153"/>
      <c r="I298" s="120"/>
      <c r="J298" s="120"/>
      <c r="K298" s="153"/>
      <c r="L298" s="153"/>
      <c r="M298" s="153"/>
      <c r="N298" s="153"/>
      <c r="O298" s="153"/>
      <c r="P298" s="153"/>
      <c r="Q298" s="153"/>
      <c r="R298" s="153"/>
      <c r="S298" s="153"/>
      <c r="T298" s="153"/>
      <c r="U298" s="153"/>
      <c r="V298" s="153"/>
      <c r="W298" s="153"/>
      <c r="X298" s="153"/>
      <c r="Y298" s="153"/>
      <c r="Z298" s="153"/>
      <c r="AA298" s="153"/>
      <c r="AB298" s="153"/>
      <c r="AC298" s="153"/>
    </row>
    <row r="299">
      <c r="A299" s="152" t="s">
        <v>330</v>
      </c>
      <c r="B299" s="133" t="str">
        <f>IFERROR(__xludf.DUMMYFUNCTION("FILTER ('Research Papers'!D:D,'Research Papers'!A:A=C299)"),"Incentivizing Agentic Reasoning Capability with Outcome Supervision for Knowledge Base Question Answering")</f>
        <v>Incentivizing Agentic Reasoning Capability with Outcome Supervision for Knowledge Base Question Answering</v>
      </c>
      <c r="C299" s="133" t="s">
        <v>665</v>
      </c>
      <c r="D299" s="153" t="str">
        <f t="shared" si="1"/>
        <v>Incentivizing Agentic Reasoning Capability with Outcome Supervision for Knowledge Base Question Answering
Zhuo Chen, Fei Wang, Zixuan Li, Zhao Zhang, Weiwei Ding,
Chuanguang Yang, Yongjun Xu and Xiaolong Jin
</v>
      </c>
      <c r="E299" s="153" t="str">
        <f>IFERROR(__xludf.DUMMYFUNCTION("TEXTJOIN(CHAR(10), TRUE,FILTER('Research Papers'!$C:$C,'Research Papers'!$A:$A=C299))"),"Zhuo Chen, Fei Wang, Zixuan Li, Zhao Zhang, Weiwei Ding,
Chuanguang Yang, Yongjun Xu and Xiaolong Jin")</f>
        <v>Zhuo Chen, Fei Wang, Zixuan Li, Zhao Zhang, Weiwei Ding,
Chuanguang Yang, Yongjun Xu and Xiaolong Jin</v>
      </c>
      <c r="F299" s="133" t="s">
        <v>218</v>
      </c>
      <c r="G299" s="133" t="s">
        <v>183</v>
      </c>
      <c r="H299" s="153"/>
      <c r="I299" s="120"/>
      <c r="J299" s="120"/>
      <c r="K299" s="153"/>
      <c r="L299" s="153"/>
      <c r="M299" s="153"/>
      <c r="N299" s="153"/>
      <c r="O299" s="153"/>
      <c r="P299" s="153"/>
      <c r="Q299" s="153"/>
      <c r="R299" s="153"/>
      <c r="S299" s="153"/>
      <c r="T299" s="153"/>
      <c r="U299" s="153"/>
      <c r="V299" s="153"/>
      <c r="W299" s="153"/>
      <c r="X299" s="153"/>
      <c r="Y299" s="153"/>
      <c r="Z299" s="153"/>
      <c r="AA299" s="153"/>
      <c r="AB299" s="153"/>
      <c r="AC299" s="153"/>
    </row>
    <row r="300">
      <c r="A300" s="152" t="s">
        <v>330</v>
      </c>
      <c r="B300" s="133" t="str">
        <f>IFERROR(__xludf.DUMMYFUNCTION("FILTER ('Research Papers'!D:D,'Research Papers'!A:A=C300)"),"Learning to Route: A Rule-Driven Agent Framework for Hybrid-Source Retrieval-Augmented Generation")</f>
        <v>Learning to Route: A Rule-Driven Agent Framework for Hybrid-Source Retrieval-Augmented Generation</v>
      </c>
      <c r="C300" s="133" t="s">
        <v>666</v>
      </c>
      <c r="D300" s="153" t="str">
        <f t="shared" si="1"/>
        <v>Learning to Route: A Rule-Driven Agent Framework for Hybrid-Source Retrieval-Augmented Generation
Haoyue Bai, Haoyu Wang, Shengyu Chen, Zhengzhang Chen,
Lu-An Tang, Wei Cheng, Yanjie Fu and Haifeng Chen
</v>
      </c>
      <c r="E300" s="153" t="str">
        <f>IFERROR(__xludf.DUMMYFUNCTION("TEXTJOIN(CHAR(10), TRUE,FILTER('Research Papers'!$C:$C,'Research Papers'!$A:$A=C300))"),"Haoyue Bai, Haoyu Wang, Shengyu Chen, Zhengzhang Chen,
Lu-An Tang, Wei Cheng, Yanjie Fu and Haifeng Chen")</f>
        <v>Haoyue Bai, Haoyu Wang, Shengyu Chen, Zhengzhang Chen,
Lu-An Tang, Wei Cheng, Yanjie Fu and Haifeng Chen</v>
      </c>
      <c r="F300" s="133" t="s">
        <v>218</v>
      </c>
      <c r="G300" s="133" t="s">
        <v>183</v>
      </c>
      <c r="H300" s="153"/>
      <c r="I300" s="120"/>
      <c r="J300" s="120"/>
      <c r="K300" s="153"/>
      <c r="L300" s="153"/>
      <c r="M300" s="153"/>
      <c r="N300" s="153"/>
      <c r="O300" s="153"/>
      <c r="P300" s="153"/>
      <c r="Q300" s="153"/>
      <c r="R300" s="153"/>
      <c r="S300" s="153"/>
      <c r="T300" s="153"/>
      <c r="U300" s="153"/>
      <c r="V300" s="153"/>
      <c r="W300" s="153"/>
      <c r="X300" s="153"/>
      <c r="Y300" s="153"/>
      <c r="Z300" s="153"/>
      <c r="AA300" s="153"/>
      <c r="AB300" s="153"/>
      <c r="AC300" s="153"/>
    </row>
    <row r="301">
      <c r="A301" s="152" t="s">
        <v>330</v>
      </c>
      <c r="B301" s="133" t="str">
        <f>IFERROR(__xludf.DUMMYFUNCTION("FILTER ('Research Papers'!D:D,'Research Papers'!A:A=C301)"),"MixRAG : Mixture-of-Experts Retrieval-Augmented Generation for Textual Graph Understanding and Question Answering")</f>
        <v>MixRAG : Mixture-of-Experts Retrieval-Augmented Generation for Textual Graph Understanding and Question Answering</v>
      </c>
      <c r="C301" s="133" t="s">
        <v>667</v>
      </c>
      <c r="D301" s="153" t="str">
        <f t="shared" si="1"/>
        <v>MixRAG : Mixture-of-Experts Retrieval-Augmented Generation for Textual Graph Understanding and Question Answering
Lihui Liu, Jiayuan Ding, Subhabrata Mukherjee and Carl Yang
</v>
      </c>
      <c r="E301" s="153" t="str">
        <f>IFERROR(__xludf.DUMMYFUNCTION("TEXTJOIN(CHAR(10), TRUE,FILTER('Research Papers'!$C:$C,'Research Papers'!$A:$A=C301))"),"Lihui Liu, Jiayuan Ding, Subhabrata Mukherjee and Carl Yang")</f>
        <v>Lihui Liu, Jiayuan Ding, Subhabrata Mukherjee and Carl Yang</v>
      </c>
      <c r="F301" s="133" t="s">
        <v>218</v>
      </c>
      <c r="G301" s="133" t="s">
        <v>183</v>
      </c>
      <c r="H301" s="153"/>
      <c r="I301" s="120"/>
      <c r="J301" s="120"/>
      <c r="K301" s="153"/>
      <c r="L301" s="153"/>
      <c r="M301" s="153"/>
      <c r="N301" s="153"/>
      <c r="O301" s="153"/>
      <c r="P301" s="153"/>
      <c r="Q301" s="153"/>
      <c r="R301" s="153"/>
      <c r="S301" s="153"/>
      <c r="T301" s="153"/>
      <c r="U301" s="153"/>
      <c r="V301" s="153"/>
      <c r="W301" s="153"/>
      <c r="X301" s="153"/>
      <c r="Y301" s="153"/>
      <c r="Z301" s="153"/>
      <c r="AA301" s="153"/>
      <c r="AB301" s="153"/>
      <c r="AC301" s="153"/>
    </row>
    <row r="302">
      <c r="A302" s="152" t="s">
        <v>330</v>
      </c>
      <c r="B302" s="133" t="str">
        <f>IFERROR(__xludf.DUMMYFUNCTION("FILTER ('Research Papers'!D:D,'Research Papers'!A:A=C302)"),"AdaQE-CG: Adaptive Query Expansion for Web-Scale Generative AI Model and Data Card Generation")</f>
        <v>AdaQE-CG: Adaptive Query Expansion for Web-Scale Generative AI Model and Data Card Generation</v>
      </c>
      <c r="C302" s="133" t="s">
        <v>668</v>
      </c>
      <c r="D302" s="153" t="str">
        <f t="shared" si="1"/>
        <v>AdaQE-CG: Adaptive Query Expansion for Web-Scale Generative AI Model and Data Card Generation
Haoxuan Zhang, Ruochi Li, Zhenni Liang, Sattari Mehri, Phat
Vo, Collin Qu, Ting Xiao, Junhua Ding, Yang Zhang and
Haihua Chen
</v>
      </c>
      <c r="E302" s="153" t="str">
        <f>IFERROR(__xludf.DUMMYFUNCTION("TEXTJOIN(CHAR(10), TRUE,FILTER('Research Papers'!$C:$C,'Research Papers'!$A:$A=C302))"),"Haoxuan Zhang, Ruochi Li, Zhenni Liang, Sattari Mehri, Phat
Vo, Collin Qu, Ting Xiao, Junhua Ding, Yang Zhang and
Haihua Chen")</f>
        <v>Haoxuan Zhang, Ruochi Li, Zhenni Liang, Sattari Mehri, Phat
Vo, Collin Qu, Ting Xiao, Junhua Ding, Yang Zhang and
Haihua Chen</v>
      </c>
      <c r="F302" s="133" t="s">
        <v>218</v>
      </c>
      <c r="G302" s="133" t="s">
        <v>183</v>
      </c>
      <c r="H302" s="153"/>
      <c r="I302" s="120"/>
      <c r="J302" s="120"/>
      <c r="K302" s="153"/>
      <c r="L302" s="153"/>
      <c r="M302" s="153"/>
      <c r="N302" s="153"/>
      <c r="O302" s="153"/>
      <c r="P302" s="153"/>
      <c r="Q302" s="153"/>
      <c r="R302" s="153"/>
      <c r="S302" s="153"/>
      <c r="T302" s="153"/>
      <c r="U302" s="153"/>
      <c r="V302" s="153"/>
      <c r="W302" s="153"/>
      <c r="X302" s="153"/>
      <c r="Y302" s="153"/>
      <c r="Z302" s="153"/>
      <c r="AA302" s="153"/>
      <c r="AB302" s="153"/>
      <c r="AC302" s="153"/>
    </row>
    <row r="303">
      <c r="A303" s="152" t="s">
        <v>330</v>
      </c>
      <c r="B303" s="133" t="str">
        <f>IFERROR(__xludf.DUMMYFUNCTION("FILTER ('Research Papers'!D:D,'Research Papers'!A:A=C303)"),"Dual-View Hypercube Alignment Framework for Open-World Entity Typing")</f>
        <v>Dual-View Hypercube Alignment Framework for Open-World Entity Typing</v>
      </c>
      <c r="C303" s="133" t="s">
        <v>669</v>
      </c>
      <c r="D303" s="153" t="str">
        <f t="shared" si="1"/>
        <v>Dual-View Hypercube Alignment Framework for Open-World Entity Typing
Hu Chen, Yu Zhu and Wei Shen
</v>
      </c>
      <c r="E303" s="153" t="str">
        <f>IFERROR(__xludf.DUMMYFUNCTION("TEXTJOIN(CHAR(10), TRUE,FILTER('Research Papers'!$C:$C,'Research Papers'!$A:$A=C303))"),"Hu Chen, Yu Zhu and Wei Shen")</f>
        <v>Hu Chen, Yu Zhu and Wei Shen</v>
      </c>
      <c r="F303" s="133" t="s">
        <v>218</v>
      </c>
      <c r="G303" s="133" t="s">
        <v>183</v>
      </c>
      <c r="H303" s="153"/>
      <c r="I303" s="120"/>
      <c r="J303" s="120"/>
      <c r="K303" s="153"/>
      <c r="L303" s="153"/>
      <c r="M303" s="153"/>
      <c r="N303" s="153"/>
      <c r="O303" s="153"/>
      <c r="P303" s="153"/>
      <c r="Q303" s="153"/>
      <c r="R303" s="153"/>
      <c r="S303" s="153"/>
      <c r="T303" s="153"/>
      <c r="U303" s="153"/>
      <c r="V303" s="153"/>
      <c r="W303" s="153"/>
      <c r="X303" s="153"/>
      <c r="Y303" s="153"/>
      <c r="Z303" s="153"/>
      <c r="AA303" s="153"/>
      <c r="AB303" s="153"/>
      <c r="AC303" s="153"/>
    </row>
    <row r="304">
      <c r="A304" s="152" t="s">
        <v>330</v>
      </c>
      <c r="B304" s="133" t="str">
        <f>IFERROR(__xludf.DUMMYFUNCTION("FILTER ('Research Papers'!D:D,'Research Papers'!A:A=C304)"),"Counterfactual Meta-task Augmentation for Few-shot Graph Node Classification")</f>
        <v>Counterfactual Meta-task Augmentation for Few-shot Graph Node Classification</v>
      </c>
      <c r="C304" s="133" t="s">
        <v>670</v>
      </c>
      <c r="D304" s="153" t="str">
        <f t="shared" si="1"/>
        <v>Counterfactual Meta-task Augmentation for Few-shot Graph Node Classification
Zhiqiang Wang, Jiaxin Zhang, Chenchao Zhang, Shiying Cheng,
Jianqing Liang and Peng Song
</v>
      </c>
      <c r="E304" s="153" t="str">
        <f>IFERROR(__xludf.DUMMYFUNCTION("TEXTJOIN(CHAR(10), TRUE,FILTER('Research Papers'!$C:$C,'Research Papers'!$A:$A=C304))"),"Zhiqiang Wang, Jiaxin Zhang, Chenchao Zhang, Shiying Cheng,
Jianqing Liang and Peng Song")</f>
        <v>Zhiqiang Wang, Jiaxin Zhang, Chenchao Zhang, Shiying Cheng,
Jianqing Liang and Peng Song</v>
      </c>
      <c r="F304" s="133" t="s">
        <v>218</v>
      </c>
      <c r="G304" s="133" t="s">
        <v>183</v>
      </c>
      <c r="H304" s="153"/>
      <c r="I304" s="120"/>
      <c r="J304" s="120"/>
      <c r="K304" s="153"/>
      <c r="L304" s="153"/>
      <c r="M304" s="153"/>
      <c r="N304" s="153"/>
      <c r="O304" s="153"/>
      <c r="P304" s="153"/>
      <c r="Q304" s="153"/>
      <c r="R304" s="153"/>
      <c r="S304" s="153"/>
      <c r="T304" s="153"/>
      <c r="U304" s="153"/>
      <c r="V304" s="153"/>
      <c r="W304" s="153"/>
      <c r="X304" s="153"/>
      <c r="Y304" s="153"/>
      <c r="Z304" s="153"/>
      <c r="AA304" s="153"/>
      <c r="AB304" s="153"/>
      <c r="AC304" s="153"/>
    </row>
    <row r="305">
      <c r="A305" s="152" t="s">
        <v>330</v>
      </c>
      <c r="B305" s="133" t="str">
        <f>IFERROR(__xludf.DUMMYFUNCTION("FILTER ('Research Papers'!D:D,'Research Papers'!A:A=C305)"),"Knowledge-Enhanced Multimodal Fake News Detection: Semantic Visual and Priority Fusion")</f>
        <v>Knowledge-Enhanced Multimodal Fake News Detection: Semantic Visual and Priority Fusion</v>
      </c>
      <c r="C305" s="133" t="s">
        <v>671</v>
      </c>
      <c r="D305" s="153" t="str">
        <f t="shared" si="1"/>
        <v>Knowledge-Enhanced Multimodal Fake News Detection: Semantic Visual and Priority Fusion
Qin Zhang, Jiaying Liu, Qian Tao, Zhiwei Guo, Qiyue Zhong,
Yifan Zhang and Ziyan Huang
</v>
      </c>
      <c r="E305" s="153" t="str">
        <f>IFERROR(__xludf.DUMMYFUNCTION("TEXTJOIN(CHAR(10), TRUE,FILTER('Research Papers'!$C:$C,'Research Papers'!$A:$A=C305))"),"Qin Zhang, Jiaying Liu, Qian Tao, Zhiwei Guo, Qiyue Zhong,
Yifan Zhang and Ziyan Huang")</f>
        <v>Qin Zhang, Jiaying Liu, Qian Tao, Zhiwei Guo, Qiyue Zhong,
Yifan Zhang and Ziyan Huang</v>
      </c>
      <c r="F305" s="133" t="s">
        <v>218</v>
      </c>
      <c r="G305" s="133" t="s">
        <v>183</v>
      </c>
      <c r="H305" s="153"/>
      <c r="I305" s="120"/>
      <c r="J305" s="120"/>
      <c r="K305" s="153"/>
      <c r="L305" s="153"/>
      <c r="M305" s="153"/>
      <c r="N305" s="153"/>
      <c r="O305" s="153"/>
      <c r="P305" s="153"/>
      <c r="Q305" s="153"/>
      <c r="R305" s="153"/>
      <c r="S305" s="153"/>
      <c r="T305" s="153"/>
      <c r="U305" s="153"/>
      <c r="V305" s="153"/>
      <c r="W305" s="153"/>
      <c r="X305" s="153"/>
      <c r="Y305" s="153"/>
      <c r="Z305" s="153"/>
      <c r="AA305" s="153"/>
      <c r="AB305" s="153"/>
      <c r="AC305" s="153"/>
    </row>
    <row r="306">
      <c r="A306" s="152" t="s">
        <v>330</v>
      </c>
      <c r="B306" s="133" t="str">
        <f>IFERROR(__xludf.DUMMYFUNCTION("FILTER ('Research Papers'!D:D,'Research Papers'!A:A=C306)"),"BLEND: Balanced and Leaf-Enhanced Dual Fine-Tuning for Taxonomy Completion")</f>
        <v>BLEND: Balanced and Leaf-Enhanced Dual Fine-Tuning for Taxonomy Completion</v>
      </c>
      <c r="C306" s="133" t="s">
        <v>672</v>
      </c>
      <c r="D306" s="153" t="str">
        <f t="shared" si="1"/>
        <v>BLEND: Balanced and Leaf-Enhanced Dual Fine-Tuning for Taxonomy Completion
Pankaj Iiitd, Dhruv Kumar, Vinayak Abrol and Vikram Goyal
</v>
      </c>
      <c r="E306" s="153" t="str">
        <f>IFERROR(__xludf.DUMMYFUNCTION("TEXTJOIN(CHAR(10), TRUE,FILTER('Research Papers'!$C:$C,'Research Papers'!$A:$A=C306))"),"Pankaj Iiitd, Dhruv Kumar, Vinayak Abrol and Vikram Goyal")</f>
        <v>Pankaj Iiitd, Dhruv Kumar, Vinayak Abrol and Vikram Goyal</v>
      </c>
      <c r="F306" s="133" t="s">
        <v>218</v>
      </c>
      <c r="G306" s="133" t="s">
        <v>183</v>
      </c>
      <c r="H306" s="153"/>
      <c r="I306" s="120"/>
      <c r="J306" s="120"/>
      <c r="K306" s="153"/>
      <c r="L306" s="153"/>
      <c r="M306" s="153"/>
      <c r="N306" s="153"/>
      <c r="O306" s="153"/>
      <c r="P306" s="153"/>
      <c r="Q306" s="153"/>
      <c r="R306" s="153"/>
      <c r="S306" s="153"/>
      <c r="T306" s="153"/>
      <c r="U306" s="153"/>
      <c r="V306" s="153"/>
      <c r="W306" s="153"/>
      <c r="X306" s="153"/>
      <c r="Y306" s="153"/>
      <c r="Z306" s="153"/>
      <c r="AA306" s="153"/>
      <c r="AB306" s="153"/>
      <c r="AC306" s="153"/>
    </row>
    <row r="307">
      <c r="A307" s="153"/>
      <c r="B307" s="153"/>
      <c r="C307" s="153"/>
      <c r="D307" s="153" t="str">
        <f t="shared" si="1"/>
        <v>
</v>
      </c>
      <c r="E307" s="153" t="str">
        <f>IFERROR(__xludf.DUMMYFUNCTION("TEXTJOIN(CHAR(10), TRUE,FILTER('Research Papers'!$C:$C,'Research Papers'!$A:$A=C307))"),"")</f>
        <v/>
      </c>
      <c r="F307" s="153"/>
      <c r="G307" s="153"/>
      <c r="H307" s="153"/>
      <c r="I307" s="120"/>
      <c r="J307" s="120"/>
      <c r="K307" s="153"/>
      <c r="L307" s="153"/>
      <c r="M307" s="153"/>
      <c r="N307" s="153"/>
      <c r="O307" s="153"/>
      <c r="P307" s="153"/>
      <c r="Q307" s="153"/>
      <c r="R307" s="153"/>
      <c r="S307" s="153"/>
      <c r="T307" s="153"/>
      <c r="U307" s="153"/>
      <c r="V307" s="153"/>
      <c r="W307" s="153"/>
      <c r="X307" s="153"/>
      <c r="Y307" s="153"/>
      <c r="Z307" s="153"/>
      <c r="AA307" s="153"/>
      <c r="AB307" s="153"/>
      <c r="AC307" s="153"/>
    </row>
    <row r="308">
      <c r="A308" s="152" t="s">
        <v>334</v>
      </c>
      <c r="B308" s="133" t="str">
        <f>IFERROR(__xludf.DUMMYFUNCTION("FILTER ('Research Papers'!D:D,'Research Papers'!A:A=C308)"),"Eclipse Attacks on Ethereum’s Peer-to-Peer Network")</f>
        <v>Eclipse Attacks on Ethereum’s Peer-to-Peer Network</v>
      </c>
      <c r="C308" s="133" t="s">
        <v>673</v>
      </c>
      <c r="D308" s="153" t="str">
        <f t="shared" si="1"/>
        <v>Eclipse Attacks on Ethereum’s Peer-to-Peer Network
Ruisheng Shi, Yuxuan Liang, Zijun Guo, Qin Wang, Lina Lan,
Chenfeng Wang and Zhuoyi Zheng
</v>
      </c>
      <c r="E308" s="153" t="str">
        <f>IFERROR(__xludf.DUMMYFUNCTION("TEXTJOIN(CHAR(10), TRUE,FILTER('Research Papers'!$C:$C,'Research Papers'!$A:$A=C308))"),"Ruisheng Shi, Yuxuan Liang, Zijun Guo, Qin Wang, Lina Lan,
Chenfeng Wang and Zhuoyi Zheng")</f>
        <v>Ruisheng Shi, Yuxuan Liang, Zijun Guo, Qin Wang, Lina Lan,
Chenfeng Wang and Zhuoyi Zheng</v>
      </c>
      <c r="F308" s="133" t="s">
        <v>169</v>
      </c>
      <c r="G308" s="153"/>
      <c r="H308" s="153"/>
      <c r="I308" s="120"/>
      <c r="J308" s="120"/>
      <c r="K308" s="153"/>
      <c r="L308" s="153"/>
      <c r="M308" s="153"/>
      <c r="N308" s="153"/>
      <c r="O308" s="153"/>
      <c r="P308" s="153"/>
      <c r="Q308" s="153"/>
      <c r="R308" s="153"/>
      <c r="S308" s="153"/>
      <c r="T308" s="153"/>
      <c r="U308" s="153"/>
      <c r="V308" s="153"/>
      <c r="W308" s="153"/>
      <c r="X308" s="153"/>
      <c r="Y308" s="153"/>
      <c r="Z308" s="153"/>
      <c r="AA308" s="153"/>
      <c r="AB308" s="153"/>
      <c r="AC308" s="153"/>
    </row>
    <row r="309">
      <c r="A309" s="152" t="s">
        <v>334</v>
      </c>
      <c r="B309" s="133" t="str">
        <f>IFERROR(__xludf.DUMMYFUNCTION("FILTER ('Research Papers'!D:D,'Research Papers'!A:A=C309)"),"Proteus: Towards Accurate and Low-overhead In-Network Malicious Traffic Detection")</f>
        <v>Proteus: Towards Accurate and Low-overhead In-Network Malicious Traffic Detection</v>
      </c>
      <c r="C309" s="133" t="s">
        <v>674</v>
      </c>
      <c r="D309" s="153" t="str">
        <f t="shared" si="1"/>
        <v>Proteus: Towards Accurate and Low-overhead In-Network Malicious Traffic Detection
Longlong Zhu, Linying Zheng, Qing Shu, Zedi Chen, Jiashuo
Yu, Yuhan Wu, Shaopeng Zhou, Hongyan Liu, Dong Zhang,
Chunming Wu and Xiang Chen
</v>
      </c>
      <c r="E309" s="153" t="str">
        <f>IFERROR(__xludf.DUMMYFUNCTION("TEXTJOIN(CHAR(10), TRUE,FILTER('Research Papers'!$C:$C,'Research Papers'!$A:$A=C309))"),"Longlong Zhu, Linying Zheng, Qing Shu, Zedi Chen, Jiashuo
Yu, Yuhan Wu, Shaopeng Zhou, Hongyan Liu, Dong Zhang,
Chunming Wu and Xiang Chen")</f>
        <v>Longlong Zhu, Linying Zheng, Qing Shu, Zedi Chen, Jiashuo
Yu, Yuhan Wu, Shaopeng Zhou, Hongyan Liu, Dong Zhang,
Chunming Wu and Xiang Chen</v>
      </c>
      <c r="F309" s="133" t="s">
        <v>169</v>
      </c>
      <c r="G309" s="153"/>
      <c r="H309" s="153"/>
      <c r="I309" s="120"/>
      <c r="J309" s="120"/>
      <c r="K309" s="153"/>
      <c r="L309" s="153"/>
      <c r="M309" s="153"/>
      <c r="N309" s="153"/>
      <c r="O309" s="153"/>
      <c r="P309" s="153"/>
      <c r="Q309" s="153"/>
      <c r="R309" s="153"/>
      <c r="S309" s="153"/>
      <c r="T309" s="153"/>
      <c r="U309" s="153"/>
      <c r="V309" s="153"/>
      <c r="W309" s="153"/>
      <c r="X309" s="153"/>
      <c r="Y309" s="153"/>
      <c r="Z309" s="153"/>
      <c r="AA309" s="153"/>
      <c r="AB309" s="153"/>
      <c r="AC309" s="153"/>
    </row>
    <row r="310">
      <c r="A310" s="152" t="s">
        <v>334</v>
      </c>
      <c r="B310" s="133" t="str">
        <f>IFERROR(__xludf.DUMMYFUNCTION("FILTER ('Research Papers'!D:D,'Research Papers'!A:A=C310)"),"Tracking the Stray Sheep: Understanding DNS Response Manipulation in the Wild")</f>
        <v>Tracking the Stray Sheep: Understanding DNS Response Manipulation in the Wild</v>
      </c>
      <c r="C310" s="133" t="s">
        <v>675</v>
      </c>
      <c r="D310" s="153" t="str">
        <f t="shared" si="1"/>
        <v>Tracking the Stray Sheep: Understanding DNS Response Manipulation in the Wild
Wenhao Wu, Zhaohua Wang, Zihan Li, Qinxin Li, Yiming Xia,
Chuan Gao, Guangxing Zhang and Zhenyu Li
</v>
      </c>
      <c r="E310" s="153" t="str">
        <f>IFERROR(__xludf.DUMMYFUNCTION("TEXTJOIN(CHAR(10), TRUE,FILTER('Research Papers'!$C:$C,'Research Papers'!$A:$A=C310))"),"Wenhao Wu, Zhaohua Wang, Zihan Li, Qinxin Li, Yiming Xia,
Chuan Gao, Guangxing Zhang and Zhenyu Li")</f>
        <v>Wenhao Wu, Zhaohua Wang, Zihan Li, Qinxin Li, Yiming Xia,
Chuan Gao, Guangxing Zhang and Zhenyu Li</v>
      </c>
      <c r="F310" s="133" t="s">
        <v>169</v>
      </c>
      <c r="G310" s="153"/>
      <c r="H310" s="153"/>
      <c r="I310" s="120"/>
      <c r="J310" s="120"/>
      <c r="K310" s="153"/>
      <c r="L310" s="153"/>
      <c r="M310" s="153"/>
      <c r="N310" s="153"/>
      <c r="O310" s="153"/>
      <c r="P310" s="153"/>
      <c r="Q310" s="153"/>
      <c r="R310" s="153"/>
      <c r="S310" s="153"/>
      <c r="T310" s="153"/>
      <c r="U310" s="153"/>
      <c r="V310" s="153"/>
      <c r="W310" s="153"/>
      <c r="X310" s="153"/>
      <c r="Y310" s="153"/>
      <c r="Z310" s="153"/>
      <c r="AA310" s="153"/>
      <c r="AB310" s="153"/>
      <c r="AC310" s="153"/>
    </row>
    <row r="311">
      <c r="A311" s="152" t="s">
        <v>334</v>
      </c>
      <c r="B311" s="133" t="str">
        <f>IFERROR(__xludf.DUMMYFUNCTION("FILTER ('Research Papers'!D:D,'Research Papers'!A:A=C311)"),"Sybil Attacks on Centrality Measures")</f>
        <v>Sybil Attacks on Centrality Measures</v>
      </c>
      <c r="C311" s="133" t="s">
        <v>676</v>
      </c>
      <c r="D311" s="153" t="str">
        <f t="shared" si="1"/>
        <v>Sybil Attacks on Centrality Measures
Marcin Waniek
</v>
      </c>
      <c r="E311" s="153" t="str">
        <f>IFERROR(__xludf.DUMMYFUNCTION("TEXTJOIN(CHAR(10), TRUE,FILTER('Research Papers'!$C:$C,'Research Papers'!$A:$A=C311))"),"Marcin Waniek")</f>
        <v>Marcin Waniek</v>
      </c>
      <c r="F311" s="133" t="s">
        <v>169</v>
      </c>
      <c r="G311" s="153"/>
      <c r="H311" s="153"/>
      <c r="I311" s="120"/>
      <c r="J311" s="120"/>
      <c r="K311" s="153"/>
      <c r="L311" s="153"/>
      <c r="M311" s="153"/>
      <c r="N311" s="153"/>
      <c r="O311" s="153"/>
      <c r="P311" s="153"/>
      <c r="Q311" s="153"/>
      <c r="R311" s="153"/>
      <c r="S311" s="153"/>
      <c r="T311" s="153"/>
      <c r="U311" s="153"/>
      <c r="V311" s="153"/>
      <c r="W311" s="153"/>
      <c r="X311" s="153"/>
      <c r="Y311" s="153"/>
      <c r="Z311" s="153"/>
      <c r="AA311" s="153"/>
      <c r="AB311" s="153"/>
      <c r="AC311" s="153"/>
    </row>
    <row r="312">
      <c r="A312" s="152" t="s">
        <v>334</v>
      </c>
      <c r="B312" s="133" t="str">
        <f>IFERROR(__xludf.DUMMYFUNCTION("FILTER ('Research Papers'!D:D,'Research Papers'!A:A=C312)"),"GIANT: Structure-Agnostic Practical Adversarial Attacks for Graph-based Network Intrusion Detection Systems")</f>
        <v>GIANT: Structure-Agnostic Practical Adversarial Attacks for Graph-based Network Intrusion Detection Systems</v>
      </c>
      <c r="C312" s="133" t="s">
        <v>677</v>
      </c>
      <c r="D312" s="153" t="str">
        <f t="shared" si="1"/>
        <v>GIANT: Structure-Agnostic Practical Adversarial Attacks for Graph-based Network Intrusion Detection Systems
Jianjin Zhao, Dongqi Han, Chao Ma, Qi Li, Zhiwei Cui,
Hongliang Zhu, Hua Zhang, Mingshu He, Yijun Lu, Jiong Dong,
Yuyin Ma and Meng Shen
</v>
      </c>
      <c r="E312" s="153" t="str">
        <f>IFERROR(__xludf.DUMMYFUNCTION("TEXTJOIN(CHAR(10), TRUE,FILTER('Research Papers'!$C:$C,'Research Papers'!$A:$A=C312))"),"Jianjin Zhao, Dongqi Han, Chao Ma, Qi Li, Zhiwei Cui,
Hongliang Zhu, Hua Zhang, Mingshu He, Yijun Lu, Jiong Dong,
Yuyin Ma and Meng Shen")</f>
        <v>Jianjin Zhao, Dongqi Han, Chao Ma, Qi Li, Zhiwei Cui,
Hongliang Zhu, Hua Zhang, Mingshu He, Yijun Lu, Jiong Dong,
Yuyin Ma and Meng Shen</v>
      </c>
      <c r="F312" s="133" t="s">
        <v>169</v>
      </c>
      <c r="G312" s="153"/>
      <c r="H312" s="153"/>
      <c r="I312" s="120"/>
      <c r="J312" s="120"/>
      <c r="K312" s="153"/>
      <c r="L312" s="153"/>
      <c r="M312" s="153"/>
      <c r="N312" s="153"/>
      <c r="O312" s="153"/>
      <c r="P312" s="153"/>
      <c r="Q312" s="153"/>
      <c r="R312" s="153"/>
      <c r="S312" s="153"/>
      <c r="T312" s="153"/>
      <c r="U312" s="153"/>
      <c r="V312" s="153"/>
      <c r="W312" s="153"/>
      <c r="X312" s="153"/>
      <c r="Y312" s="153"/>
      <c r="Z312" s="153"/>
      <c r="AA312" s="153"/>
      <c r="AB312" s="153"/>
      <c r="AC312" s="153"/>
    </row>
    <row r="313">
      <c r="A313" s="152" t="s">
        <v>334</v>
      </c>
      <c r="B313" s="133" t="str">
        <f>IFERROR(__xludf.DUMMYFUNCTION("FILTER ('Research Papers'!D:D,'Research Papers'!A:A=C313)"),"SaGD: A Node-Level Differentially Private Graph Learning Framework with Sensitivity-Aware Gradient Descent")</f>
        <v>SaGD: A Node-Level Differentially Private Graph Learning Framework with Sensitivity-Aware Gradient Descent</v>
      </c>
      <c r="C313" s="133" t="s">
        <v>678</v>
      </c>
      <c r="D313" s="153" t="str">
        <f t="shared" si="1"/>
        <v>SaGD: A Node-Level Differentially Private Graph Learning Framework with Sensitivity-Aware Gradient Descent
Jianxin Wei, Ergute Bao, Xiaokui Xiao and Ting Yu
</v>
      </c>
      <c r="E313" s="153" t="str">
        <f>IFERROR(__xludf.DUMMYFUNCTION("TEXTJOIN(CHAR(10), TRUE,FILTER('Research Papers'!$C:$C,'Research Papers'!$A:$A=C313))"),"Jianxin Wei, Ergute Bao, Xiaokui Xiao and Ting Yu")</f>
        <v>Jianxin Wei, Ergute Bao, Xiaokui Xiao and Ting Yu</v>
      </c>
      <c r="F313" s="133" t="s">
        <v>196</v>
      </c>
      <c r="G313" s="153"/>
      <c r="H313" s="153"/>
      <c r="I313" s="120"/>
      <c r="J313" s="120"/>
      <c r="K313" s="153"/>
      <c r="L313" s="153"/>
      <c r="M313" s="153"/>
      <c r="N313" s="153"/>
      <c r="O313" s="153"/>
      <c r="P313" s="153"/>
      <c r="Q313" s="153"/>
      <c r="R313" s="153"/>
      <c r="S313" s="153"/>
      <c r="T313" s="153"/>
      <c r="U313" s="153"/>
      <c r="V313" s="153"/>
      <c r="W313" s="153"/>
      <c r="X313" s="153"/>
      <c r="Y313" s="153"/>
      <c r="Z313" s="153"/>
      <c r="AA313" s="153"/>
      <c r="AB313" s="153"/>
      <c r="AC313" s="153"/>
    </row>
    <row r="314">
      <c r="A314" s="152" t="s">
        <v>334</v>
      </c>
      <c r="B314" s="133" t="str">
        <f>IFERROR(__xludf.DUMMYFUNCTION("FILTER ('Research Papers'!D:D,'Research Papers'!A:A=C314)"),"Mitigating Cumulative Privacy Risk in Continual Information Sharing: A Dynamic Stackelberg Game Approach")</f>
        <v>Mitigating Cumulative Privacy Risk in Continual Information Sharing: A Dynamic Stackelberg Game Approach</v>
      </c>
      <c r="C314" s="133" t="s">
        <v>679</v>
      </c>
      <c r="D314" s="153" t="str">
        <f t="shared" si="1"/>
        <v>Mitigating Cumulative Privacy Risk in Continual Information Sharing: A Dynamic Stackelberg Game Approach
Yuzi Yi, Weixuan Wang, Yehong Luo, Jinqiao Shi and Jiwei
Huang
</v>
      </c>
      <c r="E314" s="153" t="str">
        <f>IFERROR(__xludf.DUMMYFUNCTION("TEXTJOIN(CHAR(10), TRUE,FILTER('Research Papers'!$C:$C,'Research Papers'!$A:$A=C314))"),"Yuzi Yi, Weixuan Wang, Yehong Luo, Jinqiao Shi and Jiwei
Huang")</f>
        <v>Yuzi Yi, Weixuan Wang, Yehong Luo, Jinqiao Shi and Jiwei
Huang</v>
      </c>
      <c r="F314" s="133" t="s">
        <v>196</v>
      </c>
      <c r="G314" s="153"/>
      <c r="H314" s="153"/>
      <c r="I314" s="120"/>
      <c r="J314" s="120"/>
      <c r="K314" s="153"/>
      <c r="L314" s="153"/>
      <c r="M314" s="153"/>
      <c r="N314" s="153"/>
      <c r="O314" s="153"/>
      <c r="P314" s="153"/>
      <c r="Q314" s="153"/>
      <c r="R314" s="153"/>
      <c r="S314" s="153"/>
      <c r="T314" s="153"/>
      <c r="U314" s="153"/>
      <c r="V314" s="153"/>
      <c r="W314" s="153"/>
      <c r="X314" s="153"/>
      <c r="Y314" s="153"/>
      <c r="Z314" s="153"/>
      <c r="AA314" s="153"/>
      <c r="AB314" s="153"/>
      <c r="AC314" s="153"/>
    </row>
    <row r="315">
      <c r="A315" s="152" t="s">
        <v>334</v>
      </c>
      <c r="B315" s="133" t="str">
        <f>IFERROR(__xludf.DUMMYFUNCTION("FILTER ('Research Papers'!D:D,'Research Papers'!A:A=C315)"),"Distribution-Aligned Synthetic Text Generation via Tail-Aware Enhancement")</f>
        <v>Distribution-Aligned Synthetic Text Generation via Tail-Aware Enhancement</v>
      </c>
      <c r="C315" s="133" t="s">
        <v>680</v>
      </c>
      <c r="D315" s="153" t="str">
        <f t="shared" si="1"/>
        <v>Distribution-Aligned Synthetic Text Generation via Tail-Aware Enhancement
Yuan Fan, Xiaoyuan Liu, Bo Liu, Wubing Wang, Jia Sun,
Wenzhi Chen, Huaikang Fang, Lifeng Tao and Fan Mo
</v>
      </c>
      <c r="E315" s="153" t="str">
        <f>IFERROR(__xludf.DUMMYFUNCTION("TEXTJOIN(CHAR(10), TRUE,FILTER('Research Papers'!$C:$C,'Research Papers'!$A:$A=C315))"),"Yuan Fan, Xiaoyuan Liu, Bo Liu, Wubing Wang, Jia Sun,
Wenzhi Chen, Huaikang Fang, Lifeng Tao and Fan Mo")</f>
        <v>Yuan Fan, Xiaoyuan Liu, Bo Liu, Wubing Wang, Jia Sun,
Wenzhi Chen, Huaikang Fang, Lifeng Tao and Fan Mo</v>
      </c>
      <c r="F315" s="133" t="s">
        <v>196</v>
      </c>
      <c r="G315" s="153"/>
      <c r="H315" s="153"/>
      <c r="I315" s="120"/>
      <c r="J315" s="120"/>
      <c r="K315" s="153"/>
      <c r="L315" s="153"/>
      <c r="M315" s="153"/>
      <c r="N315" s="153"/>
      <c r="O315" s="153"/>
      <c r="P315" s="153"/>
      <c r="Q315" s="153"/>
      <c r="R315" s="153"/>
      <c r="S315" s="153"/>
      <c r="T315" s="153"/>
      <c r="U315" s="153"/>
      <c r="V315" s="153"/>
      <c r="W315" s="153"/>
      <c r="X315" s="153"/>
      <c r="Y315" s="153"/>
      <c r="Z315" s="153"/>
      <c r="AA315" s="153"/>
      <c r="AB315" s="153"/>
      <c r="AC315" s="153"/>
    </row>
    <row r="316">
      <c r="A316" s="152" t="s">
        <v>334</v>
      </c>
      <c r="B316" s="133" t="str">
        <f>IFERROR(__xludf.DUMMYFUNCTION("FILTER ('Research Papers'!D:D,'Research Papers'!A:A=C316)"),"Inferring Users’ Demographics and Sensitive Interests Using the Topics API")</f>
        <v>Inferring Users’ Demographics and Sensitive Interests Using the Topics API</v>
      </c>
      <c r="C316" s="133" t="s">
        <v>681</v>
      </c>
      <c r="D316" s="153" t="str">
        <f t="shared" si="1"/>
        <v>Inferring Users’ Demographics and Sensitive Interests Using the Topics API
Athicha Srivirote, Muhammad Abu Bakar Aziz, Jeffrey
Gleason, Desheng Hu and Christo Wilson
</v>
      </c>
      <c r="E316" s="153" t="str">
        <f>IFERROR(__xludf.DUMMYFUNCTION("TEXTJOIN(CHAR(10), TRUE,FILTER('Research Papers'!$C:$C,'Research Papers'!$A:$A=C316))"),"Athicha Srivirote, Muhammad Abu Bakar Aziz, Jeffrey
Gleason, Desheng Hu and Christo Wilson")</f>
        <v>Athicha Srivirote, Muhammad Abu Bakar Aziz, Jeffrey
Gleason, Desheng Hu and Christo Wilson</v>
      </c>
      <c r="F316" s="133" t="s">
        <v>196</v>
      </c>
      <c r="G316" s="153"/>
      <c r="H316" s="153"/>
      <c r="I316" s="120"/>
      <c r="J316" s="120"/>
      <c r="K316" s="153"/>
      <c r="L316" s="153"/>
      <c r="M316" s="153"/>
      <c r="N316" s="153"/>
      <c r="O316" s="153"/>
      <c r="P316" s="153"/>
      <c r="Q316" s="153"/>
      <c r="R316" s="153"/>
      <c r="S316" s="153"/>
      <c r="T316" s="153"/>
      <c r="U316" s="153"/>
      <c r="V316" s="153"/>
      <c r="W316" s="153"/>
      <c r="X316" s="153"/>
      <c r="Y316" s="153"/>
      <c r="Z316" s="153"/>
      <c r="AA316" s="153"/>
      <c r="AB316" s="153"/>
      <c r="AC316" s="153"/>
    </row>
    <row r="317">
      <c r="A317" s="152" t="s">
        <v>334</v>
      </c>
      <c r="B317" s="133" t="str">
        <f>IFERROR(__xludf.DUMMYFUNCTION("FILTER ('Research Papers'!D:D,'Research Papers'!A:A=C317)"),"AdVersa: Adversarially-Robust and Practical Ad and Tracker Blocking in the Wild")</f>
        <v>AdVersa: Adversarially-Robust and Practical Ad and Tracker Blocking in the Wild</v>
      </c>
      <c r="C317" s="133" t="s">
        <v>682</v>
      </c>
      <c r="D317" s="153" t="str">
        <f t="shared" si="1"/>
        <v>AdVersa: Adversarially-Robust and Practical Ad and Tracker Blocking in the Wild
Chaejin Lim, Kiho Lee, Beomjin Jin, Heewon Baek and
Hyoungshick Kim
</v>
      </c>
      <c r="E317" s="153" t="str">
        <f>IFERROR(__xludf.DUMMYFUNCTION("TEXTJOIN(CHAR(10), TRUE,FILTER('Research Papers'!$C:$C,'Research Papers'!$A:$A=C317))"),"Chaejin Lim, Kiho Lee, Beomjin Jin, Heewon Baek and
Hyoungshick Kim")</f>
        <v>Chaejin Lim, Kiho Lee, Beomjin Jin, Heewon Baek and
Hyoungshick Kim</v>
      </c>
      <c r="F317" s="133" t="s">
        <v>196</v>
      </c>
      <c r="G317" s="153"/>
      <c r="H317" s="153"/>
      <c r="I317" s="120"/>
      <c r="J317" s="120"/>
      <c r="K317" s="153"/>
      <c r="L317" s="153"/>
      <c r="M317" s="153"/>
      <c r="N317" s="153"/>
      <c r="O317" s="153"/>
      <c r="P317" s="153"/>
      <c r="Q317" s="153"/>
      <c r="R317" s="153"/>
      <c r="S317" s="153"/>
      <c r="T317" s="153"/>
      <c r="U317" s="153"/>
      <c r="V317" s="153"/>
      <c r="W317" s="153"/>
      <c r="X317" s="153"/>
      <c r="Y317" s="153"/>
      <c r="Z317" s="153"/>
      <c r="AA317" s="153"/>
      <c r="AB317" s="153"/>
      <c r="AC317" s="153"/>
    </row>
    <row r="318">
      <c r="A318" s="152" t="s">
        <v>334</v>
      </c>
      <c r="B318" s="133" t="str">
        <f>IFERROR(__xludf.DUMMYFUNCTION("FILTER ('Research Papers'!D:D,'Research Papers'!A:A=C318)"),"Reading Between the Lines: Towards Reliable Black-box LLM Fingerprinting via Zeroth-order Gradient Estimation")</f>
        <v>Reading Between the Lines: Towards Reliable Black-box LLM Fingerprinting via Zeroth-order Gradient Estimation</v>
      </c>
      <c r="C318" s="133" t="s">
        <v>683</v>
      </c>
      <c r="D318" s="153" t="str">
        <f t="shared" si="1"/>
        <v>Reading Between the Lines: Towards Reliable Black-box LLM Fingerprinting via Zeroth-order Gradient Estimation
Shuo Shao, Yiming Li, Hongwei Yao, Yifei Chen, Yuchen Yang
and Zhan Qin
</v>
      </c>
      <c r="E318" s="153" t="str">
        <f>IFERROR(__xludf.DUMMYFUNCTION("TEXTJOIN(CHAR(10), TRUE,FILTER('Research Papers'!$C:$C,'Research Papers'!$A:$A=C318))"),"Shuo Shao, Yiming Li, Hongwei Yao, Yifei Chen, Yuchen Yang
and Zhan Qin")</f>
        <v>Shuo Shao, Yiming Li, Hongwei Yao, Yifei Chen, Yuchen Yang
and Zhan Qin</v>
      </c>
      <c r="F318" s="133" t="s">
        <v>80</v>
      </c>
      <c r="G318" s="153"/>
      <c r="H318" s="153"/>
      <c r="I318" s="120"/>
      <c r="J318" s="120"/>
      <c r="K318" s="153"/>
      <c r="L318" s="153"/>
      <c r="M318" s="153"/>
      <c r="N318" s="153"/>
      <c r="O318" s="153"/>
      <c r="P318" s="153"/>
      <c r="Q318" s="153"/>
      <c r="R318" s="153"/>
      <c r="S318" s="153"/>
      <c r="T318" s="153"/>
      <c r="U318" s="153"/>
      <c r="V318" s="153"/>
      <c r="W318" s="153"/>
      <c r="X318" s="153"/>
      <c r="Y318" s="153"/>
      <c r="Z318" s="153"/>
      <c r="AA318" s="153"/>
      <c r="AB318" s="153"/>
      <c r="AC318" s="153"/>
    </row>
    <row r="319">
      <c r="A319" s="152" t="s">
        <v>334</v>
      </c>
      <c r="B319" s="133" t="str">
        <f>IFERROR(__xludf.DUMMYFUNCTION("FILTER ('Research Papers'!D:D,'Research Papers'!A:A=C319)"),"Forge: A Robust Multi-tab Website Fingerprinting Attack via Blind Source Separation")</f>
        <v>Forge: A Robust Multi-tab Website Fingerprinting Attack via Blind Source Separation</v>
      </c>
      <c r="C319" s="133" t="s">
        <v>684</v>
      </c>
      <c r="D319" s="153" t="str">
        <f t="shared" si="1"/>
        <v>Forge: A Robust Multi-tab Website Fingerprinting Attack via Blind Source Separation
Yitan Huang, Wei Qiao, Ding Wang, Meng Shen, Di Zhao, Linxu
Li, Susu Cui, Bo Jiang, Zhigang Lu and Baoxu Liu
</v>
      </c>
      <c r="E319" s="153" t="str">
        <f>IFERROR(__xludf.DUMMYFUNCTION("TEXTJOIN(CHAR(10), TRUE,FILTER('Research Papers'!$C:$C,'Research Papers'!$A:$A=C319))"),"Yitan Huang, Wei Qiao, Ding Wang, Meng Shen, Di Zhao, Linxu
Li, Susu Cui, Bo Jiang, Zhigang Lu and Baoxu Liu")</f>
        <v>Yitan Huang, Wei Qiao, Ding Wang, Meng Shen, Di Zhao, Linxu
Li, Susu Cui, Bo Jiang, Zhigang Lu and Baoxu Liu</v>
      </c>
      <c r="F319" s="133" t="s">
        <v>80</v>
      </c>
      <c r="G319" s="153"/>
      <c r="H319" s="153"/>
      <c r="I319" s="120"/>
      <c r="J319" s="120"/>
      <c r="K319" s="153"/>
      <c r="L319" s="153"/>
      <c r="M319" s="153"/>
      <c r="N319" s="153"/>
      <c r="O319" s="153"/>
      <c r="P319" s="153"/>
      <c r="Q319" s="153"/>
      <c r="R319" s="153"/>
      <c r="S319" s="153"/>
      <c r="T319" s="153"/>
      <c r="U319" s="153"/>
      <c r="V319" s="153"/>
      <c r="W319" s="153"/>
      <c r="X319" s="153"/>
      <c r="Y319" s="153"/>
      <c r="Z319" s="153"/>
      <c r="AA319" s="153"/>
      <c r="AB319" s="153"/>
      <c r="AC319" s="153"/>
    </row>
    <row r="320">
      <c r="A320" s="152" t="s">
        <v>334</v>
      </c>
      <c r="B320" s="133" t="str">
        <f>IFERROR(__xludf.DUMMYFUNCTION("FILTER ('Research Papers'!D:D,'Research Papers'!A:A=C320)"),"HiFi-WF: Toward Realistic Website Fingerprinting with Multi-tab and Subpage Recognition")</f>
        <v>HiFi-WF: Toward Realistic Website Fingerprinting with Multi-tab and Subpage Recognition</v>
      </c>
      <c r="C320" s="133" t="s">
        <v>685</v>
      </c>
      <c r="D320" s="153" t="str">
        <f t="shared" si="1"/>
        <v>HiFi-WF: Toward Realistic Website Fingerprinting with Multi-tab and Subpage Recognition
Songyang Wu, Chuan Ma, Ming Ding, Long Yuan, Biwen Chen,
Yuwen Qian and Tao Xiang
</v>
      </c>
      <c r="E320" s="153" t="str">
        <f>IFERROR(__xludf.DUMMYFUNCTION("TEXTJOIN(CHAR(10), TRUE,FILTER('Research Papers'!$C:$C,'Research Papers'!$A:$A=C320))"),"Songyang Wu, Chuan Ma, Ming Ding, Long Yuan, Biwen Chen,
Yuwen Qian and Tao Xiang")</f>
        <v>Songyang Wu, Chuan Ma, Ming Ding, Long Yuan, Biwen Chen,
Yuwen Qian and Tao Xiang</v>
      </c>
      <c r="F320" s="133" t="s">
        <v>80</v>
      </c>
      <c r="G320" s="153"/>
      <c r="H320" s="153"/>
      <c r="I320" s="120"/>
      <c r="J320" s="120"/>
      <c r="K320" s="153"/>
      <c r="L320" s="153"/>
      <c r="M320" s="153"/>
      <c r="N320" s="153"/>
      <c r="O320" s="153"/>
      <c r="P320" s="153"/>
      <c r="Q320" s="153"/>
      <c r="R320" s="153"/>
      <c r="S320" s="153"/>
      <c r="T320" s="153"/>
      <c r="U320" s="153"/>
      <c r="V320" s="153"/>
      <c r="W320" s="153"/>
      <c r="X320" s="153"/>
      <c r="Y320" s="153"/>
      <c r="Z320" s="153"/>
      <c r="AA320" s="153"/>
      <c r="AB320" s="153"/>
      <c r="AC320" s="153"/>
    </row>
    <row r="321">
      <c r="A321" s="152" t="s">
        <v>334</v>
      </c>
      <c r="B321" s="133" t="str">
        <f>IFERROR(__xludf.DUMMYFUNCTION("FILTER ('Research Papers'!D:D,'Research Papers'!A:A=C321)"),"RoFiRe: Robust Website Fingerprinting on Real-World Tor Traffic via Improved Augmentation and Normalization")</f>
        <v>RoFiRe: Robust Website Fingerprinting on Real-World Tor Traffic via Improved Augmentation and Normalization</v>
      </c>
      <c r="C321" s="133" t="s">
        <v>686</v>
      </c>
      <c r="D321" s="153" t="str">
        <f t="shared" si="1"/>
        <v>RoFiRe: Robust Website Fingerprinting on Real-World Tor Traffic via Improved Augmentation and Normalization
Haeseung Jeon, Sujin Kim, Nate Mathews, Hosung Kang and Se
Eun Oh
</v>
      </c>
      <c r="E321" s="153" t="str">
        <f>IFERROR(__xludf.DUMMYFUNCTION("TEXTJOIN(CHAR(10), TRUE,FILTER('Research Papers'!$C:$C,'Research Papers'!$A:$A=C321))"),"Haeseung Jeon, Sujin Kim, Nate Mathews, Hosung Kang and Se
Eun Oh")</f>
        <v>Haeseung Jeon, Sujin Kim, Nate Mathews, Hosung Kang and Se
Eun Oh</v>
      </c>
      <c r="F321" s="133" t="s">
        <v>80</v>
      </c>
      <c r="G321" s="153"/>
      <c r="H321" s="153"/>
      <c r="I321" s="120"/>
      <c r="J321" s="120"/>
      <c r="K321" s="153"/>
      <c r="L321" s="153"/>
      <c r="M321" s="153"/>
      <c r="N321" s="153"/>
      <c r="O321" s="153"/>
      <c r="P321" s="153"/>
      <c r="Q321" s="153"/>
      <c r="R321" s="153"/>
      <c r="S321" s="153"/>
      <c r="T321" s="153"/>
      <c r="U321" s="153"/>
      <c r="V321" s="153"/>
      <c r="W321" s="153"/>
      <c r="X321" s="153"/>
      <c r="Y321" s="153"/>
      <c r="Z321" s="153"/>
      <c r="AA321" s="153"/>
      <c r="AB321" s="153"/>
      <c r="AC321" s="153"/>
    </row>
    <row r="322">
      <c r="A322" s="152" t="s">
        <v>334</v>
      </c>
      <c r="B322" s="133" t="str">
        <f>IFERROR(__xludf.DUMMYFUNCTION("FILTER ('Research Papers'!D:D,'Research Papers'!A:A=C322)"),"Understanding Server-side Commercial Fingerprinting")</f>
        <v>Understanding Server-side Commercial Fingerprinting</v>
      </c>
      <c r="C322" s="133" t="s">
        <v>687</v>
      </c>
      <c r="D322" s="153" t="str">
        <f t="shared" si="1"/>
        <v>Understanding Server-side Commercial Fingerprinting
Elisa Luo, Tom Ritter, Stefan Savage and Geoffrey M Voelker
</v>
      </c>
      <c r="E322" s="153" t="str">
        <f>IFERROR(__xludf.DUMMYFUNCTION("TEXTJOIN(CHAR(10), TRUE,FILTER('Research Papers'!$C:$C,'Research Papers'!$A:$A=C322))"),"Elisa Luo, Tom Ritter, Stefan Savage and Geoffrey M Voelker")</f>
        <v>Elisa Luo, Tom Ritter, Stefan Savage and Geoffrey M Voelker</v>
      </c>
      <c r="F322" s="133" t="s">
        <v>80</v>
      </c>
      <c r="G322" s="153"/>
      <c r="H322" s="153"/>
      <c r="I322" s="120"/>
      <c r="J322" s="120"/>
      <c r="K322" s="153"/>
      <c r="L322" s="153"/>
      <c r="M322" s="153"/>
      <c r="N322" s="153"/>
      <c r="O322" s="153"/>
      <c r="P322" s="153"/>
      <c r="Q322" s="153"/>
      <c r="R322" s="153"/>
      <c r="S322" s="153"/>
      <c r="T322" s="153"/>
      <c r="U322" s="153"/>
      <c r="V322" s="153"/>
      <c r="W322" s="153"/>
      <c r="X322" s="153"/>
      <c r="Y322" s="153"/>
      <c r="Z322" s="153"/>
      <c r="AA322" s="153"/>
      <c r="AB322" s="153"/>
      <c r="AC322" s="153"/>
    </row>
    <row r="323">
      <c r="A323" s="152" t="s">
        <v>334</v>
      </c>
      <c r="B323" s="133" t="str">
        <f>IFERROR(__xludf.DUMMYFUNCTION("FILTER ('Research Papers'!D:D,'Research Papers'!A:A=C323)"),"Unveiling and Mitigating Untargeted Poisoning Attacks on Federated Knowledge Graph Embedding")</f>
        <v>Unveiling and Mitigating Untargeted Poisoning Attacks on Federated Knowledge Graph Embedding</v>
      </c>
      <c r="C323" s="133" t="s">
        <v>688</v>
      </c>
      <c r="D323" s="153" t="str">
        <f t="shared" si="1"/>
        <v>Unveiling and Mitigating Untargeted Poisoning Attacks on Federated Knowledge Graph Embedding
Wenzheng Jiang, Ke Liang, Wenke Huang, Xiongtao Zhang,
Zhenxing Xu, Guancheng Wan, Cheston Tan, Flint Xiaofeng Fan
and Ji Wang
</v>
      </c>
      <c r="E323" s="153" t="str">
        <f>IFERROR(__xludf.DUMMYFUNCTION("TEXTJOIN(CHAR(10), TRUE,FILTER('Research Papers'!$C:$C,'Research Papers'!$A:$A=C323))"),"Wenzheng Jiang, Ke Liang, Wenke Huang, Xiongtao Zhang,
Zhenxing Xu, Guancheng Wan, Cheston Tan, Flint Xiaofeng Fan
and Ji Wang")</f>
        <v>Wenzheng Jiang, Ke Liang, Wenke Huang, Xiongtao Zhang,
Zhenxing Xu, Guancheng Wan, Cheston Tan, Flint Xiaofeng Fan
and Ji Wang</v>
      </c>
      <c r="F323" s="133" t="s">
        <v>101</v>
      </c>
      <c r="G323" s="153"/>
      <c r="H323" s="153"/>
      <c r="I323" s="120"/>
      <c r="J323" s="120"/>
      <c r="K323" s="153"/>
      <c r="L323" s="153"/>
      <c r="M323" s="153"/>
      <c r="N323" s="153"/>
      <c r="O323" s="153"/>
      <c r="P323" s="153"/>
      <c r="Q323" s="153"/>
      <c r="R323" s="153"/>
      <c r="S323" s="153"/>
      <c r="T323" s="153"/>
      <c r="U323" s="153"/>
      <c r="V323" s="153"/>
      <c r="W323" s="153"/>
      <c r="X323" s="153"/>
      <c r="Y323" s="153"/>
      <c r="Z323" s="153"/>
      <c r="AA323" s="153"/>
      <c r="AB323" s="153"/>
      <c r="AC323" s="153"/>
    </row>
    <row r="324">
      <c r="A324" s="152" t="s">
        <v>334</v>
      </c>
      <c r="B324" s="133" t="str">
        <f>IFERROR(__xludf.DUMMYFUNCTION("FILTER ('Research Papers'!D:D,'Research Papers'!A:A=C324)"),"Reconstructing Training Data from Adapter-based Federated Large Language Models")</f>
        <v>Reconstructing Training Data from Adapter-based Federated Large Language Models</v>
      </c>
      <c r="C324" s="133" t="s">
        <v>689</v>
      </c>
      <c r="D324" s="153" t="str">
        <f t="shared" si="1"/>
        <v>Reconstructing Training Data from Adapter-based Federated Large Language Models
Silong Chen, Yuchuan Luo, Guilin Deng, Yi Liu, Ming Xu,
Shaojing Fu and Xiaohua Jia
</v>
      </c>
      <c r="E324" s="153" t="str">
        <f>IFERROR(__xludf.DUMMYFUNCTION("TEXTJOIN(CHAR(10), TRUE,FILTER('Research Papers'!$C:$C,'Research Papers'!$A:$A=C324))"),"Silong Chen, Yuchuan Luo, Guilin Deng, Yi Liu, Ming Xu,
Shaojing Fu and Xiaohua Jia")</f>
        <v>Silong Chen, Yuchuan Luo, Guilin Deng, Yi Liu, Ming Xu,
Shaojing Fu and Xiaohua Jia</v>
      </c>
      <c r="F324" s="133" t="s">
        <v>101</v>
      </c>
      <c r="G324" s="153"/>
      <c r="H324" s="153"/>
      <c r="I324" s="120"/>
      <c r="J324" s="120"/>
      <c r="K324" s="153"/>
      <c r="L324" s="153"/>
      <c r="M324" s="153"/>
      <c r="N324" s="153"/>
      <c r="O324" s="153"/>
      <c r="P324" s="153"/>
      <c r="Q324" s="153"/>
      <c r="R324" s="153"/>
      <c r="S324" s="153"/>
      <c r="T324" s="153"/>
      <c r="U324" s="153"/>
      <c r="V324" s="153"/>
      <c r="W324" s="153"/>
      <c r="X324" s="153"/>
      <c r="Y324" s="153"/>
      <c r="Z324" s="153"/>
      <c r="AA324" s="153"/>
      <c r="AB324" s="153"/>
      <c r="AC324" s="153"/>
    </row>
    <row r="325">
      <c r="A325" s="152" t="s">
        <v>334</v>
      </c>
      <c r="B325" s="133" t="str">
        <f>IFERROR(__xludf.DUMMYFUNCTION("FILTER ('Research Papers'!D:D,'Research Papers'!A:A=C325)"),"Xemis: Fair and Robust Privacy-Preserving Data Trading based on Distributed Noise Sharing")</f>
        <v>Xemis: Fair and Robust Privacy-Preserving Data Trading based on Distributed Noise Sharing</v>
      </c>
      <c r="C325" s="133" t="s">
        <v>690</v>
      </c>
      <c r="D325" s="153" t="str">
        <f t="shared" si="1"/>
        <v>Xemis: Fair and Robust Privacy-Preserving Data Trading based on Distributed Noise Sharing
Xinxin Xing, Yizhong Liu, Ruonan Chen, Banghong Qin,
Wangjie Qiu, Jianwei Liu, Qianhong Wu, Willy Susilo and
Robert H. Deng
</v>
      </c>
      <c r="E325" s="153" t="str">
        <f>IFERROR(__xludf.DUMMYFUNCTION("TEXTJOIN(CHAR(10), TRUE,FILTER('Research Papers'!$C:$C,'Research Papers'!$A:$A=C325))"),"Xinxin Xing, Yizhong Liu, Ruonan Chen, Banghong Qin,
Wangjie Qiu, Jianwei Liu, Qianhong Wu, Willy Susilo and
Robert H. Deng")</f>
        <v>Xinxin Xing, Yizhong Liu, Ruonan Chen, Banghong Qin,
Wangjie Qiu, Jianwei Liu, Qianhong Wu, Willy Susilo and
Robert H. Deng</v>
      </c>
      <c r="F325" s="133" t="s">
        <v>101</v>
      </c>
      <c r="G325" s="153"/>
      <c r="H325" s="153"/>
      <c r="I325" s="120"/>
      <c r="J325" s="120"/>
      <c r="K325" s="153"/>
      <c r="L325" s="153"/>
      <c r="M325" s="153"/>
      <c r="N325" s="153"/>
      <c r="O325" s="153"/>
      <c r="P325" s="153"/>
      <c r="Q325" s="153"/>
      <c r="R325" s="153"/>
      <c r="S325" s="153"/>
      <c r="T325" s="153"/>
      <c r="U325" s="153"/>
      <c r="V325" s="153"/>
      <c r="W325" s="153"/>
      <c r="X325" s="153"/>
      <c r="Y325" s="153"/>
      <c r="Z325" s="153"/>
      <c r="AA325" s="153"/>
      <c r="AB325" s="153"/>
      <c r="AC325" s="153"/>
    </row>
    <row r="326">
      <c r="A326" s="152" t="s">
        <v>334</v>
      </c>
      <c r="B326" s="133" t="str">
        <f>IFERROR(__xludf.DUMMYFUNCTION("FILTER ('Research Papers'!D:D,'Research Papers'!A:A=C326)"),"Federated Latent Factor Learning for Privacy-Preserving Spatio-Temporal Signal Recovery")</f>
        <v>Federated Latent Factor Learning for Privacy-Preserving Spatio-Temporal Signal Recovery</v>
      </c>
      <c r="C326" s="133" t="s">
        <v>691</v>
      </c>
      <c r="D326" s="153" t="str">
        <f t="shared" si="1"/>
        <v>Federated Latent Factor Learning for Privacy-Preserving Spatio-Temporal Signal Recovery
Chengjun Yu, Di Wu, Yi He, Jia Chen and Xin Luo
</v>
      </c>
      <c r="E326" s="153" t="str">
        <f>IFERROR(__xludf.DUMMYFUNCTION("TEXTJOIN(CHAR(10), TRUE,FILTER('Research Papers'!$C:$C,'Research Papers'!$A:$A=C326))"),"Chengjun Yu, Di Wu, Yi He, Jia Chen and Xin Luo")</f>
        <v>Chengjun Yu, Di Wu, Yi He, Jia Chen and Xin Luo</v>
      </c>
      <c r="F326" s="133" t="s">
        <v>101</v>
      </c>
      <c r="G326" s="153"/>
      <c r="H326" s="153"/>
      <c r="I326" s="120"/>
      <c r="J326" s="120"/>
      <c r="K326" s="153"/>
      <c r="L326" s="153"/>
      <c r="M326" s="153"/>
      <c r="N326" s="153"/>
      <c r="O326" s="153"/>
      <c r="P326" s="153"/>
      <c r="Q326" s="153"/>
      <c r="R326" s="153"/>
      <c r="S326" s="153"/>
      <c r="T326" s="153"/>
      <c r="U326" s="153"/>
      <c r="V326" s="153"/>
      <c r="W326" s="153"/>
      <c r="X326" s="153"/>
      <c r="Y326" s="153"/>
      <c r="Z326" s="153"/>
      <c r="AA326" s="153"/>
      <c r="AB326" s="153"/>
      <c r="AC326" s="153"/>
    </row>
    <row r="327">
      <c r="A327" s="152" t="s">
        <v>334</v>
      </c>
      <c r="B327" s="133" t="str">
        <f>IFERROR(__xludf.DUMMYFUNCTION("FILTER ('Research Papers'!D:D,'Research Papers'!A:A=C327)"),"Beyond Denial-of-Service: The Puppeteer's Attack for Fine-Grained Control in Ranking-Based Federated Learning")</f>
        <v>Beyond Denial-of-Service: The Puppeteer's Attack for Fine-Grained Control in Ranking-Based Federated Learning</v>
      </c>
      <c r="C327" s="133" t="s">
        <v>692</v>
      </c>
      <c r="D327" s="153" t="str">
        <f t="shared" si="1"/>
        <v>Beyond Denial-of-Service: The Puppeteer's Attack for Fine-Grained Control in Ranking-Based Federated Learning
Zhihao Chen, Zirui Gong, Jianting Ning, Yanjun Zhang and
Leo Yu Zhang
</v>
      </c>
      <c r="E327" s="153" t="str">
        <f>IFERROR(__xludf.DUMMYFUNCTION("TEXTJOIN(CHAR(10), TRUE,FILTER('Research Papers'!$C:$C,'Research Papers'!$A:$A=C327))"),"Zhihao Chen, Zirui Gong, Jianting Ning, Yanjun Zhang and
Leo Yu Zhang")</f>
        <v>Zhihao Chen, Zirui Gong, Jianting Ning, Yanjun Zhang and
Leo Yu Zhang</v>
      </c>
      <c r="F327" s="133" t="s">
        <v>101</v>
      </c>
      <c r="G327" s="153"/>
      <c r="H327" s="153"/>
      <c r="I327" s="120"/>
      <c r="J327" s="120"/>
      <c r="K327" s="153"/>
      <c r="L327" s="153"/>
      <c r="M327" s="153"/>
      <c r="N327" s="153"/>
      <c r="O327" s="153"/>
      <c r="P327" s="153"/>
      <c r="Q327" s="153"/>
      <c r="R327" s="153"/>
      <c r="S327" s="153"/>
      <c r="T327" s="153"/>
      <c r="U327" s="153"/>
      <c r="V327" s="153"/>
      <c r="W327" s="153"/>
      <c r="X327" s="153"/>
      <c r="Y327" s="153"/>
      <c r="Z327" s="153"/>
      <c r="AA327" s="153"/>
      <c r="AB327" s="153"/>
      <c r="AC327" s="153"/>
    </row>
    <row r="328">
      <c r="A328" s="152" t="s">
        <v>334</v>
      </c>
      <c r="B328" s="133" t="str">
        <f>IFERROR(__xludf.DUMMYFUNCTION("FILTER ('Research Papers'!D:D,'Research Papers'!A:A=C328)"),"ProvGuard: Logic-Aware Multi-View Contrastive Learning for Robust and Efficient Host Threat Detection")</f>
        <v>ProvGuard: Logic-Aware Multi-View Contrastive Learning for Robust and Efficient Host Threat Detection</v>
      </c>
      <c r="C328" s="133" t="s">
        <v>693</v>
      </c>
      <c r="D328" s="153" t="str">
        <f t="shared" si="1"/>
        <v>ProvGuard: Logic-Aware Multi-View Contrastive Learning for Robust and Efficient Host Threat Detection
Anyuan Sang, Li Yang, Lu Zhou, Cheng Zhou, Junbo Jia and
Huipeng Yang
</v>
      </c>
      <c r="E328" s="153" t="str">
        <f>IFERROR(__xludf.DUMMYFUNCTION("TEXTJOIN(CHAR(10), TRUE,FILTER('Research Papers'!$C:$C,'Research Papers'!$A:$A=C328))"),"Anyuan Sang, Li Yang, Lu Zhou, Cheng Zhou, Junbo Jia and
Huipeng Yang")</f>
        <v>Anyuan Sang, Li Yang, Lu Zhou, Cheng Zhou, Junbo Jia and
Huipeng Yang</v>
      </c>
      <c r="F328" s="133" t="s">
        <v>133</v>
      </c>
      <c r="G328" s="153"/>
      <c r="H328" s="153"/>
      <c r="I328" s="120"/>
      <c r="J328" s="120"/>
      <c r="K328" s="153"/>
      <c r="L328" s="153"/>
      <c r="M328" s="153"/>
      <c r="N328" s="153"/>
      <c r="O328" s="153"/>
      <c r="P328" s="153"/>
      <c r="Q328" s="153"/>
      <c r="R328" s="153"/>
      <c r="S328" s="153"/>
      <c r="T328" s="153"/>
      <c r="U328" s="153"/>
      <c r="V328" s="153"/>
      <c r="W328" s="153"/>
      <c r="X328" s="153"/>
      <c r="Y328" s="153"/>
      <c r="Z328" s="153"/>
      <c r="AA328" s="153"/>
      <c r="AB328" s="153"/>
      <c r="AC328" s="153"/>
    </row>
    <row r="329">
      <c r="A329" s="152" t="s">
        <v>334</v>
      </c>
      <c r="B329" s="133" t="str">
        <f>IFERROR(__xludf.DUMMYFUNCTION("FILTER ('Research Papers'!D:D,'Research Papers'!A:A=C329)"),"Re-understanding Graph Unlearning through Memorization")</f>
        <v>Re-understanding Graph Unlearning through Memorization</v>
      </c>
      <c r="C329" s="133" t="s">
        <v>694</v>
      </c>
      <c r="D329" s="153" t="str">
        <f t="shared" si="1"/>
        <v>Re-understanding Graph Unlearning through Memorization
Pengfei Ding, Yan Wang and Guanfeng Liu
</v>
      </c>
      <c r="E329" s="153" t="str">
        <f>IFERROR(__xludf.DUMMYFUNCTION("TEXTJOIN(CHAR(10), TRUE,FILTER('Research Papers'!$C:$C,'Research Papers'!$A:$A=C329))"),"Pengfei Ding, Yan Wang and Guanfeng Liu")</f>
        <v>Pengfei Ding, Yan Wang and Guanfeng Liu</v>
      </c>
      <c r="F329" s="133" t="s">
        <v>133</v>
      </c>
      <c r="G329" s="153"/>
      <c r="H329" s="153"/>
      <c r="I329" s="120"/>
      <c r="J329" s="120"/>
      <c r="K329" s="153"/>
      <c r="L329" s="153"/>
      <c r="M329" s="153"/>
      <c r="N329" s="153"/>
      <c r="O329" s="153"/>
      <c r="P329" s="153"/>
      <c r="Q329" s="153"/>
      <c r="R329" s="153"/>
      <c r="S329" s="153"/>
      <c r="T329" s="153"/>
      <c r="U329" s="153"/>
      <c r="V329" s="153"/>
      <c r="W329" s="153"/>
      <c r="X329" s="153"/>
      <c r="Y329" s="153"/>
      <c r="Z329" s="153"/>
      <c r="AA329" s="153"/>
      <c r="AB329" s="153"/>
      <c r="AC329" s="153"/>
    </row>
    <row r="330">
      <c r="A330" s="152" t="s">
        <v>334</v>
      </c>
      <c r="B330" s="133" t="str">
        <f>IFERROR(__xludf.DUMMYFUNCTION("FILTER ('Research Papers'!D:D,'Research Papers'!A:A=C330)"),"Towards Robust Detection of Chinese Toxic Variants via Dynamic Knowledge Graph–LLM Reasoning")</f>
        <v>Towards Robust Detection of Chinese Toxic Variants via Dynamic Knowledge Graph–LLM Reasoning</v>
      </c>
      <c r="C330" s="133" t="s">
        <v>695</v>
      </c>
      <c r="D330" s="153" t="str">
        <f t="shared" si="1"/>
        <v>Towards Robust Detection of Chinese Toxic Variants via Dynamic Knowledge Graph–LLM Reasoning
Shaochen Yang, Kefei Zhou and Wei Xu
</v>
      </c>
      <c r="E330" s="153" t="str">
        <f>IFERROR(__xludf.DUMMYFUNCTION("TEXTJOIN(CHAR(10), TRUE,FILTER('Research Papers'!$C:$C,'Research Papers'!$A:$A=C330))"),"Shaochen Yang, Kefei Zhou and Wei Xu")</f>
        <v>Shaochen Yang, Kefei Zhou and Wei Xu</v>
      </c>
      <c r="F330" s="133" t="s">
        <v>133</v>
      </c>
      <c r="G330" s="153"/>
      <c r="H330" s="153"/>
      <c r="I330" s="120"/>
      <c r="J330" s="120"/>
      <c r="K330" s="153"/>
      <c r="L330" s="153"/>
      <c r="M330" s="153"/>
      <c r="N330" s="153"/>
      <c r="O330" s="153"/>
      <c r="P330" s="153"/>
      <c r="Q330" s="153"/>
      <c r="R330" s="153"/>
      <c r="S330" s="153"/>
      <c r="T330" s="153"/>
      <c r="U330" s="153"/>
      <c r="V330" s="153"/>
      <c r="W330" s="153"/>
      <c r="X330" s="153"/>
      <c r="Y330" s="153"/>
      <c r="Z330" s="153"/>
      <c r="AA330" s="153"/>
      <c r="AB330" s="153"/>
      <c r="AC330" s="153"/>
    </row>
    <row r="331">
      <c r="A331" s="152" t="s">
        <v>334</v>
      </c>
      <c r="B331" s="133" t="str">
        <f>IFERROR(__xludf.DUMMYFUNCTION("FILTER ('Research Papers'!D:D,'Research Papers'!A:A=C331)"),"When Reasoning Leaks Membership: Membership Inference Attack on Black-box Large Reasoning Models")</f>
        <v>When Reasoning Leaks Membership: Membership Inference Attack on Black-box Large Reasoning Models</v>
      </c>
      <c r="C331" s="133" t="s">
        <v>696</v>
      </c>
      <c r="D331" s="153" t="str">
        <f t="shared" si="1"/>
        <v>When Reasoning Leaks Membership: Membership Inference Attack on Black-box Large Reasoning Models
Ruihan Hu, Yu-Ming Shang, Wei Luo, Ye Tao and Xi Zhang
</v>
      </c>
      <c r="E331" s="153" t="str">
        <f>IFERROR(__xludf.DUMMYFUNCTION("TEXTJOIN(CHAR(10), TRUE,FILTER('Research Papers'!$C:$C,'Research Papers'!$A:$A=C331))"),"Ruihan Hu, Yu-Ming Shang, Wei Luo, Ye Tao and Xi Zhang")</f>
        <v>Ruihan Hu, Yu-Ming Shang, Wei Luo, Ye Tao and Xi Zhang</v>
      </c>
      <c r="F331" s="133" t="s">
        <v>133</v>
      </c>
      <c r="G331" s="153"/>
      <c r="H331" s="153"/>
      <c r="I331" s="120"/>
      <c r="J331" s="120"/>
      <c r="K331" s="153"/>
      <c r="L331" s="153"/>
      <c r="M331" s="153"/>
      <c r="N331" s="153"/>
      <c r="O331" s="153"/>
      <c r="P331" s="153"/>
      <c r="Q331" s="153"/>
      <c r="R331" s="153"/>
      <c r="S331" s="153"/>
      <c r="T331" s="153"/>
      <c r="U331" s="153"/>
      <c r="V331" s="153"/>
      <c r="W331" s="153"/>
      <c r="X331" s="153"/>
      <c r="Y331" s="153"/>
      <c r="Z331" s="153"/>
      <c r="AA331" s="153"/>
      <c r="AB331" s="153"/>
      <c r="AC331" s="153"/>
    </row>
    <row r="332">
      <c r="A332" s="152" t="s">
        <v>334</v>
      </c>
      <c r="B332" s="133" t="str">
        <f>IFERROR(__xludf.DUMMYFUNCTION("FILTER ('Research Papers'!D:D,'Research Papers'!A:A=C332)"),"Unequal Vulnerability: The Differential Impact of Label Flipping Attacks Across Classes")</f>
        <v>Unequal Vulnerability: The Differential Impact of Label Flipping Attacks Across Classes</v>
      </c>
      <c r="C332" s="133" t="s">
        <v>697</v>
      </c>
      <c r="D332" s="153" t="str">
        <f t="shared" si="1"/>
        <v>Unequal Vulnerability: The Differential Impact of Label Flipping Attacks Across Classes
Pinlong Zhao, Mengyang Li, Pengfei Jiao, Huijun Tang and Ou
Wu
</v>
      </c>
      <c r="E332" s="153" t="str">
        <f>IFERROR(__xludf.DUMMYFUNCTION("TEXTJOIN(CHAR(10), TRUE,FILTER('Research Papers'!$C:$C,'Research Papers'!$A:$A=C332))"),"Pinlong Zhao, Mengyang Li, Pengfei Jiao, Huijun Tang and Ou
Wu")</f>
        <v>Pinlong Zhao, Mengyang Li, Pengfei Jiao, Huijun Tang and Ou
Wu</v>
      </c>
      <c r="F332" s="133" t="s">
        <v>133</v>
      </c>
      <c r="G332" s="153"/>
      <c r="H332" s="153"/>
      <c r="I332" s="120"/>
      <c r="J332" s="120"/>
      <c r="K332" s="153"/>
      <c r="L332" s="153"/>
      <c r="M332" s="153"/>
      <c r="N332" s="153"/>
      <c r="O332" s="153"/>
      <c r="P332" s="153"/>
      <c r="Q332" s="153"/>
      <c r="R332" s="153"/>
      <c r="S332" s="153"/>
      <c r="T332" s="153"/>
      <c r="U332" s="153"/>
      <c r="V332" s="153"/>
      <c r="W332" s="153"/>
      <c r="X332" s="153"/>
      <c r="Y332" s="153"/>
      <c r="Z332" s="153"/>
      <c r="AA332" s="153"/>
      <c r="AB332" s="153"/>
      <c r="AC332" s="153"/>
    </row>
    <row r="333">
      <c r="A333" s="152" t="s">
        <v>334</v>
      </c>
      <c r="B333" s="133" t="str">
        <f>IFERROR(__xludf.DUMMYFUNCTION("FILTER ('Research Papers'!D:D,'Research Papers'!A:A=C333)"),"Has the Two-Decade-Old Prophecy Come True? Artificial Bad Intelligence Triggered by Merely a Single-Bit Flip in Large Language Models")</f>
        <v>Has the Two-Decade-Old Prophecy Come True? Artificial Bad Intelligence Triggered by Merely a Single-Bit Flip in Large Language Models</v>
      </c>
      <c r="C333" s="133" t="s">
        <v>698</v>
      </c>
      <c r="D333" s="153" t="str">
        <f t="shared" si="1"/>
        <v>Has the Two-Decade-Old Prophecy Come True? Artificial Bad Intelligence Triggered by Merely a Single-Bit Flip in Large Language Models
Yu Yan, Siqi Lu, Yang Gao, Zhaoxuan Li, Ziming Zhao,
Qingjun Yuan and Yongjuan Wang
</v>
      </c>
      <c r="E333" s="153" t="str">
        <f>IFERROR(__xludf.DUMMYFUNCTION("TEXTJOIN(CHAR(10), TRUE,FILTER('Research Papers'!$C:$C,'Research Papers'!$A:$A=C333))"),"Yu Yan, Siqi Lu, Yang Gao, Zhaoxuan Li, Ziming Zhao,
Qingjun Yuan and Yongjuan Wang")</f>
        <v>Yu Yan, Siqi Lu, Yang Gao, Zhaoxuan Li, Ziming Zhao,
Qingjun Yuan and Yongjuan Wang</v>
      </c>
      <c r="F333" s="133" t="s">
        <v>153</v>
      </c>
      <c r="G333" s="153"/>
      <c r="H333" s="153"/>
      <c r="I333" s="120"/>
      <c r="J333" s="120"/>
      <c r="K333" s="153"/>
      <c r="L333" s="153"/>
      <c r="M333" s="153"/>
      <c r="N333" s="153"/>
      <c r="O333" s="153"/>
      <c r="P333" s="153"/>
      <c r="Q333" s="153"/>
      <c r="R333" s="153"/>
      <c r="S333" s="153"/>
      <c r="T333" s="153"/>
      <c r="U333" s="153"/>
      <c r="V333" s="153"/>
      <c r="W333" s="153"/>
      <c r="X333" s="153"/>
      <c r="Y333" s="153"/>
      <c r="Z333" s="153"/>
      <c r="AA333" s="153"/>
      <c r="AB333" s="153"/>
      <c r="AC333" s="153"/>
    </row>
    <row r="334">
      <c r="A334" s="152" t="s">
        <v>334</v>
      </c>
      <c r="B334" s="133" t="str">
        <f>IFERROR(__xludf.DUMMYFUNCTION("FILTER ('Research Papers'!D:D,'Research Papers'!A:A=C334)"),"Combating Knowledge Corruption in Agent Systems: A Byzantine-Tolerant Secure Collaborative RAG Framework")</f>
        <v>Combating Knowledge Corruption in Agent Systems: A Byzantine-Tolerant Secure Collaborative RAG Framework</v>
      </c>
      <c r="C334" s="133" t="s">
        <v>699</v>
      </c>
      <c r="D334" s="153" t="str">
        <f t="shared" si="1"/>
        <v>Combating Knowledge Corruption in Agent Systems: A Byzantine-Tolerant Secure Collaborative RAG Framework
Zhaoqi Wang, Daqing He, Zijian Zhang, Ye Liu, Jiamou Liu,
Zhirui Zeng, Zhan Qin, Zhen Li, Xin Li, Hongwei Yao,
Jincheng An, Yong Liu, Yi Li, Qi Sun, Xiulei Liu and
Liehuang Zhu
</v>
      </c>
      <c r="E334" s="153" t="str">
        <f>IFERROR(__xludf.DUMMYFUNCTION("TEXTJOIN(CHAR(10), TRUE,FILTER('Research Papers'!$C:$C,'Research Papers'!$A:$A=C334))"),"Zhaoqi Wang, Daqing He, Zijian Zhang, Ye Liu, Jiamou Liu,
Zhirui Zeng, Zhan Qin, Zhen Li, Xin Li, Hongwei Yao,
Jincheng An, Yong Liu, Yi Li, Qi Sun, Xiulei Liu and
Liehuang Zhu")</f>
        <v>Zhaoqi Wang, Daqing He, Zijian Zhang, Ye Liu, Jiamou Liu,
Zhirui Zeng, Zhan Qin, Zhen Li, Xin Li, Hongwei Yao,
Jincheng An, Yong Liu, Yi Li, Qi Sun, Xiulei Liu and
Liehuang Zhu</v>
      </c>
      <c r="F334" s="133" t="s">
        <v>153</v>
      </c>
      <c r="G334" s="153"/>
      <c r="H334" s="153"/>
      <c r="I334" s="120"/>
      <c r="J334" s="120"/>
      <c r="K334" s="153"/>
      <c r="L334" s="153"/>
      <c r="M334" s="153"/>
      <c r="N334" s="153"/>
      <c r="O334" s="153"/>
      <c r="P334" s="153"/>
      <c r="Q334" s="153"/>
      <c r="R334" s="153"/>
      <c r="S334" s="153"/>
      <c r="T334" s="153"/>
      <c r="U334" s="153"/>
      <c r="V334" s="153"/>
      <c r="W334" s="153"/>
      <c r="X334" s="153"/>
      <c r="Y334" s="153"/>
      <c r="Z334" s="153"/>
      <c r="AA334" s="153"/>
      <c r="AB334" s="153"/>
      <c r="AC334" s="153"/>
    </row>
    <row r="335">
      <c r="A335" s="152" t="s">
        <v>334</v>
      </c>
      <c r="B335" s="133" t="str">
        <f>IFERROR(__xludf.DUMMYFUNCTION("FILTER ('Research Papers'!D:D,'Research Papers'!A:A=C335)"),"ICL-EVADER: Zero-Query Black-Box Evasion Attacks on In-Context Learning and Their Defenses")</f>
        <v>ICL-EVADER: Zero-Query Black-Box Evasion Attacks on In-Context Learning and Their Defenses</v>
      </c>
      <c r="C335" s="133" t="s">
        <v>700</v>
      </c>
      <c r="D335" s="153" t="str">
        <f t="shared" si="1"/>
        <v>ICL-EVADER: Zero-Query Black-Box Evasion Attacks on In-Context Learning and Their Defenses
Ningyuan He, Ronghong Huang, Qianqian Tang, Hongyu Wang,
Xianghang Mi and Shanqing Guo
</v>
      </c>
      <c r="E335" s="153" t="str">
        <f>IFERROR(__xludf.DUMMYFUNCTION("TEXTJOIN(CHAR(10), TRUE,FILTER('Research Papers'!$C:$C,'Research Papers'!$A:$A=C335))"),"Ningyuan He, Ronghong Huang, Qianqian Tang, Hongyu Wang,
Xianghang Mi and Shanqing Guo")</f>
        <v>Ningyuan He, Ronghong Huang, Qianqian Tang, Hongyu Wang,
Xianghang Mi and Shanqing Guo</v>
      </c>
      <c r="F335" s="133" t="s">
        <v>153</v>
      </c>
      <c r="G335" s="153"/>
      <c r="H335" s="153"/>
      <c r="I335" s="120"/>
      <c r="J335" s="120"/>
      <c r="K335" s="153"/>
      <c r="L335" s="153"/>
      <c r="M335" s="153"/>
      <c r="N335" s="153"/>
      <c r="O335" s="153"/>
      <c r="P335" s="153"/>
      <c r="Q335" s="153"/>
      <c r="R335" s="153"/>
      <c r="S335" s="153"/>
      <c r="T335" s="153"/>
      <c r="U335" s="153"/>
      <c r="V335" s="153"/>
      <c r="W335" s="153"/>
      <c r="X335" s="153"/>
      <c r="Y335" s="153"/>
      <c r="Z335" s="153"/>
      <c r="AA335" s="153"/>
      <c r="AB335" s="153"/>
      <c r="AC335" s="153"/>
    </row>
    <row r="336">
      <c r="A336" s="152" t="s">
        <v>334</v>
      </c>
      <c r="B336" s="133" t="str">
        <f>IFERROR(__xludf.DUMMYFUNCTION("FILTER ('Research Papers'!D:D,'Research Papers'!A:A=C336)"),"Resisting Manipulative Bots in Meme Coin Copy Trading: A Multi-Agent Approach with Chain-of-Thought Reasoning")</f>
        <v>Resisting Manipulative Bots in Meme Coin Copy Trading: A Multi-Agent Approach with Chain-of-Thought Reasoning</v>
      </c>
      <c r="C336" s="133" t="s">
        <v>701</v>
      </c>
      <c r="D336" s="153" t="str">
        <f t="shared" si="1"/>
        <v>Resisting Manipulative Bots in Meme Coin Copy Trading: A Multi-Agent Approach with Chain-of-Thought Reasoning
Yichen Luo, Yebo Feng, Jiahua Xu and Yang Liu
</v>
      </c>
      <c r="E336" s="153" t="str">
        <f>IFERROR(__xludf.DUMMYFUNCTION("TEXTJOIN(CHAR(10), TRUE,FILTER('Research Papers'!$C:$C,'Research Papers'!$A:$A=C336))"),"Yichen Luo, Yebo Feng, Jiahua Xu and Yang Liu")</f>
        <v>Yichen Luo, Yebo Feng, Jiahua Xu and Yang Liu</v>
      </c>
      <c r="F336" s="133" t="s">
        <v>153</v>
      </c>
      <c r="G336" s="153"/>
      <c r="H336" s="153"/>
      <c r="I336" s="120"/>
      <c r="J336" s="120"/>
      <c r="K336" s="153"/>
      <c r="L336" s="153"/>
      <c r="M336" s="153"/>
      <c r="N336" s="153"/>
      <c r="O336" s="153"/>
      <c r="P336" s="153"/>
      <c r="Q336" s="153"/>
      <c r="R336" s="153"/>
      <c r="S336" s="153"/>
      <c r="T336" s="153"/>
      <c r="U336" s="153"/>
      <c r="V336" s="153"/>
      <c r="W336" s="153"/>
      <c r="X336" s="153"/>
      <c r="Y336" s="153"/>
      <c r="Z336" s="153"/>
      <c r="AA336" s="153"/>
      <c r="AB336" s="153"/>
      <c r="AC336" s="153"/>
    </row>
    <row r="337">
      <c r="A337" s="152" t="s">
        <v>334</v>
      </c>
      <c r="B337" s="133" t="str">
        <f>IFERROR(__xludf.DUMMYFUNCTION("FILTER ('Research Papers'!D:D,'Research Papers'!A:A=C337)"),"The Algorithmic Self-Portrait:Deconstructing Memory in ChatGPT")</f>
        <v>The Algorithmic Self-Portrait:Deconstructing Memory in ChatGPT</v>
      </c>
      <c r="C337" s="133" t="s">
        <v>702</v>
      </c>
      <c r="D337" s="153" t="str">
        <f t="shared" si="1"/>
        <v>The Algorithmic Self-Portrait:Deconstructing Memory in ChatGPT
Abhisek Dash, Soumi Das, Elisabeth Kirsten, Qinyuan Wu, Sai
Keerthana Karnam, Krishna P. Gummadi, Thorsten Holz,
Muhammad Bilal Zafar and Savvas Zannettou
</v>
      </c>
      <c r="E337" s="153" t="str">
        <f>IFERROR(__xludf.DUMMYFUNCTION("TEXTJOIN(CHAR(10), TRUE,FILTER('Research Papers'!$C:$C,'Research Papers'!$A:$A=C337))"),"Abhisek Dash, Soumi Das, Elisabeth Kirsten, Qinyuan Wu, Sai
Keerthana Karnam, Krishna P. Gummadi, Thorsten Holz,
Muhammad Bilal Zafar and Savvas Zannettou")</f>
        <v>Abhisek Dash, Soumi Das, Elisabeth Kirsten, Qinyuan Wu, Sai
Keerthana Karnam, Krishna P. Gummadi, Thorsten Holz,
Muhammad Bilal Zafar and Savvas Zannettou</v>
      </c>
      <c r="F337" s="133" t="s">
        <v>153</v>
      </c>
      <c r="G337" s="153"/>
      <c r="H337" s="153"/>
      <c r="I337" s="120"/>
      <c r="J337" s="120"/>
      <c r="K337" s="153"/>
      <c r="L337" s="153"/>
      <c r="M337" s="153"/>
      <c r="N337" s="153"/>
      <c r="O337" s="153"/>
      <c r="P337" s="153"/>
      <c r="Q337" s="153"/>
      <c r="R337" s="153"/>
      <c r="S337" s="153"/>
      <c r="T337" s="153"/>
      <c r="U337" s="153"/>
      <c r="V337" s="153"/>
      <c r="W337" s="153"/>
      <c r="X337" s="153"/>
      <c r="Y337" s="153"/>
      <c r="Z337" s="153"/>
      <c r="AA337" s="153"/>
      <c r="AB337" s="153"/>
      <c r="AC337" s="153"/>
    </row>
    <row r="338">
      <c r="A338" s="152" t="s">
        <v>334</v>
      </c>
      <c r="B338" s="133" t="str">
        <f>IFERROR(__xludf.DUMMYFUNCTION("FILTER ('Research Papers'!D:D,'Research Papers'!A:A=C338)"),"WAMO: Toward Secure Browser Inference via Web Model Obfuscation in WebAssembly")</f>
        <v>WAMO: Toward Secure Browser Inference via Web Model Obfuscation in WebAssembly</v>
      </c>
      <c r="C338" s="133" t="s">
        <v>703</v>
      </c>
      <c r="D338" s="153" t="str">
        <f t="shared" si="1"/>
        <v>WAMO: Toward Secure Browser Inference via Web Model Obfuscation in WebAssembly
Yitong Wang, Pengfei Yu, Hao Han, Jingjing Gu, Fengyuan Xu
and Xinyi Huang
</v>
      </c>
      <c r="E338" s="153" t="str">
        <f>IFERROR(__xludf.DUMMYFUNCTION("TEXTJOIN(CHAR(10), TRUE,FILTER('Research Papers'!$C:$C,'Research Papers'!$A:$A=C338))"),"Yitong Wang, Pengfei Yu, Hao Han, Jingjing Gu, Fengyuan Xu
and Xinyi Huang")</f>
        <v>Yitong Wang, Pengfei Yu, Hao Han, Jingjing Gu, Fengyuan Xu
and Xinyi Huang</v>
      </c>
      <c r="F338" s="133" t="s">
        <v>171</v>
      </c>
      <c r="G338" s="153"/>
      <c r="H338" s="153"/>
      <c r="I338" s="120"/>
      <c r="J338" s="120"/>
      <c r="K338" s="153"/>
      <c r="L338" s="153"/>
      <c r="M338" s="153"/>
      <c r="N338" s="153"/>
      <c r="O338" s="153"/>
      <c r="P338" s="153"/>
      <c r="Q338" s="153"/>
      <c r="R338" s="153"/>
      <c r="S338" s="153"/>
      <c r="T338" s="153"/>
      <c r="U338" s="153"/>
      <c r="V338" s="153"/>
      <c r="W338" s="153"/>
      <c r="X338" s="153"/>
      <c r="Y338" s="153"/>
      <c r="Z338" s="153"/>
      <c r="AA338" s="153"/>
      <c r="AB338" s="153"/>
      <c r="AC338" s="153"/>
    </row>
    <row r="339">
      <c r="A339" s="152" t="s">
        <v>334</v>
      </c>
      <c r="B339" s="133" t="str">
        <f>IFERROR(__xludf.DUMMYFUNCTION("FILTER ('Research Papers'!D:D,'Research Papers'!A:A=C339)"),"WebGeoInfer: Structure-Free Multi-Stage Framework for Geolocation Inference from Exposed Device Web Interfaces")</f>
        <v>WebGeoInfer: Structure-Free Multi-Stage Framework for Geolocation Inference from Exposed Device Web Interfaces</v>
      </c>
      <c r="C339" s="133" t="s">
        <v>704</v>
      </c>
      <c r="D339" s="153" t="str">
        <f t="shared" si="1"/>
        <v>WebGeoInfer: Structure-Free Multi-Stage Framework for Geolocation Inference from Exposed Device Web Interfaces
Huipeng Yang, Li Yang, Lu Zhou, Lichuan Ma, Xinyue Wang,
Junbo Jia and Anyuan Sang
</v>
      </c>
      <c r="E339" s="153" t="str">
        <f>IFERROR(__xludf.DUMMYFUNCTION("TEXTJOIN(CHAR(10), TRUE,FILTER('Research Papers'!$C:$C,'Research Papers'!$A:$A=C339))"),"Huipeng Yang, Li Yang, Lu Zhou, Lichuan Ma, Xinyue Wang,
Junbo Jia and Anyuan Sang")</f>
        <v>Huipeng Yang, Li Yang, Lu Zhou, Lichuan Ma, Xinyue Wang,
Junbo Jia and Anyuan Sang</v>
      </c>
      <c r="F339" s="133" t="s">
        <v>171</v>
      </c>
      <c r="G339" s="153"/>
      <c r="H339" s="153"/>
      <c r="I339" s="120"/>
      <c r="J339" s="120"/>
      <c r="K339" s="153"/>
      <c r="L339" s="153"/>
      <c r="M339" s="153"/>
      <c r="N339" s="153"/>
      <c r="O339" s="153"/>
      <c r="P339" s="153"/>
      <c r="Q339" s="153"/>
      <c r="R339" s="153"/>
      <c r="S339" s="153"/>
      <c r="T339" s="153"/>
      <c r="U339" s="153"/>
      <c r="V339" s="153"/>
      <c r="W339" s="153"/>
      <c r="X339" s="153"/>
      <c r="Y339" s="153"/>
      <c r="Z339" s="153"/>
      <c r="AA339" s="153"/>
      <c r="AB339" s="153"/>
      <c r="AC339" s="153"/>
    </row>
    <row r="340">
      <c r="A340" s="152" t="s">
        <v>334</v>
      </c>
      <c r="B340" s="133" t="str">
        <f>IFERROR(__xludf.DUMMYFUNCTION("FILTER ('Research Papers'!D:D,'Research Papers'!A:A=C340)"),"FalconScope: Effective and Efficient Detection of Hidden Web Interfaces in IoT Devices")</f>
        <v>FalconScope: Effective and Efficient Detection of Hidden Web Interfaces in IoT Devices</v>
      </c>
      <c r="C340" s="133" t="s">
        <v>705</v>
      </c>
      <c r="D340" s="153" t="str">
        <f t="shared" si="1"/>
        <v>FalconScope: Effective and Efficient Detection of Hidden Web Interfaces in IoT Devices
Jiaming Guo, Haoran Yang, Kuihao Yan, Jiekang Hu, Xiaoqi
Jia, Haichao Du and Qihang Zhou
</v>
      </c>
      <c r="E340" s="153" t="str">
        <f>IFERROR(__xludf.DUMMYFUNCTION("TEXTJOIN(CHAR(10), TRUE,FILTER('Research Papers'!$C:$C,'Research Papers'!$A:$A=C340))"),"Jiaming Guo, Haoran Yang, Kuihao Yan, Jiekang Hu, Xiaoqi
Jia, Haichao Du and Qihang Zhou")</f>
        <v>Jiaming Guo, Haoran Yang, Kuihao Yan, Jiekang Hu, Xiaoqi
Jia, Haichao Du and Qihang Zhou</v>
      </c>
      <c r="F340" s="133" t="s">
        <v>171</v>
      </c>
      <c r="G340" s="153"/>
      <c r="H340" s="153"/>
      <c r="I340" s="120"/>
      <c r="J340" s="120"/>
      <c r="K340" s="153"/>
      <c r="L340" s="153"/>
      <c r="M340" s="153"/>
      <c r="N340" s="153"/>
      <c r="O340" s="153"/>
      <c r="P340" s="153"/>
      <c r="Q340" s="153"/>
      <c r="R340" s="153"/>
      <c r="S340" s="153"/>
      <c r="T340" s="153"/>
      <c r="U340" s="153"/>
      <c r="V340" s="153"/>
      <c r="W340" s="153"/>
      <c r="X340" s="153"/>
      <c r="Y340" s="153"/>
      <c r="Z340" s="153"/>
      <c r="AA340" s="153"/>
      <c r="AB340" s="153"/>
      <c r="AC340" s="153"/>
    </row>
    <row r="341">
      <c r="A341" s="152" t="s">
        <v>334</v>
      </c>
      <c r="B341" s="133" t="str">
        <f>IFERROR(__xludf.DUMMYFUNCTION("FILTER ('Research Papers'!D:D,'Research Papers'!A:A=C341)"),"Bento: Fine-Grained Memory Isolation for COTS WebAssembly Binaries")</f>
        <v>Bento: Fine-Grained Memory Isolation for COTS WebAssembly Binaries</v>
      </c>
      <c r="C341" s="133" t="s">
        <v>706</v>
      </c>
      <c r="D341" s="153" t="str">
        <f t="shared" si="1"/>
        <v>Bento: Fine-Grained Memory Isolation for COTS WebAssembly Binaries
Oussama Draissi and Lucas Davi
</v>
      </c>
      <c r="E341" s="153" t="str">
        <f>IFERROR(__xludf.DUMMYFUNCTION("TEXTJOIN(CHAR(10), TRUE,FILTER('Research Papers'!$C:$C,'Research Papers'!$A:$A=C341))"),"Oussama Draissi and Lucas Davi")</f>
        <v>Oussama Draissi and Lucas Davi</v>
      </c>
      <c r="F341" s="133" t="s">
        <v>171</v>
      </c>
      <c r="G341" s="153"/>
      <c r="H341" s="153"/>
      <c r="I341" s="120"/>
      <c r="J341" s="120"/>
      <c r="K341" s="153"/>
      <c r="L341" s="153"/>
      <c r="M341" s="153"/>
      <c r="N341" s="153"/>
      <c r="O341" s="153"/>
      <c r="P341" s="153"/>
      <c r="Q341" s="153"/>
      <c r="R341" s="153"/>
      <c r="S341" s="153"/>
      <c r="T341" s="153"/>
      <c r="U341" s="153"/>
      <c r="V341" s="153"/>
      <c r="W341" s="153"/>
      <c r="X341" s="153"/>
      <c r="Y341" s="153"/>
      <c r="Z341" s="153"/>
      <c r="AA341" s="153"/>
      <c r="AB341" s="153"/>
      <c r="AC341" s="153"/>
    </row>
    <row r="342">
      <c r="A342" s="152" t="s">
        <v>334</v>
      </c>
      <c r="B342" s="133" t="str">
        <f>IFERROR(__xludf.DUMMYFUNCTION("FILTER ('Research Papers'!D:D,'Research Papers'!A:A=C342)"),"Risk-free Selfish Mining in Hybrid Predictability Model. A Case Study on Polkadot’s NPoS")</f>
        <v>Risk-free Selfish Mining in Hybrid Predictability Model. A Case Study on Polkadot’s NPoS</v>
      </c>
      <c r="C342" s="133" t="s">
        <v>707</v>
      </c>
      <c r="D342" s="153" t="str">
        <f t="shared" si="1"/>
        <v>Risk-free Selfish Mining in Hybrid Predictability Model. A Case Study on Polkadot’s NPoS
Mingfei Zhang, Rujia Li, Xinyu Lei and Sisi Duan
</v>
      </c>
      <c r="E342" s="153" t="str">
        <f>IFERROR(__xludf.DUMMYFUNCTION("TEXTJOIN(CHAR(10), TRUE,FILTER('Research Papers'!$C:$C,'Research Papers'!$A:$A=C342))"),"Mingfei Zhang, Rujia Li, Xinyu Lei and Sisi Duan")</f>
        <v>Mingfei Zhang, Rujia Li, Xinyu Lei and Sisi Duan</v>
      </c>
      <c r="F342" s="133" t="s">
        <v>171</v>
      </c>
      <c r="G342" s="153"/>
      <c r="H342" s="153"/>
      <c r="I342" s="120"/>
      <c r="J342" s="120"/>
      <c r="K342" s="153"/>
      <c r="L342" s="153"/>
      <c r="M342" s="153"/>
      <c r="N342" s="153"/>
      <c r="O342" s="153"/>
      <c r="P342" s="153"/>
      <c r="Q342" s="153"/>
      <c r="R342" s="153"/>
      <c r="S342" s="153"/>
      <c r="T342" s="153"/>
      <c r="U342" s="153"/>
      <c r="V342" s="153"/>
      <c r="W342" s="153"/>
      <c r="X342" s="153"/>
      <c r="Y342" s="153"/>
      <c r="Z342" s="153"/>
      <c r="AA342" s="153"/>
      <c r="AB342" s="153"/>
      <c r="AC342" s="153"/>
    </row>
    <row r="343">
      <c r="A343" s="152" t="s">
        <v>334</v>
      </c>
      <c r="B343" s="133" t="str">
        <f>IFERROR(__xludf.DUMMYFUNCTION("FILTER ('Research Papers'!D:D,'Research Papers'!A:A=C343)"),"Exploring and Exploiting Security Vulnerabilities in Self-Hosted LLM Services")</f>
        <v>Exploring and Exploiting Security Vulnerabilities in Self-Hosted LLM Services</v>
      </c>
      <c r="C343" s="133" t="s">
        <v>708</v>
      </c>
      <c r="D343" s="153" t="str">
        <f t="shared" si="1"/>
        <v>Exploring and Exploiting Security Vulnerabilities in Self-Hosted LLM Services
Zhihuang Liu, Ling Hu, Yonghao Tang, Tongqing Zhou, Fang
Liu and Zhiping Cai
</v>
      </c>
      <c r="E343" s="153" t="str">
        <f>IFERROR(__xludf.DUMMYFUNCTION("TEXTJOIN(CHAR(10), TRUE,FILTER('Research Papers'!$C:$C,'Research Papers'!$A:$A=C343))"),"Zhihuang Liu, Ling Hu, Yonghao Tang, Tongqing Zhou, Fang
Liu and Zhiping Cai")</f>
        <v>Zhihuang Liu, Ling Hu, Yonghao Tang, Tongqing Zhou, Fang
Liu and Zhiping Cai</v>
      </c>
      <c r="F343" s="133" t="s">
        <v>198</v>
      </c>
      <c r="G343" s="153"/>
      <c r="H343" s="153"/>
      <c r="I343" s="120"/>
      <c r="J343" s="120"/>
      <c r="K343" s="153"/>
      <c r="L343" s="153"/>
      <c r="M343" s="153"/>
      <c r="N343" s="153"/>
      <c r="O343" s="153"/>
      <c r="P343" s="153"/>
      <c r="Q343" s="153"/>
      <c r="R343" s="153"/>
      <c r="S343" s="153"/>
      <c r="T343" s="153"/>
      <c r="U343" s="153"/>
      <c r="V343" s="153"/>
      <c r="W343" s="153"/>
      <c r="X343" s="153"/>
      <c r="Y343" s="153"/>
      <c r="Z343" s="153"/>
      <c r="AA343" s="153"/>
      <c r="AB343" s="153"/>
      <c r="AC343" s="153"/>
    </row>
    <row r="344">
      <c r="A344" s="152" t="s">
        <v>334</v>
      </c>
      <c r="B344" s="133" t="str">
        <f>IFERROR(__xludf.DUMMYFUNCTION("FILTER ('Research Papers'!D:D,'Research Papers'!A:A=C344)"),"PADD: Prefix-based Attention Divergence Detector for LLM Jailbreaks")</f>
        <v>PADD: Prefix-based Attention Divergence Detector for LLM Jailbreaks</v>
      </c>
      <c r="C344" s="133" t="s">
        <v>709</v>
      </c>
      <c r="D344" s="153" t="str">
        <f t="shared" si="1"/>
        <v>PADD: Prefix-based Attention Divergence Detector for LLM Jailbreaks
Ziqun Bao, Jiaqiang Niu, Yuchen Shao and Chengcheng Wan
</v>
      </c>
      <c r="E344" s="153" t="str">
        <f>IFERROR(__xludf.DUMMYFUNCTION("TEXTJOIN(CHAR(10), TRUE,FILTER('Research Papers'!$C:$C,'Research Papers'!$A:$A=C344))"),"Ziqun Bao, Jiaqiang Niu, Yuchen Shao and Chengcheng Wan")</f>
        <v>Ziqun Bao, Jiaqiang Niu, Yuchen Shao and Chengcheng Wan</v>
      </c>
      <c r="F344" s="133" t="s">
        <v>198</v>
      </c>
      <c r="G344" s="153"/>
      <c r="H344" s="153"/>
      <c r="I344" s="120"/>
      <c r="J344" s="120"/>
      <c r="K344" s="153"/>
      <c r="L344" s="153"/>
      <c r="M344" s="153"/>
      <c r="N344" s="153"/>
      <c r="O344" s="153"/>
      <c r="P344" s="153"/>
      <c r="Q344" s="153"/>
      <c r="R344" s="153"/>
      <c r="S344" s="153"/>
      <c r="T344" s="153"/>
      <c r="U344" s="153"/>
      <c r="V344" s="153"/>
      <c r="W344" s="153"/>
      <c r="X344" s="153"/>
      <c r="Y344" s="153"/>
      <c r="Z344" s="153"/>
      <c r="AA344" s="153"/>
      <c r="AB344" s="153"/>
      <c r="AC344" s="153"/>
    </row>
    <row r="345">
      <c r="A345" s="152" t="s">
        <v>334</v>
      </c>
      <c r="B345" s="133" t="str">
        <f>IFERROR(__xludf.DUMMYFUNCTION("FILTER ('Research Papers'!D:D,'Research Papers'!A:A=C345)"),"The Asymmetric Vulnerability: Bypassing LLM Defenses via Guardrail-Model Mismatch")</f>
        <v>The Asymmetric Vulnerability: Bypassing LLM Defenses via Guardrail-Model Mismatch</v>
      </c>
      <c r="C345" s="133" t="s">
        <v>710</v>
      </c>
      <c r="D345" s="153" t="str">
        <f t="shared" si="1"/>
        <v>The Asymmetric Vulnerability: Bypassing LLM Defenses via Guardrail-Model Mismatch
Junyi Wang, Zhibin Zhu and Chuanyi Liu
</v>
      </c>
      <c r="E345" s="153" t="str">
        <f>IFERROR(__xludf.DUMMYFUNCTION("TEXTJOIN(CHAR(10), TRUE,FILTER('Research Papers'!$C:$C,'Research Papers'!$A:$A=C345))"),"Junyi Wang, Zhibin Zhu and Chuanyi Liu")</f>
        <v>Junyi Wang, Zhibin Zhu and Chuanyi Liu</v>
      </c>
      <c r="F345" s="133" t="s">
        <v>198</v>
      </c>
      <c r="G345" s="153"/>
      <c r="H345" s="153"/>
      <c r="I345" s="120"/>
      <c r="J345" s="120"/>
      <c r="K345" s="153"/>
      <c r="L345" s="153"/>
      <c r="M345" s="153"/>
      <c r="N345" s="153"/>
      <c r="O345" s="153"/>
      <c r="P345" s="153"/>
      <c r="Q345" s="153"/>
      <c r="R345" s="153"/>
      <c r="S345" s="153"/>
      <c r="T345" s="153"/>
      <c r="U345" s="153"/>
      <c r="V345" s="153"/>
      <c r="W345" s="153"/>
      <c r="X345" s="153"/>
      <c r="Y345" s="153"/>
      <c r="Z345" s="153"/>
      <c r="AA345" s="153"/>
      <c r="AB345" s="153"/>
      <c r="AC345" s="153"/>
    </row>
    <row r="346">
      <c r="A346" s="152" t="s">
        <v>334</v>
      </c>
      <c r="B346" s="133" t="str">
        <f>IFERROR(__xludf.DUMMYFUNCTION("FILTER ('Research Papers'!D:D,'Research Papers'!A:A=C346)"),"Greedy Attack: Breaking Finality against VeChain Proof-of-Authority Consensus Protocol")</f>
        <v>Greedy Attack: Breaking Finality against VeChain Proof-of-Authority Consensus Protocol</v>
      </c>
      <c r="C346" s="133" t="s">
        <v>711</v>
      </c>
      <c r="D346" s="153" t="str">
        <f t="shared" si="1"/>
        <v>Greedy Attack: Breaking Finality against VeChain Proof-of-Authority Consensus Protocol
Rujia Li, Qin Wang, Haochen Wang, Xueqian Lu and Sisi Duan
</v>
      </c>
      <c r="E346" s="153" t="str">
        <f>IFERROR(__xludf.DUMMYFUNCTION("TEXTJOIN(CHAR(10), TRUE,FILTER('Research Papers'!$C:$C,'Research Papers'!$A:$A=C346))"),"Rujia Li, Qin Wang, Haochen Wang, Xueqian Lu and Sisi Duan")</f>
        <v>Rujia Li, Qin Wang, Haochen Wang, Xueqian Lu and Sisi Duan</v>
      </c>
      <c r="F346" s="133" t="s">
        <v>198</v>
      </c>
      <c r="G346" s="153"/>
      <c r="H346" s="153"/>
      <c r="I346" s="120"/>
      <c r="J346" s="120"/>
      <c r="K346" s="153"/>
      <c r="L346" s="153"/>
      <c r="M346" s="153"/>
      <c r="N346" s="153"/>
      <c r="O346" s="153"/>
      <c r="P346" s="153"/>
      <c r="Q346" s="153"/>
      <c r="R346" s="153"/>
      <c r="S346" s="153"/>
      <c r="T346" s="153"/>
      <c r="U346" s="153"/>
      <c r="V346" s="153"/>
      <c r="W346" s="153"/>
      <c r="X346" s="153"/>
      <c r="Y346" s="153"/>
      <c r="Z346" s="153"/>
      <c r="AA346" s="153"/>
      <c r="AB346" s="153"/>
      <c r="AC346" s="153"/>
    </row>
    <row r="347">
      <c r="A347" s="152" t="s">
        <v>334</v>
      </c>
      <c r="B347" s="133" t="str">
        <f>IFERROR(__xludf.DUMMYFUNCTION("FILTER ('Research Papers'!D:D,'Research Papers'!A:A=C347)"),"JANUS: A Dual-Constraint Generative Framework for Stealthy Node Injection Attacks")</f>
        <v>JANUS: A Dual-Constraint Generative Framework for Stealthy Node Injection Attacks</v>
      </c>
      <c r="C347" s="133" t="s">
        <v>712</v>
      </c>
      <c r="D347" s="153" t="str">
        <f t="shared" si="1"/>
        <v>JANUS: A Dual-Constraint Generative Framework for Stealthy Node Injection Attacks
Jiahao Zhang, Xiaobing Pei, Zhaokun Zhong, Wenqiang Hao and
Zhenghao Tang
</v>
      </c>
      <c r="E347" s="153" t="str">
        <f>IFERROR(__xludf.DUMMYFUNCTION("TEXTJOIN(CHAR(10), TRUE,FILTER('Research Papers'!$C:$C,'Research Papers'!$A:$A=C347))"),"Jiahao Zhang, Xiaobing Pei, Zhaokun Zhong, Wenqiang Hao and
Zhenghao Tang")</f>
        <v>Jiahao Zhang, Xiaobing Pei, Zhaokun Zhong, Wenqiang Hao and
Zhenghao Tang</v>
      </c>
      <c r="F347" s="133" t="s">
        <v>198</v>
      </c>
      <c r="G347" s="153"/>
      <c r="H347" s="153"/>
      <c r="I347" s="120"/>
      <c r="J347" s="120"/>
      <c r="K347" s="153"/>
      <c r="L347" s="153"/>
      <c r="M347" s="153"/>
      <c r="N347" s="153"/>
      <c r="O347" s="153"/>
      <c r="P347" s="153"/>
      <c r="Q347" s="153"/>
      <c r="R347" s="153"/>
      <c r="S347" s="153"/>
      <c r="T347" s="153"/>
      <c r="U347" s="153"/>
      <c r="V347" s="153"/>
      <c r="W347" s="153"/>
      <c r="X347" s="153"/>
      <c r="Y347" s="153"/>
      <c r="Z347" s="153"/>
      <c r="AA347" s="153"/>
      <c r="AB347" s="153"/>
      <c r="AC347" s="153"/>
    </row>
    <row r="348">
      <c r="A348" s="152" t="s">
        <v>334</v>
      </c>
      <c r="B348" s="133" t="str">
        <f>IFERROR(__xludf.DUMMYFUNCTION("FILTER ('Research Papers'!D:D,'Research Papers'!A:A=C348)"),"SIsomap: Secure Collaborative Manifold Learning with Reducing Communication Costs")</f>
        <v>SIsomap: Secure Collaborative Manifold Learning with Reducing Communication Costs</v>
      </c>
      <c r="C348" s="133" t="s">
        <v>713</v>
      </c>
      <c r="D348" s="153" t="str">
        <f t="shared" si="1"/>
        <v>SIsomap: Secure Collaborative Manifold Learning with Reducing Communication Costs
Peizhao Zhou, Xiaojie Guo, Pinzhi Chen, Ranyang Liu, Lihai
Nie, Tong Li and Zheli Liu
</v>
      </c>
      <c r="E348" s="153" t="str">
        <f>IFERROR(__xludf.DUMMYFUNCTION("TEXTJOIN(CHAR(10), TRUE,FILTER('Research Papers'!$C:$C,'Research Papers'!$A:$A=C348))"),"Peizhao Zhou, Xiaojie Guo, Pinzhi Chen, Ranyang Liu, Lihai
Nie, Tong Li and Zheli Liu")</f>
        <v>Peizhao Zhou, Xiaojie Guo, Pinzhi Chen, Ranyang Liu, Lihai
Nie, Tong Li and Zheli Liu</v>
      </c>
      <c r="F348" s="133" t="s">
        <v>219</v>
      </c>
      <c r="G348" s="133" t="s">
        <v>335</v>
      </c>
      <c r="H348" s="153"/>
      <c r="I348" s="149" t="s">
        <v>367</v>
      </c>
      <c r="J348" s="114">
        <f>COUNTIF(F:F,F348)</f>
        <v>48</v>
      </c>
      <c r="K348" s="153"/>
      <c r="L348" s="153"/>
      <c r="M348" s="153"/>
      <c r="N348" s="153"/>
      <c r="O348" s="153"/>
      <c r="P348" s="153"/>
      <c r="Q348" s="153"/>
      <c r="R348" s="153"/>
      <c r="S348" s="153"/>
      <c r="T348" s="153"/>
      <c r="U348" s="153"/>
      <c r="V348" s="153"/>
      <c r="W348" s="153"/>
      <c r="X348" s="153"/>
      <c r="Y348" s="153"/>
      <c r="Z348" s="153"/>
      <c r="AA348" s="153"/>
      <c r="AB348" s="153"/>
      <c r="AC348" s="153"/>
    </row>
    <row r="349">
      <c r="A349" s="152" t="s">
        <v>334</v>
      </c>
      <c r="B349" s="133" t="str">
        <f>IFERROR(__xludf.DUMMYFUNCTION("FILTER ('Research Papers'!D:D,'Research Papers'!A:A=C349)"),"PrivSplit: A Lossless Method for Prompt Privacy in Distributed Parameter-Efficient Fine-Tuning")</f>
        <v>PrivSplit: A Lossless Method for Prompt Privacy in Distributed Parameter-Efficient Fine-Tuning</v>
      </c>
      <c r="C349" s="133" t="s">
        <v>714</v>
      </c>
      <c r="D349" s="153" t="str">
        <f t="shared" si="1"/>
        <v>PrivSplit: A Lossless Method for Prompt Privacy in Distributed Parameter-Efficient Fine-Tuning
Wujia Niu, Lan Zhang, Haoran Cheng and Shen Li
</v>
      </c>
      <c r="E349" s="153" t="str">
        <f>IFERROR(__xludf.DUMMYFUNCTION("TEXTJOIN(CHAR(10), TRUE,FILTER('Research Papers'!$C:$C,'Research Papers'!$A:$A=C349))"),"Wujia Niu, Lan Zhang, Haoran Cheng and Shen Li")</f>
        <v>Wujia Niu, Lan Zhang, Haoran Cheng and Shen Li</v>
      </c>
      <c r="F349" s="133" t="s">
        <v>219</v>
      </c>
      <c r="G349" s="133" t="s">
        <v>335</v>
      </c>
      <c r="H349" s="153"/>
      <c r="I349" s="120"/>
      <c r="J349" s="120"/>
      <c r="K349" s="153"/>
      <c r="L349" s="153"/>
      <c r="M349" s="153"/>
      <c r="N349" s="153"/>
      <c r="O349" s="153"/>
      <c r="P349" s="153"/>
      <c r="Q349" s="153"/>
      <c r="R349" s="153"/>
      <c r="S349" s="153"/>
      <c r="T349" s="153"/>
      <c r="U349" s="153"/>
      <c r="V349" s="153"/>
      <c r="W349" s="153"/>
      <c r="X349" s="153"/>
      <c r="Y349" s="153"/>
      <c r="Z349" s="153"/>
      <c r="AA349" s="153"/>
      <c r="AB349" s="153"/>
      <c r="AC349" s="153"/>
    </row>
    <row r="350">
      <c r="A350" s="152" t="s">
        <v>334</v>
      </c>
      <c r="B350" s="133" t="str">
        <f>IFERROR(__xludf.DUMMYFUNCTION("FILTER ('Research Papers'!D:D,'Research Papers'!A:A=C350)"),"TGNN: Enhancing Pixel Tracking Detection via LLM-driven Annotation and GAT-powered Structural Representation")</f>
        <v>TGNN: Enhancing Pixel Tracking Detection via LLM-driven Annotation and GAT-powered Structural Representation</v>
      </c>
      <c r="C350" s="133" t="s">
        <v>715</v>
      </c>
      <c r="D350" s="153" t="str">
        <f t="shared" si="1"/>
        <v>TGNN: Enhancing Pixel Tracking Detection via LLM-driven Annotation and GAT-powered Structural Representation
Shenping Xiong, Xutong Wang, Ze Jin, Xinyu Liu, Haoqiang
Wang, Zhen Chen, Ru Tan and Qixu Liu
</v>
      </c>
      <c r="E350" s="153" t="str">
        <f>IFERROR(__xludf.DUMMYFUNCTION("TEXTJOIN(CHAR(10), TRUE,FILTER('Research Papers'!$C:$C,'Research Papers'!$A:$A=C350))"),"Shenping Xiong, Xutong Wang, Ze Jin, Xinyu Liu, Haoqiang
Wang, Zhen Chen, Ru Tan and Qixu Liu")</f>
        <v>Shenping Xiong, Xutong Wang, Ze Jin, Xinyu Liu, Haoqiang
Wang, Zhen Chen, Ru Tan and Qixu Liu</v>
      </c>
      <c r="F350" s="133" t="s">
        <v>219</v>
      </c>
      <c r="G350" s="133" t="s">
        <v>335</v>
      </c>
      <c r="H350" s="153"/>
      <c r="I350" s="120"/>
      <c r="J350" s="120"/>
      <c r="K350" s="153"/>
      <c r="L350" s="153"/>
      <c r="M350" s="153"/>
      <c r="N350" s="153"/>
      <c r="O350" s="153"/>
      <c r="P350" s="153"/>
      <c r="Q350" s="153"/>
      <c r="R350" s="153"/>
      <c r="S350" s="153"/>
      <c r="T350" s="153"/>
      <c r="U350" s="153"/>
      <c r="V350" s="153"/>
      <c r="W350" s="153"/>
      <c r="X350" s="153"/>
      <c r="Y350" s="153"/>
      <c r="Z350" s="153"/>
      <c r="AA350" s="153"/>
      <c r="AB350" s="153"/>
      <c r="AC350" s="153"/>
    </row>
    <row r="351">
      <c r="A351" s="152" t="s">
        <v>334</v>
      </c>
      <c r="B351" s="133" t="str">
        <f>IFERROR(__xludf.DUMMYFUNCTION("FILTER ('Research Papers'!D:D,'Research Papers'!A:A=C351)"),"DiSCoQR: Diffusion-Driven Semantic Compression for Robust Image Steganography in Standard QR Codes")</f>
        <v>DiSCoQR: Diffusion-Driven Semantic Compression for Robust Image Steganography in Standard QR Codes</v>
      </c>
      <c r="C351" s="133" t="s">
        <v>716</v>
      </c>
      <c r="D351" s="153" t="str">
        <f t="shared" si="1"/>
        <v>DiSCoQR: Diffusion-Driven Semantic Compression for Robust Image Steganography in Standard QR Codes
Lijing Ren and Denghui Zhang
</v>
      </c>
      <c r="E351" s="153" t="str">
        <f>IFERROR(__xludf.DUMMYFUNCTION("TEXTJOIN(CHAR(10), TRUE,FILTER('Research Papers'!$C:$C,'Research Papers'!$A:$A=C351))"),"Lijing Ren and Denghui Zhang")</f>
        <v>Lijing Ren and Denghui Zhang</v>
      </c>
      <c r="F351" s="133" t="s">
        <v>219</v>
      </c>
      <c r="G351" s="133" t="s">
        <v>335</v>
      </c>
      <c r="H351" s="153"/>
      <c r="I351" s="120"/>
      <c r="J351" s="120"/>
      <c r="K351" s="153"/>
      <c r="L351" s="153"/>
      <c r="M351" s="153"/>
      <c r="N351" s="153"/>
      <c r="O351" s="153"/>
      <c r="P351" s="153"/>
      <c r="Q351" s="153"/>
      <c r="R351" s="153"/>
      <c r="S351" s="153"/>
      <c r="T351" s="153"/>
      <c r="U351" s="153"/>
      <c r="V351" s="153"/>
      <c r="W351" s="153"/>
      <c r="X351" s="153"/>
      <c r="Y351" s="153"/>
      <c r="Z351" s="153"/>
      <c r="AA351" s="153"/>
      <c r="AB351" s="153"/>
      <c r="AC351" s="153"/>
    </row>
    <row r="352">
      <c r="A352" s="152" t="s">
        <v>334</v>
      </c>
      <c r="B352" s="133" t="str">
        <f>IFERROR(__xludf.DUMMYFUNCTION("FILTER ('Research Papers'!D:D,'Research Papers'!A:A=C352)"),"Netting Phish in the IPFS Ocean: Real-Time Monitoring and Characterization of Decentralized Phishing Campaigns")</f>
        <v>Netting Phish in the IPFS Ocean: Real-Time Monitoring and Characterization of Decentralized Phishing Campaigns</v>
      </c>
      <c r="C352" s="133" t="s">
        <v>717</v>
      </c>
      <c r="D352" s="153" t="str">
        <f t="shared" si="1"/>
        <v>Netting Phish in the IPFS Ocean: Real-Time Monitoring and Characterization of Decentralized Phishing Campaigns
Anas Kastantin, Leonhard Balduf, Onur Ascigil, Saidu
Sokoto, Björn Scheuermann, Andrzej Duda, Michał Król and
Maciej Korczyński
</v>
      </c>
      <c r="E352" s="153" t="str">
        <f>IFERROR(__xludf.DUMMYFUNCTION("TEXTJOIN(CHAR(10), TRUE,FILTER('Research Papers'!$C:$C,'Research Papers'!$A:$A=C352))"),"Anas Kastantin, Leonhard Balduf, Onur Ascigil, Saidu
Sokoto, Björn Scheuermann, Andrzej Duda, Michał Król and
Maciej Korczyński")</f>
        <v>Anas Kastantin, Leonhard Balduf, Onur Ascigil, Saidu
Sokoto, Björn Scheuermann, Andrzej Duda, Michał Król and
Maciej Korczyński</v>
      </c>
      <c r="F352" s="133" t="s">
        <v>219</v>
      </c>
      <c r="G352" s="133" t="s">
        <v>335</v>
      </c>
      <c r="H352" s="153"/>
      <c r="I352" s="120"/>
      <c r="J352" s="120"/>
      <c r="K352" s="153"/>
      <c r="L352" s="153"/>
      <c r="M352" s="153"/>
      <c r="N352" s="153"/>
      <c r="O352" s="153"/>
      <c r="P352" s="153"/>
      <c r="Q352" s="153"/>
      <c r="R352" s="153"/>
      <c r="S352" s="153"/>
      <c r="T352" s="153"/>
      <c r="U352" s="153"/>
      <c r="V352" s="153"/>
      <c r="W352" s="153"/>
      <c r="X352" s="153"/>
      <c r="Y352" s="153"/>
      <c r="Z352" s="153"/>
      <c r="AA352" s="153"/>
      <c r="AB352" s="153"/>
      <c r="AC352" s="153"/>
    </row>
    <row r="353">
      <c r="A353" s="152" t="s">
        <v>334</v>
      </c>
      <c r="B353" s="133" t="str">
        <f>IFERROR(__xludf.DUMMYFUNCTION("FILTER ('Research Papers'!D:D,'Research Papers'!A:A=C353)"),"FraudShield: Knowledge Graph Empowered Defense for LLMs against Fraud Attacks")</f>
        <v>FraudShield: Knowledge Graph Empowered Defense for LLMs against Fraud Attacks</v>
      </c>
      <c r="C353" s="133" t="s">
        <v>718</v>
      </c>
      <c r="D353" s="153" t="str">
        <f t="shared" si="1"/>
        <v>FraudShield: Knowledge Graph Empowered Defense for LLMs against Fraud Attacks
Naen Xu, Jinghuai Zhang, Ping He, Chunyi Zhou, Jun Wang,
Zhihui Fu, Tianyu Du, Zhaoxiang Wang and Shouling Ji
</v>
      </c>
      <c r="E353" s="153" t="str">
        <f>IFERROR(__xludf.DUMMYFUNCTION("TEXTJOIN(CHAR(10), TRUE,FILTER('Research Papers'!$C:$C,'Research Papers'!$A:$A=C353))"),"Naen Xu, Jinghuai Zhang, Ping He, Chunyi Zhou, Jun Wang,
Zhihui Fu, Tianyu Du, Zhaoxiang Wang and Shouling Ji")</f>
        <v>Naen Xu, Jinghuai Zhang, Ping He, Chunyi Zhou, Jun Wang,
Zhihui Fu, Tianyu Du, Zhaoxiang Wang and Shouling Ji</v>
      </c>
      <c r="F353" s="133" t="s">
        <v>219</v>
      </c>
      <c r="G353" s="133" t="s">
        <v>335</v>
      </c>
      <c r="H353" s="153"/>
      <c r="I353" s="120"/>
      <c r="J353" s="120"/>
      <c r="K353" s="153"/>
      <c r="L353" s="153"/>
      <c r="M353" s="153"/>
      <c r="N353" s="153"/>
      <c r="O353" s="153"/>
      <c r="P353" s="153"/>
      <c r="Q353" s="153"/>
      <c r="R353" s="153"/>
      <c r="S353" s="153"/>
      <c r="T353" s="153"/>
      <c r="U353" s="153"/>
      <c r="V353" s="153"/>
      <c r="W353" s="153"/>
      <c r="X353" s="153"/>
      <c r="Y353" s="153"/>
      <c r="Z353" s="153"/>
      <c r="AA353" s="153"/>
      <c r="AB353" s="153"/>
      <c r="AC353" s="153"/>
    </row>
    <row r="354">
      <c r="A354" s="152" t="s">
        <v>334</v>
      </c>
      <c r="B354" s="133" t="str">
        <f>IFERROR(__xludf.DUMMYFUNCTION("FILTER ('Research Papers'!D:D,'Research Papers'!A:A=C354)"),"HyperDetector: Advanced Persistent Threat Detection via Hypergraph Neural Networks with Enhanced Global Perception")</f>
        <v>HyperDetector: Advanced Persistent Threat Detection via Hypergraph Neural Networks with Enhanced Global Perception</v>
      </c>
      <c r="C354" s="133" t="s">
        <v>719</v>
      </c>
      <c r="D354" s="153" t="str">
        <f t="shared" si="1"/>
        <v>HyperDetector: Advanced Persistent Threat Detection via Hypergraph Neural Networks with Enhanced Global Perception
Ziyue Wu, Nan Wang, Jiqiang Liu, Hairong Dong and Xibin Zhao
</v>
      </c>
      <c r="E354" s="153" t="str">
        <f>IFERROR(__xludf.DUMMYFUNCTION("TEXTJOIN(CHAR(10), TRUE,FILTER('Research Papers'!$C:$C,'Research Papers'!$A:$A=C354))"),"Ziyue Wu, Nan Wang, Jiqiang Liu, Hairong Dong and Xibin Zhao")</f>
        <v>Ziyue Wu, Nan Wang, Jiqiang Liu, Hairong Dong and Xibin Zhao</v>
      </c>
      <c r="F354" s="133" t="s">
        <v>219</v>
      </c>
      <c r="G354" s="133" t="s">
        <v>335</v>
      </c>
      <c r="H354" s="153"/>
      <c r="I354" s="120"/>
      <c r="J354" s="120"/>
      <c r="K354" s="153"/>
      <c r="L354" s="153"/>
      <c r="M354" s="153"/>
      <c r="N354" s="153"/>
      <c r="O354" s="153"/>
      <c r="P354" s="153"/>
      <c r="Q354" s="153"/>
      <c r="R354" s="153"/>
      <c r="S354" s="153"/>
      <c r="T354" s="153"/>
      <c r="U354" s="153"/>
      <c r="V354" s="153"/>
      <c r="W354" s="153"/>
      <c r="X354" s="153"/>
      <c r="Y354" s="153"/>
      <c r="Z354" s="153"/>
      <c r="AA354" s="153"/>
      <c r="AB354" s="153"/>
      <c r="AC354" s="153"/>
    </row>
    <row r="355">
      <c r="A355" s="152" t="s">
        <v>334</v>
      </c>
      <c r="B355" s="133" t="str">
        <f>IFERROR(__xludf.DUMMYFUNCTION("FILTER ('Research Papers'!D:D,'Research Papers'!A:A=C355)"),"Privacy-Friendly Adaptation of Vision Transformers for Communication and Latency-Efficient Private Inference")</f>
        <v>Privacy-Friendly Adaptation of Vision Transformers for Communication and Latency-Efficient Private Inference</v>
      </c>
      <c r="C355" s="133" t="s">
        <v>720</v>
      </c>
      <c r="D355" s="153" t="str">
        <f t="shared" si="1"/>
        <v>Privacy-Friendly Adaptation of Vision Transformers for Communication and Latency-Efficient Private Inference
Zhi Pang, Bo Feng, Meng Luo, Chenhao Liu, Shuwang Xu, Kai
Zhao, Yadi Wu and Bo Zeng
</v>
      </c>
      <c r="E355" s="153" t="str">
        <f>IFERROR(__xludf.DUMMYFUNCTION("TEXTJOIN(CHAR(10), TRUE,FILTER('Research Papers'!$C:$C,'Research Papers'!$A:$A=C355))"),"Zhi Pang, Bo Feng, Meng Luo, Chenhao Liu, Shuwang Xu, Kai
Zhao, Yadi Wu and Bo Zeng")</f>
        <v>Zhi Pang, Bo Feng, Meng Luo, Chenhao Liu, Shuwang Xu, Kai
Zhao, Yadi Wu and Bo Zeng</v>
      </c>
      <c r="F355" s="133" t="s">
        <v>219</v>
      </c>
      <c r="G355" s="133" t="s">
        <v>335</v>
      </c>
      <c r="H355" s="153"/>
      <c r="I355" s="120"/>
      <c r="J355" s="120"/>
      <c r="K355" s="153"/>
      <c r="L355" s="153"/>
      <c r="M355" s="153"/>
      <c r="N355" s="153"/>
      <c r="O355" s="153"/>
      <c r="P355" s="153"/>
      <c r="Q355" s="153"/>
      <c r="R355" s="153"/>
      <c r="S355" s="153"/>
      <c r="T355" s="153"/>
      <c r="U355" s="153"/>
      <c r="V355" s="153"/>
      <c r="W355" s="153"/>
      <c r="X355" s="153"/>
      <c r="Y355" s="153"/>
      <c r="Z355" s="153"/>
      <c r="AA355" s="153"/>
      <c r="AB355" s="153"/>
      <c r="AC355" s="153"/>
    </row>
    <row r="356">
      <c r="A356" s="152" t="s">
        <v>334</v>
      </c>
      <c r="B356" s="133" t="str">
        <f>IFERROR(__xludf.DUMMYFUNCTION("FILTER ('Research Papers'!D:D,'Research Papers'!A:A=C356)"),"MGFFD-VLM: Multi-Granularity Prompt Learning for Face Forgery Detection with VLM")</f>
        <v>MGFFD-VLM: Multi-Granularity Prompt Learning for Face Forgery Detection with VLM</v>
      </c>
      <c r="C356" s="133" t="s">
        <v>721</v>
      </c>
      <c r="D356" s="153" t="str">
        <f t="shared" si="1"/>
        <v>MGFFD-VLM: Multi-Granularity Prompt Learning for Face Forgery Detection with VLM
Tao Chen, Jingyi Zhang, Decheng Liu and Chunlei Peng
</v>
      </c>
      <c r="E356" s="153" t="str">
        <f>IFERROR(__xludf.DUMMYFUNCTION("TEXTJOIN(CHAR(10), TRUE,FILTER('Research Papers'!$C:$C,'Research Papers'!$A:$A=C356))"),"Tao Chen, Jingyi Zhang, Decheng Liu and Chunlei Peng")</f>
        <v>Tao Chen, Jingyi Zhang, Decheng Liu and Chunlei Peng</v>
      </c>
      <c r="F356" s="133" t="s">
        <v>219</v>
      </c>
      <c r="G356" s="133" t="s">
        <v>335</v>
      </c>
      <c r="H356" s="153"/>
      <c r="I356" s="120"/>
      <c r="J356" s="120"/>
      <c r="K356" s="153"/>
      <c r="L356" s="153"/>
      <c r="M356" s="153"/>
      <c r="N356" s="153"/>
      <c r="O356" s="153"/>
      <c r="P356" s="153"/>
      <c r="Q356" s="153"/>
      <c r="R356" s="153"/>
      <c r="S356" s="153"/>
      <c r="T356" s="153"/>
      <c r="U356" s="153"/>
      <c r="V356" s="153"/>
      <c r="W356" s="153"/>
      <c r="X356" s="153"/>
      <c r="Y356" s="153"/>
      <c r="Z356" s="153"/>
      <c r="AA356" s="153"/>
      <c r="AB356" s="153"/>
      <c r="AC356" s="153"/>
    </row>
    <row r="357">
      <c r="A357" s="152" t="s">
        <v>334</v>
      </c>
      <c r="B357" s="133" t="str">
        <f>IFERROR(__xludf.DUMMYFUNCTION("FILTER ('Research Papers'!D:D,'Research Papers'!A:A=C357)"),"Red-Teaming Privacy-Protective Perturbations: Blind Face Restoration as an Attack Strategy")</f>
        <v>Red-Teaming Privacy-Protective Perturbations: Blind Face Restoration as an Attack Strategy</v>
      </c>
      <c r="C357" s="133" t="s">
        <v>722</v>
      </c>
      <c r="D357" s="153" t="str">
        <f t="shared" si="1"/>
        <v>Red-Teaming Privacy-Protective Perturbations: Blind Face Restoration as an Attack Strategy
Zelin Li, Yifan Liu, Huimin Zeng, Yaokun Liu, Ruichen Yao,
Yang Zhang and Dong Wang
</v>
      </c>
      <c r="E357" s="153" t="str">
        <f>IFERROR(__xludf.DUMMYFUNCTION("TEXTJOIN(CHAR(10), TRUE,FILTER('Research Papers'!$C:$C,'Research Papers'!$A:$A=C357))"),"Zelin Li, Yifan Liu, Huimin Zeng, Yaokun Liu, Ruichen Yao,
Yang Zhang and Dong Wang")</f>
        <v>Zelin Li, Yifan Liu, Huimin Zeng, Yaokun Liu, Ruichen Yao,
Yang Zhang and Dong Wang</v>
      </c>
      <c r="F357" s="133" t="s">
        <v>219</v>
      </c>
      <c r="G357" s="133" t="s">
        <v>115</v>
      </c>
      <c r="H357" s="153"/>
      <c r="I357" s="120"/>
      <c r="J357" s="120"/>
      <c r="K357" s="153"/>
      <c r="L357" s="153"/>
      <c r="M357" s="153"/>
      <c r="N357" s="153"/>
      <c r="O357" s="153"/>
      <c r="P357" s="153"/>
      <c r="Q357" s="153"/>
      <c r="R357" s="153"/>
      <c r="S357" s="153"/>
      <c r="T357" s="153"/>
      <c r="U357" s="153"/>
      <c r="V357" s="153"/>
      <c r="W357" s="153"/>
      <c r="X357" s="153"/>
      <c r="Y357" s="153"/>
      <c r="Z357" s="153"/>
      <c r="AA357" s="153"/>
      <c r="AB357" s="153"/>
      <c r="AC357" s="153"/>
    </row>
    <row r="358">
      <c r="A358" s="152" t="s">
        <v>334</v>
      </c>
      <c r="B358" s="133" t="str">
        <f>IFERROR(__xludf.DUMMYFUNCTION("FILTER ('Research Papers'!D:D,'Research Papers'!A:A=C358)"),"LLMQuA: Practical Backdoor Injection on Large Language Model Quantization")</f>
        <v>LLMQuA: Practical Backdoor Injection on Large Language Model Quantization</v>
      </c>
      <c r="C358" s="133" t="s">
        <v>723</v>
      </c>
      <c r="D358" s="153" t="str">
        <f t="shared" si="1"/>
        <v>LLMQuA: Practical Backdoor Injection on Large Language Model Quantization
Xiangxiang Chen, Peixin Zhang, Jun Sun, Jin Song Dong,
Wenhai Wang and Jingyi Wang
</v>
      </c>
      <c r="E358" s="153" t="str">
        <f>IFERROR(__xludf.DUMMYFUNCTION("TEXTJOIN(CHAR(10), TRUE,FILTER('Research Papers'!$C:$C,'Research Papers'!$A:$A=C358))"),"Xiangxiang Chen, Peixin Zhang, Jun Sun, Jin Song Dong,
Wenhai Wang and Jingyi Wang")</f>
        <v>Xiangxiang Chen, Peixin Zhang, Jun Sun, Jin Song Dong,
Wenhai Wang and Jingyi Wang</v>
      </c>
      <c r="F358" s="133" t="s">
        <v>219</v>
      </c>
      <c r="G358" s="133" t="s">
        <v>115</v>
      </c>
      <c r="H358" s="153"/>
      <c r="I358" s="120"/>
      <c r="J358" s="120"/>
      <c r="K358" s="153"/>
      <c r="L358" s="153"/>
      <c r="M358" s="153"/>
      <c r="N358" s="153"/>
      <c r="O358" s="153"/>
      <c r="P358" s="153"/>
      <c r="Q358" s="153"/>
      <c r="R358" s="153"/>
      <c r="S358" s="153"/>
      <c r="T358" s="153"/>
      <c r="U358" s="153"/>
      <c r="V358" s="153"/>
      <c r="W358" s="153"/>
      <c r="X358" s="153"/>
      <c r="Y358" s="153"/>
      <c r="Z358" s="153"/>
      <c r="AA358" s="153"/>
      <c r="AB358" s="153"/>
      <c r="AC358" s="153"/>
    </row>
    <row r="359">
      <c r="A359" s="152" t="s">
        <v>334</v>
      </c>
      <c r="B359" s="133" t="str">
        <f>IFERROR(__xludf.DUMMYFUNCTION("FILTER ('Research Papers'!D:D,'Research Papers'!A:A=C359)"),"Unveiling the Vulnerability of Graph-LLMs: An Interpretable Multi-Dimensional Adversarial Attack on TAGs")</f>
        <v>Unveiling the Vulnerability of Graph-LLMs: An Interpretable Multi-Dimensional Adversarial Attack on TAGs</v>
      </c>
      <c r="C359" s="133" t="s">
        <v>724</v>
      </c>
      <c r="D359" s="153" t="str">
        <f t="shared" si="1"/>
        <v>Unveiling the Vulnerability of Graph-LLMs: An Interpretable Multi-Dimensional Adversarial Attack on TAGs
Bowen Fan, Zhilin Guo, Xunkai Li, Yihan Zhou, Bing Zhou,
Zhenjun Li, Rong-Hua Li and Guoren Wang
</v>
      </c>
      <c r="E359" s="153" t="str">
        <f>IFERROR(__xludf.DUMMYFUNCTION("TEXTJOIN(CHAR(10), TRUE,FILTER('Research Papers'!$C:$C,'Research Papers'!$A:$A=C359))"),"Bowen Fan, Zhilin Guo, Xunkai Li, Yihan Zhou, Bing Zhou,
Zhenjun Li, Rong-Hua Li and Guoren Wang")</f>
        <v>Bowen Fan, Zhilin Guo, Xunkai Li, Yihan Zhou, Bing Zhou,
Zhenjun Li, Rong-Hua Li and Guoren Wang</v>
      </c>
      <c r="F359" s="133" t="s">
        <v>219</v>
      </c>
      <c r="G359" s="133" t="s">
        <v>115</v>
      </c>
      <c r="H359" s="153"/>
      <c r="I359" s="120"/>
      <c r="J359" s="120"/>
      <c r="K359" s="153"/>
      <c r="L359" s="153"/>
      <c r="M359" s="153"/>
      <c r="N359" s="153"/>
      <c r="O359" s="153"/>
      <c r="P359" s="153"/>
      <c r="Q359" s="153"/>
      <c r="R359" s="153"/>
      <c r="S359" s="153"/>
      <c r="T359" s="153"/>
      <c r="U359" s="153"/>
      <c r="V359" s="153"/>
      <c r="W359" s="153"/>
      <c r="X359" s="153"/>
      <c r="Y359" s="153"/>
      <c r="Z359" s="153"/>
      <c r="AA359" s="153"/>
      <c r="AB359" s="153"/>
      <c r="AC359" s="153"/>
    </row>
    <row r="360">
      <c r="A360" s="152" t="s">
        <v>334</v>
      </c>
      <c r="B360" s="133" t="str">
        <f>IFERROR(__xludf.DUMMYFUNCTION("FILTER ('Research Papers'!D:D,'Research Papers'!A:A=C360)"),"Robust LLM-Based Website Fingerprinting under Dynamic Real-World Conditions")</f>
        <v>Robust LLM-Based Website Fingerprinting under Dynamic Real-World Conditions</v>
      </c>
      <c r="C360" s="133" t="s">
        <v>725</v>
      </c>
      <c r="D360" s="153" t="str">
        <f t="shared" si="1"/>
        <v>Robust LLM-Based Website Fingerprinting under Dynamic Real-World Conditions
Xiyuan Zhao, Xinhao Deng, Tianyu Cui, Yixiang Zhang, Ke Xu
and Qi Li
</v>
      </c>
      <c r="E360" s="153" t="str">
        <f>IFERROR(__xludf.DUMMYFUNCTION("TEXTJOIN(CHAR(10), TRUE,FILTER('Research Papers'!$C:$C,'Research Papers'!$A:$A=C360))"),"Xiyuan Zhao, Xinhao Deng, Tianyu Cui, Yixiang Zhang, Ke Xu
and Qi Li")</f>
        <v>Xiyuan Zhao, Xinhao Deng, Tianyu Cui, Yixiang Zhang, Ke Xu
and Qi Li</v>
      </c>
      <c r="F360" s="133" t="s">
        <v>219</v>
      </c>
      <c r="G360" s="133" t="s">
        <v>115</v>
      </c>
      <c r="H360" s="153"/>
      <c r="I360" s="120"/>
      <c r="J360" s="120"/>
      <c r="K360" s="153"/>
      <c r="L360" s="153"/>
      <c r="M360" s="153"/>
      <c r="N360" s="153"/>
      <c r="O360" s="153"/>
      <c r="P360" s="153"/>
      <c r="Q360" s="153"/>
      <c r="R360" s="153"/>
      <c r="S360" s="153"/>
      <c r="T360" s="153"/>
      <c r="U360" s="153"/>
      <c r="V360" s="153"/>
      <c r="W360" s="153"/>
      <c r="X360" s="153"/>
      <c r="Y360" s="153"/>
      <c r="Z360" s="153"/>
      <c r="AA360" s="153"/>
      <c r="AB360" s="153"/>
      <c r="AC360" s="153"/>
    </row>
    <row r="361">
      <c r="A361" s="152" t="s">
        <v>334</v>
      </c>
      <c r="B361" s="133" t="str">
        <f>IFERROR(__xludf.DUMMYFUNCTION("FILTER ('Research Papers'!D:D,'Research Papers'!A:A=C361)"),"Breaking Cross-modal Alignment in Embodied Intelligence: A Multimodal Adversarial Attack Framework for Vision-Language-Action Models")</f>
        <v>Breaking Cross-modal Alignment in Embodied Intelligence: A Multimodal Adversarial Attack Framework for Vision-Language-Action Models</v>
      </c>
      <c r="C361" s="133" t="s">
        <v>726</v>
      </c>
      <c r="D361" s="153" t="str">
        <f t="shared" si="1"/>
        <v>Breaking Cross-modal Alignment in Embodied Intelligence: A Multimodal Adversarial Attack Framework for Vision-Language-Action Models
Zhihui Zhao, Xiaorong Dong, Yaowen Zheng, Xiaohui Chen,
Yimo Ren, Hangbei Cheng, Yongle Chen and Limin Sun
</v>
      </c>
      <c r="E361" s="153" t="str">
        <f>IFERROR(__xludf.DUMMYFUNCTION("TEXTJOIN(CHAR(10), TRUE,FILTER('Research Papers'!$C:$C,'Research Papers'!$A:$A=C361))"),"Zhihui Zhao, Xiaorong Dong, Yaowen Zheng, Xiaohui Chen,
Yimo Ren, Hangbei Cheng, Yongle Chen and Limin Sun")</f>
        <v>Zhihui Zhao, Xiaorong Dong, Yaowen Zheng, Xiaohui Chen,
Yimo Ren, Hangbei Cheng, Yongle Chen and Limin Sun</v>
      </c>
      <c r="F361" s="133" t="s">
        <v>219</v>
      </c>
      <c r="G361" s="133" t="s">
        <v>115</v>
      </c>
      <c r="H361" s="153"/>
      <c r="I361" s="120"/>
      <c r="J361" s="120"/>
      <c r="K361" s="153"/>
      <c r="L361" s="153"/>
      <c r="M361" s="153"/>
      <c r="N361" s="153"/>
      <c r="O361" s="153"/>
      <c r="P361" s="153"/>
      <c r="Q361" s="153"/>
      <c r="R361" s="153"/>
      <c r="S361" s="153"/>
      <c r="T361" s="153"/>
      <c r="U361" s="153"/>
      <c r="V361" s="153"/>
      <c r="W361" s="153"/>
      <c r="X361" s="153"/>
      <c r="Y361" s="153"/>
      <c r="Z361" s="153"/>
      <c r="AA361" s="153"/>
      <c r="AB361" s="153"/>
      <c r="AC361" s="153"/>
    </row>
    <row r="362">
      <c r="A362" s="152" t="s">
        <v>334</v>
      </c>
      <c r="B362" s="133" t="str">
        <f>IFERROR(__xludf.DUMMYFUNCTION("FILTER ('Research Papers'!D:D,'Research Papers'!A:A=C362)"),"TGweaver: Synthesizing Transaction Graphs for De-anonymization Analysis")</f>
        <v>TGweaver: Synthesizing Transaction Graphs for De-anonymization Analysis</v>
      </c>
      <c r="C362" s="133" t="s">
        <v>727</v>
      </c>
      <c r="D362" s="153" t="str">
        <f t="shared" si="1"/>
        <v>TGweaver: Synthesizing Transaction Graphs for De-anonymization Analysis
Fajie Wu, Jiajing Wu, Zhiying Wu, Jun Chen, Tao Wang,
Longjian He, Bowen Song and Weiqiang Wang
</v>
      </c>
      <c r="E362" s="153" t="str">
        <f>IFERROR(__xludf.DUMMYFUNCTION("TEXTJOIN(CHAR(10), TRUE,FILTER('Research Papers'!$C:$C,'Research Papers'!$A:$A=C362))"),"Fajie Wu, Jiajing Wu, Zhiying Wu, Jun Chen, Tao Wang,
Longjian He, Bowen Song and Weiqiang Wang")</f>
        <v>Fajie Wu, Jiajing Wu, Zhiying Wu, Jun Chen, Tao Wang,
Longjian He, Bowen Song and Weiqiang Wang</v>
      </c>
      <c r="F362" s="133" t="s">
        <v>219</v>
      </c>
      <c r="G362" s="133" t="s">
        <v>115</v>
      </c>
      <c r="H362" s="153"/>
      <c r="I362" s="120"/>
      <c r="J362" s="120"/>
      <c r="K362" s="153"/>
      <c r="L362" s="153"/>
      <c r="M362" s="153"/>
      <c r="N362" s="153"/>
      <c r="O362" s="153"/>
      <c r="P362" s="153"/>
      <c r="Q362" s="153"/>
      <c r="R362" s="153"/>
      <c r="S362" s="153"/>
      <c r="T362" s="153"/>
      <c r="U362" s="153"/>
      <c r="V362" s="153"/>
      <c r="W362" s="153"/>
      <c r="X362" s="153"/>
      <c r="Y362" s="153"/>
      <c r="Z362" s="153"/>
      <c r="AA362" s="153"/>
      <c r="AB362" s="153"/>
      <c r="AC362" s="153"/>
    </row>
    <row r="363">
      <c r="A363" s="152" t="s">
        <v>334</v>
      </c>
      <c r="B363" s="133" t="str">
        <f>IFERROR(__xludf.DUMMYFUNCTION("FILTER ('Research Papers'!D:D,'Research Papers'!A:A=C363)"),"Towards Practical LLM Unlearning: Efficient, Modular, and Retain-Free")</f>
        <v>Towards Practical LLM Unlearning: Efficient, Modular, and Retain-Free</v>
      </c>
      <c r="C363" s="133" t="s">
        <v>728</v>
      </c>
      <c r="D363" s="153" t="str">
        <f t="shared" si="1"/>
        <v>Towards Practical LLM Unlearning: Efficient, Modular, and Retain-Free
Peng Liu, Peng-Fei Zhang, Jianfeng Qu, Ximing Li, Zhixu Li
and Pengpeng Zhao
</v>
      </c>
      <c r="E363" s="153" t="str">
        <f>IFERROR(__xludf.DUMMYFUNCTION("TEXTJOIN(CHAR(10), TRUE,FILTER('Research Papers'!$C:$C,'Research Papers'!$A:$A=C363))"),"Peng Liu, Peng-Fei Zhang, Jianfeng Qu, Ximing Li, Zhixu Li
and Pengpeng Zhao")</f>
        <v>Peng Liu, Peng-Fei Zhang, Jianfeng Qu, Ximing Li, Zhixu Li
and Pengpeng Zhao</v>
      </c>
      <c r="F363" s="133" t="s">
        <v>219</v>
      </c>
      <c r="G363" s="133" t="s">
        <v>115</v>
      </c>
      <c r="H363" s="153"/>
      <c r="I363" s="120"/>
      <c r="J363" s="120"/>
      <c r="K363" s="153"/>
      <c r="L363" s="153"/>
      <c r="M363" s="153"/>
      <c r="N363" s="153"/>
      <c r="O363" s="153"/>
      <c r="P363" s="153"/>
      <c r="Q363" s="153"/>
      <c r="R363" s="153"/>
      <c r="S363" s="153"/>
      <c r="T363" s="153"/>
      <c r="U363" s="153"/>
      <c r="V363" s="153"/>
      <c r="W363" s="153"/>
      <c r="X363" s="153"/>
      <c r="Y363" s="153"/>
      <c r="Z363" s="153"/>
      <c r="AA363" s="153"/>
      <c r="AB363" s="153"/>
      <c r="AC363" s="153"/>
    </row>
    <row r="364">
      <c r="A364" s="152" t="s">
        <v>334</v>
      </c>
      <c r="B364" s="133" t="str">
        <f>IFERROR(__xludf.DUMMYFUNCTION("FILTER ('Research Papers'!D:D,'Research Papers'!A:A=C364)"),"The Promise vs. Reality of NFT Decentralization: An Empirical Study of Storage Strategies and Defects")</f>
        <v>The Promise vs. Reality of NFT Decentralization: An Empirical Study of Storage Strategies and Defects</v>
      </c>
      <c r="C364" s="133" t="s">
        <v>729</v>
      </c>
      <c r="D364" s="153" t="str">
        <f t="shared" si="1"/>
        <v>The Promise vs. Reality of NFT Decentralization: An Empirical Study of Storage Strategies and Defects
Yufang Wu, Siwen Chen, Chao Li, Yuan Weng and Wei Wang
</v>
      </c>
      <c r="E364" s="153" t="str">
        <f>IFERROR(__xludf.DUMMYFUNCTION("TEXTJOIN(CHAR(10), TRUE,FILTER('Research Papers'!$C:$C,'Research Papers'!$A:$A=C364))"),"Yufang Wu, Siwen Chen, Chao Li, Yuan Weng and Wei Wang")</f>
        <v>Yufang Wu, Siwen Chen, Chao Li, Yuan Weng and Wei Wang</v>
      </c>
      <c r="F364" s="133" t="s">
        <v>219</v>
      </c>
      <c r="G364" s="133" t="s">
        <v>115</v>
      </c>
      <c r="H364" s="153"/>
      <c r="I364" s="120"/>
      <c r="J364" s="120"/>
      <c r="K364" s="153"/>
      <c r="L364" s="153"/>
      <c r="M364" s="153"/>
      <c r="N364" s="153"/>
      <c r="O364" s="153"/>
      <c r="P364" s="153"/>
      <c r="Q364" s="153"/>
      <c r="R364" s="153"/>
      <c r="S364" s="153"/>
      <c r="T364" s="153"/>
      <c r="U364" s="153"/>
      <c r="V364" s="153"/>
      <c r="W364" s="153"/>
      <c r="X364" s="153"/>
      <c r="Y364" s="153"/>
      <c r="Z364" s="153"/>
      <c r="AA364" s="153"/>
      <c r="AB364" s="153"/>
      <c r="AC364" s="153"/>
    </row>
    <row r="365">
      <c r="A365" s="152" t="s">
        <v>334</v>
      </c>
      <c r="B365" s="133" t="str">
        <f>IFERROR(__xludf.DUMMYFUNCTION("FILTER ('Research Papers'!D:D,'Research Papers'!A:A=C365)"),"PWAVEP: Purifying Imperceptible Adversarial Perturbations in 3D Point Clouds via Spectral Graph Wavelets")</f>
        <v>PWAVEP: Purifying Imperceptible Adversarial Perturbations in 3D Point Clouds via Spectral Graph Wavelets</v>
      </c>
      <c r="C365" s="133" t="s">
        <v>730</v>
      </c>
      <c r="D365" s="153" t="str">
        <f t="shared" si="1"/>
        <v>PWAVEP: Purifying Imperceptible Adversarial Perturbations in 3D Point Clouds via Spectral Graph Wavelets
Li Haoran, Renyang Liu, Hongjia Liu, Chen Wang, Long Yin
and Jian Xu
</v>
      </c>
      <c r="E365" s="153" t="str">
        <f>IFERROR(__xludf.DUMMYFUNCTION("TEXTJOIN(CHAR(10), TRUE,FILTER('Research Papers'!$C:$C,'Research Papers'!$A:$A=C365))"),"Li Haoran, Renyang Liu, Hongjia Liu, Chen Wang, Long Yin
and Jian Xu")</f>
        <v>Li Haoran, Renyang Liu, Hongjia Liu, Chen Wang, Long Yin
and Jian Xu</v>
      </c>
      <c r="F365" s="133" t="s">
        <v>219</v>
      </c>
      <c r="G365" s="133" t="s">
        <v>115</v>
      </c>
      <c r="H365" s="153"/>
      <c r="I365" s="120"/>
      <c r="J365" s="120"/>
      <c r="K365" s="153"/>
      <c r="L365" s="153"/>
      <c r="M365" s="153"/>
      <c r="N365" s="153"/>
      <c r="O365" s="153"/>
      <c r="P365" s="153"/>
      <c r="Q365" s="153"/>
      <c r="R365" s="153"/>
      <c r="S365" s="153"/>
      <c r="T365" s="153"/>
      <c r="U365" s="153"/>
      <c r="V365" s="153"/>
      <c r="W365" s="153"/>
      <c r="X365" s="153"/>
      <c r="Y365" s="153"/>
      <c r="Z365" s="153"/>
      <c r="AA365" s="153"/>
      <c r="AB365" s="153"/>
      <c r="AC365" s="153"/>
    </row>
    <row r="366">
      <c r="A366" s="152" t="s">
        <v>334</v>
      </c>
      <c r="B366" s="133" t="str">
        <f>IFERROR(__xludf.DUMMYFUNCTION("FILTER ('Research Papers'!D:D,'Research Papers'!A:A=C366)"),"Zelda: Feedback-driven Closed-box Fuzzing for Identifying Web Application Vulnerabilities")</f>
        <v>Zelda: Feedback-driven Closed-box Fuzzing for Identifying Web Application Vulnerabilities</v>
      </c>
      <c r="C366" s="133" t="s">
        <v>731</v>
      </c>
      <c r="D366" s="153" t="str">
        <f t="shared" si="1"/>
        <v>Zelda: Feedback-driven Closed-box Fuzzing for Identifying Web Application Vulnerabilities
Soyoung Lee, Sunnyeo Park, Yonghwi Kwon and Sooel Son
</v>
      </c>
      <c r="E366" s="153" t="str">
        <f>IFERROR(__xludf.DUMMYFUNCTION("TEXTJOIN(CHAR(10), TRUE,FILTER('Research Papers'!$C:$C,'Research Papers'!$A:$A=C366))"),"Soyoung Lee, Sunnyeo Park, Yonghwi Kwon and Sooel Son")</f>
        <v>Soyoung Lee, Sunnyeo Park, Yonghwi Kwon and Sooel Son</v>
      </c>
      <c r="F366" s="133" t="s">
        <v>219</v>
      </c>
      <c r="G366" s="133" t="s">
        <v>115</v>
      </c>
      <c r="H366" s="153"/>
      <c r="I366" s="120"/>
      <c r="J366" s="120"/>
      <c r="K366" s="153"/>
      <c r="L366" s="153"/>
      <c r="M366" s="153"/>
      <c r="N366" s="153"/>
      <c r="O366" s="153"/>
      <c r="P366" s="153"/>
      <c r="Q366" s="153"/>
      <c r="R366" s="153"/>
      <c r="S366" s="153"/>
      <c r="T366" s="153"/>
      <c r="U366" s="153"/>
      <c r="V366" s="153"/>
      <c r="W366" s="153"/>
      <c r="X366" s="153"/>
      <c r="Y366" s="153"/>
      <c r="Z366" s="153"/>
      <c r="AA366" s="153"/>
      <c r="AB366" s="153"/>
      <c r="AC366" s="153"/>
    </row>
    <row r="367">
      <c r="A367" s="152" t="s">
        <v>334</v>
      </c>
      <c r="B367" s="133" t="str">
        <f>IFERROR(__xludf.DUMMYFUNCTION("FILTER ('Research Papers'!D:D,'Research Papers'!A:A=C367)"),"Unveiling the Resilience of LLM-Enhanced Search Engines against Black-Hat SEO Manipulation")</f>
        <v>Unveiling the Resilience of LLM-Enhanced Search Engines against Black-Hat SEO Manipulation</v>
      </c>
      <c r="C367" s="133" t="s">
        <v>732</v>
      </c>
      <c r="D367" s="153" t="str">
        <f t="shared" si="1"/>
        <v>Unveiling the Resilience of LLM-Enhanced Search Engines against Black-Hat SEO Manipulation
Pei Chen, Geng Hong, Xinyi Wu, Mengying Wu, Zixuan Zhu,
Mingxuan Liu, Baojun Liu, Mi Zhang and Min Yang
</v>
      </c>
      <c r="E367" s="153" t="str">
        <f>IFERROR(__xludf.DUMMYFUNCTION("TEXTJOIN(CHAR(10), TRUE,FILTER('Research Papers'!$C:$C,'Research Papers'!$A:$A=C367))"),"Pei Chen, Geng Hong, Xinyi Wu, Mengying Wu, Zixuan Zhu,
Mingxuan Liu, Baojun Liu, Mi Zhang and Min Yang")</f>
        <v>Pei Chen, Geng Hong, Xinyi Wu, Mengying Wu, Zixuan Zhu,
Mingxuan Liu, Baojun Liu, Mi Zhang and Min Yang</v>
      </c>
      <c r="F367" s="133" t="s">
        <v>219</v>
      </c>
      <c r="G367" s="133" t="s">
        <v>336</v>
      </c>
      <c r="H367" s="153"/>
      <c r="I367" s="120"/>
      <c r="J367" s="120"/>
      <c r="K367" s="153"/>
      <c r="L367" s="153"/>
      <c r="M367" s="153"/>
      <c r="N367" s="153"/>
      <c r="O367" s="153"/>
      <c r="P367" s="153"/>
      <c r="Q367" s="153"/>
      <c r="R367" s="153"/>
      <c r="S367" s="153"/>
      <c r="T367" s="153"/>
      <c r="U367" s="153"/>
      <c r="V367" s="153"/>
      <c r="W367" s="153"/>
      <c r="X367" s="153"/>
      <c r="Y367" s="153"/>
      <c r="Z367" s="153"/>
      <c r="AA367" s="153"/>
      <c r="AB367" s="153"/>
      <c r="AC367" s="153"/>
    </row>
    <row r="368">
      <c r="A368" s="152" t="s">
        <v>334</v>
      </c>
      <c r="B368" s="133" t="str">
        <f>IFERROR(__xludf.DUMMYFUNCTION("FILTER ('Research Papers'!D:D,'Research Papers'!A:A=C368)"),"Beyond Detection: Autonomous Anomaly Remediation for MCP Against Tool Poisoning Attacks")</f>
        <v>Beyond Detection: Autonomous Anomaly Remediation for MCP Against Tool Poisoning Attacks</v>
      </c>
      <c r="C368" s="133" t="s">
        <v>733</v>
      </c>
      <c r="D368" s="153" t="str">
        <f t="shared" si="1"/>
        <v>Beyond Detection: Autonomous Anomaly Remediation for MCP Against Tool Poisoning Attacks
Zhiqiang Wang, Guanquan Shi, Yanting Wang, Yichao Gao,
Hongsen Lang, Yunhao Yao, Haohua Du and Xiang-Yang Li
</v>
      </c>
      <c r="E368" s="153" t="str">
        <f>IFERROR(__xludf.DUMMYFUNCTION("TEXTJOIN(CHAR(10), TRUE,FILTER('Research Papers'!$C:$C,'Research Papers'!$A:$A=C368))"),"Zhiqiang Wang, Guanquan Shi, Yanting Wang, Yichao Gao,
Hongsen Lang, Yunhao Yao, Haohua Du and Xiang-Yang Li")</f>
        <v>Zhiqiang Wang, Guanquan Shi, Yanting Wang, Yichao Gao,
Hongsen Lang, Yunhao Yao, Haohua Du and Xiang-Yang Li</v>
      </c>
      <c r="F368" s="133" t="s">
        <v>219</v>
      </c>
      <c r="G368" s="133" t="s">
        <v>336</v>
      </c>
      <c r="H368" s="153"/>
      <c r="I368" s="120"/>
      <c r="J368" s="120"/>
      <c r="K368" s="153"/>
      <c r="L368" s="153"/>
      <c r="M368" s="153"/>
      <c r="N368" s="153"/>
      <c r="O368" s="153"/>
      <c r="P368" s="153"/>
      <c r="Q368" s="153"/>
      <c r="R368" s="153"/>
      <c r="S368" s="153"/>
      <c r="T368" s="153"/>
      <c r="U368" s="153"/>
      <c r="V368" s="153"/>
      <c r="W368" s="153"/>
      <c r="X368" s="153"/>
      <c r="Y368" s="153"/>
      <c r="Z368" s="153"/>
      <c r="AA368" s="153"/>
      <c r="AB368" s="153"/>
      <c r="AC368" s="153"/>
    </row>
    <row r="369">
      <c r="A369" s="152" t="s">
        <v>334</v>
      </c>
      <c r="B369" s="133" t="str">
        <f>IFERROR(__xludf.DUMMYFUNCTION("FILTER ('Research Papers'!D:D,'Research Papers'!A:A=C369)"),"On the Effectiveness of Mempool-based Transaction Auditing")</f>
        <v>On the Effectiveness of Mempool-based Transaction Auditing</v>
      </c>
      <c r="C369" s="133" t="s">
        <v>734</v>
      </c>
      <c r="D369" s="153" t="str">
        <f t="shared" si="1"/>
        <v>On the Effectiveness of Mempool-based Transaction Auditing
Jannik Albrecht and Ghassan Karame
</v>
      </c>
      <c r="E369" s="153" t="str">
        <f>IFERROR(__xludf.DUMMYFUNCTION("TEXTJOIN(CHAR(10), TRUE,FILTER('Research Papers'!$C:$C,'Research Papers'!$A:$A=C369))"),"Jannik Albrecht and Ghassan Karame")</f>
        <v>Jannik Albrecht and Ghassan Karame</v>
      </c>
      <c r="F369" s="133" t="s">
        <v>219</v>
      </c>
      <c r="G369" s="133" t="s">
        <v>336</v>
      </c>
      <c r="H369" s="153"/>
      <c r="I369" s="120"/>
      <c r="J369" s="120"/>
      <c r="K369" s="153"/>
      <c r="L369" s="153"/>
      <c r="M369" s="153"/>
      <c r="N369" s="153"/>
      <c r="O369" s="153"/>
      <c r="P369" s="153"/>
      <c r="Q369" s="153"/>
      <c r="R369" s="153"/>
      <c r="S369" s="153"/>
      <c r="T369" s="153"/>
      <c r="U369" s="153"/>
      <c r="V369" s="153"/>
      <c r="W369" s="153"/>
      <c r="X369" s="153"/>
      <c r="Y369" s="153"/>
      <c r="Z369" s="153"/>
      <c r="AA369" s="153"/>
      <c r="AB369" s="153"/>
      <c r="AC369" s="153"/>
    </row>
    <row r="370">
      <c r="A370" s="152" t="s">
        <v>334</v>
      </c>
      <c r="B370" s="133" t="str">
        <f>IFERROR(__xludf.DUMMYFUNCTION("FILTER ('Research Papers'!D:D,'Research Papers'!A:A=C370)"),"Too Much Sharing, Too Little Security: Authentication Cookie Theft At Scale")</f>
        <v>Too Much Sharing, Too Little Security: Authentication Cookie Theft At Scale</v>
      </c>
      <c r="C370" s="133" t="s">
        <v>735</v>
      </c>
      <c r="D370" s="153" t="str">
        <f t="shared" si="1"/>
        <v>Too Much Sharing, Too Little Security: Authentication Cookie Theft At Scale
Tobias Gattermayer and Haya Schulmann
</v>
      </c>
      <c r="E370" s="153" t="str">
        <f>IFERROR(__xludf.DUMMYFUNCTION("TEXTJOIN(CHAR(10), TRUE,FILTER('Research Papers'!$C:$C,'Research Papers'!$A:$A=C370))"),"Tobias Gattermayer and Haya Schulmann")</f>
        <v>Tobias Gattermayer and Haya Schulmann</v>
      </c>
      <c r="F370" s="133" t="s">
        <v>219</v>
      </c>
      <c r="G370" s="133" t="s">
        <v>336</v>
      </c>
      <c r="H370" s="153"/>
      <c r="I370" s="120"/>
      <c r="J370" s="120"/>
      <c r="K370" s="153"/>
      <c r="L370" s="153"/>
      <c r="M370" s="153"/>
      <c r="N370" s="153"/>
      <c r="O370" s="153"/>
      <c r="P370" s="153"/>
      <c r="Q370" s="153"/>
      <c r="R370" s="153"/>
      <c r="S370" s="153"/>
      <c r="T370" s="153"/>
      <c r="U370" s="153"/>
      <c r="V370" s="153"/>
      <c r="W370" s="153"/>
      <c r="X370" s="153"/>
      <c r="Y370" s="153"/>
      <c r="Z370" s="153"/>
      <c r="AA370" s="153"/>
      <c r="AB370" s="153"/>
      <c r="AC370" s="153"/>
    </row>
    <row r="371">
      <c r="A371" s="152" t="s">
        <v>334</v>
      </c>
      <c r="B371" s="133" t="str">
        <f>IFERROR(__xludf.DUMMYFUNCTION("FILTER ('Research Papers'!D:D,'Research Papers'!A:A=C371)"),"DIARY: Differentially Private Recovery with Adaptive Privacy Budgets in Federated Unlearning")</f>
        <v>DIARY: Differentially Private Recovery with Adaptive Privacy Budgets in Federated Unlearning</v>
      </c>
      <c r="C371" s="133" t="s">
        <v>736</v>
      </c>
      <c r="D371" s="153" t="str">
        <f t="shared" si="1"/>
        <v>DIARY: Differentially Private Recovery with Adaptive Privacy Budgets in Federated Unlearning
Hengzhi Wang, Lu Dai, Xianliang Zhang, Haoran Chen,
Juncheng Hu and Kun Yang
</v>
      </c>
      <c r="E371" s="153" t="str">
        <f>IFERROR(__xludf.DUMMYFUNCTION("TEXTJOIN(CHAR(10), TRUE,FILTER('Research Papers'!$C:$C,'Research Papers'!$A:$A=C371))"),"Hengzhi Wang, Lu Dai, Xianliang Zhang, Haoran Chen,
Juncheng Hu and Kun Yang")</f>
        <v>Hengzhi Wang, Lu Dai, Xianliang Zhang, Haoran Chen,
Juncheng Hu and Kun Yang</v>
      </c>
      <c r="F371" s="133" t="s">
        <v>219</v>
      </c>
      <c r="G371" s="133" t="s">
        <v>336</v>
      </c>
      <c r="H371" s="153"/>
      <c r="I371" s="120"/>
      <c r="J371" s="120"/>
      <c r="K371" s="153"/>
      <c r="L371" s="153"/>
      <c r="M371" s="153"/>
      <c r="N371" s="153"/>
      <c r="O371" s="153"/>
      <c r="P371" s="153"/>
      <c r="Q371" s="153"/>
      <c r="R371" s="153"/>
      <c r="S371" s="153"/>
      <c r="T371" s="153"/>
      <c r="U371" s="153"/>
      <c r="V371" s="153"/>
      <c r="W371" s="153"/>
      <c r="X371" s="153"/>
      <c r="Y371" s="153"/>
      <c r="Z371" s="153"/>
      <c r="AA371" s="153"/>
      <c r="AB371" s="153"/>
      <c r="AC371" s="153"/>
    </row>
    <row r="372">
      <c r="A372" s="152" t="s">
        <v>334</v>
      </c>
      <c r="B372" s="133" t="str">
        <f>IFERROR(__xludf.DUMMYFUNCTION("FILTER ('Research Papers'!D:D,'Research Papers'!A:A=C372)"),"ShadowClone: Scalable Decentralized Identity with Cross-Domain Anonymity and Accountable Traceability")</f>
        <v>ShadowClone: Scalable Decentralized Identity with Cross-Domain Anonymity and Accountable Traceability</v>
      </c>
      <c r="C372" s="133" t="s">
        <v>737</v>
      </c>
      <c r="D372" s="153" t="str">
        <f t="shared" si="1"/>
        <v>ShadowClone: Scalable Decentralized Identity with Cross-Domain Anonymity and Accountable Traceability
Yizhong Liu, Zedan Zhao, Boyu Zhao, Na Wang, Haojun Tan and
Jianwei Liu
</v>
      </c>
      <c r="E372" s="153" t="str">
        <f>IFERROR(__xludf.DUMMYFUNCTION("TEXTJOIN(CHAR(10), TRUE,FILTER('Research Papers'!$C:$C,'Research Papers'!$A:$A=C372))"),"Yizhong Liu, Zedan Zhao, Boyu Zhao, Na Wang, Haojun Tan and
Jianwei Liu")</f>
        <v>Yizhong Liu, Zedan Zhao, Boyu Zhao, Na Wang, Haojun Tan and
Jianwei Liu</v>
      </c>
      <c r="F372" s="133" t="s">
        <v>219</v>
      </c>
      <c r="G372" s="133" t="s">
        <v>336</v>
      </c>
      <c r="H372" s="153"/>
      <c r="I372" s="120"/>
      <c r="J372" s="120"/>
      <c r="K372" s="153"/>
      <c r="L372" s="153"/>
      <c r="M372" s="153"/>
      <c r="N372" s="153"/>
      <c r="O372" s="153"/>
      <c r="P372" s="153"/>
      <c r="Q372" s="153"/>
      <c r="R372" s="153"/>
      <c r="S372" s="153"/>
      <c r="T372" s="153"/>
      <c r="U372" s="153"/>
      <c r="V372" s="153"/>
      <c r="W372" s="153"/>
      <c r="X372" s="153"/>
      <c r="Y372" s="153"/>
      <c r="Z372" s="153"/>
      <c r="AA372" s="153"/>
      <c r="AB372" s="153"/>
      <c r="AC372" s="153"/>
    </row>
    <row r="373">
      <c r="A373" s="152" t="s">
        <v>334</v>
      </c>
      <c r="B373" s="133" t="str">
        <f>IFERROR(__xludf.DUMMYFUNCTION("FILTER ('Research Papers'!D:D,'Research Papers'!A:A=C373)"),"DeepUL: Deep Unlearning via Model Sparsity")</f>
        <v>DeepUL: Deep Unlearning via Model Sparsity</v>
      </c>
      <c r="C373" s="133" t="s">
        <v>738</v>
      </c>
      <c r="D373" s="153" t="str">
        <f t="shared" si="1"/>
        <v>DeepUL: Deep Unlearning via Model Sparsity
Zhigao Zheng, Kai Yin, Yaowen Kuang, Tao Wang, Yahong Chen,
Shihong Yao and Hao Huang
</v>
      </c>
      <c r="E373" s="153" t="str">
        <f>IFERROR(__xludf.DUMMYFUNCTION("TEXTJOIN(CHAR(10), TRUE,FILTER('Research Papers'!$C:$C,'Research Papers'!$A:$A=C373))"),"Zhigao Zheng, Kai Yin, Yaowen Kuang, Tao Wang, Yahong Chen,
Shihong Yao and Hao Huang")</f>
        <v>Zhigao Zheng, Kai Yin, Yaowen Kuang, Tao Wang, Yahong Chen,
Shihong Yao and Hao Huang</v>
      </c>
      <c r="F373" s="133" t="s">
        <v>219</v>
      </c>
      <c r="G373" s="133" t="s">
        <v>336</v>
      </c>
      <c r="H373" s="153"/>
      <c r="I373" s="120"/>
      <c r="J373" s="120"/>
      <c r="K373" s="153"/>
      <c r="L373" s="153"/>
      <c r="M373" s="153"/>
      <c r="N373" s="153"/>
      <c r="O373" s="153"/>
      <c r="P373" s="153"/>
      <c r="Q373" s="153"/>
      <c r="R373" s="153"/>
      <c r="S373" s="153"/>
      <c r="T373" s="153"/>
      <c r="U373" s="153"/>
      <c r="V373" s="153"/>
      <c r="W373" s="153"/>
      <c r="X373" s="153"/>
      <c r="Y373" s="153"/>
      <c r="Z373" s="153"/>
      <c r="AA373" s="153"/>
      <c r="AB373" s="153"/>
      <c r="AC373" s="153"/>
    </row>
    <row r="374">
      <c r="A374" s="152" t="s">
        <v>334</v>
      </c>
      <c r="B374" s="133" t="str">
        <f>IFERROR(__xludf.DUMMYFUNCTION("FILTER ('Research Papers'!D:D,'Research Papers'!A:A=C374)"),"DSSmoothing: Toward Certified Dataset Ownership Verification for Pre-trained Language Models via Dual-Space Smoothing")</f>
        <v>DSSmoothing: Toward Certified Dataset Ownership Verification for Pre-trained Language Models via Dual-Space Smoothing</v>
      </c>
      <c r="C374" s="133" t="s">
        <v>739</v>
      </c>
      <c r="D374" s="153" t="str">
        <f t="shared" si="1"/>
        <v>DSSmoothing: Toward Certified Dataset Ownership Verification for Pre-trained Language Models via Dual-Space Smoothing
Ting Qiao, Xing Liu, Wenke Huang, Jianbin Li, Zhaoxin Fan
and Yiming Li
</v>
      </c>
      <c r="E374" s="153" t="str">
        <f>IFERROR(__xludf.DUMMYFUNCTION("TEXTJOIN(CHAR(10), TRUE,FILTER('Research Papers'!$C:$C,'Research Papers'!$A:$A=C374))"),"Ting Qiao, Xing Liu, Wenke Huang, Jianbin Li, Zhaoxin Fan
and Yiming Li")</f>
        <v>Ting Qiao, Xing Liu, Wenke Huang, Jianbin Li, Zhaoxin Fan
and Yiming Li</v>
      </c>
      <c r="F374" s="133" t="s">
        <v>219</v>
      </c>
      <c r="G374" s="133" t="s">
        <v>336</v>
      </c>
      <c r="H374" s="153"/>
      <c r="I374" s="120"/>
      <c r="J374" s="120"/>
      <c r="K374" s="153"/>
      <c r="L374" s="153"/>
      <c r="M374" s="153"/>
      <c r="N374" s="153"/>
      <c r="O374" s="153"/>
      <c r="P374" s="153"/>
      <c r="Q374" s="153"/>
      <c r="R374" s="153"/>
      <c r="S374" s="153"/>
      <c r="T374" s="153"/>
      <c r="U374" s="153"/>
      <c r="V374" s="153"/>
      <c r="W374" s="153"/>
      <c r="X374" s="153"/>
      <c r="Y374" s="153"/>
      <c r="Z374" s="153"/>
      <c r="AA374" s="153"/>
      <c r="AB374" s="153"/>
      <c r="AC374" s="153"/>
    </row>
    <row r="375">
      <c r="A375" s="152" t="s">
        <v>334</v>
      </c>
      <c r="B375" s="133" t="str">
        <f>IFERROR(__xludf.DUMMYFUNCTION("FILTER ('Research Papers'!D:D,'Research Papers'!A:A=C375)"),"ARuleCon: Agentic Security Rule Conversion")</f>
        <v>ARuleCon: Agentic Security Rule Conversion</v>
      </c>
      <c r="C375" s="133" t="s">
        <v>740</v>
      </c>
      <c r="D375" s="153" t="str">
        <f t="shared" si="1"/>
        <v>ARuleCon: Agentic Security Rule Conversion
Ming Xu, Hongtai Wang, Yanpei Guo, Zhengmin Yu, Weili Han,
Hoon Wei Lim, Jin Song Dong and Jiaheng Zhang
</v>
      </c>
      <c r="E375" s="153" t="str">
        <f>IFERROR(__xludf.DUMMYFUNCTION("TEXTJOIN(CHAR(10), TRUE,FILTER('Research Papers'!$C:$C,'Research Papers'!$A:$A=C375))"),"Ming Xu, Hongtai Wang, Yanpei Guo, Zhengmin Yu, Weili Han,
Hoon Wei Lim, Jin Song Dong and Jiaheng Zhang")</f>
        <v>Ming Xu, Hongtai Wang, Yanpei Guo, Zhengmin Yu, Weili Han,
Hoon Wei Lim, Jin Song Dong and Jiaheng Zhang</v>
      </c>
      <c r="F375" s="133" t="s">
        <v>219</v>
      </c>
      <c r="G375" s="133" t="s">
        <v>336</v>
      </c>
      <c r="H375" s="153"/>
      <c r="I375" s="120"/>
      <c r="J375" s="120"/>
      <c r="K375" s="153"/>
      <c r="L375" s="153"/>
      <c r="M375" s="153"/>
      <c r="N375" s="153"/>
      <c r="O375" s="153"/>
      <c r="P375" s="153"/>
      <c r="Q375" s="153"/>
      <c r="R375" s="153"/>
      <c r="S375" s="153"/>
      <c r="T375" s="153"/>
      <c r="U375" s="153"/>
      <c r="V375" s="153"/>
      <c r="W375" s="153"/>
      <c r="X375" s="153"/>
      <c r="Y375" s="153"/>
      <c r="Z375" s="153"/>
      <c r="AA375" s="153"/>
      <c r="AB375" s="153"/>
      <c r="AC375" s="153"/>
    </row>
    <row r="376">
      <c r="A376" s="152" t="s">
        <v>334</v>
      </c>
      <c r="B376" s="133" t="str">
        <f>IFERROR(__xludf.DUMMYFUNCTION("FILTER ('Research Papers'!D:D,'Research Papers'!A:A=C376)"),"SentinelNet: Safeguarding Multi-Agent Collaboration Through Credit-Based Dynamic Threat Detection")</f>
        <v>SentinelNet: Safeguarding Multi-Agent Collaboration Through Credit-Based Dynamic Threat Detection</v>
      </c>
      <c r="C376" s="133" t="s">
        <v>741</v>
      </c>
      <c r="D376" s="153" t="str">
        <f t="shared" si="1"/>
        <v>SentinelNet: Safeguarding Multi-Agent Collaboration Through Credit-Based Dynamic Threat Detection
Yang Feng and Xudong Pan
</v>
      </c>
      <c r="E376" s="153" t="str">
        <f>IFERROR(__xludf.DUMMYFUNCTION("TEXTJOIN(CHAR(10), TRUE,FILTER('Research Papers'!$C:$C,'Research Papers'!$A:$A=C376))"),"Yang Feng and Xudong Pan")</f>
        <v>Yang Feng and Xudong Pan</v>
      </c>
      <c r="F376" s="133" t="s">
        <v>219</v>
      </c>
      <c r="G376" s="133" t="s">
        <v>337</v>
      </c>
      <c r="H376" s="153"/>
      <c r="I376" s="120"/>
      <c r="J376" s="120"/>
      <c r="K376" s="153"/>
      <c r="L376" s="153"/>
      <c r="M376" s="153"/>
      <c r="N376" s="153"/>
      <c r="O376" s="153"/>
      <c r="P376" s="153"/>
      <c r="Q376" s="153"/>
      <c r="R376" s="153"/>
      <c r="S376" s="153"/>
      <c r="T376" s="153"/>
      <c r="U376" s="153"/>
      <c r="V376" s="153"/>
      <c r="W376" s="153"/>
      <c r="X376" s="153"/>
      <c r="Y376" s="153"/>
      <c r="Z376" s="153"/>
      <c r="AA376" s="153"/>
      <c r="AB376" s="153"/>
      <c r="AC376" s="153"/>
    </row>
    <row r="377">
      <c r="A377" s="152" t="s">
        <v>334</v>
      </c>
      <c r="B377" s="133" t="str">
        <f>IFERROR(__xludf.DUMMYFUNCTION("FILTER ('Research Papers'!D:D,'Research Papers'!A:A=C377)"),"Anti-Phishing Training (Still) Does Not Work: A Reproduction of Phishing Training Inefficacy Grounded in the NIST Phish Scale")</f>
        <v>Anti-Phishing Training (Still) Does Not Work: A Reproduction of Phishing Training Inefficacy Grounded in the NIST Phish Scale</v>
      </c>
      <c r="C377" s="133" t="s">
        <v>742</v>
      </c>
      <c r="D377" s="153" t="str">
        <f t="shared" si="1"/>
        <v>Anti-Phishing Training (Still) Does Not Work: A Reproduction of Phishing Training Inefficacy Grounded in the NIST Phish Scale
Andrew Rozema and James Davis
</v>
      </c>
      <c r="E377" s="153" t="str">
        <f>IFERROR(__xludf.DUMMYFUNCTION("TEXTJOIN(CHAR(10), TRUE,FILTER('Research Papers'!$C:$C,'Research Papers'!$A:$A=C377))"),"Andrew Rozema and James Davis")</f>
        <v>Andrew Rozema and James Davis</v>
      </c>
      <c r="F377" s="133" t="s">
        <v>219</v>
      </c>
      <c r="G377" s="133" t="s">
        <v>337</v>
      </c>
      <c r="H377" s="153"/>
      <c r="I377" s="120"/>
      <c r="J377" s="120"/>
      <c r="K377" s="153"/>
      <c r="L377" s="153"/>
      <c r="M377" s="153"/>
      <c r="N377" s="153"/>
      <c r="O377" s="153"/>
      <c r="P377" s="153"/>
      <c r="Q377" s="153"/>
      <c r="R377" s="153"/>
      <c r="S377" s="153"/>
      <c r="T377" s="153"/>
      <c r="U377" s="153"/>
      <c r="V377" s="153"/>
      <c r="W377" s="153"/>
      <c r="X377" s="153"/>
      <c r="Y377" s="153"/>
      <c r="Z377" s="153"/>
      <c r="AA377" s="153"/>
      <c r="AB377" s="153"/>
      <c r="AC377" s="153"/>
    </row>
    <row r="378">
      <c r="A378" s="152" t="s">
        <v>334</v>
      </c>
      <c r="B378" s="133" t="str">
        <f>IFERROR(__xludf.DUMMYFUNCTION("FILTER ('Research Papers'!D:D,'Research Papers'!A:A=C378)"),"Real or Rogue? Detecting Malicious Miniapps with Deceptive Reporting Interface")</f>
        <v>Real or Rogue? Detecting Malicious Miniapps with Deceptive Reporting Interface</v>
      </c>
      <c r="C378" s="133" t="s">
        <v>743</v>
      </c>
      <c r="D378" s="153" t="str">
        <f t="shared" si="1"/>
        <v>Real or Rogue? Detecting Malicious Miniapps with Deceptive Reporting Interface
Yuqing Yang and Zhiqiang Lin
</v>
      </c>
      <c r="E378" s="153" t="str">
        <f>IFERROR(__xludf.DUMMYFUNCTION("TEXTJOIN(CHAR(10), TRUE,FILTER('Research Papers'!$C:$C,'Research Papers'!$A:$A=C378))"),"Yuqing Yang and Zhiqiang Lin")</f>
        <v>Yuqing Yang and Zhiqiang Lin</v>
      </c>
      <c r="F378" s="133" t="s">
        <v>219</v>
      </c>
      <c r="G378" s="133" t="s">
        <v>337</v>
      </c>
      <c r="H378" s="153"/>
      <c r="I378" s="120"/>
      <c r="J378" s="120"/>
      <c r="K378" s="153"/>
      <c r="L378" s="153"/>
      <c r="M378" s="153"/>
      <c r="N378" s="153"/>
      <c r="O378" s="153"/>
      <c r="P378" s="153"/>
      <c r="Q378" s="153"/>
      <c r="R378" s="153"/>
      <c r="S378" s="153"/>
      <c r="T378" s="153"/>
      <c r="U378" s="153"/>
      <c r="V378" s="153"/>
      <c r="W378" s="153"/>
      <c r="X378" s="153"/>
      <c r="Y378" s="153"/>
      <c r="Z378" s="153"/>
      <c r="AA378" s="153"/>
      <c r="AB378" s="153"/>
      <c r="AC378" s="153"/>
    </row>
    <row r="379">
      <c r="A379" s="152" t="s">
        <v>334</v>
      </c>
      <c r="B379" s="133" t="str">
        <f>IFERROR(__xludf.DUMMYFUNCTION("FILTER ('Research Papers'!D:D,'Research Papers'!A:A=C379)"),"Reliable Non-Leveled Homomorphic Encryption for Web Services")</f>
        <v>Reliable Non-Leveled Homomorphic Encryption for Web Services</v>
      </c>
      <c r="C379" s="133" t="s">
        <v>744</v>
      </c>
      <c r="D379" s="153" t="str">
        <f t="shared" si="1"/>
        <v>Reliable Non-Leveled Homomorphic Encryption for Web Services
Baigang Chen and Dongfang Zhao
</v>
      </c>
      <c r="E379" s="153" t="str">
        <f>IFERROR(__xludf.DUMMYFUNCTION("TEXTJOIN(CHAR(10), TRUE,FILTER('Research Papers'!$C:$C,'Research Papers'!$A:$A=C379))"),"Baigang Chen and Dongfang Zhao")</f>
        <v>Baigang Chen and Dongfang Zhao</v>
      </c>
      <c r="F379" s="133" t="s">
        <v>219</v>
      </c>
      <c r="G379" s="133" t="s">
        <v>337</v>
      </c>
      <c r="H379" s="153"/>
      <c r="I379" s="120"/>
      <c r="J379" s="120"/>
      <c r="K379" s="153"/>
      <c r="L379" s="153"/>
      <c r="M379" s="153"/>
      <c r="N379" s="153"/>
      <c r="O379" s="153"/>
      <c r="P379" s="153"/>
      <c r="Q379" s="153"/>
      <c r="R379" s="153"/>
      <c r="S379" s="153"/>
      <c r="T379" s="153"/>
      <c r="U379" s="153"/>
      <c r="V379" s="153"/>
      <c r="W379" s="153"/>
      <c r="X379" s="153"/>
      <c r="Y379" s="153"/>
      <c r="Z379" s="153"/>
      <c r="AA379" s="153"/>
      <c r="AB379" s="153"/>
      <c r="AC379" s="153"/>
    </row>
    <row r="380">
      <c r="A380" s="152" t="s">
        <v>334</v>
      </c>
      <c r="B380" s="133" t="str">
        <f>IFERROR(__xludf.DUMMYFUNCTION("FILTER ('Research Papers'!D:D,'Research Papers'!A:A=C380)"),"Acting Flatterers via LLMs Sycophancy: Combating Clickbait with LLMs Opposing-Stance Reasoning")</f>
        <v>Acting Flatterers via LLMs Sycophancy: Combating Clickbait with LLMs Opposing-Stance Reasoning</v>
      </c>
      <c r="C380" s="133" t="s">
        <v>745</v>
      </c>
      <c r="D380" s="153" t="str">
        <f t="shared" si="1"/>
        <v>Acting Flatterers via LLMs Sycophancy: Combating Clickbait with LLMs Opposing-Stance Reasoning
Chaowei Zhang, Xiansheng Luo, Zewei Zhang, Yi Zhu, Jipeng
Qiang and Longwei Wang
</v>
      </c>
      <c r="E380" s="153" t="str">
        <f>IFERROR(__xludf.DUMMYFUNCTION("TEXTJOIN(CHAR(10), TRUE,FILTER('Research Papers'!$C:$C,'Research Papers'!$A:$A=C380))"),"Chaowei Zhang, Xiansheng Luo, Zewei Zhang, Yi Zhu, Jipeng
Qiang and Longwei Wang")</f>
        <v>Chaowei Zhang, Xiansheng Luo, Zewei Zhang, Yi Zhu, Jipeng
Qiang and Longwei Wang</v>
      </c>
      <c r="F380" s="133" t="s">
        <v>219</v>
      </c>
      <c r="G380" s="133" t="s">
        <v>337</v>
      </c>
      <c r="H380" s="153"/>
      <c r="I380" s="120"/>
      <c r="J380" s="120"/>
      <c r="K380" s="153"/>
      <c r="L380" s="153"/>
      <c r="M380" s="153"/>
      <c r="N380" s="153"/>
      <c r="O380" s="153"/>
      <c r="P380" s="153"/>
      <c r="Q380" s="153"/>
      <c r="R380" s="153"/>
      <c r="S380" s="153"/>
      <c r="T380" s="153"/>
      <c r="U380" s="153"/>
      <c r="V380" s="153"/>
      <c r="W380" s="153"/>
      <c r="X380" s="153"/>
      <c r="Y380" s="153"/>
      <c r="Z380" s="153"/>
      <c r="AA380" s="153"/>
      <c r="AB380" s="153"/>
      <c r="AC380" s="153"/>
    </row>
    <row r="381">
      <c r="A381" s="152" t="s">
        <v>334</v>
      </c>
      <c r="B381" s="133" t="str">
        <f>IFERROR(__xludf.DUMMYFUNCTION("FILTER ('Research Papers'!D:D,'Research Papers'!A:A=C381)"),"DeepSVU: Towards In-depth Security-oriented Video Understanding via Unified Physical-world Regularized MoE")</f>
        <v>DeepSVU: Towards In-depth Security-oriented Video Understanding via Unified Physical-world Regularized MoE</v>
      </c>
      <c r="C381" s="133" t="s">
        <v>746</v>
      </c>
      <c r="D381" s="153" t="str">
        <f t="shared" si="1"/>
        <v>DeepSVU: Towards In-depth Security-oriented Video Understanding via Unified Physical-world Regularized MoE
Yujie Jin, Wenxin Zhang, Jingjing Wang and Guodong Zhou
</v>
      </c>
      <c r="E381" s="153" t="str">
        <f>IFERROR(__xludf.DUMMYFUNCTION("TEXTJOIN(CHAR(10), TRUE,FILTER('Research Papers'!$C:$C,'Research Papers'!$A:$A=C381))"),"Yujie Jin, Wenxin Zhang, Jingjing Wang and Guodong Zhou")</f>
        <v>Yujie Jin, Wenxin Zhang, Jingjing Wang and Guodong Zhou</v>
      </c>
      <c r="F381" s="133" t="s">
        <v>219</v>
      </c>
      <c r="G381" s="133" t="s">
        <v>337</v>
      </c>
      <c r="H381" s="153"/>
      <c r="I381" s="120"/>
      <c r="J381" s="120"/>
      <c r="K381" s="153"/>
      <c r="L381" s="153"/>
      <c r="M381" s="153"/>
      <c r="N381" s="153"/>
      <c r="O381" s="153"/>
      <c r="P381" s="153"/>
      <c r="Q381" s="153"/>
      <c r="R381" s="153"/>
      <c r="S381" s="153"/>
      <c r="T381" s="153"/>
      <c r="U381" s="153"/>
      <c r="V381" s="153"/>
      <c r="W381" s="153"/>
      <c r="X381" s="153"/>
      <c r="Y381" s="153"/>
      <c r="Z381" s="153"/>
      <c r="AA381" s="153"/>
      <c r="AB381" s="153"/>
      <c r="AC381" s="153"/>
    </row>
    <row r="382">
      <c r="A382" s="152" t="s">
        <v>334</v>
      </c>
      <c r="B382" s="133" t="str">
        <f>IFERROR(__xludf.DUMMYFUNCTION("FILTER ('Research Papers'!D:D,'Research Papers'!A:A=C382)"),"SPCA: Stream Parser Confusion Attack for Web Application Firewall Evasion in HTTP/2")</f>
        <v>SPCA: Stream Parser Confusion Attack for Web Application Firewall Evasion in HTTP/2</v>
      </c>
      <c r="C382" s="133" t="s">
        <v>747</v>
      </c>
      <c r="D382" s="153" t="str">
        <f t="shared" si="1"/>
        <v>SPCA: Stream Parser Confusion Attack for Web Application Firewall Evasion in HTTP/2
Kyungrok Choi, Woonghee Lee and Junbeom Hur
</v>
      </c>
      <c r="E382" s="153" t="str">
        <f>IFERROR(__xludf.DUMMYFUNCTION("TEXTJOIN(CHAR(10), TRUE,FILTER('Research Papers'!$C:$C,'Research Papers'!$A:$A=C382))"),"Kyungrok Choi, Woonghee Lee and Junbeom Hur")</f>
        <v>Kyungrok Choi, Woonghee Lee and Junbeom Hur</v>
      </c>
      <c r="F382" s="133" t="s">
        <v>219</v>
      </c>
      <c r="G382" s="133" t="s">
        <v>337</v>
      </c>
      <c r="H382" s="153"/>
      <c r="I382" s="120"/>
      <c r="J382" s="120"/>
      <c r="K382" s="153"/>
      <c r="L382" s="153"/>
      <c r="M382" s="153"/>
      <c r="N382" s="153"/>
      <c r="O382" s="153"/>
      <c r="P382" s="153"/>
      <c r="Q382" s="153"/>
      <c r="R382" s="153"/>
      <c r="S382" s="153"/>
      <c r="T382" s="153"/>
      <c r="U382" s="153"/>
      <c r="V382" s="153"/>
      <c r="W382" s="153"/>
      <c r="X382" s="153"/>
      <c r="Y382" s="153"/>
      <c r="Z382" s="153"/>
      <c r="AA382" s="153"/>
      <c r="AB382" s="153"/>
      <c r="AC382" s="153"/>
    </row>
    <row r="383">
      <c r="A383" s="152" t="s">
        <v>334</v>
      </c>
      <c r="B383" s="133" t="str">
        <f>IFERROR(__xludf.DUMMYFUNCTION("FILTER ('Research Papers'!D:D,'Research Papers'!A:A=C383)"),"SemFuzz: A Semantics-Aware Fuzzing Framework for Network Protocol Implementations")</f>
        <v>SemFuzz: A Semantics-Aware Fuzzing Framework for Network Protocol Implementations</v>
      </c>
      <c r="C383" s="133" t="s">
        <v>748</v>
      </c>
      <c r="D383" s="153" t="str">
        <f t="shared" si="1"/>
        <v>SemFuzz: A Semantics-Aware Fuzzing Framework for Network Protocol Implementations
Yanbang Sun, Quan Luo, Yuelin Wang, Qian Chen, Benjin Liu,
Ruiqi Chen, Qing Huang, Xiaohong Li and Junjie Wang
</v>
      </c>
      <c r="E383" s="153" t="str">
        <f>IFERROR(__xludf.DUMMYFUNCTION("TEXTJOIN(CHAR(10), TRUE,FILTER('Research Papers'!$C:$C,'Research Papers'!$A:$A=C383))"),"Yanbang Sun, Quan Luo, Yuelin Wang, Qian Chen, Benjin Liu,
Ruiqi Chen, Qing Huang, Xiaohong Li and Junjie Wang")</f>
        <v>Yanbang Sun, Quan Luo, Yuelin Wang, Qian Chen, Benjin Liu,
Ruiqi Chen, Qing Huang, Xiaohong Li and Junjie Wang</v>
      </c>
      <c r="F383" s="133" t="s">
        <v>219</v>
      </c>
      <c r="G383" s="133" t="s">
        <v>337</v>
      </c>
      <c r="H383" s="153"/>
      <c r="I383" s="120"/>
      <c r="J383" s="120"/>
      <c r="K383" s="153"/>
      <c r="L383" s="153"/>
      <c r="M383" s="153"/>
      <c r="N383" s="153"/>
      <c r="O383" s="153"/>
      <c r="P383" s="153"/>
      <c r="Q383" s="153"/>
      <c r="R383" s="153"/>
      <c r="S383" s="153"/>
      <c r="T383" s="153"/>
      <c r="U383" s="153"/>
      <c r="V383" s="153"/>
      <c r="W383" s="153"/>
      <c r="X383" s="153"/>
      <c r="Y383" s="153"/>
      <c r="Z383" s="153"/>
      <c r="AA383" s="153"/>
      <c r="AB383" s="153"/>
      <c r="AC383" s="153"/>
    </row>
    <row r="384">
      <c r="A384" s="152" t="s">
        <v>334</v>
      </c>
      <c r="B384" s="133" t="str">
        <f>IFERROR(__xludf.DUMMYFUNCTION("FILTER ('Research Papers'!D:D,'Research Papers'!A:A=C384)"),"DRGW: Learning Disentangled Representations for Robust Graph Watermarking")</f>
        <v>DRGW: Learning Disentangled Representations for Robust Graph Watermarking</v>
      </c>
      <c r="C384" s="133" t="s">
        <v>749</v>
      </c>
      <c r="D384" s="153" t="str">
        <f t="shared" si="1"/>
        <v>DRGW: Learning Disentangled Representations for Robust Graph Watermarking
Jiasen Li, Yanwei Liu, Zhuoyi Shang, Xiaoyan Gu and Weiping
Wang
</v>
      </c>
      <c r="E384" s="153" t="str">
        <f>IFERROR(__xludf.DUMMYFUNCTION("TEXTJOIN(CHAR(10), TRUE,FILTER('Research Papers'!$C:$C,'Research Papers'!$A:$A=C384))"),"Jiasen Li, Yanwei Liu, Zhuoyi Shang, Xiaoyan Gu and Weiping
Wang")</f>
        <v>Jiasen Li, Yanwei Liu, Zhuoyi Shang, Xiaoyan Gu and Weiping
Wang</v>
      </c>
      <c r="F384" s="133" t="s">
        <v>219</v>
      </c>
      <c r="G384" s="133" t="s">
        <v>337</v>
      </c>
      <c r="H384" s="153"/>
      <c r="I384" s="120"/>
      <c r="J384" s="120"/>
      <c r="K384" s="153"/>
      <c r="L384" s="153"/>
      <c r="M384" s="153"/>
      <c r="N384" s="153"/>
      <c r="O384" s="153"/>
      <c r="P384" s="153"/>
      <c r="Q384" s="153"/>
      <c r="R384" s="153"/>
      <c r="S384" s="153"/>
      <c r="T384" s="153"/>
      <c r="U384" s="153"/>
      <c r="V384" s="153"/>
      <c r="W384" s="153"/>
      <c r="X384" s="153"/>
      <c r="Y384" s="153"/>
      <c r="Z384" s="153"/>
      <c r="AA384" s="153"/>
      <c r="AB384" s="153"/>
      <c r="AC384" s="153"/>
    </row>
    <row r="385">
      <c r="A385" s="152" t="s">
        <v>334</v>
      </c>
      <c r="B385" s="133" t="str">
        <f>IFERROR(__xludf.DUMMYFUNCTION("FILTER ('Research Papers'!D:D,'Research Papers'!A:A=C385)"),"PrivSniffer: Graph-based Contextual Privacy Leakage Detection for User-Generated Texts")</f>
        <v>PrivSniffer: Graph-based Contextual Privacy Leakage Detection for User-Generated Texts</v>
      </c>
      <c r="C385" s="133" t="s">
        <v>750</v>
      </c>
      <c r="D385" s="153" t="str">
        <f t="shared" si="1"/>
        <v>PrivSniffer: Graph-based Contextual Privacy Leakage Detection for User-Generated Texts
Hangyu Ye, Liyao Xiang, Naixuan Huang, Dongyue Yu, Lijun
Zhang and Gang Wang
</v>
      </c>
      <c r="E385" s="153" t="str">
        <f>IFERROR(__xludf.DUMMYFUNCTION("TEXTJOIN(CHAR(10), TRUE,FILTER('Research Papers'!$C:$C,'Research Papers'!$A:$A=C385))"),"Hangyu Ye, Liyao Xiang, Naixuan Huang, Dongyue Yu, Lijun
Zhang and Gang Wang")</f>
        <v>Hangyu Ye, Liyao Xiang, Naixuan Huang, Dongyue Yu, Lijun
Zhang and Gang Wang</v>
      </c>
      <c r="F385" s="133" t="s">
        <v>219</v>
      </c>
      <c r="G385" s="133" t="s">
        <v>337</v>
      </c>
      <c r="H385" s="153"/>
      <c r="I385" s="120"/>
      <c r="J385" s="120"/>
      <c r="K385" s="153"/>
      <c r="L385" s="153"/>
      <c r="M385" s="153"/>
      <c r="N385" s="153"/>
      <c r="O385" s="153"/>
      <c r="P385" s="153"/>
      <c r="Q385" s="153"/>
      <c r="R385" s="153"/>
      <c r="S385" s="153"/>
      <c r="T385" s="153"/>
      <c r="U385" s="153"/>
      <c r="V385" s="153"/>
      <c r="W385" s="153"/>
      <c r="X385" s="153"/>
      <c r="Y385" s="153"/>
      <c r="Z385" s="153"/>
      <c r="AA385" s="153"/>
      <c r="AB385" s="153"/>
      <c r="AC385" s="153"/>
    </row>
    <row r="386">
      <c r="A386" s="152" t="s">
        <v>334</v>
      </c>
      <c r="B386" s="133" t="str">
        <f>IFERROR(__xludf.DUMMYFUNCTION("FILTER ('Research Papers'!D:D,'Research Papers'!A:A=C386)"),"Does Ad-Free Mean Less Data Collection? An Empirical Study of Platform Data Practices and User Expectations")</f>
        <v>Does Ad-Free Mean Less Data Collection? An Empirical Study of Platform Data Practices and User Expectations</v>
      </c>
      <c r="C386" s="133" t="s">
        <v>751</v>
      </c>
      <c r="D386" s="153" t="str">
        <f t="shared" si="1"/>
        <v>Does Ad-Free Mean Less Data Collection? An Empirical Study of Platform Data Practices and User Expectations
Sepehr Mousavi, Abhisek Dash, Savvas Zannettou and Krishna
P. Gummadi
</v>
      </c>
      <c r="E386" s="153" t="str">
        <f>IFERROR(__xludf.DUMMYFUNCTION("TEXTJOIN(CHAR(10), TRUE,FILTER('Research Papers'!$C:$C,'Research Papers'!$A:$A=C386))"),"Sepehr Mousavi, Abhisek Dash, Savvas Zannettou and Krishna
P. Gummadi")</f>
        <v>Sepehr Mousavi, Abhisek Dash, Savvas Zannettou and Krishna
P. Gummadi</v>
      </c>
      <c r="F386" s="133" t="s">
        <v>219</v>
      </c>
      <c r="G386" s="133" t="s">
        <v>184</v>
      </c>
      <c r="H386" s="153"/>
      <c r="I386" s="120"/>
      <c r="J386" s="120"/>
      <c r="K386" s="153"/>
      <c r="L386" s="153"/>
      <c r="M386" s="153"/>
      <c r="N386" s="153"/>
      <c r="O386" s="153"/>
      <c r="P386" s="153"/>
      <c r="Q386" s="153"/>
      <c r="R386" s="153"/>
      <c r="S386" s="153"/>
      <c r="T386" s="153"/>
      <c r="U386" s="153"/>
      <c r="V386" s="153"/>
      <c r="W386" s="153"/>
      <c r="X386" s="153"/>
      <c r="Y386" s="153"/>
      <c r="Z386" s="153"/>
      <c r="AA386" s="153"/>
      <c r="AB386" s="153"/>
      <c r="AC386" s="153"/>
    </row>
    <row r="387">
      <c r="A387" s="152" t="s">
        <v>334</v>
      </c>
      <c r="B387" s="133" t="str">
        <f>IFERROR(__xludf.DUMMYFUNCTION("FILTER ('Research Papers'!D:D,'Research Papers'!A:A=C387)"),"Balancing Privacy and Security of QNAME Minimisation")</f>
        <v>Balancing Privacy and Security of QNAME Minimisation</v>
      </c>
      <c r="C387" s="133" t="s">
        <v>752</v>
      </c>
      <c r="D387" s="153" t="str">
        <f t="shared" si="1"/>
        <v>Balancing Privacy and Security of QNAME Minimisation
Qinxin Li, Zhaohua Wang, Wenhao Wu, Zihan Li, Yiming Xia,
Chuan Gao and Zhenyu Li
</v>
      </c>
      <c r="E387" s="153" t="str">
        <f>IFERROR(__xludf.DUMMYFUNCTION("TEXTJOIN(CHAR(10), TRUE,FILTER('Research Papers'!$C:$C,'Research Papers'!$A:$A=C387))"),"Qinxin Li, Zhaohua Wang, Wenhao Wu, Zihan Li, Yiming Xia,
Chuan Gao and Zhenyu Li")</f>
        <v>Qinxin Li, Zhaohua Wang, Wenhao Wu, Zihan Li, Yiming Xia,
Chuan Gao and Zhenyu Li</v>
      </c>
      <c r="F387" s="133" t="s">
        <v>219</v>
      </c>
      <c r="G387" s="133" t="s">
        <v>184</v>
      </c>
      <c r="H387" s="153"/>
      <c r="I387" s="120"/>
      <c r="J387" s="120"/>
      <c r="K387" s="153"/>
      <c r="L387" s="153"/>
      <c r="M387" s="153"/>
      <c r="N387" s="153"/>
      <c r="O387" s="153"/>
      <c r="P387" s="153"/>
      <c r="Q387" s="153"/>
      <c r="R387" s="153"/>
      <c r="S387" s="153"/>
      <c r="T387" s="153"/>
      <c r="U387" s="153"/>
      <c r="V387" s="153"/>
      <c r="W387" s="153"/>
      <c r="X387" s="153"/>
      <c r="Y387" s="153"/>
      <c r="Z387" s="153"/>
      <c r="AA387" s="153"/>
      <c r="AB387" s="153"/>
      <c r="AC387" s="153"/>
    </row>
    <row r="388">
      <c r="A388" s="152" t="s">
        <v>334</v>
      </c>
      <c r="B388" s="133" t="str">
        <f>IFERROR(__xludf.DUMMYFUNCTION("FILTER ('Research Papers'!D:D,'Research Papers'!A:A=C388)"),"Do You Really Know What I Am Doing? Backdoor Attacks on Provenance-Based Intrusion Detection Systems")</f>
        <v>Do You Really Know What I Am Doing? Backdoor Attacks on Provenance-Based Intrusion Detection Systems</v>
      </c>
      <c r="C388" s="133" t="s">
        <v>753</v>
      </c>
      <c r="D388" s="153" t="str">
        <f t="shared" si="1"/>
        <v>Do You Really Know What I Am Doing? Backdoor Attacks on Provenance-Based Intrusion Detection Systems
Shaodi Xie, Wei Yuan, Haoyu Jiang, Zhu Gong, Haoran Wang,
Heng Li and Tiejun Wu
</v>
      </c>
      <c r="E388" s="153" t="str">
        <f>IFERROR(__xludf.DUMMYFUNCTION("TEXTJOIN(CHAR(10), TRUE,FILTER('Research Papers'!$C:$C,'Research Papers'!$A:$A=C388))"),"Shaodi Xie, Wei Yuan, Haoyu Jiang, Zhu Gong, Haoran Wang,
Heng Li and Tiejun Wu")</f>
        <v>Shaodi Xie, Wei Yuan, Haoyu Jiang, Zhu Gong, Haoran Wang,
Heng Li and Tiejun Wu</v>
      </c>
      <c r="F388" s="133" t="s">
        <v>219</v>
      </c>
      <c r="G388" s="133" t="s">
        <v>184</v>
      </c>
      <c r="H388" s="153"/>
      <c r="I388" s="120"/>
      <c r="J388" s="120"/>
      <c r="K388" s="153"/>
      <c r="L388" s="153"/>
      <c r="M388" s="153"/>
      <c r="N388" s="153"/>
      <c r="O388" s="153"/>
      <c r="P388" s="153"/>
      <c r="Q388" s="153"/>
      <c r="R388" s="153"/>
      <c r="S388" s="153"/>
      <c r="T388" s="153"/>
      <c r="U388" s="153"/>
      <c r="V388" s="153"/>
      <c r="W388" s="153"/>
      <c r="X388" s="153"/>
      <c r="Y388" s="153"/>
      <c r="Z388" s="153"/>
      <c r="AA388" s="153"/>
      <c r="AB388" s="153"/>
      <c r="AC388" s="153"/>
    </row>
    <row r="389">
      <c r="A389" s="152" t="s">
        <v>334</v>
      </c>
      <c r="B389" s="133" t="str">
        <f>IFERROR(__xludf.DUMMYFUNCTION("FILTER ('Research Papers'!D:D,'Research Papers'!A:A=C389)"),"Trust on Reload: Securing Browser-Based End-to-End Encryption")</f>
        <v>Trust on Reload: Securing Browser-Based End-to-End Encryption</v>
      </c>
      <c r="C389" s="133" t="s">
        <v>754</v>
      </c>
      <c r="D389" s="153" t="str">
        <f t="shared" si="1"/>
        <v>Trust on Reload: Securing Browser-Based End-to-End Encryption
Simon Schwarz, Florian Bauckholt and Leon Trampert
</v>
      </c>
      <c r="E389" s="153" t="str">
        <f>IFERROR(__xludf.DUMMYFUNCTION("TEXTJOIN(CHAR(10), TRUE,FILTER('Research Papers'!$C:$C,'Research Papers'!$A:$A=C389))"),"Simon Schwarz, Florian Bauckholt and Leon Trampert")</f>
        <v>Simon Schwarz, Florian Bauckholt and Leon Trampert</v>
      </c>
      <c r="F389" s="133" t="s">
        <v>219</v>
      </c>
      <c r="G389" s="133" t="s">
        <v>184</v>
      </c>
      <c r="H389" s="153"/>
      <c r="I389" s="120"/>
      <c r="J389" s="120"/>
      <c r="K389" s="153"/>
      <c r="L389" s="153"/>
      <c r="M389" s="153"/>
      <c r="N389" s="153"/>
      <c r="O389" s="153"/>
      <c r="P389" s="153"/>
      <c r="Q389" s="153"/>
      <c r="R389" s="153"/>
      <c r="S389" s="153"/>
      <c r="T389" s="153"/>
      <c r="U389" s="153"/>
      <c r="V389" s="153"/>
      <c r="W389" s="153"/>
      <c r="X389" s="153"/>
      <c r="Y389" s="153"/>
      <c r="Z389" s="153"/>
      <c r="AA389" s="153"/>
      <c r="AB389" s="153"/>
      <c r="AC389" s="153"/>
    </row>
    <row r="390">
      <c r="A390" s="152" t="s">
        <v>334</v>
      </c>
      <c r="B390" s="133" t="str">
        <f>IFERROR(__xludf.DUMMYFUNCTION("FILTER ('Research Papers'!D:D,'Research Papers'!A:A=C390)"),"Fast or Secure? Push the Limit of Privacy Leakage Threat via Charging Side-Channel Attacks")</f>
        <v>Fast or Secure? Push the Limit of Privacy Leakage Threat via Charging Side-Channel Attacks</v>
      </c>
      <c r="C390" s="133" t="s">
        <v>755</v>
      </c>
      <c r="D390" s="153" t="str">
        <f t="shared" si="1"/>
        <v>Fast or Secure? Push the Limit of Privacy Leakage Threat via Charging Side-Channel Attacks
Jiaxin Jiang, Xutong Zhang, Jiahao Li, Leqi Zhao, Zhengxin
Guo, Kaiyan Cui, Ming Gao, Jinsong Han and Fu Xiao
</v>
      </c>
      <c r="E390" s="153" t="str">
        <f>IFERROR(__xludf.DUMMYFUNCTION("TEXTJOIN(CHAR(10), TRUE,FILTER('Research Papers'!$C:$C,'Research Papers'!$A:$A=C390))"),"Jiaxin Jiang, Xutong Zhang, Jiahao Li, Leqi Zhao, Zhengxin
Guo, Kaiyan Cui, Ming Gao, Jinsong Han and Fu Xiao")</f>
        <v>Jiaxin Jiang, Xutong Zhang, Jiahao Li, Leqi Zhao, Zhengxin
Guo, Kaiyan Cui, Ming Gao, Jinsong Han and Fu Xiao</v>
      </c>
      <c r="F390" s="133" t="s">
        <v>219</v>
      </c>
      <c r="G390" s="133" t="s">
        <v>184</v>
      </c>
      <c r="H390" s="153"/>
      <c r="I390" s="120"/>
      <c r="J390" s="120"/>
      <c r="K390" s="153"/>
      <c r="L390" s="153"/>
      <c r="M390" s="153"/>
      <c r="N390" s="153"/>
      <c r="O390" s="153"/>
      <c r="P390" s="153"/>
      <c r="Q390" s="153"/>
      <c r="R390" s="153"/>
      <c r="S390" s="153"/>
      <c r="T390" s="153"/>
      <c r="U390" s="153"/>
      <c r="V390" s="153"/>
      <c r="W390" s="153"/>
      <c r="X390" s="153"/>
      <c r="Y390" s="153"/>
      <c r="Z390" s="153"/>
      <c r="AA390" s="153"/>
      <c r="AB390" s="153"/>
      <c r="AC390" s="153"/>
    </row>
    <row r="391">
      <c r="A391" s="152" t="s">
        <v>334</v>
      </c>
      <c r="B391" s="133" t="str">
        <f>IFERROR(__xludf.DUMMYFUNCTION("FILTER ('Research Papers'!D:D,'Research Papers'!A:A=C391)"),"PeriNet: Periodic Deep Learning Framework for Modality-Agnostic Privacy Preserving")</f>
        <v>PeriNet: Periodic Deep Learning Framework for Modality-Agnostic Privacy Preserving</v>
      </c>
      <c r="C391" s="133" t="s">
        <v>756</v>
      </c>
      <c r="D391" s="153" t="str">
        <f t="shared" si="1"/>
        <v>PeriNet: Periodic Deep Learning Framework for Modality-Agnostic Privacy Preserving
Yan Zhang, Yihong Song, Manzhou Li, Qiushi Li, Qi Li and Ju
Ren
</v>
      </c>
      <c r="E391" s="153" t="str">
        <f>IFERROR(__xludf.DUMMYFUNCTION("TEXTJOIN(CHAR(10), TRUE,FILTER('Research Papers'!$C:$C,'Research Papers'!$A:$A=C391))"),"Yan Zhang, Yihong Song, Manzhou Li, Qiushi Li, Qi Li and Ju
Ren")</f>
        <v>Yan Zhang, Yihong Song, Manzhou Li, Qiushi Li, Qi Li and Ju
Ren</v>
      </c>
      <c r="F391" s="133" t="s">
        <v>219</v>
      </c>
      <c r="G391" s="133" t="s">
        <v>184</v>
      </c>
      <c r="H391" s="153"/>
      <c r="I391" s="120"/>
      <c r="J391" s="120"/>
      <c r="K391" s="153"/>
      <c r="L391" s="153"/>
      <c r="M391" s="153"/>
      <c r="N391" s="153"/>
      <c r="O391" s="153"/>
      <c r="P391" s="153"/>
      <c r="Q391" s="153"/>
      <c r="R391" s="153"/>
      <c r="S391" s="153"/>
      <c r="T391" s="153"/>
      <c r="U391" s="153"/>
      <c r="V391" s="153"/>
      <c r="W391" s="153"/>
      <c r="X391" s="153"/>
      <c r="Y391" s="153"/>
      <c r="Z391" s="153"/>
      <c r="AA391" s="153"/>
      <c r="AB391" s="153"/>
      <c r="AC391" s="153"/>
    </row>
    <row r="392">
      <c r="A392" s="152" t="s">
        <v>334</v>
      </c>
      <c r="B392" s="133" t="str">
        <f>IFERROR(__xludf.DUMMYFUNCTION("FILTER ('Research Papers'!D:D,'Research Papers'!A:A=C392)"),"CogAgent: Self-Evolving Cognitive Agents for Multi-Source Fraud Detection in Heterogeneous Financial Networks")</f>
        <v>CogAgent: Self-Evolving Cognitive Agents for Multi-Source Fraud Detection in Heterogeneous Financial Networks</v>
      </c>
      <c r="C392" s="133" t="s">
        <v>757</v>
      </c>
      <c r="D392" s="153" t="str">
        <f t="shared" si="1"/>
        <v>CogAgent: Self-Evolving Cognitive Agents for Multi-Source Fraud Detection in Heterogeneous Financial Networks
Qianyu Wang, Weiyou Tian, Rong Wang, Wei-Tek Tsai, Tianyu
Shi, Zhuang Liu and Tianze Xia
</v>
      </c>
      <c r="E392" s="153" t="str">
        <f>IFERROR(__xludf.DUMMYFUNCTION("TEXTJOIN(CHAR(10), TRUE,FILTER('Research Papers'!$C:$C,'Research Papers'!$A:$A=C392))"),"Qianyu Wang, Weiyou Tian, Rong Wang, Wei-Tek Tsai, Tianyu
Shi, Zhuang Liu and Tianze Xia")</f>
        <v>Qianyu Wang, Weiyou Tian, Rong Wang, Wei-Tek Tsai, Tianyu
Shi, Zhuang Liu and Tianze Xia</v>
      </c>
      <c r="F392" s="133" t="s">
        <v>219</v>
      </c>
      <c r="G392" s="133" t="s">
        <v>184</v>
      </c>
      <c r="H392" s="153"/>
      <c r="I392" s="120"/>
      <c r="J392" s="120"/>
      <c r="K392" s="153"/>
      <c r="L392" s="153"/>
      <c r="M392" s="153"/>
      <c r="N392" s="153"/>
      <c r="O392" s="153"/>
      <c r="P392" s="153"/>
      <c r="Q392" s="153"/>
      <c r="R392" s="153"/>
      <c r="S392" s="153"/>
      <c r="T392" s="153"/>
      <c r="U392" s="153"/>
      <c r="V392" s="153"/>
      <c r="W392" s="153"/>
      <c r="X392" s="153"/>
      <c r="Y392" s="153"/>
      <c r="Z392" s="153"/>
      <c r="AA392" s="153"/>
      <c r="AB392" s="153"/>
      <c r="AC392" s="153"/>
    </row>
    <row r="393">
      <c r="A393" s="152" t="s">
        <v>334</v>
      </c>
      <c r="B393" s="133" t="str">
        <f>IFERROR(__xludf.DUMMYFUNCTION("FILTER ('Research Papers'!D:D,'Research Papers'!A:A=C393)"),"Evasion Under Blockchain Sanctions")</f>
        <v>Evasion Under Blockchain Sanctions</v>
      </c>
      <c r="C393" s="133" t="s">
        <v>758</v>
      </c>
      <c r="D393" s="153" t="str">
        <f t="shared" si="1"/>
        <v>Evasion Under Blockchain Sanctions
Endong Liu, Mark Ryan, Liyi Zhou and Pascal Berrang
</v>
      </c>
      <c r="E393" s="153" t="str">
        <f>IFERROR(__xludf.DUMMYFUNCTION("TEXTJOIN(CHAR(10), TRUE,FILTER('Research Papers'!$C:$C,'Research Papers'!$A:$A=C393))"),"Endong Liu, Mark Ryan, Liyi Zhou and Pascal Berrang")</f>
        <v>Endong Liu, Mark Ryan, Liyi Zhou and Pascal Berrang</v>
      </c>
      <c r="F393" s="133" t="s">
        <v>219</v>
      </c>
      <c r="G393" s="133" t="s">
        <v>184</v>
      </c>
      <c r="H393" s="153"/>
      <c r="I393" s="120"/>
      <c r="J393" s="120"/>
      <c r="K393" s="153"/>
      <c r="L393" s="153"/>
      <c r="M393" s="153"/>
      <c r="N393" s="153"/>
      <c r="O393" s="153"/>
      <c r="P393" s="153"/>
      <c r="Q393" s="153"/>
      <c r="R393" s="153"/>
      <c r="S393" s="153"/>
      <c r="T393" s="153"/>
      <c r="U393" s="153"/>
      <c r="V393" s="153"/>
      <c r="W393" s="153"/>
      <c r="X393" s="153"/>
      <c r="Y393" s="153"/>
      <c r="Z393" s="153"/>
      <c r="AA393" s="153"/>
      <c r="AB393" s="153"/>
      <c r="AC393" s="153"/>
    </row>
    <row r="394">
      <c r="A394" s="152" t="s">
        <v>334</v>
      </c>
      <c r="B394" s="133" t="str">
        <f>IFERROR(__xludf.DUMMYFUNCTION("FILTER ('Research Papers'!D:D,'Research Papers'!A:A=C394)"),"Unveiling the Underground Phishing Ecosystem: A 12-Year Longitudinal Study of Deep and Dark Web Forums")</f>
        <v>Unveiling the Underground Phishing Ecosystem: A 12-Year Longitudinal Study of Deep and Dark Web Forums</v>
      </c>
      <c r="C394" s="133" t="s">
        <v>759</v>
      </c>
      <c r="D394" s="153" t="str">
        <f t="shared" si="1"/>
        <v>Unveiling the Underground Phishing Ecosystem: A 12-Year Longitudinal Study of Deep and Dark Web Forums
Dohee Kim, Zhao Hui, Doowon Kim and Sungjae Hwang
</v>
      </c>
      <c r="E394" s="153" t="str">
        <f>IFERROR(__xludf.DUMMYFUNCTION("TEXTJOIN(CHAR(10), TRUE,FILTER('Research Papers'!$C:$C,'Research Papers'!$A:$A=C394))"),"Dohee Kim, Zhao Hui, Doowon Kim and Sungjae Hwang")</f>
        <v>Dohee Kim, Zhao Hui, Doowon Kim and Sungjae Hwang</v>
      </c>
      <c r="F394" s="133" t="s">
        <v>219</v>
      </c>
      <c r="G394" s="133" t="s">
        <v>184</v>
      </c>
      <c r="H394" s="153"/>
      <c r="I394" s="120"/>
      <c r="J394" s="120"/>
      <c r="K394" s="153"/>
      <c r="L394" s="153"/>
      <c r="M394" s="153"/>
      <c r="N394" s="153"/>
      <c r="O394" s="153"/>
      <c r="P394" s="153"/>
      <c r="Q394" s="153"/>
      <c r="R394" s="153"/>
      <c r="S394" s="153"/>
      <c r="T394" s="153"/>
      <c r="U394" s="153"/>
      <c r="V394" s="153"/>
      <c r="W394" s="153"/>
      <c r="X394" s="153"/>
      <c r="Y394" s="153"/>
      <c r="Z394" s="153"/>
      <c r="AA394" s="153"/>
      <c r="AB394" s="153"/>
      <c r="AC394" s="153"/>
    </row>
    <row r="395">
      <c r="A395" s="152" t="s">
        <v>334</v>
      </c>
      <c r="B395" s="133" t="str">
        <f>IFERROR(__xludf.DUMMYFUNCTION("FILTER ('Research Papers'!D:D,'Research Papers'!A:A=C395)"),"YouChoose: A Lightweight Anonymous Proof of Account Ownership")</f>
        <v>YouChoose: A Lightweight Anonymous Proof of Account Ownership</v>
      </c>
      <c r="C395" s="133" t="s">
        <v>760</v>
      </c>
      <c r="D395" s="153" t="str">
        <f t="shared" si="1"/>
        <v>YouChoose: A Lightweight Anonymous Proof of Account Ownership
Aarav Varshney, Prashant Agrawal and Mahabir Prasad Jhanwar
</v>
      </c>
      <c r="E395" s="153" t="str">
        <f>IFERROR(__xludf.DUMMYFUNCTION("TEXTJOIN(CHAR(10), TRUE,FILTER('Research Papers'!$C:$C,'Research Papers'!$A:$A=C395))"),"Aarav Varshney, Prashant Agrawal and Mahabir Prasad Jhanwar")</f>
        <v>Aarav Varshney, Prashant Agrawal and Mahabir Prasad Jhanwar</v>
      </c>
      <c r="F395" s="133" t="s">
        <v>219</v>
      </c>
      <c r="G395" s="133" t="s">
        <v>184</v>
      </c>
      <c r="H395" s="153"/>
      <c r="I395" s="120"/>
      <c r="J395" s="120"/>
      <c r="K395" s="153"/>
      <c r="L395" s="153"/>
      <c r="M395" s="153"/>
      <c r="N395" s="153"/>
      <c r="O395" s="153"/>
      <c r="P395" s="153"/>
      <c r="Q395" s="153"/>
      <c r="R395" s="153"/>
      <c r="S395" s="153"/>
      <c r="T395" s="153"/>
      <c r="U395" s="153"/>
      <c r="V395" s="153"/>
      <c r="W395" s="153"/>
      <c r="X395" s="153"/>
      <c r="Y395" s="153"/>
      <c r="Z395" s="153"/>
      <c r="AA395" s="153"/>
      <c r="AB395" s="153"/>
      <c r="AC395" s="153"/>
    </row>
    <row r="396">
      <c r="A396" s="153"/>
      <c r="B396" s="153"/>
      <c r="C396" s="153"/>
      <c r="D396" s="153" t="str">
        <f t="shared" si="1"/>
        <v>
</v>
      </c>
      <c r="E396" s="153" t="str">
        <f>IFERROR(__xludf.DUMMYFUNCTION("TEXTJOIN(CHAR(10), TRUE,FILTER('Research Papers'!$C:$C,'Research Papers'!$A:$A=C396))"),"")</f>
        <v/>
      </c>
      <c r="F396" s="153"/>
      <c r="G396" s="153"/>
      <c r="H396" s="153"/>
      <c r="I396" s="120"/>
      <c r="J396" s="120"/>
      <c r="K396" s="153"/>
      <c r="L396" s="153"/>
      <c r="M396" s="153"/>
      <c r="N396" s="153"/>
      <c r="O396" s="153"/>
      <c r="P396" s="153"/>
      <c r="Q396" s="153"/>
      <c r="R396" s="153"/>
      <c r="S396" s="153"/>
      <c r="T396" s="153"/>
      <c r="U396" s="153"/>
      <c r="V396" s="153"/>
      <c r="W396" s="153"/>
      <c r="X396" s="153"/>
      <c r="Y396" s="153"/>
      <c r="Z396" s="153"/>
      <c r="AA396" s="153"/>
      <c r="AB396" s="153"/>
      <c r="AC396" s="153"/>
    </row>
    <row r="397">
      <c r="A397" s="152" t="s">
        <v>338</v>
      </c>
      <c r="B397" s="133" t="str">
        <f>IFERROR(__xludf.DUMMYFUNCTION("FILTER ('Research Papers'!D:D,'Research Papers'!A:A=C397)"),"Rhythm of Opinion: Interpretable Hawkes-Graph Networks for Hierarchical Opinion Propagation")</f>
        <v>Rhythm of Opinion: Interpretable Hawkes-Graph Networks for Hierarchical Opinion Propagation</v>
      </c>
      <c r="C397" s="133" t="s">
        <v>761</v>
      </c>
      <c r="D397" s="153" t="str">
        <f t="shared" si="1"/>
        <v>Rhythm of Opinion: Interpretable Hawkes-Graph Networks for Hierarchical Opinion Propagation
Yulong Li, Zhixiang Lu, Peixin Guo, Simin Lai, Yuxuan
Zhang, Haochen Xue, Xiwei Liu, Yichen Li, Zhaodong Wu,
Feilong Tang, Mian Zhou, Chong Li, Imran Razzak, Qingxia Li
and Jionglong Su
</v>
      </c>
      <c r="E397" s="153" t="str">
        <f>IFERROR(__xludf.DUMMYFUNCTION("TEXTJOIN(CHAR(10), TRUE,FILTER('Research Papers'!$C:$C,'Research Papers'!$A:$A=C397))"),"Yulong Li, Zhixiang Lu, Peixin Guo, Simin Lai, Yuxuan
Zhang, Haochen Xue, Xiwei Liu, Yichen Li, Zhaodong Wu,
Feilong Tang, Mian Zhou, Chong Li, Imran Razzak, Qingxia Li
and Jionglong Su")</f>
        <v>Yulong Li, Zhixiang Lu, Peixin Guo, Simin Lai, Yuxuan
Zhang, Haochen Xue, Xiwei Liu, Yichen Li, Zhaodong Wu,
Feilong Tang, Mian Zhou, Chong Li, Imran Razzak, Qingxia Li
and Jionglong Su</v>
      </c>
      <c r="F397" s="133" t="s">
        <v>78</v>
      </c>
      <c r="G397" s="153"/>
      <c r="H397" s="153"/>
      <c r="I397" s="120"/>
      <c r="J397" s="120"/>
      <c r="K397" s="153"/>
      <c r="L397" s="153"/>
      <c r="M397" s="153"/>
      <c r="N397" s="153"/>
      <c r="O397" s="153"/>
      <c r="P397" s="153"/>
      <c r="Q397" s="153"/>
      <c r="R397" s="153"/>
      <c r="S397" s="153"/>
      <c r="T397" s="153"/>
      <c r="U397" s="153"/>
      <c r="V397" s="153"/>
      <c r="W397" s="153"/>
      <c r="X397" s="153"/>
      <c r="Y397" s="153"/>
      <c r="Z397" s="153"/>
      <c r="AA397" s="153"/>
      <c r="AB397" s="153"/>
      <c r="AC397" s="153"/>
    </row>
    <row r="398">
      <c r="A398" s="152" t="s">
        <v>338</v>
      </c>
      <c r="B398" s="133" t="str">
        <f>IFERROR(__xludf.DUMMYFUNCTION("FILTER ('Research Papers'!D:D,'Research Papers'!A:A=C398)"),"PolicySim: An LLM-Based Agent Social Simulation Sandbox for Proactive Policy Optimization")</f>
        <v>PolicySim: An LLM-Based Agent Social Simulation Sandbox for Proactive Policy Optimization</v>
      </c>
      <c r="C398" s="133" t="s">
        <v>762</v>
      </c>
      <c r="D398" s="153" t="str">
        <f t="shared" si="1"/>
        <v>PolicySim: An LLM-Based Agent Social Simulation Sandbox for Proactive Policy Optimization
Renhong Huang, Ning Tang, Jiarong Xu, Yuxuan Cao, Qingqian
Tu, Sheng Guo, Bo Zheng, Huiyuan Liu and Yang Yang
</v>
      </c>
      <c r="E398" s="153" t="str">
        <f>IFERROR(__xludf.DUMMYFUNCTION("TEXTJOIN(CHAR(10), TRUE,FILTER('Research Papers'!$C:$C,'Research Papers'!$A:$A=C398))"),"Renhong Huang, Ning Tang, Jiarong Xu, Yuxuan Cao, Qingqian
Tu, Sheng Guo, Bo Zheng, Huiyuan Liu and Yang Yang")</f>
        <v>Renhong Huang, Ning Tang, Jiarong Xu, Yuxuan Cao, Qingqian
Tu, Sheng Guo, Bo Zheng, Huiyuan Liu and Yang Yang</v>
      </c>
      <c r="F398" s="133" t="s">
        <v>78</v>
      </c>
      <c r="G398" s="153"/>
      <c r="H398" s="153"/>
      <c r="I398" s="120"/>
      <c r="J398" s="120"/>
      <c r="K398" s="153"/>
      <c r="L398" s="153"/>
      <c r="M398" s="153"/>
      <c r="N398" s="153"/>
      <c r="O398" s="153"/>
      <c r="P398" s="153"/>
      <c r="Q398" s="153"/>
      <c r="R398" s="153"/>
      <c r="S398" s="153"/>
      <c r="T398" s="153"/>
      <c r="U398" s="153"/>
      <c r="V398" s="153"/>
      <c r="W398" s="153"/>
      <c r="X398" s="153"/>
      <c r="Y398" s="153"/>
      <c r="Z398" s="153"/>
      <c r="AA398" s="153"/>
      <c r="AB398" s="153"/>
      <c r="AC398" s="153"/>
    </row>
    <row r="399">
      <c r="A399" s="152" t="s">
        <v>338</v>
      </c>
      <c r="B399" s="133" t="str">
        <f>IFERROR(__xludf.DUMMYFUNCTION("FILTER ('Research Papers'!D:D,'Research Papers'!A:A=C399)"),"Tracing Belief-Driven Thoughts with Theory-of-Mind Agents: An Opinion Analysis Framework")</f>
        <v>Tracing Belief-Driven Thoughts with Theory-of-Mind Agents: An Opinion Analysis Framework</v>
      </c>
      <c r="C399" s="133" t="s">
        <v>763</v>
      </c>
      <c r="D399" s="153" t="str">
        <f t="shared" si="1"/>
        <v>Tracing Belief-Driven Thoughts with Theory-of-Mind Agents: An Opinion Analysis Framework
Jintao Wen, Yunfeng Ning, Hankun Kang, Xin Miao and Tieyun
Qian
</v>
      </c>
      <c r="E399" s="153" t="str">
        <f>IFERROR(__xludf.DUMMYFUNCTION("TEXTJOIN(CHAR(10), TRUE,FILTER('Research Papers'!$C:$C,'Research Papers'!$A:$A=C399))"),"Jintao Wen, Yunfeng Ning, Hankun Kang, Xin Miao and Tieyun
Qian")</f>
        <v>Jintao Wen, Yunfeng Ning, Hankun Kang, Xin Miao and Tieyun
Qian</v>
      </c>
      <c r="F399" s="133" t="s">
        <v>78</v>
      </c>
      <c r="G399" s="153"/>
      <c r="H399" s="153"/>
      <c r="I399" s="120"/>
      <c r="J399" s="120"/>
      <c r="K399" s="153"/>
      <c r="L399" s="153"/>
      <c r="M399" s="153"/>
      <c r="N399" s="153"/>
      <c r="O399" s="153"/>
      <c r="P399" s="153"/>
      <c r="Q399" s="153"/>
      <c r="R399" s="153"/>
      <c r="S399" s="153"/>
      <c r="T399" s="153"/>
      <c r="U399" s="153"/>
      <c r="V399" s="153"/>
      <c r="W399" s="153"/>
      <c r="X399" s="153"/>
      <c r="Y399" s="153"/>
      <c r="Z399" s="153"/>
      <c r="AA399" s="153"/>
      <c r="AB399" s="153"/>
      <c r="AC399" s="153"/>
    </row>
    <row r="400">
      <c r="A400" s="152" t="s">
        <v>338</v>
      </c>
      <c r="B400" s="133" t="str">
        <f>IFERROR(__xludf.DUMMYFUNCTION("FILTER ('Research Papers'!D:D,'Research Papers'!A:A=C400)"),"DREAMS: A Social Exchange Theory-Informed Modeling of Misinformation Engagement on Social Media")</f>
        <v>DREAMS: A Social Exchange Theory-Informed Modeling of Misinformation Engagement on Social Media</v>
      </c>
      <c r="C400" s="133" t="s">
        <v>764</v>
      </c>
      <c r="D400" s="153" t="str">
        <f t="shared" si="1"/>
        <v>DREAMS: A Social Exchange Theory-Informed Modeling of Misinformation Engagement on Social Media
Lin Tian and Marian-Andrei Rizoiu
</v>
      </c>
      <c r="E400" s="153" t="str">
        <f>IFERROR(__xludf.DUMMYFUNCTION("TEXTJOIN(CHAR(10), TRUE,FILTER('Research Papers'!$C:$C,'Research Papers'!$A:$A=C400))"),"Lin Tian and Marian-Andrei Rizoiu")</f>
        <v>Lin Tian and Marian-Andrei Rizoiu</v>
      </c>
      <c r="F400" s="133" t="s">
        <v>78</v>
      </c>
      <c r="G400" s="153"/>
      <c r="H400" s="153"/>
      <c r="I400" s="120"/>
      <c r="J400" s="120"/>
      <c r="K400" s="153"/>
      <c r="L400" s="153"/>
      <c r="M400" s="153"/>
      <c r="N400" s="153"/>
      <c r="O400" s="153"/>
      <c r="P400" s="153"/>
      <c r="Q400" s="153"/>
      <c r="R400" s="153"/>
      <c r="S400" s="153"/>
      <c r="T400" s="153"/>
      <c r="U400" s="153"/>
      <c r="V400" s="153"/>
      <c r="W400" s="153"/>
      <c r="X400" s="153"/>
      <c r="Y400" s="153"/>
      <c r="Z400" s="153"/>
      <c r="AA400" s="153"/>
      <c r="AB400" s="153"/>
      <c r="AC400" s="153"/>
    </row>
    <row r="401">
      <c r="A401" s="152" t="s">
        <v>338</v>
      </c>
      <c r="B401" s="133" t="str">
        <f>IFERROR(__xludf.DUMMYFUNCTION("FILTER ('Research Papers'!D:D,'Research Papers'!A:A=C401)"),"Cross-Platform Narrative Prediction: Leveraging Platform-Invariant Discourse Networks")</f>
        <v>Cross-Platform Narrative Prediction: Leveraging Platform-Invariant Discourse Networks</v>
      </c>
      <c r="C401" s="133" t="s">
        <v>765</v>
      </c>
      <c r="D401" s="153" t="str">
        <f t="shared" si="1"/>
        <v>Cross-Platform Narrative Prediction: Leveraging Platform-Invariant Discourse Networks
Patrick Gerard, Luca Luceri, Leonardo Blas and Emilio
Ferrara
</v>
      </c>
      <c r="E401" s="153" t="str">
        <f>IFERROR(__xludf.DUMMYFUNCTION("TEXTJOIN(CHAR(10), TRUE,FILTER('Research Papers'!$C:$C,'Research Papers'!$A:$A=C401))"),"Patrick Gerard, Luca Luceri, Leonardo Blas and Emilio
Ferrara")</f>
        <v>Patrick Gerard, Luca Luceri, Leonardo Blas and Emilio
Ferrara</v>
      </c>
      <c r="F401" s="133" t="s">
        <v>78</v>
      </c>
      <c r="G401" s="153"/>
      <c r="H401" s="153"/>
      <c r="I401" s="120"/>
      <c r="J401" s="120"/>
      <c r="K401" s="153"/>
      <c r="L401" s="153"/>
      <c r="M401" s="153"/>
      <c r="N401" s="153"/>
      <c r="O401" s="153"/>
      <c r="P401" s="153"/>
      <c r="Q401" s="153"/>
      <c r="R401" s="153"/>
      <c r="S401" s="153"/>
      <c r="T401" s="153"/>
      <c r="U401" s="153"/>
      <c r="V401" s="153"/>
      <c r="W401" s="153"/>
      <c r="X401" s="153"/>
      <c r="Y401" s="153"/>
      <c r="Z401" s="153"/>
      <c r="AA401" s="153"/>
      <c r="AB401" s="153"/>
      <c r="AC401" s="153"/>
    </row>
    <row r="402">
      <c r="A402" s="152" t="s">
        <v>338</v>
      </c>
      <c r="B402" s="133" t="str">
        <f>IFERROR(__xludf.DUMMYFUNCTION("FILTER ('Research Papers'!D:D,'Research Papers'!A:A=C402)"),"Many Hands Make Light Work: Group-based Information Diffusion Prediction over Long-Context Cascades")</f>
        <v>Many Hands Make Light Work: Group-based Information Diffusion Prediction over Long-Context Cascades</v>
      </c>
      <c r="C402" s="133" t="s">
        <v>766</v>
      </c>
      <c r="D402" s="153" t="str">
        <f t="shared" si="1"/>
        <v>Many Hands Make Light Work: Group-based Information Diffusion Prediction over Long-Context Cascades
Zihan Feng, Yajun Yang, Xin Huang, Xin Wang, Hong Gao and
Qinghua Hu
</v>
      </c>
      <c r="E402" s="153" t="str">
        <f>IFERROR(__xludf.DUMMYFUNCTION("TEXTJOIN(CHAR(10), TRUE,FILTER('Research Papers'!$C:$C,'Research Papers'!$A:$A=C402))"),"Zihan Feng, Yajun Yang, Xin Huang, Xin Wang, Hong Gao and
Qinghua Hu")</f>
        <v>Zihan Feng, Yajun Yang, Xin Huang, Xin Wang, Hong Gao and
Qinghua Hu</v>
      </c>
      <c r="F402" s="133" t="s">
        <v>99</v>
      </c>
      <c r="G402" s="153"/>
      <c r="H402" s="153"/>
      <c r="I402" s="120"/>
      <c r="J402" s="120"/>
      <c r="K402" s="153"/>
      <c r="L402" s="153"/>
      <c r="M402" s="153"/>
      <c r="N402" s="153"/>
      <c r="O402" s="153"/>
      <c r="P402" s="153"/>
      <c r="Q402" s="153"/>
      <c r="R402" s="153"/>
      <c r="S402" s="153"/>
      <c r="T402" s="153"/>
      <c r="U402" s="153"/>
      <c r="V402" s="153"/>
      <c r="W402" s="153"/>
      <c r="X402" s="153"/>
      <c r="Y402" s="153"/>
      <c r="Z402" s="153"/>
      <c r="AA402" s="153"/>
      <c r="AB402" s="153"/>
      <c r="AC402" s="153"/>
    </row>
    <row r="403">
      <c r="A403" s="152" t="s">
        <v>338</v>
      </c>
      <c r="B403" s="133" t="str">
        <f>IFERROR(__xludf.DUMMYFUNCTION("FILTER ('Research Papers'!D:D,'Research Papers'!A:A=C403)"),"Multi-task Inference of Diffusion Networks")</f>
        <v>Multi-task Inference of Diffusion Networks</v>
      </c>
      <c r="C403" s="133" t="s">
        <v>767</v>
      </c>
      <c r="D403" s="153" t="str">
        <f t="shared" si="1"/>
        <v>Multi-task Inference of Diffusion Networks
Ting Gan, Kudereti Kuerban, Qian Yan, Ling Han, Zhigao
Zheng and Hao Huang
</v>
      </c>
      <c r="E403" s="153" t="str">
        <f>IFERROR(__xludf.DUMMYFUNCTION("TEXTJOIN(CHAR(10), TRUE,FILTER('Research Papers'!$C:$C,'Research Papers'!$A:$A=C403))"),"Ting Gan, Kudereti Kuerban, Qian Yan, Ling Han, Zhigao
Zheng and Hao Huang")</f>
        <v>Ting Gan, Kudereti Kuerban, Qian Yan, Ling Han, Zhigao
Zheng and Hao Huang</v>
      </c>
      <c r="F403" s="133" t="s">
        <v>99</v>
      </c>
      <c r="G403" s="153"/>
      <c r="H403" s="153"/>
      <c r="I403" s="120"/>
      <c r="J403" s="120"/>
      <c r="K403" s="153"/>
      <c r="L403" s="153"/>
      <c r="M403" s="153"/>
      <c r="N403" s="153"/>
      <c r="O403" s="153"/>
      <c r="P403" s="153"/>
      <c r="Q403" s="153"/>
      <c r="R403" s="153"/>
      <c r="S403" s="153"/>
      <c r="T403" s="153"/>
      <c r="U403" s="153"/>
      <c r="V403" s="153"/>
      <c r="W403" s="153"/>
      <c r="X403" s="153"/>
      <c r="Y403" s="153"/>
      <c r="Z403" s="153"/>
      <c r="AA403" s="153"/>
      <c r="AB403" s="153"/>
      <c r="AC403" s="153"/>
    </row>
    <row r="404">
      <c r="A404" s="152" t="s">
        <v>338</v>
      </c>
      <c r="B404" s="133" t="str">
        <f>IFERROR(__xludf.DUMMYFUNCTION("FILTER ('Research Papers'!D:D,'Research Papers'!A:A=C404)"),"Playing Close to the Vest: Competitive Information Propagation in Partially Observed Dual-Population Mean-Field Games")</f>
        <v>Playing Close to the Vest: Competitive Information Propagation in Partially Observed Dual-Population Mean-Field Games</v>
      </c>
      <c r="C404" s="133" t="s">
        <v>768</v>
      </c>
      <c r="D404" s="153" t="str">
        <f t="shared" si="1"/>
        <v>Playing Close to the Vest: Competitive Information Propagation in Partially Observed Dual-Population Mean-Field Games
Dun Tan, Lixing Chen, Bo Zhang, Hongfu Liu, Hao Peng,
Shenghong Li, Yang Bai and Pan Zhou
</v>
      </c>
      <c r="E404" s="153" t="str">
        <f>IFERROR(__xludf.DUMMYFUNCTION("TEXTJOIN(CHAR(10), TRUE,FILTER('Research Papers'!$C:$C,'Research Papers'!$A:$A=C404))"),"Dun Tan, Lixing Chen, Bo Zhang, Hongfu Liu, Hao Peng,
Shenghong Li, Yang Bai and Pan Zhou")</f>
        <v>Dun Tan, Lixing Chen, Bo Zhang, Hongfu Liu, Hao Peng,
Shenghong Li, Yang Bai and Pan Zhou</v>
      </c>
      <c r="F404" s="133" t="s">
        <v>99</v>
      </c>
      <c r="G404" s="153"/>
      <c r="H404" s="153"/>
      <c r="I404" s="120"/>
      <c r="J404" s="120"/>
      <c r="K404" s="153"/>
      <c r="L404" s="153"/>
      <c r="M404" s="153"/>
      <c r="N404" s="153"/>
      <c r="O404" s="153"/>
      <c r="P404" s="153"/>
      <c r="Q404" s="153"/>
      <c r="R404" s="153"/>
      <c r="S404" s="153"/>
      <c r="T404" s="153"/>
      <c r="U404" s="153"/>
      <c r="V404" s="153"/>
      <c r="W404" s="153"/>
      <c r="X404" s="153"/>
      <c r="Y404" s="153"/>
      <c r="Z404" s="153"/>
      <c r="AA404" s="153"/>
      <c r="AB404" s="153"/>
      <c r="AC404" s="153"/>
    </row>
    <row r="405">
      <c r="A405" s="152" t="s">
        <v>338</v>
      </c>
      <c r="B405" s="133" t="str">
        <f>IFERROR(__xludf.DUMMYFUNCTION("FILTER ('Research Papers'!D:D,'Research Papers'!A:A=C405)"),"LLM-Driven Semantic ID for Information Diffusion Prediction")</f>
        <v>LLM-Driven Semantic ID for Information Diffusion Prediction</v>
      </c>
      <c r="C405" s="133" t="s">
        <v>769</v>
      </c>
      <c r="D405" s="153" t="str">
        <f t="shared" si="1"/>
        <v>LLM-Driven Semantic ID for Information Diffusion Prediction
Haoshuang Liu, Zihan Feng, Yajun Yang, Xin Wang, Hong Gao
and Qinghua Hu
</v>
      </c>
      <c r="E405" s="153" t="str">
        <f>IFERROR(__xludf.DUMMYFUNCTION("TEXTJOIN(CHAR(10), TRUE,FILTER('Research Papers'!$C:$C,'Research Papers'!$A:$A=C405))"),"Haoshuang Liu, Zihan Feng, Yajun Yang, Xin Wang, Hong Gao
and Qinghua Hu")</f>
        <v>Haoshuang Liu, Zihan Feng, Yajun Yang, Xin Wang, Hong Gao
and Qinghua Hu</v>
      </c>
      <c r="F405" s="133" t="s">
        <v>99</v>
      </c>
      <c r="G405" s="153"/>
      <c r="H405" s="153"/>
      <c r="I405" s="120"/>
      <c r="J405" s="120"/>
      <c r="K405" s="153"/>
      <c r="L405" s="153"/>
      <c r="M405" s="153"/>
      <c r="N405" s="153"/>
      <c r="O405" s="153"/>
      <c r="P405" s="153"/>
      <c r="Q405" s="153"/>
      <c r="R405" s="153"/>
      <c r="S405" s="153"/>
      <c r="T405" s="153"/>
      <c r="U405" s="153"/>
      <c r="V405" s="153"/>
      <c r="W405" s="153"/>
      <c r="X405" s="153"/>
      <c r="Y405" s="153"/>
      <c r="Z405" s="153"/>
      <c r="AA405" s="153"/>
      <c r="AB405" s="153"/>
      <c r="AC405" s="153"/>
    </row>
    <row r="406">
      <c r="A406" s="152" t="s">
        <v>338</v>
      </c>
      <c r="B406" s="133" t="str">
        <f>IFERROR(__xludf.DUMMYFUNCTION("FILTER ('Research Papers'!D:D,'Research Papers'!A:A=C406)"),"DynaFLUX: Implicit Dynamics-Preserving Reinforcement Learning for Topology-Free Influence Maximization")</f>
        <v>DynaFLUX: Implicit Dynamics-Preserving Reinforcement Learning for Topology-Free Influence Maximization</v>
      </c>
      <c r="C406" s="133" t="s">
        <v>770</v>
      </c>
      <c r="D406" s="153" t="str">
        <f t="shared" si="1"/>
        <v>DynaFLUX: Implicit Dynamics-Preserving Reinforcement Learning for Topology-Free Influence Maximization
Daiyunke Zhang, Ting Deng, Tianchen Zhu, Shuai Ma, Daqing
Li, Mingtian Peng and Feng Tian
</v>
      </c>
      <c r="E406" s="153" t="str">
        <f>IFERROR(__xludf.DUMMYFUNCTION("TEXTJOIN(CHAR(10), TRUE,FILTER('Research Papers'!$C:$C,'Research Papers'!$A:$A=C406))"),"Daiyunke Zhang, Ting Deng, Tianchen Zhu, Shuai Ma, Daqing
Li, Mingtian Peng and Feng Tian")</f>
        <v>Daiyunke Zhang, Ting Deng, Tianchen Zhu, Shuai Ma, Daqing
Li, Mingtian Peng and Feng Tian</v>
      </c>
      <c r="F406" s="133" t="s">
        <v>99</v>
      </c>
      <c r="G406" s="153"/>
      <c r="H406" s="153"/>
      <c r="I406" s="120"/>
      <c r="J406" s="120"/>
      <c r="K406" s="153"/>
      <c r="L406" s="153"/>
      <c r="M406" s="153"/>
      <c r="N406" s="153"/>
      <c r="O406" s="153"/>
      <c r="P406" s="153"/>
      <c r="Q406" s="153"/>
      <c r="R406" s="153"/>
      <c r="S406" s="153"/>
      <c r="T406" s="153"/>
      <c r="U406" s="153"/>
      <c r="V406" s="153"/>
      <c r="W406" s="153"/>
      <c r="X406" s="153"/>
      <c r="Y406" s="153"/>
      <c r="Z406" s="153"/>
      <c r="AA406" s="153"/>
      <c r="AB406" s="153"/>
      <c r="AC406" s="153"/>
    </row>
    <row r="407">
      <c r="A407" s="152" t="s">
        <v>338</v>
      </c>
      <c r="B407" s="133" t="str">
        <f>IFERROR(__xludf.DUMMYFUNCTION("FILTER ('Research Papers'!D:D,'Research Papers'!A:A=C407)"),"Open or Blocked Skies? Community Moderation Practices in Bluesky")</f>
        <v>Open or Blocked Skies? Community Moderation Practices in Bluesky</v>
      </c>
      <c r="C407" s="133" t="s">
        <v>771</v>
      </c>
      <c r="D407" s="153" t="str">
        <f t="shared" si="1"/>
        <v>Open or Blocked Skies? Community Moderation Practices in Bluesky
Saidu Sokoto, Leonhard Balduf, Onur Ascigil, Gareth Tyson,
Ignacio Castro, Björn Scheuermann, Andrea Baronchelli and
Michał Król
</v>
      </c>
      <c r="E407" s="153" t="str">
        <f>IFERROR(__xludf.DUMMYFUNCTION("TEXTJOIN(CHAR(10), TRUE,FILTER('Research Papers'!$C:$C,'Research Papers'!$A:$A=C407))"),"Saidu Sokoto, Leonhard Balduf, Onur Ascigil, Gareth Tyson,
Ignacio Castro, Björn Scheuermann, Andrea Baronchelli and
Michał Król")</f>
        <v>Saidu Sokoto, Leonhard Balduf, Onur Ascigil, Gareth Tyson,
Ignacio Castro, Björn Scheuermann, Andrea Baronchelli and
Michał Król</v>
      </c>
      <c r="F407" s="133" t="s">
        <v>131</v>
      </c>
      <c r="G407" s="153"/>
      <c r="H407" s="153"/>
      <c r="I407" s="120"/>
      <c r="J407" s="120"/>
      <c r="K407" s="153"/>
      <c r="L407" s="153"/>
      <c r="M407" s="153"/>
      <c r="N407" s="153"/>
      <c r="O407" s="153"/>
      <c r="P407" s="153"/>
      <c r="Q407" s="153"/>
      <c r="R407" s="153"/>
      <c r="S407" s="153"/>
      <c r="T407" s="153"/>
      <c r="U407" s="153"/>
      <c r="V407" s="153"/>
      <c r="W407" s="153"/>
      <c r="X407" s="153"/>
      <c r="Y407" s="153"/>
      <c r="Z407" s="153"/>
      <c r="AA407" s="153"/>
      <c r="AB407" s="153"/>
      <c r="AC407" s="153"/>
    </row>
    <row r="408">
      <c r="A408" s="152" t="s">
        <v>338</v>
      </c>
      <c r="B408" s="133" t="str">
        <f>IFERROR(__xludf.DUMMYFUNCTION("FILTER ('Research Papers'!D:D,'Research Papers'!A:A=C408)"),"Pattern-aware Illicit Account Detection based on User Behavior Sequences")</f>
        <v>Pattern-aware Illicit Account Detection based on User Behavior Sequences</v>
      </c>
      <c r="C408" s="133" t="s">
        <v>772</v>
      </c>
      <c r="D408" s="153" t="str">
        <f t="shared" si="1"/>
        <v>Pattern-aware Illicit Account Detection based on User Behavior Sequences
Zehao Wang, Lanjun Wang, Fuxia Guo and Yanjie Dong
</v>
      </c>
      <c r="E408" s="153" t="str">
        <f>IFERROR(__xludf.DUMMYFUNCTION("TEXTJOIN(CHAR(10), TRUE,FILTER('Research Papers'!$C:$C,'Research Papers'!$A:$A=C408))"),"Zehao Wang, Lanjun Wang, Fuxia Guo and Yanjie Dong")</f>
        <v>Zehao Wang, Lanjun Wang, Fuxia Guo and Yanjie Dong</v>
      </c>
      <c r="F408" s="133" t="s">
        <v>131</v>
      </c>
      <c r="G408" s="153"/>
      <c r="H408" s="153"/>
      <c r="I408" s="120"/>
      <c r="J408" s="120"/>
      <c r="K408" s="153"/>
      <c r="L408" s="153"/>
      <c r="M408" s="153"/>
      <c r="N408" s="153"/>
      <c r="O408" s="153"/>
      <c r="P408" s="153"/>
      <c r="Q408" s="153"/>
      <c r="R408" s="153"/>
      <c r="S408" s="153"/>
      <c r="T408" s="153"/>
      <c r="U408" s="153"/>
      <c r="V408" s="153"/>
      <c r="W408" s="153"/>
      <c r="X408" s="153"/>
      <c r="Y408" s="153"/>
      <c r="Z408" s="153"/>
      <c r="AA408" s="153"/>
      <c r="AB408" s="153"/>
      <c r="AC408" s="153"/>
    </row>
    <row r="409">
      <c r="A409" s="152" t="s">
        <v>338</v>
      </c>
      <c r="B409" s="133" t="str">
        <f>IFERROR(__xludf.DUMMYFUNCTION("FILTER ('Research Papers'!D:D,'Research Papers'!A:A=C409)"),"Unmasking Bots in Higher Dimensions: Message Passing over Simplexes for Bot Detection")</f>
        <v>Unmasking Bots in Higher Dimensions: Message Passing over Simplexes for Bot Detection</v>
      </c>
      <c r="C409" s="133" t="s">
        <v>773</v>
      </c>
      <c r="D409" s="153" t="str">
        <f t="shared" si="1"/>
        <v>Unmasking Bots in Higher Dimensions: Message Passing over Simplexes for Bot Detection
Fangfang Li, Huihui Zhang, Xin Zhang and Wei Wu
</v>
      </c>
      <c r="E409" s="153" t="str">
        <f>IFERROR(__xludf.DUMMYFUNCTION("TEXTJOIN(CHAR(10), TRUE,FILTER('Research Papers'!$C:$C,'Research Papers'!$A:$A=C409))"),"Fangfang Li, Huihui Zhang, Xin Zhang and Wei Wu")</f>
        <v>Fangfang Li, Huihui Zhang, Xin Zhang and Wei Wu</v>
      </c>
      <c r="F409" s="133" t="s">
        <v>131</v>
      </c>
      <c r="G409" s="153"/>
      <c r="H409" s="153"/>
      <c r="I409" s="120"/>
      <c r="J409" s="120"/>
      <c r="K409" s="153"/>
      <c r="L409" s="153"/>
      <c r="M409" s="153"/>
      <c r="N409" s="153"/>
      <c r="O409" s="153"/>
      <c r="P409" s="153"/>
      <c r="Q409" s="153"/>
      <c r="R409" s="153"/>
      <c r="S409" s="153"/>
      <c r="T409" s="153"/>
      <c r="U409" s="153"/>
      <c r="V409" s="153"/>
      <c r="W409" s="153"/>
      <c r="X409" s="153"/>
      <c r="Y409" s="153"/>
      <c r="Z409" s="153"/>
      <c r="AA409" s="153"/>
      <c r="AB409" s="153"/>
      <c r="AC409" s="153"/>
    </row>
    <row r="410">
      <c r="A410" s="152" t="s">
        <v>338</v>
      </c>
      <c r="B410" s="133" t="str">
        <f>IFERROR(__xludf.DUMMYFUNCTION("FILTER ('Research Papers'!D:D,'Research Papers'!A:A=C410)"),"ContiGuard: A Framework for Continual Toxicity Detection Against Evolving Evasive Perturbations")</f>
        <v>ContiGuard: A Framework for Continual Toxicity Detection Against Evolving Evasive Perturbations</v>
      </c>
      <c r="C410" s="133" t="s">
        <v>774</v>
      </c>
      <c r="D410" s="153" t="str">
        <f t="shared" si="1"/>
        <v>ContiGuard: A Framework for Continual Toxicity Detection Against Evolving Evasive Perturbations
Hankun Kang, Xin Miao, Jianhao Chen, Jintao Wen, Mayi Xu,
Weiyu Zhang, Wenpeng Lu and Tieyun Qian
</v>
      </c>
      <c r="E410" s="153" t="str">
        <f>IFERROR(__xludf.DUMMYFUNCTION("TEXTJOIN(CHAR(10), TRUE,FILTER('Research Papers'!$C:$C,'Research Papers'!$A:$A=C410))"),"Hankun Kang, Xin Miao, Jianhao Chen, Jintao Wen, Mayi Xu,
Weiyu Zhang, Wenpeng Lu and Tieyun Qian")</f>
        <v>Hankun Kang, Xin Miao, Jianhao Chen, Jintao Wen, Mayi Xu,
Weiyu Zhang, Wenpeng Lu and Tieyun Qian</v>
      </c>
      <c r="F410" s="133" t="s">
        <v>131</v>
      </c>
      <c r="G410" s="153"/>
      <c r="H410" s="153"/>
      <c r="I410" s="120"/>
      <c r="J410" s="120"/>
      <c r="K410" s="153"/>
      <c r="L410" s="153"/>
      <c r="M410" s="153"/>
      <c r="N410" s="153"/>
      <c r="O410" s="153"/>
      <c r="P410" s="153"/>
      <c r="Q410" s="153"/>
      <c r="R410" s="153"/>
      <c r="S410" s="153"/>
      <c r="T410" s="153"/>
      <c r="U410" s="153"/>
      <c r="V410" s="153"/>
      <c r="W410" s="153"/>
      <c r="X410" s="153"/>
      <c r="Y410" s="153"/>
      <c r="Z410" s="153"/>
      <c r="AA410" s="153"/>
      <c r="AB410" s="153"/>
      <c r="AC410" s="153"/>
    </row>
    <row r="411">
      <c r="A411" s="152" t="s">
        <v>338</v>
      </c>
      <c r="B411" s="133" t="str">
        <f>IFERROR(__xludf.DUMMYFUNCTION("FILTER ('Research Papers'!D:D,'Research Papers'!A:A=C411)"),"They Said Memes Were Harmless --- We Found the Ones That Hurt: Decoding Jokes, Symbols, and Cultural References")</f>
        <v>They Said Memes Were Harmless --- We Found the Ones That Hurt: Decoding Jokes, Symbols, and Cultural References</v>
      </c>
      <c r="C411" s="133" t="s">
        <v>775</v>
      </c>
      <c r="D411" s="153" t="str">
        <f t="shared" si="1"/>
        <v>They Said Memes Were Harmless --- We Found the Ones That Hurt: Decoding Jokes, Symbols, and Cultural References
Sahil Tripathi, Gautam Siddharth Kashyap, Mehwish Nasim,
Jian Yang, Jiechao Gao and Usman Naseem
</v>
      </c>
      <c r="E411" s="153" t="str">
        <f>IFERROR(__xludf.DUMMYFUNCTION("TEXTJOIN(CHAR(10), TRUE,FILTER('Research Papers'!$C:$C,'Research Papers'!$A:$A=C411))"),"Sahil Tripathi, Gautam Siddharth Kashyap, Mehwish Nasim,
Jian Yang, Jiechao Gao and Usman Naseem")</f>
        <v>Sahil Tripathi, Gautam Siddharth Kashyap, Mehwish Nasim,
Jian Yang, Jiechao Gao and Usman Naseem</v>
      </c>
      <c r="F411" s="133" t="s">
        <v>131</v>
      </c>
      <c r="G411" s="153"/>
      <c r="H411" s="153"/>
      <c r="I411" s="120"/>
      <c r="J411" s="120"/>
      <c r="K411" s="153"/>
      <c r="L411" s="153"/>
      <c r="M411" s="153"/>
      <c r="N411" s="153"/>
      <c r="O411" s="153"/>
      <c r="P411" s="153"/>
      <c r="Q411" s="153"/>
      <c r="R411" s="153"/>
      <c r="S411" s="153"/>
      <c r="T411" s="153"/>
      <c r="U411" s="153"/>
      <c r="V411" s="153"/>
      <c r="W411" s="153"/>
      <c r="X411" s="153"/>
      <c r="Y411" s="153"/>
      <c r="Z411" s="153"/>
      <c r="AA411" s="153"/>
      <c r="AB411" s="153"/>
      <c r="AC411" s="153"/>
    </row>
    <row r="412">
      <c r="A412" s="152" t="s">
        <v>338</v>
      </c>
      <c r="B412" s="133" t="str">
        <f>IFERROR(__xludf.DUMMYFUNCTION("FILTER ('Research Papers'!D:D,'Research Papers'!A:A=C412)"),"Effective and Unsupervised Social Event Detection and Evolution via RAG and Structural Entropy")</f>
        <v>Effective and Unsupervised Social Event Detection and Evolution via RAG and Structural Entropy</v>
      </c>
      <c r="C412" s="133" t="s">
        <v>776</v>
      </c>
      <c r="D412" s="153" t="str">
        <f t="shared" si="1"/>
        <v>Effective and Unsupervised Social Event Detection and Evolution via RAG and Structural Entropy
Qitong Liu, Hao Peng, Zuchen Li, Xihang Meng, Ziyu Yang,
Jiting Li, Li Sun and Philip Yu
</v>
      </c>
      <c r="E412" s="153" t="str">
        <f>IFERROR(__xludf.DUMMYFUNCTION("TEXTJOIN(CHAR(10), TRUE,FILTER('Research Papers'!$C:$C,'Research Papers'!$A:$A=C412))"),"Qitong Liu, Hao Peng, Zuchen Li, Xihang Meng, Ziyu Yang,
Jiting Li, Li Sun and Philip Yu")</f>
        <v>Qitong Liu, Hao Peng, Zuchen Li, Xihang Meng, Ziyu Yang,
Jiting Li, Li Sun and Philip Yu</v>
      </c>
      <c r="F412" s="133" t="s">
        <v>151</v>
      </c>
      <c r="G412" s="153"/>
      <c r="H412" s="153"/>
      <c r="I412" s="120"/>
      <c r="J412" s="120"/>
      <c r="K412" s="153"/>
      <c r="L412" s="153"/>
      <c r="M412" s="153"/>
      <c r="N412" s="153"/>
      <c r="O412" s="153"/>
      <c r="P412" s="153"/>
      <c r="Q412" s="153"/>
      <c r="R412" s="153"/>
      <c r="S412" s="153"/>
      <c r="T412" s="153"/>
      <c r="U412" s="153"/>
      <c r="V412" s="153"/>
      <c r="W412" s="153"/>
      <c r="X412" s="153"/>
      <c r="Y412" s="153"/>
      <c r="Z412" s="153"/>
      <c r="AA412" s="153"/>
      <c r="AB412" s="153"/>
      <c r="AC412" s="153"/>
    </row>
    <row r="413">
      <c r="A413" s="152" t="s">
        <v>338</v>
      </c>
      <c r="B413" s="133" t="str">
        <f>IFERROR(__xludf.DUMMYFUNCTION("FILTER ('Research Papers'!D:D,'Research Papers'!A:A=C413)"),"Towards Rare Social Event Prediction via Mediator Learning")</f>
        <v>Towards Rare Social Event Prediction via Mediator Learning</v>
      </c>
      <c r="C413" s="133" t="s">
        <v>777</v>
      </c>
      <c r="D413" s="153" t="str">
        <f t="shared" si="1"/>
        <v>Towards Rare Social Event Prediction via Mediator Learning
Mingjie Qiu, Zhiyi Tan and Bing-Kun Bao
</v>
      </c>
      <c r="E413" s="153" t="str">
        <f>IFERROR(__xludf.DUMMYFUNCTION("TEXTJOIN(CHAR(10), TRUE,FILTER('Research Papers'!$C:$C,'Research Papers'!$A:$A=C413))"),"Mingjie Qiu, Zhiyi Tan and Bing-Kun Bao")</f>
        <v>Mingjie Qiu, Zhiyi Tan and Bing-Kun Bao</v>
      </c>
      <c r="F413" s="133" t="s">
        <v>151</v>
      </c>
      <c r="G413" s="153"/>
      <c r="H413" s="153"/>
      <c r="I413" s="120"/>
      <c r="J413" s="120"/>
      <c r="K413" s="153"/>
      <c r="L413" s="153"/>
      <c r="M413" s="153"/>
      <c r="N413" s="153"/>
      <c r="O413" s="153"/>
      <c r="P413" s="153"/>
      <c r="Q413" s="153"/>
      <c r="R413" s="153"/>
      <c r="S413" s="153"/>
      <c r="T413" s="153"/>
      <c r="U413" s="153"/>
      <c r="V413" s="153"/>
      <c r="W413" s="153"/>
      <c r="X413" s="153"/>
      <c r="Y413" s="153"/>
      <c r="Z413" s="153"/>
      <c r="AA413" s="153"/>
      <c r="AB413" s="153"/>
      <c r="AC413" s="153"/>
    </row>
    <row r="414">
      <c r="A414" s="152" t="s">
        <v>338</v>
      </c>
      <c r="B414" s="133" t="str">
        <f>IFERROR(__xludf.DUMMYFUNCTION("FILTER ('Research Papers'!D:D,'Research Papers'!A:A=C414)"),"Beyond Words: Enhancing Desire, Emotion, and Sentiment Recognition with Non-Verbal Cues")</f>
        <v>Beyond Words: Enhancing Desire, Emotion, and Sentiment Recognition with Non-Verbal Cues</v>
      </c>
      <c r="C414" s="133" t="s">
        <v>778</v>
      </c>
      <c r="D414" s="153" t="str">
        <f t="shared" si="1"/>
        <v>Beyond Words: Enhancing Desire, Emotion, and Sentiment Recognition with Non-Verbal Cues
Wei Chen, Tongguan Wang, Feiyue Xue, Junkai Li, Hui Liu and
Ying Sha
</v>
      </c>
      <c r="E414" s="153" t="str">
        <f>IFERROR(__xludf.DUMMYFUNCTION("TEXTJOIN(CHAR(10), TRUE,FILTER('Research Papers'!$C:$C,'Research Papers'!$A:$A=C414))"),"Wei Chen, Tongguan Wang, Feiyue Xue, Junkai Li, Hui Liu and
Ying Sha")</f>
        <v>Wei Chen, Tongguan Wang, Feiyue Xue, Junkai Li, Hui Liu and
Ying Sha</v>
      </c>
      <c r="F414" s="133" t="s">
        <v>151</v>
      </c>
      <c r="G414" s="153"/>
      <c r="H414" s="153"/>
      <c r="I414" s="120"/>
      <c r="J414" s="120"/>
      <c r="K414" s="153"/>
      <c r="L414" s="153"/>
      <c r="M414" s="153"/>
      <c r="N414" s="153"/>
      <c r="O414" s="153"/>
      <c r="P414" s="153"/>
      <c r="Q414" s="153"/>
      <c r="R414" s="153"/>
      <c r="S414" s="153"/>
      <c r="T414" s="153"/>
      <c r="U414" s="153"/>
      <c r="V414" s="153"/>
      <c r="W414" s="153"/>
      <c r="X414" s="153"/>
      <c r="Y414" s="153"/>
      <c r="Z414" s="153"/>
      <c r="AA414" s="153"/>
      <c r="AB414" s="153"/>
      <c r="AC414" s="153"/>
    </row>
    <row r="415">
      <c r="A415" s="152" t="s">
        <v>338</v>
      </c>
      <c r="B415" s="133" t="str">
        <f>IFERROR(__xludf.DUMMYFUNCTION("FILTER ('Research Papers'!D:D,'Research Papers'!A:A=C415)"),"How Social Media Peer Comments Influence Privacy Decisions in Photo Sharing: Context and Individual Differences Cause Comments to Backfire")</f>
        <v>How Social Media Peer Comments Influence Privacy Decisions in Photo Sharing: Context and Individual Differences Cause Comments to Backfire</v>
      </c>
      <c r="C415" s="133" t="s">
        <v>779</v>
      </c>
      <c r="D415" s="153" t="str">
        <f t="shared" si="1"/>
        <v>How Social Media Peer Comments Influence Privacy Decisions in Photo Sharing: Context and Individual Differences Cause Comments to Backfire
Tangila Islam Tanni, Renita Washburn, Yan Solihin and Mary
Jean Amon
</v>
      </c>
      <c r="E415" s="153" t="str">
        <f>IFERROR(__xludf.DUMMYFUNCTION("TEXTJOIN(CHAR(10), TRUE,FILTER('Research Papers'!$C:$C,'Research Papers'!$A:$A=C415))"),"Tangila Islam Tanni, Renita Washburn, Yan Solihin and Mary
Jean Amon")</f>
        <v>Tangila Islam Tanni, Renita Washburn, Yan Solihin and Mary
Jean Amon</v>
      </c>
      <c r="F415" s="133" t="s">
        <v>151</v>
      </c>
      <c r="G415" s="153"/>
      <c r="H415" s="153"/>
      <c r="I415" s="120"/>
      <c r="J415" s="120"/>
      <c r="K415" s="153"/>
      <c r="L415" s="153"/>
      <c r="M415" s="153"/>
      <c r="N415" s="153"/>
      <c r="O415" s="153"/>
      <c r="P415" s="153"/>
      <c r="Q415" s="153"/>
      <c r="R415" s="153"/>
      <c r="S415" s="153"/>
      <c r="T415" s="153"/>
      <c r="U415" s="153"/>
      <c r="V415" s="153"/>
      <c r="W415" s="153"/>
      <c r="X415" s="153"/>
      <c r="Y415" s="153"/>
      <c r="Z415" s="153"/>
      <c r="AA415" s="153"/>
      <c r="AB415" s="153"/>
      <c r="AC415" s="153"/>
    </row>
    <row r="416">
      <c r="A416" s="152" t="s">
        <v>338</v>
      </c>
      <c r="B416" s="133" t="str">
        <f>IFERROR(__xludf.DUMMYFUNCTION("FILTER ('Research Papers'!D:D,'Research Papers'!A:A=C416)"),"From Social Media to Psychological Scale: An Adaptive Framework with Two-Hop Retrieval for Depression Screening")</f>
        <v>From Social Media to Psychological Scale: An Adaptive Framework with Two-Hop Retrieval for Depression Screening</v>
      </c>
      <c r="C416" s="133" t="s">
        <v>780</v>
      </c>
      <c r="D416" s="153" t="str">
        <f t="shared" si="1"/>
        <v>From Social Media to Psychological Scale: An Adaptive Framework with Two-Hop Retrieval for Depression Screening
Yangyang Xu, Jinpeng Hu, Peipei Song, Zhangling Duan and
Xun Yang
</v>
      </c>
      <c r="E416" s="153" t="str">
        <f>IFERROR(__xludf.DUMMYFUNCTION("TEXTJOIN(CHAR(10), TRUE,FILTER('Research Papers'!$C:$C,'Research Papers'!$A:$A=C416))"),"Yangyang Xu, Jinpeng Hu, Peipei Song, Zhangling Duan and
Xun Yang")</f>
        <v>Yangyang Xu, Jinpeng Hu, Peipei Song, Zhangling Duan and
Xun Yang</v>
      </c>
      <c r="F416" s="133" t="s">
        <v>151</v>
      </c>
      <c r="G416" s="153"/>
      <c r="H416" s="153"/>
      <c r="I416" s="120"/>
      <c r="J416" s="120"/>
      <c r="K416" s="153"/>
      <c r="L416" s="153"/>
      <c r="M416" s="153"/>
      <c r="N416" s="153"/>
      <c r="O416" s="153"/>
      <c r="P416" s="153"/>
      <c r="Q416" s="153"/>
      <c r="R416" s="153"/>
      <c r="S416" s="153"/>
      <c r="T416" s="153"/>
      <c r="U416" s="153"/>
      <c r="V416" s="153"/>
      <c r="W416" s="153"/>
      <c r="X416" s="153"/>
      <c r="Y416" s="153"/>
      <c r="Z416" s="153"/>
      <c r="AA416" s="153"/>
      <c r="AB416" s="153"/>
      <c r="AC416" s="153"/>
    </row>
    <row r="417">
      <c r="A417" s="152" t="s">
        <v>338</v>
      </c>
      <c r="B417" s="133" t="str">
        <f>IFERROR(__xludf.DUMMYFUNCTION("FILTER ('Research Papers'!D:D,'Research Papers'!A:A=C417)"),"Collusion-Aware Set-level Learning Framework for Detecting Spamming Activities")</f>
        <v>Collusion-Aware Set-level Learning Framework for Detecting Spamming Activities</v>
      </c>
      <c r="C417" s="133" t="s">
        <v>781</v>
      </c>
      <c r="D417" s="153" t="str">
        <f t="shared" si="1"/>
        <v>Collusion-Aware Set-level Learning Framework for Detecting Spamming Activities
Yuli Liu
</v>
      </c>
      <c r="E417" s="153" t="str">
        <f>IFERROR(__xludf.DUMMYFUNCTION("TEXTJOIN(CHAR(10), TRUE,FILTER('Research Papers'!$C:$C,'Research Papers'!$A:$A=C417))"),"Yuli Liu")</f>
        <v>Yuli Liu</v>
      </c>
      <c r="F417" s="133" t="s">
        <v>221</v>
      </c>
      <c r="G417" s="133" t="s">
        <v>339</v>
      </c>
      <c r="H417" s="153"/>
      <c r="I417" s="149" t="s">
        <v>367</v>
      </c>
      <c r="J417" s="114">
        <f>COUNTIF(F:F,F417)</f>
        <v>22</v>
      </c>
      <c r="K417" s="153"/>
      <c r="L417" s="153"/>
      <c r="M417" s="153"/>
      <c r="N417" s="153"/>
      <c r="O417" s="153"/>
      <c r="P417" s="153"/>
      <c r="Q417" s="153"/>
      <c r="R417" s="153"/>
      <c r="S417" s="153"/>
      <c r="T417" s="153"/>
      <c r="U417" s="153"/>
      <c r="V417" s="153"/>
      <c r="W417" s="153"/>
      <c r="X417" s="153"/>
      <c r="Y417" s="153"/>
      <c r="Z417" s="153"/>
      <c r="AA417" s="153"/>
      <c r="AB417" s="153"/>
      <c r="AC417" s="153"/>
    </row>
    <row r="418">
      <c r="A418" s="152" t="s">
        <v>338</v>
      </c>
      <c r="B418" s="133" t="str">
        <f>IFERROR(__xludf.DUMMYFUNCTION("FILTER ('Research Papers'!D:D,'Research Papers'!A:A=C418)"),"The Devil Within, The Cure Without: Securing Locally Private Graph Learning under Poisoning")</f>
        <v>The Devil Within, The Cure Without: Securing Locally Private Graph Learning under Poisoning</v>
      </c>
      <c r="C418" s="133" t="s">
        <v>782</v>
      </c>
      <c r="D418" s="153" t="str">
        <f t="shared" si="1"/>
        <v>The Devil Within, The Cure Without: Securing Locally Private Graph Learning under Poisoning
Longzhu He, Peng Tang, Li Sun and Sen Su
</v>
      </c>
      <c r="E418" s="153" t="str">
        <f>IFERROR(__xludf.DUMMYFUNCTION("TEXTJOIN(CHAR(10), TRUE,FILTER('Research Papers'!$C:$C,'Research Papers'!$A:$A=C418))"),"Longzhu He, Peng Tang, Li Sun and Sen Su")</f>
        <v>Longzhu He, Peng Tang, Li Sun and Sen Su</v>
      </c>
      <c r="F418" s="133" t="s">
        <v>221</v>
      </c>
      <c r="G418" s="133" t="s">
        <v>339</v>
      </c>
      <c r="H418" s="153"/>
      <c r="I418" s="120"/>
      <c r="J418" s="120"/>
      <c r="K418" s="153"/>
      <c r="L418" s="153"/>
      <c r="M418" s="153"/>
      <c r="N418" s="153"/>
      <c r="O418" s="153"/>
      <c r="P418" s="153"/>
      <c r="Q418" s="153"/>
      <c r="R418" s="153"/>
      <c r="S418" s="153"/>
      <c r="T418" s="153"/>
      <c r="U418" s="153"/>
      <c r="V418" s="153"/>
      <c r="W418" s="153"/>
      <c r="X418" s="153"/>
      <c r="Y418" s="153"/>
      <c r="Z418" s="153"/>
      <c r="AA418" s="153"/>
      <c r="AB418" s="153"/>
      <c r="AC418" s="153"/>
    </row>
    <row r="419">
      <c r="A419" s="152" t="s">
        <v>338</v>
      </c>
      <c r="B419" s="133" t="str">
        <f>IFERROR(__xludf.DUMMYFUNCTION("FILTER ('Research Papers'!D:D,'Research Papers'!A:A=C419)"),"H-NeiFi: Non-Invasive and Consensus-Efficient Multi-Agent Opinion Guidance")</f>
        <v>H-NeiFi: Non-Invasive and Consensus-Efficient Multi-Agent Opinion Guidance</v>
      </c>
      <c r="C419" s="133" t="s">
        <v>783</v>
      </c>
      <c r="D419" s="153" t="str">
        <f t="shared" si="1"/>
        <v>H-NeiFi: Non-Invasive and Consensus-Efficient Multi-Agent Opinion Guidance
Shijun Guo, Haoran Xu, Yaming Yang, Ziyu Guan, Wei Zhao,
Zhang Xinyi and Song Yishan
</v>
      </c>
      <c r="E419" s="153" t="str">
        <f>IFERROR(__xludf.DUMMYFUNCTION("TEXTJOIN(CHAR(10), TRUE,FILTER('Research Papers'!$C:$C,'Research Papers'!$A:$A=C419))"),"Shijun Guo, Haoran Xu, Yaming Yang, Ziyu Guan, Wei Zhao,
Zhang Xinyi and Song Yishan")</f>
        <v>Shijun Guo, Haoran Xu, Yaming Yang, Ziyu Guan, Wei Zhao,
Zhang Xinyi and Song Yishan</v>
      </c>
      <c r="F419" s="133" t="s">
        <v>221</v>
      </c>
      <c r="G419" s="133" t="s">
        <v>339</v>
      </c>
      <c r="H419" s="153"/>
      <c r="I419" s="120"/>
      <c r="J419" s="120"/>
      <c r="K419" s="153"/>
      <c r="L419" s="153"/>
      <c r="M419" s="153"/>
      <c r="N419" s="153"/>
      <c r="O419" s="153"/>
      <c r="P419" s="153"/>
      <c r="Q419" s="153"/>
      <c r="R419" s="153"/>
      <c r="S419" s="153"/>
      <c r="T419" s="153"/>
      <c r="U419" s="153"/>
      <c r="V419" s="153"/>
      <c r="W419" s="153"/>
      <c r="X419" s="153"/>
      <c r="Y419" s="153"/>
      <c r="Z419" s="153"/>
      <c r="AA419" s="153"/>
      <c r="AB419" s="153"/>
      <c r="AC419" s="153"/>
    </row>
    <row r="420">
      <c r="A420" s="152" t="s">
        <v>338</v>
      </c>
      <c r="B420" s="133" t="str">
        <f>IFERROR(__xludf.DUMMYFUNCTION("FILTER ('Research Papers'!D:D,'Research Papers'!A:A=C420)"),"FairGE: Fairness-Aware Graph Encoding in Incomplete Social Networks")</f>
        <v>FairGE: Fairness-Aware Graph Encoding in Incomplete Social Networks</v>
      </c>
      <c r="C420" s="133" t="s">
        <v>784</v>
      </c>
      <c r="D420" s="153" t="str">
        <f t="shared" si="1"/>
        <v>FairGE: Fairness-Aware Graph Encoding in Incomplete Social Networks
Renqiang Luo, Huafei Huang, Tao Tang, Jing Ren, Ziqi Xu,
Mingliang Hou, Enyan Dai and Feng Xia
</v>
      </c>
      <c r="E420" s="153" t="str">
        <f>IFERROR(__xludf.DUMMYFUNCTION("TEXTJOIN(CHAR(10), TRUE,FILTER('Research Papers'!$C:$C,'Research Papers'!$A:$A=C420))"),"Renqiang Luo, Huafei Huang, Tao Tang, Jing Ren, Ziqi Xu,
Mingliang Hou, Enyan Dai and Feng Xia")</f>
        <v>Renqiang Luo, Huafei Huang, Tao Tang, Jing Ren, Ziqi Xu,
Mingliang Hou, Enyan Dai and Feng Xia</v>
      </c>
      <c r="F420" s="133" t="s">
        <v>221</v>
      </c>
      <c r="G420" s="133" t="s">
        <v>339</v>
      </c>
      <c r="H420" s="153"/>
      <c r="I420" s="120"/>
      <c r="J420" s="120"/>
      <c r="K420" s="153"/>
      <c r="L420" s="153"/>
      <c r="M420" s="153"/>
      <c r="N420" s="153"/>
      <c r="O420" s="153"/>
      <c r="P420" s="153"/>
      <c r="Q420" s="153"/>
      <c r="R420" s="153"/>
      <c r="S420" s="153"/>
      <c r="T420" s="153"/>
      <c r="U420" s="153"/>
      <c r="V420" s="153"/>
      <c r="W420" s="153"/>
      <c r="X420" s="153"/>
      <c r="Y420" s="153"/>
      <c r="Z420" s="153"/>
      <c r="AA420" s="153"/>
      <c r="AB420" s="153"/>
      <c r="AC420" s="153"/>
    </row>
    <row r="421">
      <c r="A421" s="152" t="s">
        <v>338</v>
      </c>
      <c r="B421" s="133" t="str">
        <f>IFERROR(__xludf.DUMMYFUNCTION("FILTER ('Research Papers'!D:D,'Research Papers'!A:A=C421)"),"Explaining Synergistic Effects in Social Recommendations")</f>
        <v>Explaining Synergistic Effects in Social Recommendations</v>
      </c>
      <c r="C421" s="133" t="s">
        <v>785</v>
      </c>
      <c r="D421" s="153" t="str">
        <f t="shared" si="1"/>
        <v>Explaining Synergistic Effects in Social Recommendations
Yicong Li, Shan Jin, Qi Liu, Shuo Wang, Jiaying Liu, Shuo
Yu, Qiang Zhang, Kuanjiu Zhou and Feng Xia
</v>
      </c>
      <c r="E421" s="153" t="str">
        <f>IFERROR(__xludf.DUMMYFUNCTION("TEXTJOIN(CHAR(10), TRUE,FILTER('Research Papers'!$C:$C,'Research Papers'!$A:$A=C421))"),"Yicong Li, Shan Jin, Qi Liu, Shuo Wang, Jiaying Liu, Shuo
Yu, Qiang Zhang, Kuanjiu Zhou and Feng Xia")</f>
        <v>Yicong Li, Shan Jin, Qi Liu, Shuo Wang, Jiaying Liu, Shuo
Yu, Qiang Zhang, Kuanjiu Zhou and Feng Xia</v>
      </c>
      <c r="F421" s="133" t="s">
        <v>221</v>
      </c>
      <c r="G421" s="133" t="s">
        <v>339</v>
      </c>
      <c r="H421" s="153"/>
      <c r="I421" s="120"/>
      <c r="J421" s="120"/>
      <c r="K421" s="153"/>
      <c r="L421" s="153"/>
      <c r="M421" s="153"/>
      <c r="N421" s="153"/>
      <c r="O421" s="153"/>
      <c r="P421" s="153"/>
      <c r="Q421" s="153"/>
      <c r="R421" s="153"/>
      <c r="S421" s="153"/>
      <c r="T421" s="153"/>
      <c r="U421" s="153"/>
      <c r="V421" s="153"/>
      <c r="W421" s="153"/>
      <c r="X421" s="153"/>
      <c r="Y421" s="153"/>
      <c r="Z421" s="153"/>
      <c r="AA421" s="153"/>
      <c r="AB421" s="153"/>
      <c r="AC421" s="153"/>
    </row>
    <row r="422">
      <c r="A422" s="152" t="s">
        <v>338</v>
      </c>
      <c r="B422" s="133" t="str">
        <f>IFERROR(__xludf.DUMMYFUNCTION("FILTER ('Research Papers'!D:D,'Research Papers'!A:A=C422)"),"Graph Adversarial Defense via Hilbert-Schmidt Independence Criterion against Influence Maximization Attacks")</f>
        <v>Graph Adversarial Defense via Hilbert-Schmidt Independence Criterion against Influence Maximization Attacks</v>
      </c>
      <c r="C422" s="133" t="s">
        <v>786</v>
      </c>
      <c r="D422" s="153" t="str">
        <f t="shared" si="1"/>
        <v>Graph Adversarial Defense via Hilbert-Schmidt Independence Criterion against Influence Maximization Attacks
Yuxing Guo, Jianqing Liang, Kaixuan Yao, Zhihao Guo and
Jiye Liang
</v>
      </c>
      <c r="E422" s="153" t="str">
        <f>IFERROR(__xludf.DUMMYFUNCTION("TEXTJOIN(CHAR(10), TRUE,FILTER('Research Papers'!$C:$C,'Research Papers'!$A:$A=C422))"),"Yuxing Guo, Jianqing Liang, Kaixuan Yao, Zhihao Guo and
Jiye Liang")</f>
        <v>Yuxing Guo, Jianqing Liang, Kaixuan Yao, Zhihao Guo and
Jiye Liang</v>
      </c>
      <c r="F422" s="133" t="s">
        <v>221</v>
      </c>
      <c r="G422" s="133" t="s">
        <v>339</v>
      </c>
      <c r="H422" s="153"/>
      <c r="I422" s="120"/>
      <c r="J422" s="120"/>
      <c r="K422" s="153"/>
      <c r="L422" s="153"/>
      <c r="M422" s="153"/>
      <c r="N422" s="153"/>
      <c r="O422" s="153"/>
      <c r="P422" s="153"/>
      <c r="Q422" s="153"/>
      <c r="R422" s="153"/>
      <c r="S422" s="153"/>
      <c r="T422" s="153"/>
      <c r="U422" s="153"/>
      <c r="V422" s="153"/>
      <c r="W422" s="153"/>
      <c r="X422" s="153"/>
      <c r="Y422" s="153"/>
      <c r="Z422" s="153"/>
      <c r="AA422" s="153"/>
      <c r="AB422" s="153"/>
      <c r="AC422" s="153"/>
    </row>
    <row r="423">
      <c r="A423" s="152" t="s">
        <v>338</v>
      </c>
      <c r="B423" s="133" t="str">
        <f>IFERROR(__xludf.DUMMYFUNCTION("FILTER ('Research Papers'!D:D,'Research Papers'!A:A=C423)"),"Social Event Prediction via Fourier Graph Learning")</f>
        <v>Social Event Prediction via Fourier Graph Learning</v>
      </c>
      <c r="C423" s="133" t="s">
        <v>787</v>
      </c>
      <c r="D423" s="153" t="str">
        <f t="shared" si="1"/>
        <v>Social Event Prediction via Fourier Graph Learning
Mingjie Qiu, Zhiyi Tan and Bing-Kun Bao
</v>
      </c>
      <c r="E423" s="153" t="str">
        <f>IFERROR(__xludf.DUMMYFUNCTION("TEXTJOIN(CHAR(10), TRUE,FILTER('Research Papers'!$C:$C,'Research Papers'!$A:$A=C423))"),"Mingjie Qiu, Zhiyi Tan and Bing-Kun Bao")</f>
        <v>Mingjie Qiu, Zhiyi Tan and Bing-Kun Bao</v>
      </c>
      <c r="F423" s="133" t="s">
        <v>221</v>
      </c>
      <c r="G423" s="133" t="s">
        <v>116</v>
      </c>
      <c r="H423" s="153"/>
      <c r="I423" s="120"/>
      <c r="J423" s="120"/>
      <c r="K423" s="153"/>
      <c r="L423" s="153"/>
      <c r="M423" s="153"/>
      <c r="N423" s="153"/>
      <c r="O423" s="153"/>
      <c r="P423" s="153"/>
      <c r="Q423" s="153"/>
      <c r="R423" s="153"/>
      <c r="S423" s="153"/>
      <c r="T423" s="153"/>
      <c r="U423" s="153"/>
      <c r="V423" s="153"/>
      <c r="W423" s="153"/>
      <c r="X423" s="153"/>
      <c r="Y423" s="153"/>
      <c r="Z423" s="153"/>
      <c r="AA423" s="153"/>
      <c r="AB423" s="153"/>
      <c r="AC423" s="153"/>
    </row>
    <row r="424">
      <c r="A424" s="152" t="s">
        <v>338</v>
      </c>
      <c r="B424" s="133" t="str">
        <f>IFERROR(__xludf.DUMMYFUNCTION("FILTER ('Research Papers'!D:D,'Research Papers'!A:A=C424)"),"FS_GPlib: Breaking the Web-Scale Barrier — A Unified Acceleration Framework for Graph Propagation Models")</f>
        <v>FS_GPlib: Breaking the Web-Scale Barrier — A Unified Acceleration Framework for Graph Propagation Models</v>
      </c>
      <c r="C424" s="133" t="s">
        <v>788</v>
      </c>
      <c r="D424" s="153" t="str">
        <f t="shared" si="1"/>
        <v>FS_GPlib: Breaking the Web-Scale Barrier — A Unified Acceleration Framework for Graph Propagation Models
Chang Guo, Juyuan Zhang, Chang Su, Tianlong Fan and Linyuan
Lü
</v>
      </c>
      <c r="E424" s="153" t="str">
        <f>IFERROR(__xludf.DUMMYFUNCTION("TEXTJOIN(CHAR(10), TRUE,FILTER('Research Papers'!$C:$C,'Research Papers'!$A:$A=C424))"),"Chang Guo, Juyuan Zhang, Chang Su, Tianlong Fan and Linyuan
Lü")</f>
        <v>Chang Guo, Juyuan Zhang, Chang Su, Tianlong Fan and Linyuan
Lü</v>
      </c>
      <c r="F424" s="133" t="s">
        <v>221</v>
      </c>
      <c r="G424" s="133" t="s">
        <v>116</v>
      </c>
      <c r="H424" s="153"/>
      <c r="I424" s="120"/>
      <c r="J424" s="120"/>
      <c r="K424" s="153"/>
      <c r="L424" s="153"/>
      <c r="M424" s="153"/>
      <c r="N424" s="153"/>
      <c r="O424" s="153"/>
      <c r="P424" s="153"/>
      <c r="Q424" s="153"/>
      <c r="R424" s="153"/>
      <c r="S424" s="153"/>
      <c r="T424" s="153"/>
      <c r="U424" s="153"/>
      <c r="V424" s="153"/>
      <c r="W424" s="153"/>
      <c r="X424" s="153"/>
      <c r="Y424" s="153"/>
      <c r="Z424" s="153"/>
      <c r="AA424" s="153"/>
      <c r="AB424" s="153"/>
      <c r="AC424" s="153"/>
    </row>
    <row r="425">
      <c r="A425" s="152" t="s">
        <v>338</v>
      </c>
      <c r="B425" s="133" t="str">
        <f>IFERROR(__xludf.DUMMYFUNCTION("FILTER ('Research Papers'!D:D,'Research Papers'!A:A=C425)"),"Source Localization in Continuous-Time Propagation via Spectral ODE Modeling")</f>
        <v>Source Localization in Continuous-Time Propagation via Spectral ODE Modeling</v>
      </c>
      <c r="C425" s="133" t="s">
        <v>789</v>
      </c>
      <c r="D425" s="153" t="str">
        <f t="shared" si="1"/>
        <v>Source Localization in Continuous-Time Propagation via Spectral ODE Modeling
Dongpeng Hou, Yuchen Wang, Giulio Cimini, Roberto Benzi,
Huixiang Zhang, Zhen Wang and Chao Gao
</v>
      </c>
      <c r="E425" s="153" t="str">
        <f>IFERROR(__xludf.DUMMYFUNCTION("TEXTJOIN(CHAR(10), TRUE,FILTER('Research Papers'!$C:$C,'Research Papers'!$A:$A=C425))"),"Dongpeng Hou, Yuchen Wang, Giulio Cimini, Roberto Benzi,
Huixiang Zhang, Zhen Wang and Chao Gao")</f>
        <v>Dongpeng Hou, Yuchen Wang, Giulio Cimini, Roberto Benzi,
Huixiang Zhang, Zhen Wang and Chao Gao</v>
      </c>
      <c r="F425" s="133" t="s">
        <v>221</v>
      </c>
      <c r="G425" s="133" t="s">
        <v>116</v>
      </c>
      <c r="H425" s="153"/>
      <c r="I425" s="120"/>
      <c r="J425" s="120"/>
      <c r="K425" s="153"/>
      <c r="L425" s="153"/>
      <c r="M425" s="153"/>
      <c r="N425" s="153"/>
      <c r="O425" s="153"/>
      <c r="P425" s="153"/>
      <c r="Q425" s="153"/>
      <c r="R425" s="153"/>
      <c r="S425" s="153"/>
      <c r="T425" s="153"/>
      <c r="U425" s="153"/>
      <c r="V425" s="153"/>
      <c r="W425" s="153"/>
      <c r="X425" s="153"/>
      <c r="Y425" s="153"/>
      <c r="Z425" s="153"/>
      <c r="AA425" s="153"/>
      <c r="AB425" s="153"/>
      <c r="AC425" s="153"/>
    </row>
    <row r="426">
      <c r="A426" s="152" t="s">
        <v>338</v>
      </c>
      <c r="B426" s="133" t="str">
        <f>IFERROR(__xludf.DUMMYFUNCTION("FILTER ('Research Papers'!D:D,'Research Papers'!A:A=C426)"),"TFWaveFormer: Temporal-Frequency Collaborative Multi-level Wavelet Transformer for Dynamic Link Prediction")</f>
        <v>TFWaveFormer: Temporal-Frequency Collaborative Multi-level Wavelet Transformer for Dynamic Link Prediction</v>
      </c>
      <c r="C426" s="133" t="s">
        <v>790</v>
      </c>
      <c r="D426" s="153" t="str">
        <f t="shared" si="1"/>
        <v>TFWaveFormer: Temporal-Frequency Collaborative Multi-level Wavelet Transformer for Dynamic Link Prediction
Hantong Feng, Yonggang Wu, Duxin Chen and Wenwu Yu
</v>
      </c>
      <c r="E426" s="153" t="str">
        <f>IFERROR(__xludf.DUMMYFUNCTION("TEXTJOIN(CHAR(10), TRUE,FILTER('Research Papers'!$C:$C,'Research Papers'!$A:$A=C426))"),"Hantong Feng, Yonggang Wu, Duxin Chen and Wenwu Yu")</f>
        <v>Hantong Feng, Yonggang Wu, Duxin Chen and Wenwu Yu</v>
      </c>
      <c r="F426" s="133" t="s">
        <v>221</v>
      </c>
      <c r="G426" s="133" t="s">
        <v>116</v>
      </c>
      <c r="H426" s="153"/>
      <c r="I426" s="120"/>
      <c r="J426" s="120"/>
      <c r="K426" s="153"/>
      <c r="L426" s="153"/>
      <c r="M426" s="153"/>
      <c r="N426" s="153"/>
      <c r="O426" s="153"/>
      <c r="P426" s="153"/>
      <c r="Q426" s="153"/>
      <c r="R426" s="153"/>
      <c r="S426" s="153"/>
      <c r="T426" s="153"/>
      <c r="U426" s="153"/>
      <c r="V426" s="153"/>
      <c r="W426" s="153"/>
      <c r="X426" s="153"/>
      <c r="Y426" s="153"/>
      <c r="Z426" s="153"/>
      <c r="AA426" s="153"/>
      <c r="AB426" s="153"/>
      <c r="AC426" s="153"/>
    </row>
    <row r="427">
      <c r="A427" s="152" t="s">
        <v>338</v>
      </c>
      <c r="B427" s="133" t="str">
        <f>IFERROR(__xludf.DUMMYFUNCTION("FILTER ('Research Papers'!D:D,'Research Papers'!A:A=C427)"),"CIFAD: Causal-Invariant Subspace Learning for Few-Shot Anomaly Detection on Dynamic Relational Graphs")</f>
        <v>CIFAD: Causal-Invariant Subspace Learning for Few-Shot Anomaly Detection on Dynamic Relational Graphs</v>
      </c>
      <c r="C427" s="133" t="s">
        <v>791</v>
      </c>
      <c r="D427" s="153" t="str">
        <f t="shared" si="1"/>
        <v>CIFAD: Causal-Invariant Subspace Learning for Few-Shot Anomaly Detection on Dynamic Relational Graphs
Xiao Yu, Haolong Xiang, Xiaolong Xu, Qi Lianyong, Zhang
Xuyun, Fan Wei and Dou Wanchun
</v>
      </c>
      <c r="E427" s="153" t="str">
        <f>IFERROR(__xludf.DUMMYFUNCTION("TEXTJOIN(CHAR(10), TRUE,FILTER('Research Papers'!$C:$C,'Research Papers'!$A:$A=C427))"),"Xiao Yu, Haolong Xiang, Xiaolong Xu, Qi Lianyong, Zhang
Xuyun, Fan Wei and Dou Wanchun")</f>
        <v>Xiao Yu, Haolong Xiang, Xiaolong Xu, Qi Lianyong, Zhang
Xuyun, Fan Wei and Dou Wanchun</v>
      </c>
      <c r="F427" s="133" t="s">
        <v>221</v>
      </c>
      <c r="G427" s="133" t="s">
        <v>116</v>
      </c>
      <c r="H427" s="153"/>
      <c r="I427" s="120"/>
      <c r="J427" s="120"/>
      <c r="K427" s="153"/>
      <c r="L427" s="153"/>
      <c r="M427" s="153"/>
      <c r="N427" s="153"/>
      <c r="O427" s="153"/>
      <c r="P427" s="153"/>
      <c r="Q427" s="153"/>
      <c r="R427" s="153"/>
      <c r="S427" s="153"/>
      <c r="T427" s="153"/>
      <c r="U427" s="153"/>
      <c r="V427" s="153"/>
      <c r="W427" s="153"/>
      <c r="X427" s="153"/>
      <c r="Y427" s="153"/>
      <c r="Z427" s="153"/>
      <c r="AA427" s="153"/>
      <c r="AB427" s="153"/>
      <c r="AC427" s="153"/>
    </row>
    <row r="428">
      <c r="A428" s="152" t="s">
        <v>338</v>
      </c>
      <c r="B428" s="133" t="str">
        <f>IFERROR(__xludf.DUMMYFUNCTION("FILTER ('Research Papers'!D:D,'Research Papers'!A:A=C428)"),"Fair k-Center Clustering on Massive Social Network Data Streams")</f>
        <v>Fair k-Center Clustering on Massive Social Network Data Streams</v>
      </c>
      <c r="C428" s="133" t="s">
        <v>792</v>
      </c>
      <c r="D428" s="153" t="str">
        <f t="shared" si="1"/>
        <v>Fair k-Center Clustering on Massive Social Network Data Streams
Longkun Guo, Chaoqi Jia and Chao Chen
</v>
      </c>
      <c r="E428" s="153" t="str">
        <f>IFERROR(__xludf.DUMMYFUNCTION("TEXTJOIN(CHAR(10), TRUE,FILTER('Research Papers'!$C:$C,'Research Papers'!$A:$A=C428))"),"Longkun Guo, Chaoqi Jia and Chao Chen")</f>
        <v>Longkun Guo, Chaoqi Jia and Chao Chen</v>
      </c>
      <c r="F428" s="133" t="s">
        <v>221</v>
      </c>
      <c r="G428" s="133" t="s">
        <v>116</v>
      </c>
      <c r="H428" s="153"/>
      <c r="I428" s="120"/>
      <c r="J428" s="120"/>
      <c r="K428" s="153"/>
      <c r="L428" s="153"/>
      <c r="M428" s="153"/>
      <c r="N428" s="153"/>
      <c r="O428" s="153"/>
      <c r="P428" s="153"/>
      <c r="Q428" s="153"/>
      <c r="R428" s="153"/>
      <c r="S428" s="153"/>
      <c r="T428" s="153"/>
      <c r="U428" s="153"/>
      <c r="V428" s="153"/>
      <c r="W428" s="153"/>
      <c r="X428" s="153"/>
      <c r="Y428" s="153"/>
      <c r="Z428" s="153"/>
      <c r="AA428" s="153"/>
      <c r="AB428" s="153"/>
      <c r="AC428" s="153"/>
    </row>
    <row r="429">
      <c r="A429" s="152" t="s">
        <v>338</v>
      </c>
      <c r="B429" s="133" t="str">
        <f>IFERROR(__xludf.DUMMYFUNCTION("FILTER ('Research Papers'!D:D,'Research Papers'!A:A=C429)"),"Unicoon: Hypergraph-based Multi-Agent Simulation of Information Cocoons")</f>
        <v>Unicoon: Hypergraph-based Multi-Agent Simulation of Information Cocoons</v>
      </c>
      <c r="C429" s="133" t="s">
        <v>793</v>
      </c>
      <c r="D429" s="153" t="str">
        <f t="shared" si="1"/>
        <v>Unicoon: Hypergraph-based Multi-Agent Simulation of Information Cocoons
Chunyu Wei, Tu Yongsiqi and Yunhai Wang
</v>
      </c>
      <c r="E429" s="153" t="str">
        <f>IFERROR(__xludf.DUMMYFUNCTION("TEXTJOIN(CHAR(10), TRUE,FILTER('Research Papers'!$C:$C,'Research Papers'!$A:$A=C429))"),"Chunyu Wei, Tu Yongsiqi and Yunhai Wang")</f>
        <v>Chunyu Wei, Tu Yongsiqi and Yunhai Wang</v>
      </c>
      <c r="F429" s="133" t="s">
        <v>221</v>
      </c>
      <c r="G429" s="133" t="s">
        <v>340</v>
      </c>
      <c r="H429" s="153"/>
      <c r="I429" s="120"/>
      <c r="J429" s="120"/>
      <c r="K429" s="153"/>
      <c r="L429" s="153"/>
      <c r="M429" s="153"/>
      <c r="N429" s="153"/>
      <c r="O429" s="153"/>
      <c r="P429" s="153"/>
      <c r="Q429" s="153"/>
      <c r="R429" s="153"/>
      <c r="S429" s="153"/>
      <c r="T429" s="153"/>
      <c r="U429" s="153"/>
      <c r="V429" s="153"/>
      <c r="W429" s="153"/>
      <c r="X429" s="153"/>
      <c r="Y429" s="153"/>
      <c r="Z429" s="153"/>
      <c r="AA429" s="153"/>
      <c r="AB429" s="153"/>
      <c r="AC429" s="153"/>
    </row>
    <row r="430">
      <c r="A430" s="152" t="s">
        <v>338</v>
      </c>
      <c r="B430" s="133" t="str">
        <f>IFERROR(__xludf.DUMMYFUNCTION("FILTER ('Research Papers'!D:D,'Research Papers'!A:A=C430)"),"Prism: Towards Lowering User Cognitive Load in LLMs via Complex Intent Understanding")</f>
        <v>Prism: Towards Lowering User Cognitive Load in LLMs via Complex Intent Understanding</v>
      </c>
      <c r="C430" s="133" t="s">
        <v>794</v>
      </c>
      <c r="D430" s="153" t="str">
        <f t="shared" si="1"/>
        <v>Prism: Towards Lowering User Cognitive Load in LLMs via Complex Intent Understanding
Zenghua Liao, Jinzhi Liao and Xiang Zhao
</v>
      </c>
      <c r="E430" s="153" t="str">
        <f>IFERROR(__xludf.DUMMYFUNCTION("TEXTJOIN(CHAR(10), TRUE,FILTER('Research Papers'!$C:$C,'Research Papers'!$A:$A=C430))"),"Zenghua Liao, Jinzhi Liao and Xiang Zhao")</f>
        <v>Zenghua Liao, Jinzhi Liao and Xiang Zhao</v>
      </c>
      <c r="F430" s="133" t="s">
        <v>221</v>
      </c>
      <c r="G430" s="133" t="s">
        <v>340</v>
      </c>
      <c r="H430" s="153"/>
      <c r="I430" s="120"/>
      <c r="J430" s="120"/>
      <c r="K430" s="153"/>
      <c r="L430" s="153"/>
      <c r="M430" s="153"/>
      <c r="N430" s="153"/>
      <c r="O430" s="153"/>
      <c r="P430" s="153"/>
      <c r="Q430" s="153"/>
      <c r="R430" s="153"/>
      <c r="S430" s="153"/>
      <c r="T430" s="153"/>
      <c r="U430" s="153"/>
      <c r="V430" s="153"/>
      <c r="W430" s="153"/>
      <c r="X430" s="153"/>
      <c r="Y430" s="153"/>
      <c r="Z430" s="153"/>
      <c r="AA430" s="153"/>
      <c r="AB430" s="153"/>
      <c r="AC430" s="153"/>
    </row>
    <row r="431">
      <c r="A431" s="152" t="s">
        <v>338</v>
      </c>
      <c r="B431" s="133" t="str">
        <f>IFERROR(__xludf.DUMMYFUNCTION("FILTER ('Research Papers'!D:D,'Research Papers'!A:A=C431)"),"TGSBM: Transformer-Guided Stochastic Block Model for Link Prediction")</f>
        <v>TGSBM: Transformer-Guided Stochastic Block Model for Link Prediction</v>
      </c>
      <c r="C431" s="133" t="s">
        <v>795</v>
      </c>
      <c r="D431" s="153" t="str">
        <f t="shared" si="1"/>
        <v>TGSBM: Transformer-Guided Stochastic Block Model for Link Prediction
Zhejian Yang, Songwei Zhao, Zilin Zhao and Hechang Chen
</v>
      </c>
      <c r="E431" s="153" t="str">
        <f>IFERROR(__xludf.DUMMYFUNCTION("TEXTJOIN(CHAR(10), TRUE,FILTER('Research Papers'!$C:$C,'Research Papers'!$A:$A=C431))"),"Zhejian Yang, Songwei Zhao, Zilin Zhao and Hechang Chen")</f>
        <v>Zhejian Yang, Songwei Zhao, Zilin Zhao and Hechang Chen</v>
      </c>
      <c r="F431" s="133" t="s">
        <v>221</v>
      </c>
      <c r="G431" s="133" t="s">
        <v>340</v>
      </c>
      <c r="H431" s="153"/>
      <c r="I431" s="120"/>
      <c r="J431" s="120"/>
      <c r="K431" s="153"/>
      <c r="L431" s="153"/>
      <c r="M431" s="153"/>
      <c r="N431" s="153"/>
      <c r="O431" s="153"/>
      <c r="P431" s="153"/>
      <c r="Q431" s="153"/>
      <c r="R431" s="153"/>
      <c r="S431" s="153"/>
      <c r="T431" s="153"/>
      <c r="U431" s="153"/>
      <c r="V431" s="153"/>
      <c r="W431" s="153"/>
      <c r="X431" s="153"/>
      <c r="Y431" s="153"/>
      <c r="Z431" s="153"/>
      <c r="AA431" s="153"/>
      <c r="AB431" s="153"/>
      <c r="AC431" s="153"/>
    </row>
    <row r="432">
      <c r="A432" s="152" t="s">
        <v>338</v>
      </c>
      <c r="B432" s="133" t="str">
        <f>IFERROR(__xludf.DUMMYFUNCTION("FILTER ('Research Papers'!D:D,'Research Papers'!A:A=C432)"),"LAPS: A Lightweight Privilege-Allocation Prompting Framework for Source Localization")</f>
        <v>LAPS: A Lightweight Privilege-Allocation Prompting Framework for Source Localization</v>
      </c>
      <c r="C432" s="133" t="s">
        <v>796</v>
      </c>
      <c r="D432" s="153" t="str">
        <f t="shared" si="1"/>
        <v>LAPS: A Lightweight Privilege-Allocation Prompting Framework for Source Localization
Hengrui Cui, Yang Fang, Yuehang Cao and Xiang Zhao
</v>
      </c>
      <c r="E432" s="153" t="str">
        <f>IFERROR(__xludf.DUMMYFUNCTION("TEXTJOIN(CHAR(10), TRUE,FILTER('Research Papers'!$C:$C,'Research Papers'!$A:$A=C432))"),"Hengrui Cui, Yang Fang, Yuehang Cao and Xiang Zhao")</f>
        <v>Hengrui Cui, Yang Fang, Yuehang Cao and Xiang Zhao</v>
      </c>
      <c r="F432" s="133" t="s">
        <v>221</v>
      </c>
      <c r="G432" s="133" t="s">
        <v>340</v>
      </c>
      <c r="H432" s="153"/>
      <c r="I432" s="120"/>
      <c r="J432" s="120"/>
      <c r="K432" s="153"/>
      <c r="L432" s="153"/>
      <c r="M432" s="153"/>
      <c r="N432" s="153"/>
      <c r="O432" s="153"/>
      <c r="P432" s="153"/>
      <c r="Q432" s="153"/>
      <c r="R432" s="153"/>
      <c r="S432" s="153"/>
      <c r="T432" s="153"/>
      <c r="U432" s="153"/>
      <c r="V432" s="153"/>
      <c r="W432" s="153"/>
      <c r="X432" s="153"/>
      <c r="Y432" s="153"/>
      <c r="Z432" s="153"/>
      <c r="AA432" s="153"/>
      <c r="AB432" s="153"/>
      <c r="AC432" s="153"/>
    </row>
    <row r="433">
      <c r="A433" s="152" t="s">
        <v>338</v>
      </c>
      <c r="B433" s="133" t="str">
        <f>IFERROR(__xludf.DUMMYFUNCTION("FILTER ('Research Papers'!D:D,'Research Papers'!A:A=C433)"),"Securing Your Place in the Review Network: A Dynamic Embeddedness-aware Graph Neural Network for Restaurant Survival Prediction")</f>
        <v>Securing Your Place in the Review Network: A Dynamic Embeddedness-aware Graph Neural Network for Restaurant Survival Prediction</v>
      </c>
      <c r="C433" s="133" t="s">
        <v>797</v>
      </c>
      <c r="D433" s="153" t="str">
        <f t="shared" si="1"/>
        <v>Securing Your Place in the Review Network: A Dynamic Embeddedness-aware Graph Neural Network for Restaurant Survival Prediction
Yilong Zang, Hengyun Li, Xinbo Yu and Liangfei Qiu
</v>
      </c>
      <c r="E433" s="153" t="str">
        <f>IFERROR(__xludf.DUMMYFUNCTION("TEXTJOIN(CHAR(10), TRUE,FILTER('Research Papers'!$C:$C,'Research Papers'!$A:$A=C433))"),"Yilong Zang, Hengyun Li, Xinbo Yu and Liangfei Qiu")</f>
        <v>Yilong Zang, Hengyun Li, Xinbo Yu and Liangfei Qiu</v>
      </c>
      <c r="F433" s="133" t="s">
        <v>221</v>
      </c>
      <c r="G433" s="133" t="s">
        <v>340</v>
      </c>
      <c r="H433" s="153"/>
      <c r="I433" s="120"/>
      <c r="J433" s="120"/>
      <c r="K433" s="153"/>
      <c r="L433" s="153"/>
      <c r="M433" s="153"/>
      <c r="N433" s="153"/>
      <c r="O433" s="153"/>
      <c r="P433" s="153"/>
      <c r="Q433" s="153"/>
      <c r="R433" s="153"/>
      <c r="S433" s="153"/>
      <c r="T433" s="153"/>
      <c r="U433" s="153"/>
      <c r="V433" s="153"/>
      <c r="W433" s="153"/>
      <c r="X433" s="153"/>
      <c r="Y433" s="153"/>
      <c r="Z433" s="153"/>
      <c r="AA433" s="153"/>
      <c r="AB433" s="153"/>
      <c r="AC433" s="153"/>
    </row>
    <row r="434">
      <c r="A434" s="152" t="s">
        <v>338</v>
      </c>
      <c r="B434" s="133" t="str">
        <f>IFERROR(__xludf.DUMMYFUNCTION("FILTER ('Research Papers'!D:D,'Research Papers'!A:A=C434)"),"Emergent Coordinated Behaviors in Networked LLM Agents: Modeling the Strategic Dynamics of Information Operations")</f>
        <v>Emergent Coordinated Behaviors in Networked LLM Agents: Modeling the Strategic Dynamics of Information Operations</v>
      </c>
      <c r="C434" s="133" t="s">
        <v>798</v>
      </c>
      <c r="D434" s="153" t="str">
        <f t="shared" si="1"/>
        <v>Emergent Coordinated Behaviors in Networked LLM Agents: Modeling the Strategic Dynamics of Information Operations
Gian Marco Orlando, Jinyi Ye, Valerio La Gatta, Mahdi
Saeedi, Vincenzo Moscato, Emilio Ferrara and Luca Luceri
</v>
      </c>
      <c r="E434" s="153" t="str">
        <f>IFERROR(__xludf.DUMMYFUNCTION("TEXTJOIN(CHAR(10), TRUE,FILTER('Research Papers'!$C:$C,'Research Papers'!$A:$A=C434))"),"Gian Marco Orlando, Jinyi Ye, Valerio La Gatta, Mahdi
Saeedi, Vincenzo Moscato, Emilio Ferrara and Luca Luceri")</f>
        <v>Gian Marco Orlando, Jinyi Ye, Valerio La Gatta, Mahdi
Saeedi, Vincenzo Moscato, Emilio Ferrara and Luca Luceri</v>
      </c>
      <c r="F434" s="133" t="s">
        <v>221</v>
      </c>
      <c r="G434" s="133" t="s">
        <v>341</v>
      </c>
      <c r="H434" s="153"/>
      <c r="I434" s="120"/>
      <c r="J434" s="120"/>
      <c r="K434" s="153"/>
      <c r="L434" s="153"/>
      <c r="M434" s="153"/>
      <c r="N434" s="153"/>
      <c r="O434" s="153"/>
      <c r="P434" s="153"/>
      <c r="Q434" s="153"/>
      <c r="R434" s="153"/>
      <c r="S434" s="153"/>
      <c r="T434" s="153"/>
      <c r="U434" s="153"/>
      <c r="V434" s="153"/>
      <c r="W434" s="153"/>
      <c r="X434" s="153"/>
      <c r="Y434" s="153"/>
      <c r="Z434" s="153"/>
      <c r="AA434" s="153"/>
      <c r="AB434" s="153"/>
      <c r="AC434" s="153"/>
    </row>
    <row r="435">
      <c r="A435" s="152" t="s">
        <v>338</v>
      </c>
      <c r="B435" s="133" t="str">
        <f>IFERROR(__xludf.DUMMYFUNCTION("FILTER ('Research Papers'!D:D,'Research Papers'!A:A=C435)"),"Fairness in Opinion-Formation Dynamics")</f>
        <v>Fairness in Opinion-Formation Dynamics</v>
      </c>
      <c r="C435" s="133" t="s">
        <v>799</v>
      </c>
      <c r="D435" s="153" t="str">
        <f t="shared" si="1"/>
        <v>Fairness in Opinion-Formation Dynamics
Nikos Theologis, Evaggelia Pitoura, Evimaria Terzi and
Panayiotis Tsaparas
</v>
      </c>
      <c r="E435" s="153" t="str">
        <f>IFERROR(__xludf.DUMMYFUNCTION("TEXTJOIN(CHAR(10), TRUE,FILTER('Research Papers'!$C:$C,'Research Papers'!$A:$A=C435))"),"Nikos Theologis, Evaggelia Pitoura, Evimaria Terzi and
Panayiotis Tsaparas")</f>
        <v>Nikos Theologis, Evaggelia Pitoura, Evimaria Terzi and
Panayiotis Tsaparas</v>
      </c>
      <c r="F435" s="133" t="s">
        <v>221</v>
      </c>
      <c r="G435" s="133" t="s">
        <v>341</v>
      </c>
      <c r="H435" s="153"/>
      <c r="I435" s="120"/>
      <c r="J435" s="120"/>
      <c r="K435" s="153"/>
      <c r="L435" s="153"/>
      <c r="M435" s="153"/>
      <c r="N435" s="153"/>
      <c r="O435" s="153"/>
      <c r="P435" s="153"/>
      <c r="Q435" s="153"/>
      <c r="R435" s="153"/>
      <c r="S435" s="153"/>
      <c r="T435" s="153"/>
      <c r="U435" s="153"/>
      <c r="V435" s="153"/>
      <c r="W435" s="153"/>
      <c r="X435" s="153"/>
      <c r="Y435" s="153"/>
      <c r="Z435" s="153"/>
      <c r="AA435" s="153"/>
      <c r="AB435" s="153"/>
      <c r="AC435" s="153"/>
    </row>
    <row r="436">
      <c r="A436" s="152" t="s">
        <v>338</v>
      </c>
      <c r="B436" s="133" t="str">
        <f>IFERROR(__xludf.DUMMYFUNCTION("FILTER ('Research Papers'!D:D,'Research Papers'!A:A=C436)"),"SoftHateBench: Evaluating Moderation Models Against Reasoning-Driven, Policy-Compliant Hostility")</f>
        <v>SoftHateBench: Evaluating Moderation Models Against Reasoning-Driven, Policy-Compliant Hostility</v>
      </c>
      <c r="C436" s="133" t="s">
        <v>800</v>
      </c>
      <c r="D436" s="153" t="str">
        <f t="shared" si="1"/>
        <v>SoftHateBench: Evaluating Moderation Models Against Reasoning-Driven, Policy-Compliant Hostility
Xuanyu Su, Diana Inkpen and Nathalie Japkowicz
</v>
      </c>
      <c r="E436" s="153" t="str">
        <f>IFERROR(__xludf.DUMMYFUNCTION("TEXTJOIN(CHAR(10), TRUE,FILTER('Research Papers'!$C:$C,'Research Papers'!$A:$A=C436))"),"Xuanyu Su, Diana Inkpen and Nathalie Japkowicz")</f>
        <v>Xuanyu Su, Diana Inkpen and Nathalie Japkowicz</v>
      </c>
      <c r="F436" s="133" t="s">
        <v>221</v>
      </c>
      <c r="G436" s="133" t="s">
        <v>341</v>
      </c>
      <c r="H436" s="153"/>
      <c r="I436" s="120"/>
      <c r="J436" s="120"/>
      <c r="K436" s="153"/>
      <c r="L436" s="153"/>
      <c r="M436" s="153"/>
      <c r="N436" s="153"/>
      <c r="O436" s="153"/>
      <c r="P436" s="153"/>
      <c r="Q436" s="153"/>
      <c r="R436" s="153"/>
      <c r="S436" s="153"/>
      <c r="T436" s="153"/>
      <c r="U436" s="153"/>
      <c r="V436" s="153"/>
      <c r="W436" s="153"/>
      <c r="X436" s="153"/>
      <c r="Y436" s="153"/>
      <c r="Z436" s="153"/>
      <c r="AA436" s="153"/>
      <c r="AB436" s="153"/>
      <c r="AC436" s="153"/>
    </row>
    <row r="437">
      <c r="A437" s="152" t="s">
        <v>338</v>
      </c>
      <c r="B437" s="133" t="str">
        <f>IFERROR(__xludf.DUMMYFUNCTION("FILTER ('Research Papers'!D:D,'Research Papers'!A:A=C437)"),"Relational Database Distillation: From Structured Tables to Condensed Graph Data")</f>
        <v>Relational Database Distillation: From Structured Tables to Condensed Graph Data</v>
      </c>
      <c r="C437" s="133" t="s">
        <v>801</v>
      </c>
      <c r="D437" s="153" t="str">
        <f t="shared" si="1"/>
        <v>Relational Database Distillation: From Structured Tables to Condensed Graph Data
Xinyi Gao, Jingxi Zhang, Lijian Chen, Tong Chen, Lizhen Cui
and Hongzhi Yin
</v>
      </c>
      <c r="E437" s="153" t="str">
        <f>IFERROR(__xludf.DUMMYFUNCTION("TEXTJOIN(CHAR(10), TRUE,FILTER('Research Papers'!$C:$C,'Research Papers'!$A:$A=C437))"),"Xinyi Gao, Jingxi Zhang, Lijian Chen, Tong Chen, Lizhen Cui
and Hongzhi Yin")</f>
        <v>Xinyi Gao, Jingxi Zhang, Lijian Chen, Tong Chen, Lizhen Cui
and Hongzhi Yin</v>
      </c>
      <c r="F437" s="133" t="s">
        <v>221</v>
      </c>
      <c r="G437" s="133" t="s">
        <v>341</v>
      </c>
      <c r="H437" s="153"/>
      <c r="I437" s="120"/>
      <c r="J437" s="120"/>
      <c r="K437" s="153"/>
      <c r="L437" s="153"/>
      <c r="M437" s="153"/>
      <c r="N437" s="153"/>
      <c r="O437" s="153"/>
      <c r="P437" s="153"/>
      <c r="Q437" s="153"/>
      <c r="R437" s="153"/>
      <c r="S437" s="153"/>
      <c r="T437" s="153"/>
      <c r="U437" s="153"/>
      <c r="V437" s="153"/>
      <c r="W437" s="153"/>
      <c r="X437" s="153"/>
      <c r="Y437" s="153"/>
      <c r="Z437" s="153"/>
      <c r="AA437" s="153"/>
      <c r="AB437" s="153"/>
      <c r="AC437" s="153"/>
    </row>
    <row r="438">
      <c r="A438" s="152" t="s">
        <v>338</v>
      </c>
      <c r="B438" s="133" t="str">
        <f>IFERROR(__xludf.DUMMYFUNCTION("FILTER ('Research Papers'!D:D,'Research Papers'!A:A=C438)"),"LLMs Killed Q&amp;A Stars? Analyzing the Impact of LLM-Generated Answers on an Online Q&amp;A Platform")</f>
        <v>LLMs Killed Q&amp;A Stars? Analyzing the Impact of LLM-Generated Answers on an Online Q&amp;A Platform</v>
      </c>
      <c r="C438" s="133" t="s">
        <v>802</v>
      </c>
      <c r="D438" s="153" t="str">
        <f t="shared" si="1"/>
        <v>LLMs Killed Q&amp;A Stars? Analyzing the Impact of LLM-Generated Answers on an Online Q&amp;A Platform
Dongwon Shin and Sooel Son
</v>
      </c>
      <c r="E438" s="153" t="str">
        <f>IFERROR(__xludf.DUMMYFUNCTION("TEXTJOIN(CHAR(10), TRUE,FILTER('Research Papers'!$C:$C,'Research Papers'!$A:$A=C438))"),"Dongwon Shin and Sooel Son")</f>
        <v>Dongwon Shin and Sooel Son</v>
      </c>
      <c r="F438" s="133" t="s">
        <v>221</v>
      </c>
      <c r="G438" s="133" t="s">
        <v>341</v>
      </c>
      <c r="H438" s="153"/>
      <c r="I438" s="120"/>
      <c r="J438" s="120"/>
      <c r="K438" s="153"/>
      <c r="L438" s="153"/>
      <c r="M438" s="153"/>
      <c r="N438" s="153"/>
      <c r="O438" s="153"/>
      <c r="P438" s="153"/>
      <c r="Q438" s="153"/>
      <c r="R438" s="153"/>
      <c r="S438" s="153"/>
      <c r="T438" s="153"/>
      <c r="U438" s="153"/>
      <c r="V438" s="153"/>
      <c r="W438" s="153"/>
      <c r="X438" s="153"/>
      <c r="Y438" s="153"/>
      <c r="Z438" s="153"/>
      <c r="AA438" s="153"/>
      <c r="AB438" s="153"/>
      <c r="AC438" s="153"/>
    </row>
    <row r="439">
      <c r="A439" s="153"/>
      <c r="B439" s="153"/>
      <c r="C439" s="153"/>
      <c r="D439" s="153" t="str">
        <f t="shared" si="1"/>
        <v>
</v>
      </c>
      <c r="E439" s="153" t="str">
        <f>IFERROR(__xludf.DUMMYFUNCTION("TEXTJOIN(CHAR(10), TRUE,FILTER('Research Papers'!$C:$C,'Research Papers'!$A:$A=C439))"),"")</f>
        <v/>
      </c>
      <c r="F439" s="153"/>
      <c r="G439" s="153"/>
      <c r="H439" s="153"/>
      <c r="I439" s="120"/>
      <c r="J439" s="120"/>
      <c r="K439" s="153"/>
      <c r="L439" s="153"/>
      <c r="M439" s="153"/>
      <c r="N439" s="153"/>
      <c r="O439" s="153"/>
      <c r="P439" s="153"/>
      <c r="Q439" s="153"/>
      <c r="R439" s="153"/>
      <c r="S439" s="153"/>
      <c r="T439" s="153"/>
      <c r="U439" s="153"/>
      <c r="V439" s="153"/>
      <c r="W439" s="153"/>
      <c r="X439" s="153"/>
      <c r="Y439" s="153"/>
      <c r="Z439" s="153"/>
      <c r="AA439" s="153"/>
      <c r="AB439" s="153"/>
      <c r="AC439" s="153"/>
    </row>
    <row r="440">
      <c r="A440" s="152" t="s">
        <v>342</v>
      </c>
      <c r="B440" s="133" t="str">
        <f>IFERROR(__xludf.DUMMYFUNCTION("FILTER ('Research Papers'!D:D,'Research Papers'!A:A=C440)"),"FedBridge: Accelerating Edge-Assisted Federated Learning for Model-Heterogeneous Clients")</f>
        <v>FedBridge: Accelerating Edge-Assisted Federated Learning for Model-Heterogeneous Clients</v>
      </c>
      <c r="C440" s="133" t="s">
        <v>803</v>
      </c>
      <c r="D440" s="153" t="str">
        <f t="shared" si="1"/>
        <v>FedBridge: Accelerating Edge-Assisted Federated Learning for Model-Heterogeneous Clients
Kaibin Wang, Qiang He, Zeqian Dong, Ziteng Wei, Caslon
Chua, Feifei Chen, Hai Jin and Yun Yang
</v>
      </c>
      <c r="E440" s="153" t="str">
        <f>IFERROR(__xludf.DUMMYFUNCTION("TEXTJOIN(CHAR(10), TRUE,FILTER('Research Papers'!$C:$C,'Research Papers'!$A:$A=C440))"),"Kaibin Wang, Qiang He, Zeqian Dong, Ziteng Wei, Caslon
Chua, Feifei Chen, Hai Jin and Yun Yang")</f>
        <v>Kaibin Wang, Qiang He, Zeqian Dong, Ziteng Wei, Caslon
Chua, Feifei Chen, Hai Jin and Yun Yang</v>
      </c>
      <c r="F440" s="133" t="s">
        <v>79</v>
      </c>
      <c r="G440" s="153"/>
      <c r="H440" s="153"/>
      <c r="I440" s="120"/>
      <c r="J440" s="120"/>
      <c r="K440" s="153"/>
      <c r="L440" s="153"/>
      <c r="M440" s="153"/>
      <c r="N440" s="153"/>
      <c r="O440" s="153"/>
      <c r="P440" s="153"/>
      <c r="Q440" s="153"/>
      <c r="R440" s="153"/>
      <c r="S440" s="153"/>
      <c r="T440" s="153"/>
      <c r="U440" s="153"/>
      <c r="V440" s="153"/>
      <c r="W440" s="153"/>
      <c r="X440" s="153"/>
      <c r="Y440" s="153"/>
      <c r="Z440" s="153"/>
      <c r="AA440" s="153"/>
      <c r="AB440" s="153"/>
      <c r="AC440" s="153"/>
    </row>
    <row r="441">
      <c r="A441" s="152" t="s">
        <v>342</v>
      </c>
      <c r="B441" s="133" t="str">
        <f>IFERROR(__xludf.DUMMYFUNCTION("FILTER ('Research Papers'!D:D,'Research Papers'!A:A=C441)"),"WinFLoRA: Incentivizing Client-Adaptive Aggregation in Federated LoRA under Privacy Heterogeneity")</f>
        <v>WinFLoRA: Incentivizing Client-Adaptive Aggregation in Federated LoRA under Privacy Heterogeneity</v>
      </c>
      <c r="C441" s="133" t="s">
        <v>804</v>
      </c>
      <c r="D441" s="153" t="str">
        <f t="shared" si="1"/>
        <v>WinFLoRA: Incentivizing Client-Adaptive Aggregation in Federated LoRA under Privacy Heterogeneity
Mengsha Kou, Xiaoyu Xia, Ziqi Wang, Ibrahim Khalil, Ruikun
Luo, Jingwen Zhou and Minhui Xue
</v>
      </c>
      <c r="E441" s="153" t="str">
        <f>IFERROR(__xludf.DUMMYFUNCTION("TEXTJOIN(CHAR(10), TRUE,FILTER('Research Papers'!$C:$C,'Research Papers'!$A:$A=C441))"),"Mengsha Kou, Xiaoyu Xia, Ziqi Wang, Ibrahim Khalil, Ruikun
Luo, Jingwen Zhou and Minhui Xue")</f>
        <v>Mengsha Kou, Xiaoyu Xia, Ziqi Wang, Ibrahim Khalil, Ruikun
Luo, Jingwen Zhou and Minhui Xue</v>
      </c>
      <c r="F441" s="133" t="s">
        <v>79</v>
      </c>
      <c r="G441" s="153"/>
      <c r="H441" s="153"/>
      <c r="I441" s="120"/>
      <c r="J441" s="120"/>
      <c r="K441" s="153"/>
      <c r="L441" s="153"/>
      <c r="M441" s="153"/>
      <c r="N441" s="153"/>
      <c r="O441" s="153"/>
      <c r="P441" s="153"/>
      <c r="Q441" s="153"/>
      <c r="R441" s="153"/>
      <c r="S441" s="153"/>
      <c r="T441" s="153"/>
      <c r="U441" s="153"/>
      <c r="V441" s="153"/>
      <c r="W441" s="153"/>
      <c r="X441" s="153"/>
      <c r="Y441" s="153"/>
      <c r="Z441" s="153"/>
      <c r="AA441" s="153"/>
      <c r="AB441" s="153"/>
      <c r="AC441" s="153"/>
    </row>
    <row r="442">
      <c r="A442" s="152" t="s">
        <v>342</v>
      </c>
      <c r="B442" s="133" t="str">
        <f>IFERROR(__xludf.DUMMYFUNCTION("FILTER ('Research Papers'!D:D,'Research Papers'!A:A=C442)"),"Beyond Class Boundaries: Federated Visual Primitive Sharing with Text-Guided Adaptation")</f>
        <v>Beyond Class Boundaries: Federated Visual Primitive Sharing with Text-Guided Adaptation</v>
      </c>
      <c r="C442" s="133" t="s">
        <v>805</v>
      </c>
      <c r="D442" s="153" t="str">
        <f t="shared" si="1"/>
        <v>Beyond Class Boundaries: Federated Visual Primitive Sharing with Text-Guided Adaptation
Yongqiang Huang, Yingyu Chen, Tao Wang, Zexin Lu, Zerui
Shao, Beibei Li and Yi Zhang
</v>
      </c>
      <c r="E442" s="153" t="str">
        <f>IFERROR(__xludf.DUMMYFUNCTION("TEXTJOIN(CHAR(10), TRUE,FILTER('Research Papers'!$C:$C,'Research Papers'!$A:$A=C442))"),"Yongqiang Huang, Yingyu Chen, Tao Wang, Zexin Lu, Zerui
Shao, Beibei Li and Yi Zhang")</f>
        <v>Yongqiang Huang, Yingyu Chen, Tao Wang, Zexin Lu, Zerui
Shao, Beibei Li and Yi Zhang</v>
      </c>
      <c r="F442" s="133" t="s">
        <v>79</v>
      </c>
      <c r="G442" s="153"/>
      <c r="H442" s="153"/>
      <c r="I442" s="120"/>
      <c r="J442" s="120"/>
      <c r="K442" s="153"/>
      <c r="L442" s="153"/>
      <c r="M442" s="153"/>
      <c r="N442" s="153"/>
      <c r="O442" s="153"/>
      <c r="P442" s="153"/>
      <c r="Q442" s="153"/>
      <c r="R442" s="153"/>
      <c r="S442" s="153"/>
      <c r="T442" s="153"/>
      <c r="U442" s="153"/>
      <c r="V442" s="153"/>
      <c r="W442" s="153"/>
      <c r="X442" s="153"/>
      <c r="Y442" s="153"/>
      <c r="Z442" s="153"/>
      <c r="AA442" s="153"/>
      <c r="AB442" s="153"/>
      <c r="AC442" s="153"/>
    </row>
    <row r="443">
      <c r="A443" s="152" t="s">
        <v>342</v>
      </c>
      <c r="B443" s="133" t="str">
        <f>IFERROR(__xludf.DUMMYFUNCTION("FILTER ('Research Papers'!D:D,'Research Papers'!A:A=C443)"),"CoLOR-DP: Conjugate Low-Rank Differential Privacy for Structure-Aware LoRA Fine-Tuning")</f>
        <v>CoLOR-DP: Conjugate Low-Rank Differential Privacy for Structure-Aware LoRA Fine-Tuning</v>
      </c>
      <c r="C443" s="133" t="s">
        <v>806</v>
      </c>
      <c r="D443" s="153" t="str">
        <f t="shared" si="1"/>
        <v>CoLOR-DP: Conjugate Low-Rank Differential Privacy for Structure-Aware LoRA Fine-Tuning
Kai Zhang, Yuxuan Xu, Wenxiang Lin, Chaoqun Hong, Pei-Wei
Tsai, Xin Yuan and Minhui Xue
</v>
      </c>
      <c r="E443" s="153" t="str">
        <f>IFERROR(__xludf.DUMMYFUNCTION("TEXTJOIN(CHAR(10), TRUE,FILTER('Research Papers'!$C:$C,'Research Papers'!$A:$A=C443))"),"Kai Zhang, Yuxuan Xu, Wenxiang Lin, Chaoqun Hong, Pei-Wei
Tsai, Xin Yuan and Minhui Xue")</f>
        <v>Kai Zhang, Yuxuan Xu, Wenxiang Lin, Chaoqun Hong, Pei-Wei
Tsai, Xin Yuan and Minhui Xue</v>
      </c>
      <c r="F443" s="133" t="s">
        <v>79</v>
      </c>
      <c r="G443" s="153"/>
      <c r="H443" s="153"/>
      <c r="I443" s="120"/>
      <c r="J443" s="120"/>
      <c r="K443" s="153"/>
      <c r="L443" s="153"/>
      <c r="M443" s="153"/>
      <c r="N443" s="153"/>
      <c r="O443" s="153"/>
      <c r="P443" s="153"/>
      <c r="Q443" s="153"/>
      <c r="R443" s="153"/>
      <c r="S443" s="153"/>
      <c r="T443" s="153"/>
      <c r="U443" s="153"/>
      <c r="V443" s="153"/>
      <c r="W443" s="153"/>
      <c r="X443" s="153"/>
      <c r="Y443" s="153"/>
      <c r="Z443" s="153"/>
      <c r="AA443" s="153"/>
      <c r="AB443" s="153"/>
      <c r="AC443" s="153"/>
    </row>
    <row r="444">
      <c r="A444" s="152" t="s">
        <v>342</v>
      </c>
      <c r="B444" s="133" t="str">
        <f>IFERROR(__xludf.DUMMYFUNCTION("FILTER ('Research Papers'!D:D,'Research Papers'!A:A=C444)"),"CA-PFL: Client-adaptive Parameter-efficient Fine-tuning for Personalized Federated Learning")</f>
        <v>CA-PFL: Client-adaptive Parameter-efficient Fine-tuning for Personalized Federated Learning</v>
      </c>
      <c r="C444" s="133" t="s">
        <v>807</v>
      </c>
      <c r="D444" s="153" t="str">
        <f t="shared" si="1"/>
        <v>CA-PFL: Client-adaptive Parameter-efficient Fine-tuning for Personalized Federated Learning
Daixin Song, Hui Cai, Haojie Zhang, Biyun Sheng, Jian Zhou,
Mang Ye and Fu Xiao
</v>
      </c>
      <c r="E444" s="153" t="str">
        <f>IFERROR(__xludf.DUMMYFUNCTION("TEXTJOIN(CHAR(10), TRUE,FILTER('Research Papers'!$C:$C,'Research Papers'!$A:$A=C444))"),"Daixin Song, Hui Cai, Haojie Zhang, Biyun Sheng, Jian Zhou,
Mang Ye and Fu Xiao")</f>
        <v>Daixin Song, Hui Cai, Haojie Zhang, Biyun Sheng, Jian Zhou,
Mang Ye and Fu Xiao</v>
      </c>
      <c r="F444" s="133" t="s">
        <v>79</v>
      </c>
      <c r="G444" s="153"/>
      <c r="H444" s="153"/>
      <c r="I444" s="120"/>
      <c r="J444" s="120"/>
      <c r="K444" s="153"/>
      <c r="L444" s="153"/>
      <c r="M444" s="153"/>
      <c r="N444" s="153"/>
      <c r="O444" s="153"/>
      <c r="P444" s="153"/>
      <c r="Q444" s="153"/>
      <c r="R444" s="153"/>
      <c r="S444" s="153"/>
      <c r="T444" s="153"/>
      <c r="U444" s="153"/>
      <c r="V444" s="153"/>
      <c r="W444" s="153"/>
      <c r="X444" s="153"/>
      <c r="Y444" s="153"/>
      <c r="Z444" s="153"/>
      <c r="AA444" s="153"/>
      <c r="AB444" s="153"/>
      <c r="AC444" s="153"/>
    </row>
    <row r="445">
      <c r="A445" s="152" t="s">
        <v>342</v>
      </c>
      <c r="B445" s="133" t="str">
        <f>IFERROR(__xludf.DUMMYFUNCTION("FILTER ('Research Papers'!D:D,'Research Papers'!A:A=C445)"),"FedSRD: Sparsify-Reconstruct-Decompose for Communication-Efficient Federated Large Language Models Fine-Tuning")</f>
        <v>FedSRD: Sparsify-Reconstruct-Decompose for Communication-Efficient Federated Large Language Models Fine-Tuning</v>
      </c>
      <c r="C445" s="133" t="s">
        <v>808</v>
      </c>
      <c r="D445" s="153" t="str">
        <f t="shared" si="1"/>
        <v>FedSRD: Sparsify-Reconstruct-Decompose for Communication-Efficient Federated Large Language Models Fine-Tuning
Guochen Yan, Luyuan Xie, Qingni Shen, Yuejian Fang and
Zhonghai Wu
</v>
      </c>
      <c r="E445" s="153" t="str">
        <f>IFERROR(__xludf.DUMMYFUNCTION("TEXTJOIN(CHAR(10), TRUE,FILTER('Research Papers'!$C:$C,'Research Papers'!$A:$A=C445))"),"Guochen Yan, Luyuan Xie, Qingni Shen, Yuejian Fang and
Zhonghai Wu")</f>
        <v>Guochen Yan, Luyuan Xie, Qingni Shen, Yuejian Fang and
Zhonghai Wu</v>
      </c>
      <c r="F445" s="133" t="s">
        <v>100</v>
      </c>
      <c r="G445" s="153"/>
      <c r="H445" s="153"/>
      <c r="I445" s="120"/>
      <c r="J445" s="120"/>
      <c r="K445" s="153"/>
      <c r="L445" s="153"/>
      <c r="M445" s="153"/>
      <c r="N445" s="153"/>
      <c r="O445" s="153"/>
      <c r="P445" s="153"/>
      <c r="Q445" s="153"/>
      <c r="R445" s="153"/>
      <c r="S445" s="153"/>
      <c r="T445" s="153"/>
      <c r="U445" s="153"/>
      <c r="V445" s="153"/>
      <c r="W445" s="153"/>
      <c r="X445" s="153"/>
      <c r="Y445" s="153"/>
      <c r="Z445" s="153"/>
      <c r="AA445" s="153"/>
      <c r="AB445" s="153"/>
      <c r="AC445" s="153"/>
    </row>
    <row r="446">
      <c r="A446" s="152" t="s">
        <v>342</v>
      </c>
      <c r="B446" s="133" t="str">
        <f>IFERROR(__xludf.DUMMYFUNCTION("FILTER ('Research Papers'!D:D,'Research Papers'!A:A=C446)"),"Personalized Federated Fine-Tuning for LLMs via Data-Driven Heterogeneous Model Architectures")</f>
        <v>Personalized Federated Fine-Tuning for LLMs via Data-Driven Heterogeneous Model Architectures</v>
      </c>
      <c r="C446" s="133" t="s">
        <v>809</v>
      </c>
      <c r="D446" s="153" t="str">
        <f t="shared" si="1"/>
        <v>Personalized Federated Fine-Tuning for LLMs via Data-Driven Heterogeneous Model Architectures
Yicheng Zhang, Zhen Qin, Zhaomin Wu, Jian Hou and Shuiguang
Deng
</v>
      </c>
      <c r="E446" s="153" t="str">
        <f>IFERROR(__xludf.DUMMYFUNCTION("TEXTJOIN(CHAR(10), TRUE,FILTER('Research Papers'!$C:$C,'Research Papers'!$A:$A=C446))"),"Yicheng Zhang, Zhen Qin, Zhaomin Wu, Jian Hou and Shuiguang
Deng")</f>
        <v>Yicheng Zhang, Zhen Qin, Zhaomin Wu, Jian Hou and Shuiguang
Deng</v>
      </c>
      <c r="F446" s="133" t="s">
        <v>100</v>
      </c>
      <c r="G446" s="153"/>
      <c r="H446" s="153"/>
      <c r="I446" s="120"/>
      <c r="J446" s="120"/>
      <c r="K446" s="153"/>
      <c r="L446" s="153"/>
      <c r="M446" s="153"/>
      <c r="N446" s="153"/>
      <c r="O446" s="153"/>
      <c r="P446" s="153"/>
      <c r="Q446" s="153"/>
      <c r="R446" s="153"/>
      <c r="S446" s="153"/>
      <c r="T446" s="153"/>
      <c r="U446" s="153"/>
      <c r="V446" s="153"/>
      <c r="W446" s="153"/>
      <c r="X446" s="153"/>
      <c r="Y446" s="153"/>
      <c r="Z446" s="153"/>
      <c r="AA446" s="153"/>
      <c r="AB446" s="153"/>
      <c r="AC446" s="153"/>
    </row>
    <row r="447">
      <c r="A447" s="152" t="s">
        <v>342</v>
      </c>
      <c r="B447" s="133" t="str">
        <f>IFERROR(__xludf.DUMMYFUNCTION("FILTER ('Research Papers'!D:D,'Research Papers'!A:A=C447)"),"EcoTune: Edge-Cloud Collaborative Model Adaptation for Budget-Constrained On-Device SLM Personalization")</f>
        <v>EcoTune: Edge-Cloud Collaborative Model Adaptation for Budget-Constrained On-Device SLM Personalization</v>
      </c>
      <c r="C447" s="133" t="s">
        <v>810</v>
      </c>
      <c r="D447" s="153" t="str">
        <f t="shared" si="1"/>
        <v>EcoTune: Edge-Cloud Collaborative Model Adaptation for Budget-Constrained On-Device SLM Personalization
Gong Chen, Mingkai Lin, Xiaobin Hong, Wenzhong Li and
Sanglu Lu
</v>
      </c>
      <c r="E447" s="153" t="str">
        <f>IFERROR(__xludf.DUMMYFUNCTION("TEXTJOIN(CHAR(10), TRUE,FILTER('Research Papers'!$C:$C,'Research Papers'!$A:$A=C447))"),"Gong Chen, Mingkai Lin, Xiaobin Hong, Wenzhong Li and
Sanglu Lu")</f>
        <v>Gong Chen, Mingkai Lin, Xiaobin Hong, Wenzhong Li and
Sanglu Lu</v>
      </c>
      <c r="F447" s="133" t="s">
        <v>100</v>
      </c>
      <c r="G447" s="153"/>
      <c r="H447" s="153"/>
      <c r="I447" s="120"/>
      <c r="J447" s="120"/>
      <c r="K447" s="153"/>
      <c r="L447" s="153"/>
      <c r="M447" s="153"/>
      <c r="N447" s="153"/>
      <c r="O447" s="153"/>
      <c r="P447" s="153"/>
      <c r="Q447" s="153"/>
      <c r="R447" s="153"/>
      <c r="S447" s="153"/>
      <c r="T447" s="153"/>
      <c r="U447" s="153"/>
      <c r="V447" s="153"/>
      <c r="W447" s="153"/>
      <c r="X447" s="153"/>
      <c r="Y447" s="153"/>
      <c r="Z447" s="153"/>
      <c r="AA447" s="153"/>
      <c r="AB447" s="153"/>
      <c r="AC447" s="153"/>
    </row>
    <row r="448">
      <c r="A448" s="152" t="s">
        <v>342</v>
      </c>
      <c r="B448" s="133" t="str">
        <f>IFERROR(__xludf.DUMMYFUNCTION("FILTER ('Research Papers'!D:D,'Research Papers'!A:A=C448)"),"FedDiG: Frequency-Guided Diffusion Diversity for Generalizable Federated Time Series Classification")</f>
        <v>FedDiG: Frequency-Guided Diffusion Diversity for Generalizable Federated Time Series Classification</v>
      </c>
      <c r="C448" s="133" t="s">
        <v>811</v>
      </c>
      <c r="D448" s="153" t="str">
        <f t="shared" si="1"/>
        <v>FedDiG: Frequency-Guided Diffusion Diversity for Generalizable Federated Time Series Classification
Haoran Shi, Junru Zhang, Cheng Peng, Xiaoli Tang, Longtao
Huang and Han Yu
</v>
      </c>
      <c r="E448" s="153" t="str">
        <f>IFERROR(__xludf.DUMMYFUNCTION("TEXTJOIN(CHAR(10), TRUE,FILTER('Research Papers'!$C:$C,'Research Papers'!$A:$A=C448))"),"Haoran Shi, Junru Zhang, Cheng Peng, Xiaoli Tang, Longtao
Huang and Han Yu")</f>
        <v>Haoran Shi, Junru Zhang, Cheng Peng, Xiaoli Tang, Longtao
Huang and Han Yu</v>
      </c>
      <c r="F448" s="133" t="s">
        <v>100</v>
      </c>
      <c r="G448" s="153"/>
      <c r="H448" s="153"/>
      <c r="I448" s="120"/>
      <c r="J448" s="120"/>
      <c r="K448" s="153"/>
      <c r="L448" s="153"/>
      <c r="M448" s="153"/>
      <c r="N448" s="153"/>
      <c r="O448" s="153"/>
      <c r="P448" s="153"/>
      <c r="Q448" s="153"/>
      <c r="R448" s="153"/>
      <c r="S448" s="153"/>
      <c r="T448" s="153"/>
      <c r="U448" s="153"/>
      <c r="V448" s="153"/>
      <c r="W448" s="153"/>
      <c r="X448" s="153"/>
      <c r="Y448" s="153"/>
      <c r="Z448" s="153"/>
      <c r="AA448" s="153"/>
      <c r="AB448" s="153"/>
      <c r="AC448" s="153"/>
    </row>
    <row r="449">
      <c r="A449" s="152" t="s">
        <v>342</v>
      </c>
      <c r="B449" s="133" t="str">
        <f>IFERROR(__xludf.DUMMYFUNCTION("FILTER ('Research Papers'!D:D,'Research Papers'!A:A=C449)"),"FedAKD: Federated Adaptive Knowledge Distillation via Global Knowledge Calibration and Decoupling")</f>
        <v>FedAKD: Federated Adaptive Knowledge Distillation via Global Knowledge Calibration and Decoupling</v>
      </c>
      <c r="C449" s="133" t="s">
        <v>812</v>
      </c>
      <c r="D449" s="153" t="str">
        <f t="shared" si="1"/>
        <v>FedAKD: Federated Adaptive Knowledge Distillation via Global Knowledge Calibration and Decoupling
Yingchao Wang, Wenqi Niu and Hanpo Hou
</v>
      </c>
      <c r="E449" s="153" t="str">
        <f>IFERROR(__xludf.DUMMYFUNCTION("TEXTJOIN(CHAR(10), TRUE,FILTER('Research Papers'!$C:$C,'Research Papers'!$A:$A=C449))"),"Yingchao Wang, Wenqi Niu and Hanpo Hou")</f>
        <v>Yingchao Wang, Wenqi Niu and Hanpo Hou</v>
      </c>
      <c r="F449" s="133" t="s">
        <v>100</v>
      </c>
      <c r="G449" s="153"/>
      <c r="H449" s="153"/>
      <c r="I449" s="120"/>
      <c r="J449" s="120"/>
      <c r="K449" s="153"/>
      <c r="L449" s="153"/>
      <c r="M449" s="153"/>
      <c r="N449" s="153"/>
      <c r="O449" s="153"/>
      <c r="P449" s="153"/>
      <c r="Q449" s="153"/>
      <c r="R449" s="153"/>
      <c r="S449" s="153"/>
      <c r="T449" s="153"/>
      <c r="U449" s="153"/>
      <c r="V449" s="153"/>
      <c r="W449" s="153"/>
      <c r="X449" s="153"/>
      <c r="Y449" s="153"/>
      <c r="Z449" s="153"/>
      <c r="AA449" s="153"/>
      <c r="AB449" s="153"/>
      <c r="AC449" s="153"/>
    </row>
    <row r="450">
      <c r="A450" s="152" t="s">
        <v>342</v>
      </c>
      <c r="B450" s="133" t="str">
        <f>IFERROR(__xludf.DUMMYFUNCTION("FILTER ('Research Papers'!D:D,'Research Papers'!A:A=C450)"),"Wiseswap: Elastic Datacenter Network-Aware Disaggregated Memory for Multi-Tenant Cloud")</f>
        <v>Wiseswap: Elastic Datacenter Network-Aware Disaggregated Memory for Multi-Tenant Cloud</v>
      </c>
      <c r="C450" s="133" t="s">
        <v>813</v>
      </c>
      <c r="D450" s="153" t="str">
        <f t="shared" si="1"/>
        <v>Wiseswap: Elastic Datacenter Network-Aware Disaggregated Memory for Multi-Tenant Cloud
Mingxuan Liu, Jianhua Gu, Tianhai Zhao and Dong Sun
</v>
      </c>
      <c r="E450" s="153" t="str">
        <f>IFERROR(__xludf.DUMMYFUNCTION("TEXTJOIN(CHAR(10), TRUE,FILTER('Research Papers'!$C:$C,'Research Papers'!$A:$A=C450))"),"Mingxuan Liu, Jianhua Gu, Tianhai Zhao and Dong Sun")</f>
        <v>Mingxuan Liu, Jianhua Gu, Tianhai Zhao and Dong Sun</v>
      </c>
      <c r="F450" s="133" t="s">
        <v>132</v>
      </c>
      <c r="G450" s="153"/>
      <c r="H450" s="153"/>
      <c r="I450" s="120"/>
      <c r="J450" s="120"/>
      <c r="K450" s="153"/>
      <c r="L450" s="153"/>
      <c r="M450" s="153"/>
      <c r="N450" s="153"/>
      <c r="O450" s="153"/>
      <c r="P450" s="153"/>
      <c r="Q450" s="153"/>
      <c r="R450" s="153"/>
      <c r="S450" s="153"/>
      <c r="T450" s="153"/>
      <c r="U450" s="153"/>
      <c r="V450" s="153"/>
      <c r="W450" s="153"/>
      <c r="X450" s="153"/>
      <c r="Y450" s="153"/>
      <c r="Z450" s="153"/>
      <c r="AA450" s="153"/>
      <c r="AB450" s="153"/>
      <c r="AC450" s="153"/>
    </row>
    <row r="451">
      <c r="A451" s="152" t="s">
        <v>342</v>
      </c>
      <c r="B451" s="133" t="str">
        <f>IFERROR(__xludf.DUMMYFUNCTION("FILTER ('Research Papers'!D:D,'Research Papers'!A:A=C451)"),"LaTune: Lightweight and Adaptive Configuration Tuning for LLM Inference on Edge Devices")</f>
        <v>LaTune: Lightweight and Adaptive Configuration Tuning for LLM Inference on Edge Devices</v>
      </c>
      <c r="C451" s="133" t="s">
        <v>814</v>
      </c>
      <c r="D451" s="153" t="str">
        <f t="shared" si="1"/>
        <v>LaTune: Lightweight and Adaptive Configuration Tuning for LLM Inference on Edge Devices
Siqi Zhong, Mugeng Liu, Haiyang Shen, Chongyang Pan and Yun
Ma
</v>
      </c>
      <c r="E451" s="153" t="str">
        <f>IFERROR(__xludf.DUMMYFUNCTION("TEXTJOIN(CHAR(10), TRUE,FILTER('Research Papers'!$C:$C,'Research Papers'!$A:$A=C451))"),"Siqi Zhong, Mugeng Liu, Haiyang Shen, Chongyang Pan and Yun
Ma")</f>
        <v>Siqi Zhong, Mugeng Liu, Haiyang Shen, Chongyang Pan and Yun
Ma</v>
      </c>
      <c r="F451" s="133" t="s">
        <v>132</v>
      </c>
      <c r="G451" s="153"/>
      <c r="H451" s="153"/>
      <c r="I451" s="120"/>
      <c r="J451" s="120"/>
      <c r="K451" s="153"/>
      <c r="L451" s="153"/>
      <c r="M451" s="153"/>
      <c r="N451" s="153"/>
      <c r="O451" s="153"/>
      <c r="P451" s="153"/>
      <c r="Q451" s="153"/>
      <c r="R451" s="153"/>
      <c r="S451" s="153"/>
      <c r="T451" s="153"/>
      <c r="U451" s="153"/>
      <c r="V451" s="153"/>
      <c r="W451" s="153"/>
      <c r="X451" s="153"/>
      <c r="Y451" s="153"/>
      <c r="Z451" s="153"/>
      <c r="AA451" s="153"/>
      <c r="AB451" s="153"/>
      <c r="AC451" s="153"/>
    </row>
    <row r="452">
      <c r="A452" s="152" t="s">
        <v>342</v>
      </c>
      <c r="B452" s="133" t="str">
        <f>IFERROR(__xludf.DUMMYFUNCTION("FILTER ('Research Papers'!D:D,'Research Papers'!A:A=C452)"),"EdgeGen: Efficient LLM-Empowered Model Generation with Quantization-Aware NAS")</f>
        <v>EdgeGen: Efficient LLM-Empowered Model Generation with Quantization-Aware NAS</v>
      </c>
      <c r="C452" s="133" t="s">
        <v>815</v>
      </c>
      <c r="D452" s="153" t="str">
        <f t="shared" si="1"/>
        <v>EdgeGen: Efficient LLM-Empowered Model Generation with Quantization-Aware NAS
Yingqi Peng, Wenhao Zhou, Kaijie Gong, Yang Liu, Yi Gao and
Wei Dong
</v>
      </c>
      <c r="E452" s="153" t="str">
        <f>IFERROR(__xludf.DUMMYFUNCTION("TEXTJOIN(CHAR(10), TRUE,FILTER('Research Papers'!$C:$C,'Research Papers'!$A:$A=C452))"),"Yingqi Peng, Wenhao Zhou, Kaijie Gong, Yang Liu, Yi Gao and
Wei Dong")</f>
        <v>Yingqi Peng, Wenhao Zhou, Kaijie Gong, Yang Liu, Yi Gao and
Wei Dong</v>
      </c>
      <c r="F452" s="133" t="s">
        <v>132</v>
      </c>
      <c r="G452" s="153"/>
      <c r="H452" s="153"/>
      <c r="I452" s="120"/>
      <c r="J452" s="120"/>
      <c r="K452" s="153"/>
      <c r="L452" s="153"/>
      <c r="M452" s="153"/>
      <c r="N452" s="153"/>
      <c r="O452" s="153"/>
      <c r="P452" s="153"/>
      <c r="Q452" s="153"/>
      <c r="R452" s="153"/>
      <c r="S452" s="153"/>
      <c r="T452" s="153"/>
      <c r="U452" s="153"/>
      <c r="V452" s="153"/>
      <c r="W452" s="153"/>
      <c r="X452" s="153"/>
      <c r="Y452" s="153"/>
      <c r="Z452" s="153"/>
      <c r="AA452" s="153"/>
      <c r="AB452" s="153"/>
      <c r="AC452" s="153"/>
    </row>
    <row r="453">
      <c r="A453" s="152" t="s">
        <v>342</v>
      </c>
      <c r="B453" s="133" t="str">
        <f>IFERROR(__xludf.DUMMYFUNCTION("FILTER ('Research Papers'!D:D,'Research Papers'!A:A=C453)"),"BeeQoS: A Cloud-Native QoS System for Adaptive and Scalable Multi-Priority Bandwidth Guarantees")</f>
        <v>BeeQoS: A Cloud-Native QoS System for Adaptive and Scalable Multi-Priority Bandwidth Guarantees</v>
      </c>
      <c r="C453" s="133" t="s">
        <v>816</v>
      </c>
      <c r="D453" s="153" t="str">
        <f t="shared" si="1"/>
        <v>BeeQoS: A Cloud-Native QoS System for Adaptive and Scalable Multi-Priority Bandwidth Guarantees
Jinyao Liu, Si Wu, Haoyuan Ma, Chaoqun Li, Hongjing Yu,
Dingyi Jia, Feng Li and Pengfei Hu
</v>
      </c>
      <c r="E453" s="153" t="str">
        <f>IFERROR(__xludf.DUMMYFUNCTION("TEXTJOIN(CHAR(10), TRUE,FILTER('Research Papers'!$C:$C,'Research Papers'!$A:$A=C453))"),"Jinyao Liu, Si Wu, Haoyuan Ma, Chaoqun Li, Hongjing Yu,
Dingyi Jia, Feng Li and Pengfei Hu")</f>
        <v>Jinyao Liu, Si Wu, Haoyuan Ma, Chaoqun Li, Hongjing Yu,
Dingyi Jia, Feng Li and Pengfei Hu</v>
      </c>
      <c r="F453" s="133" t="s">
        <v>132</v>
      </c>
      <c r="G453" s="153"/>
      <c r="H453" s="153"/>
      <c r="I453" s="120"/>
      <c r="J453" s="120"/>
      <c r="K453" s="153"/>
      <c r="L453" s="153"/>
      <c r="M453" s="153"/>
      <c r="N453" s="153"/>
      <c r="O453" s="153"/>
      <c r="P453" s="153"/>
      <c r="Q453" s="153"/>
      <c r="R453" s="153"/>
      <c r="S453" s="153"/>
      <c r="T453" s="153"/>
      <c r="U453" s="153"/>
      <c r="V453" s="153"/>
      <c r="W453" s="153"/>
      <c r="X453" s="153"/>
      <c r="Y453" s="153"/>
      <c r="Z453" s="153"/>
      <c r="AA453" s="153"/>
      <c r="AB453" s="153"/>
      <c r="AC453" s="153"/>
    </row>
    <row r="454">
      <c r="A454" s="152" t="s">
        <v>342</v>
      </c>
      <c r="B454" s="133" t="str">
        <f>IFERROR(__xludf.DUMMYFUNCTION("FILTER ('Research Papers'!D:D,'Research Papers'!A:A=C454)"),"A Structure-Agnostic Co-Tuning Framework for LLMs and SLMs in Cloud-Edge Systems")</f>
        <v>A Structure-Agnostic Co-Tuning Framework for LLMs and SLMs in Cloud-Edge Systems</v>
      </c>
      <c r="C454" s="133" t="s">
        <v>817</v>
      </c>
      <c r="D454" s="153" t="str">
        <f t="shared" si="1"/>
        <v>A Structure-Agnostic Co-Tuning Framework for LLMs and SLMs in Cloud-Edge Systems
Yuze Liu, Yunhan Wang, Tiehua Zhang, Zhishu Shen, Cheng
Peng, Libing Wu, Feng Xia and Jiong Jin
</v>
      </c>
      <c r="E454" s="153" t="str">
        <f>IFERROR(__xludf.DUMMYFUNCTION("TEXTJOIN(CHAR(10), TRUE,FILTER('Research Papers'!$C:$C,'Research Papers'!$A:$A=C454))"),"Yuze Liu, Yunhan Wang, Tiehua Zhang, Zhishu Shen, Cheng
Peng, Libing Wu, Feng Xia and Jiong Jin")</f>
        <v>Yuze Liu, Yunhan Wang, Tiehua Zhang, Zhishu Shen, Cheng
Peng, Libing Wu, Feng Xia and Jiong Jin</v>
      </c>
      <c r="F454" s="133" t="s">
        <v>132</v>
      </c>
      <c r="G454" s="153"/>
      <c r="H454" s="153"/>
      <c r="I454" s="120"/>
      <c r="J454" s="120"/>
      <c r="K454" s="153"/>
      <c r="L454" s="153"/>
      <c r="M454" s="153"/>
      <c r="N454" s="153"/>
      <c r="O454" s="153"/>
      <c r="P454" s="153"/>
      <c r="Q454" s="153"/>
      <c r="R454" s="153"/>
      <c r="S454" s="153"/>
      <c r="T454" s="153"/>
      <c r="U454" s="153"/>
      <c r="V454" s="153"/>
      <c r="W454" s="153"/>
      <c r="X454" s="153"/>
      <c r="Y454" s="153"/>
      <c r="Z454" s="153"/>
      <c r="AA454" s="153"/>
      <c r="AB454" s="153"/>
      <c r="AC454" s="153"/>
    </row>
    <row r="455">
      <c r="A455" s="152" t="s">
        <v>342</v>
      </c>
      <c r="B455" s="133" t="str">
        <f>IFERROR(__xludf.DUMMYFUNCTION("FILTER ('Research Papers'!D:D,'Research Papers'!A:A=C455)"),"Cross-city Time Series Forecasting with Retrieval-Augmented Large Language Models")</f>
        <v>Cross-city Time Series Forecasting with Retrieval-Augmented Large Language Models</v>
      </c>
      <c r="C455" s="133" t="s">
        <v>818</v>
      </c>
      <c r="D455" s="153" t="str">
        <f t="shared" si="1"/>
        <v>Cross-city Time Series Forecasting with Retrieval-Augmented Large Language Models
Yue Jiang, Chenxi Liu, Yile Chen, Qin Chao, Shuai Liu,
Cheng Long and Gao Cong
</v>
      </c>
      <c r="E455" s="153" t="str">
        <f>IFERROR(__xludf.DUMMYFUNCTION("TEXTJOIN(CHAR(10), TRUE,FILTER('Research Papers'!$C:$C,'Research Papers'!$A:$A=C455))"),"Yue Jiang, Chenxi Liu, Yile Chen, Qin Chao, Shuai Liu,
Cheng Long and Gao Cong")</f>
        <v>Yue Jiang, Chenxi Liu, Yile Chen, Qin Chao, Shuai Liu,
Cheng Long and Gao Cong</v>
      </c>
      <c r="F455" s="133" t="s">
        <v>152</v>
      </c>
      <c r="G455" s="153"/>
      <c r="H455" s="153"/>
      <c r="I455" s="120"/>
      <c r="J455" s="120"/>
      <c r="K455" s="153"/>
      <c r="L455" s="153"/>
      <c r="M455" s="153"/>
      <c r="N455" s="153"/>
      <c r="O455" s="153"/>
      <c r="P455" s="153"/>
      <c r="Q455" s="153"/>
      <c r="R455" s="153"/>
      <c r="S455" s="153"/>
      <c r="T455" s="153"/>
      <c r="U455" s="153"/>
      <c r="V455" s="153"/>
      <c r="W455" s="153"/>
      <c r="X455" s="153"/>
      <c r="Y455" s="153"/>
      <c r="Z455" s="153"/>
      <c r="AA455" s="153"/>
      <c r="AB455" s="153"/>
      <c r="AC455" s="153"/>
    </row>
    <row r="456">
      <c r="A456" s="152" t="s">
        <v>342</v>
      </c>
      <c r="B456" s="133" t="str">
        <f>IFERROR(__xludf.DUMMYFUNCTION("FILTER ('Research Papers'!D:D,'Research Papers'!A:A=C456)"),"Glasses: Enabling Fast Environment-aware Few-Shot Learning via Device-Cloud Collaboration")</f>
        <v>Glasses: Enabling Fast Environment-aware Few-Shot Learning via Device-Cloud Collaboration</v>
      </c>
      <c r="C456" s="133" t="s">
        <v>819</v>
      </c>
      <c r="D456" s="153" t="str">
        <f t="shared" si="1"/>
        <v>Glasses: Enabling Fast Environment-aware Few-Shot Learning via Device-Cloud Collaboration
Qiang He, Sheng Zhong, Jiazhen Yang, Feifei Chen, Hai Jin
and Yun Yang
</v>
      </c>
      <c r="E456" s="153" t="str">
        <f>IFERROR(__xludf.DUMMYFUNCTION("TEXTJOIN(CHAR(10), TRUE,FILTER('Research Papers'!$C:$C,'Research Papers'!$A:$A=C456))"),"Qiang He, Sheng Zhong, Jiazhen Yang, Feifei Chen, Hai Jin
and Yun Yang")</f>
        <v>Qiang He, Sheng Zhong, Jiazhen Yang, Feifei Chen, Hai Jin
and Yun Yang</v>
      </c>
      <c r="F456" s="133" t="s">
        <v>152</v>
      </c>
      <c r="G456" s="153"/>
      <c r="H456" s="153"/>
      <c r="I456" s="120"/>
      <c r="J456" s="120"/>
      <c r="K456" s="153"/>
      <c r="L456" s="153"/>
      <c r="M456" s="153"/>
      <c r="N456" s="153"/>
      <c r="O456" s="153"/>
      <c r="P456" s="153"/>
      <c r="Q456" s="153"/>
      <c r="R456" s="153"/>
      <c r="S456" s="153"/>
      <c r="T456" s="153"/>
      <c r="U456" s="153"/>
      <c r="V456" s="153"/>
      <c r="W456" s="153"/>
      <c r="X456" s="153"/>
      <c r="Y456" s="153"/>
      <c r="Z456" s="153"/>
      <c r="AA456" s="153"/>
      <c r="AB456" s="153"/>
      <c r="AC456" s="153"/>
    </row>
    <row r="457">
      <c r="A457" s="152" t="s">
        <v>342</v>
      </c>
      <c r="B457" s="133" t="str">
        <f>IFERROR(__xludf.DUMMYFUNCTION("FILTER ('Research Papers'!D:D,'Research Papers'!A:A=C457)"),"TimeMar: Multi-Scale Autoregressive Modeling for Unconditional Time Series Generation")</f>
        <v>TimeMar: Multi-Scale Autoregressive Modeling for Unconditional Time Series Generation</v>
      </c>
      <c r="C457" s="133" t="s">
        <v>820</v>
      </c>
      <c r="D457" s="153" t="str">
        <f t="shared" si="1"/>
        <v>TimeMar: Multi-Scale Autoregressive Modeling for Unconditional Time Series Generation
Xiangyu Xu, Qingsong Zhong and Jilin Hu
</v>
      </c>
      <c r="E457" s="153" t="str">
        <f>IFERROR(__xludf.DUMMYFUNCTION("TEXTJOIN(CHAR(10), TRUE,FILTER('Research Papers'!$C:$C,'Research Papers'!$A:$A=C457))"),"Xiangyu Xu, Qingsong Zhong and Jilin Hu")</f>
        <v>Xiangyu Xu, Qingsong Zhong and Jilin Hu</v>
      </c>
      <c r="F457" s="133" t="s">
        <v>152</v>
      </c>
      <c r="G457" s="153"/>
      <c r="H457" s="153"/>
      <c r="I457" s="120"/>
      <c r="J457" s="120"/>
      <c r="K457" s="153"/>
      <c r="L457" s="153"/>
      <c r="M457" s="153"/>
      <c r="N457" s="153"/>
      <c r="O457" s="153"/>
      <c r="P457" s="153"/>
      <c r="Q457" s="153"/>
      <c r="R457" s="153"/>
      <c r="S457" s="153"/>
      <c r="T457" s="153"/>
      <c r="U457" s="153"/>
      <c r="V457" s="153"/>
      <c r="W457" s="153"/>
      <c r="X457" s="153"/>
      <c r="Y457" s="153"/>
      <c r="Z457" s="153"/>
      <c r="AA457" s="153"/>
      <c r="AB457" s="153"/>
      <c r="AC457" s="153"/>
    </row>
    <row r="458">
      <c r="A458" s="152" t="s">
        <v>342</v>
      </c>
      <c r="B458" s="133" t="str">
        <f>IFERROR(__xludf.DUMMYFUNCTION("FILTER ('Research Papers'!D:D,'Research Papers'!A:A=C458)"),"Augmenting Cross-View Geo-Localization with Spatial Semantics from Vision Foundation Models")</f>
        <v>Augmenting Cross-View Geo-Localization with Spatial Semantics from Vision Foundation Models</v>
      </c>
      <c r="C458" s="133" t="s">
        <v>821</v>
      </c>
      <c r="D458" s="153" t="str">
        <f t="shared" si="1"/>
        <v>Augmenting Cross-View Geo-Localization with Spatial Semantics from Vision Foundation Models
Ji Shen, Lixing Chen, Yang Bai, Zhongqi Miao, Zhe Qu, Pan
Zhou and Jianhua Li
</v>
      </c>
      <c r="E458" s="153" t="str">
        <f>IFERROR(__xludf.DUMMYFUNCTION("TEXTJOIN(CHAR(10), TRUE,FILTER('Research Papers'!$C:$C,'Research Papers'!$A:$A=C458))"),"Ji Shen, Lixing Chen, Yang Bai, Zhongqi Miao, Zhe Qu, Pan
Zhou and Jianhua Li")</f>
        <v>Ji Shen, Lixing Chen, Yang Bai, Zhongqi Miao, Zhe Qu, Pan
Zhou and Jianhua Li</v>
      </c>
      <c r="F458" s="133" t="s">
        <v>152</v>
      </c>
      <c r="G458" s="153"/>
      <c r="H458" s="153"/>
      <c r="I458" s="120"/>
      <c r="J458" s="120"/>
      <c r="K458" s="153"/>
      <c r="L458" s="153"/>
      <c r="M458" s="153"/>
      <c r="N458" s="153"/>
      <c r="O458" s="153"/>
      <c r="P458" s="153"/>
      <c r="Q458" s="153"/>
      <c r="R458" s="153"/>
      <c r="S458" s="153"/>
      <c r="T458" s="153"/>
      <c r="U458" s="153"/>
      <c r="V458" s="153"/>
      <c r="W458" s="153"/>
      <c r="X458" s="153"/>
      <c r="Y458" s="153"/>
      <c r="Z458" s="153"/>
      <c r="AA458" s="153"/>
      <c r="AB458" s="153"/>
      <c r="AC458" s="153"/>
    </row>
    <row r="459">
      <c r="A459" s="152" t="s">
        <v>342</v>
      </c>
      <c r="B459" s="133" t="str">
        <f>IFERROR(__xludf.DUMMYFUNCTION("FILTER ('Research Papers'!D:D,'Research Papers'!A:A=C459)"),"SEMixer: Semantics Enhanced MLP-Mixer for Multiscale Mixing and Long-term Time Series Forecasting")</f>
        <v>SEMixer: Semantics Enhanced MLP-Mixer for Multiscale Mixing and Long-term Time Series Forecasting</v>
      </c>
      <c r="C459" s="133" t="s">
        <v>822</v>
      </c>
      <c r="D459" s="153" t="str">
        <f t="shared" si="1"/>
        <v>SEMixer: Semantics Enhanced MLP-Mixer for Multiscale Mixing and Long-term Time Series Forecasting
Xu Zhang, Qitong Wang, Peng Wang and Wei Wang
</v>
      </c>
      <c r="E459" s="153" t="str">
        <f>IFERROR(__xludf.DUMMYFUNCTION("TEXTJOIN(CHAR(10), TRUE,FILTER('Research Papers'!$C:$C,'Research Papers'!$A:$A=C459))"),"Xu Zhang, Qitong Wang, Peng Wang and Wei Wang")</f>
        <v>Xu Zhang, Qitong Wang, Peng Wang and Wei Wang</v>
      </c>
      <c r="F459" s="133" t="s">
        <v>152</v>
      </c>
      <c r="G459" s="153"/>
      <c r="H459" s="153"/>
      <c r="I459" s="120"/>
      <c r="J459" s="120"/>
      <c r="K459" s="153"/>
      <c r="L459" s="153"/>
      <c r="M459" s="153"/>
      <c r="N459" s="153"/>
      <c r="O459" s="153"/>
      <c r="P459" s="153"/>
      <c r="Q459" s="153"/>
      <c r="R459" s="153"/>
      <c r="S459" s="153"/>
      <c r="T459" s="153"/>
      <c r="U459" s="153"/>
      <c r="V459" s="153"/>
      <c r="W459" s="153"/>
      <c r="X459" s="153"/>
      <c r="Y459" s="153"/>
      <c r="Z459" s="153"/>
      <c r="AA459" s="153"/>
      <c r="AB459" s="153"/>
      <c r="AC459" s="153"/>
    </row>
    <row r="460">
      <c r="A460" s="152" t="s">
        <v>342</v>
      </c>
      <c r="B460" s="133" t="str">
        <f>IFERROR(__xludf.DUMMYFUNCTION("FILTER ('Research Papers'!D:D,'Research Papers'!A:A=C460)"),"Investigating Web Content Delivery Performance over Starlink")</f>
        <v>Investigating Web Content Delivery Performance over Starlink</v>
      </c>
      <c r="C460" s="133" t="s">
        <v>823</v>
      </c>
      <c r="D460" s="153" t="str">
        <f t="shared" si="1"/>
        <v>Investigating Web Content Delivery Performance over Starlink
Rohan Bose, Jinwei Zhao, Tanya Shreedhar, Jianping Pan and
Nitinder Mohan
</v>
      </c>
      <c r="E460" s="153" t="str">
        <f>IFERROR(__xludf.DUMMYFUNCTION("TEXTJOIN(CHAR(10), TRUE,FILTER('Research Papers'!$C:$C,'Research Papers'!$A:$A=C460))"),"Rohan Bose, Jinwei Zhao, Tanya Shreedhar, Jianping Pan and
Nitinder Mohan")</f>
        <v>Rohan Bose, Jinwei Zhao, Tanya Shreedhar, Jianping Pan and
Nitinder Mohan</v>
      </c>
      <c r="F460" s="133" t="s">
        <v>170</v>
      </c>
      <c r="G460" s="153"/>
      <c r="H460" s="153"/>
      <c r="I460" s="120"/>
      <c r="J460" s="120"/>
      <c r="K460" s="153"/>
      <c r="L460" s="153"/>
      <c r="M460" s="153"/>
      <c r="N460" s="153"/>
      <c r="O460" s="153"/>
      <c r="P460" s="153"/>
      <c r="Q460" s="153"/>
      <c r="R460" s="153"/>
      <c r="S460" s="153"/>
      <c r="T460" s="153"/>
      <c r="U460" s="153"/>
      <c r="V460" s="153"/>
      <c r="W460" s="153"/>
      <c r="X460" s="153"/>
      <c r="Y460" s="153"/>
      <c r="Z460" s="153"/>
      <c r="AA460" s="153"/>
      <c r="AB460" s="153"/>
      <c r="AC460" s="153"/>
    </row>
    <row r="461">
      <c r="A461" s="152" t="s">
        <v>342</v>
      </c>
      <c r="B461" s="133" t="str">
        <f>IFERROR(__xludf.DUMMYFUNCTION("FILTER ('Research Papers'!D:D,'Research Papers'!A:A=C461)"),"Breath: Adaptive Protection Boundary in FEC Encoding for Mobile Real-Time Video Streaming")</f>
        <v>Breath: Adaptive Protection Boundary in FEC Encoding for Mobile Real-Time Video Streaming</v>
      </c>
      <c r="C461" s="133" t="s">
        <v>824</v>
      </c>
      <c r="D461" s="153" t="str">
        <f t="shared" si="1"/>
        <v>Breath: Adaptive Protection Boundary in FEC Encoding for Mobile Real-Time Video Streaming
Shiyang Huang, Gerui Lv, Yuankang Zhao, Jiaxing Zhang,
Qingyue Tan, Congkai An, Huanhuan Zhang, Xinyi Zhang,
Qinghua Wu and Zhenyu Li
</v>
      </c>
      <c r="E461" s="153" t="str">
        <f>IFERROR(__xludf.DUMMYFUNCTION("TEXTJOIN(CHAR(10), TRUE,FILTER('Research Papers'!$C:$C,'Research Papers'!$A:$A=C461))"),"Shiyang Huang, Gerui Lv, Yuankang Zhao, Jiaxing Zhang,
Qingyue Tan, Congkai An, Huanhuan Zhang, Xinyi Zhang,
Qinghua Wu and Zhenyu Li")</f>
        <v>Shiyang Huang, Gerui Lv, Yuankang Zhao, Jiaxing Zhang,
Qingyue Tan, Congkai An, Huanhuan Zhang, Xinyi Zhang,
Qinghua Wu and Zhenyu Li</v>
      </c>
      <c r="F461" s="133" t="s">
        <v>170</v>
      </c>
      <c r="G461" s="153"/>
      <c r="H461" s="153"/>
      <c r="I461" s="120"/>
      <c r="J461" s="120"/>
      <c r="K461" s="153"/>
      <c r="L461" s="153"/>
      <c r="M461" s="153"/>
      <c r="N461" s="153"/>
      <c r="O461" s="153"/>
      <c r="P461" s="153"/>
      <c r="Q461" s="153"/>
      <c r="R461" s="153"/>
      <c r="S461" s="153"/>
      <c r="T461" s="153"/>
      <c r="U461" s="153"/>
      <c r="V461" s="153"/>
      <c r="W461" s="153"/>
      <c r="X461" s="153"/>
      <c r="Y461" s="153"/>
      <c r="Z461" s="153"/>
      <c r="AA461" s="153"/>
      <c r="AB461" s="153"/>
      <c r="AC461" s="153"/>
    </row>
    <row r="462">
      <c r="A462" s="152" t="s">
        <v>342</v>
      </c>
      <c r="B462" s="133" t="str">
        <f>IFERROR(__xludf.DUMMYFUNCTION("FILTER ('Research Papers'!D:D,'Research Papers'!A:A=C462)"),"Camel: Frame-Level Bandwidth Estimation for Low-Latency Live Streaming under Video Bitrate Undershooting")</f>
        <v>Camel: Frame-Level Bandwidth Estimation for Low-Latency Live Streaming under Video Bitrate Undershooting</v>
      </c>
      <c r="C462" s="133" t="s">
        <v>825</v>
      </c>
      <c r="D462" s="153" t="str">
        <f t="shared" si="1"/>
        <v>Camel: Frame-Level Bandwidth Estimation for Low-Latency Live Streaming under Video Bitrate Undershooting
Liming Liu, Zhidong Jia, Li Jiang, Wei Zhang, Lan Xie, Feng
Qian, Leju Yan, Bing Yan, Qiang Ma, Zhou Sha, Wei Yang,
Yixuan Ban and Xinggong Zhang
</v>
      </c>
      <c r="E462" s="153" t="str">
        <f>IFERROR(__xludf.DUMMYFUNCTION("TEXTJOIN(CHAR(10), TRUE,FILTER('Research Papers'!$C:$C,'Research Papers'!$A:$A=C462))"),"Liming Liu, Zhidong Jia, Li Jiang, Wei Zhang, Lan Xie, Feng
Qian, Leju Yan, Bing Yan, Qiang Ma, Zhou Sha, Wei Yang,
Yixuan Ban and Xinggong Zhang")</f>
        <v>Liming Liu, Zhidong Jia, Li Jiang, Wei Zhang, Lan Xie, Feng
Qian, Leju Yan, Bing Yan, Qiang Ma, Zhou Sha, Wei Yang,
Yixuan Ban and Xinggong Zhang</v>
      </c>
      <c r="F462" s="133" t="s">
        <v>170</v>
      </c>
      <c r="G462" s="153"/>
      <c r="H462" s="153"/>
      <c r="I462" s="120"/>
      <c r="J462" s="120"/>
      <c r="K462" s="153"/>
      <c r="L462" s="153"/>
      <c r="M462" s="153"/>
      <c r="N462" s="153"/>
      <c r="O462" s="153"/>
      <c r="P462" s="153"/>
      <c r="Q462" s="153"/>
      <c r="R462" s="153"/>
      <c r="S462" s="153"/>
      <c r="T462" s="153"/>
      <c r="U462" s="153"/>
      <c r="V462" s="153"/>
      <c r="W462" s="153"/>
      <c r="X462" s="153"/>
      <c r="Y462" s="153"/>
      <c r="Z462" s="153"/>
      <c r="AA462" s="153"/>
      <c r="AB462" s="153"/>
      <c r="AC462" s="153"/>
    </row>
    <row r="463">
      <c r="A463" s="152" t="s">
        <v>342</v>
      </c>
      <c r="B463" s="133" t="str">
        <f>IFERROR(__xludf.DUMMYFUNCTION("FILTER ('Research Papers'!D:D,'Research Papers'!A:A=C463)"),"DualDis: A Dual Disentanglement Network for Vehicle Re-identification")</f>
        <v>DualDis: A Dual Disentanglement Network for Vehicle Re-identification</v>
      </c>
      <c r="C463" s="133" t="s">
        <v>826</v>
      </c>
      <c r="D463" s="153" t="str">
        <f t="shared" si="1"/>
        <v>DualDis: A Dual Disentanglement Network for Vehicle Re-identification
Wenying He, Feiyu Wang, Guangquan Xu, Yude Bai and Fei Guo
</v>
      </c>
      <c r="E463" s="153" t="str">
        <f>IFERROR(__xludf.DUMMYFUNCTION("TEXTJOIN(CHAR(10), TRUE,FILTER('Research Papers'!$C:$C,'Research Papers'!$A:$A=C463))"),"Wenying He, Feiyu Wang, Guangquan Xu, Yude Bai and Fei Guo")</f>
        <v>Wenying He, Feiyu Wang, Guangquan Xu, Yude Bai and Fei Guo</v>
      </c>
      <c r="F463" s="133" t="s">
        <v>170</v>
      </c>
      <c r="G463" s="153"/>
      <c r="H463" s="153"/>
      <c r="I463" s="120"/>
      <c r="J463" s="120"/>
      <c r="K463" s="153"/>
      <c r="L463" s="153"/>
      <c r="M463" s="153"/>
      <c r="N463" s="153"/>
      <c r="O463" s="153"/>
      <c r="P463" s="153"/>
      <c r="Q463" s="153"/>
      <c r="R463" s="153"/>
      <c r="S463" s="153"/>
      <c r="T463" s="153"/>
      <c r="U463" s="153"/>
      <c r="V463" s="153"/>
      <c r="W463" s="153"/>
      <c r="X463" s="153"/>
      <c r="Y463" s="153"/>
      <c r="Z463" s="153"/>
      <c r="AA463" s="153"/>
      <c r="AB463" s="153"/>
      <c r="AC463" s="153"/>
    </row>
    <row r="464">
      <c r="A464" s="152" t="s">
        <v>342</v>
      </c>
      <c r="B464" s="133" t="str">
        <f>IFERROR(__xludf.DUMMYFUNCTION("FILTER ('Research Papers'!D:D,'Research Papers'!A:A=C464)"),"FediScan: Collaborative Social Bot Detection in the Fediverse")</f>
        <v>FediScan: Collaborative Social Bot Detection in the Fediverse</v>
      </c>
      <c r="C464" s="133" t="s">
        <v>827</v>
      </c>
      <c r="D464" s="153" t="str">
        <f t="shared" si="1"/>
        <v>FediScan: Collaborative Social Bot Detection in the Fediverse
Min Gao, Wen Wen, Haoran Du, Qiang Duan, Yu Xiao, Yupeng
Li, Xin Wang, Pan Hui and Yang Chen
</v>
      </c>
      <c r="E464" s="153" t="str">
        <f>IFERROR(__xludf.DUMMYFUNCTION("TEXTJOIN(CHAR(10), TRUE,FILTER('Research Papers'!$C:$C,'Research Papers'!$A:$A=C464))"),"Min Gao, Wen Wen, Haoran Du, Qiang Duan, Yu Xiao, Yupeng
Li, Xin Wang, Pan Hui and Yang Chen")</f>
        <v>Min Gao, Wen Wen, Haoran Du, Qiang Duan, Yu Xiao, Yupeng
Li, Xin Wang, Pan Hui and Yang Chen</v>
      </c>
      <c r="F464" s="133" t="s">
        <v>170</v>
      </c>
      <c r="G464" s="153"/>
      <c r="H464" s="153"/>
      <c r="I464" s="120"/>
      <c r="J464" s="120"/>
      <c r="K464" s="153"/>
      <c r="L464" s="153"/>
      <c r="M464" s="153"/>
      <c r="N464" s="153"/>
      <c r="O464" s="153"/>
      <c r="P464" s="153"/>
      <c r="Q464" s="153"/>
      <c r="R464" s="153"/>
      <c r="S464" s="153"/>
      <c r="T464" s="153"/>
      <c r="U464" s="153"/>
      <c r="V464" s="153"/>
      <c r="W464" s="153"/>
      <c r="X464" s="153"/>
      <c r="Y464" s="153"/>
      <c r="Z464" s="153"/>
      <c r="AA464" s="153"/>
      <c r="AB464" s="153"/>
      <c r="AC464" s="153"/>
    </row>
    <row r="465">
      <c r="A465" s="152" t="s">
        <v>342</v>
      </c>
      <c r="B465" s="133" t="str">
        <f>IFERROR(__xludf.DUMMYFUNCTION("FILTER ('Research Papers'!D:D,'Research Papers'!A:A=C465)"),"Beyond Single view Decoding: Dual-view Map Inference from Trajectories via Primal-Dual Graphs Co-generation")</f>
        <v>Beyond Single view Decoding: Dual-view Map Inference from Trajectories via Primal-Dual Graphs Co-generation</v>
      </c>
      <c r="C465" s="133" t="s">
        <v>828</v>
      </c>
      <c r="D465" s="153" t="str">
        <f t="shared" si="1"/>
        <v>Beyond Single view Decoding: Dual-view Map Inference from Trajectories via Primal-Dual Graphs Co-generation
Wenyu Wu, Jiafan Liu and Jiali Mao
</v>
      </c>
      <c r="E465" s="153" t="str">
        <f>IFERROR(__xludf.DUMMYFUNCTION("TEXTJOIN(CHAR(10), TRUE,FILTER('Research Papers'!$C:$C,'Research Papers'!$A:$A=C465))"),"Wenyu Wu, Jiafan Liu and Jiali Mao")</f>
        <v>Wenyu Wu, Jiafan Liu and Jiali Mao</v>
      </c>
      <c r="F465" s="133" t="s">
        <v>197</v>
      </c>
      <c r="G465" s="153"/>
      <c r="H465" s="153"/>
      <c r="I465" s="120"/>
      <c r="J465" s="120"/>
      <c r="K465" s="153"/>
      <c r="L465" s="153"/>
      <c r="M465" s="153"/>
      <c r="N465" s="153"/>
      <c r="O465" s="153"/>
      <c r="P465" s="153"/>
      <c r="Q465" s="153"/>
      <c r="R465" s="153"/>
      <c r="S465" s="153"/>
      <c r="T465" s="153"/>
      <c r="U465" s="153"/>
      <c r="V465" s="153"/>
      <c r="W465" s="153"/>
      <c r="X465" s="153"/>
      <c r="Y465" s="153"/>
      <c r="Z465" s="153"/>
      <c r="AA465" s="153"/>
      <c r="AB465" s="153"/>
      <c r="AC465" s="153"/>
    </row>
    <row r="466">
      <c r="A466" s="152" t="s">
        <v>342</v>
      </c>
      <c r="B466" s="133" t="str">
        <f>IFERROR(__xludf.DUMMYFUNCTION("FILTER ('Research Papers'!D:D,'Research Papers'!A:A=C466)"),"ST-LEGO: Large Language Models as Modular Architects for Traffic Prediction")</f>
        <v>ST-LEGO: Large Language Models as Modular Architects for Traffic Prediction</v>
      </c>
      <c r="C466" s="133" t="s">
        <v>829</v>
      </c>
      <c r="D466" s="153" t="str">
        <f t="shared" si="1"/>
        <v>ST-LEGO: Large Language Models as Modular Architects for Traffic Prediction
Shuhao Li, Weidong Yang, Yue Cui, Lipeng Ma, Yixuan Li,
Chaoteng Wu, Lu Qin and Fan Zhang
</v>
      </c>
      <c r="E466" s="153" t="str">
        <f>IFERROR(__xludf.DUMMYFUNCTION("TEXTJOIN(CHAR(10), TRUE,FILTER('Research Papers'!$C:$C,'Research Papers'!$A:$A=C466))"),"Shuhao Li, Weidong Yang, Yue Cui, Lipeng Ma, Yixuan Li,
Chaoteng Wu, Lu Qin and Fan Zhang")</f>
        <v>Shuhao Li, Weidong Yang, Yue Cui, Lipeng Ma, Yixuan Li,
Chaoteng Wu, Lu Qin and Fan Zhang</v>
      </c>
      <c r="F466" s="133" t="s">
        <v>197</v>
      </c>
      <c r="G466" s="153"/>
      <c r="H466" s="153"/>
      <c r="I466" s="120"/>
      <c r="J466" s="120"/>
      <c r="K466" s="153"/>
      <c r="L466" s="153"/>
      <c r="M466" s="153"/>
      <c r="N466" s="153"/>
      <c r="O466" s="153"/>
      <c r="P466" s="153"/>
      <c r="Q466" s="153"/>
      <c r="R466" s="153"/>
      <c r="S466" s="153"/>
      <c r="T466" s="153"/>
      <c r="U466" s="153"/>
      <c r="V466" s="153"/>
      <c r="W466" s="153"/>
      <c r="X466" s="153"/>
      <c r="Y466" s="153"/>
      <c r="Z466" s="153"/>
      <c r="AA466" s="153"/>
      <c r="AB466" s="153"/>
      <c r="AC466" s="153"/>
    </row>
    <row r="467">
      <c r="A467" s="152" t="s">
        <v>342</v>
      </c>
      <c r="B467" s="133" t="str">
        <f>IFERROR(__xludf.DUMMYFUNCTION("FILTER ('Research Papers'!D:D,'Research Papers'!A:A=C467)"),"HALO: Hierarchical Reinforcement Learning for Large-Scale Adaptive Traffic Signal Control")</f>
        <v>HALO: Hierarchical Reinforcement Learning for Large-Scale Adaptive Traffic Signal Control</v>
      </c>
      <c r="C467" s="133" t="s">
        <v>830</v>
      </c>
      <c r="D467" s="153" t="str">
        <f t="shared" si="1"/>
        <v>HALO: Hierarchical Reinforcement Learning for Large-Scale Adaptive Traffic Signal Control
Yaqiao Zhu, Hongkai Wen, Geyong Min and Man Luo
</v>
      </c>
      <c r="E467" s="153" t="str">
        <f>IFERROR(__xludf.DUMMYFUNCTION("TEXTJOIN(CHAR(10), TRUE,FILTER('Research Papers'!$C:$C,'Research Papers'!$A:$A=C467))"),"Yaqiao Zhu, Hongkai Wen, Geyong Min and Man Luo")</f>
        <v>Yaqiao Zhu, Hongkai Wen, Geyong Min and Man Luo</v>
      </c>
      <c r="F467" s="133" t="s">
        <v>197</v>
      </c>
      <c r="G467" s="153"/>
      <c r="H467" s="153"/>
      <c r="I467" s="120"/>
      <c r="J467" s="120"/>
      <c r="K467" s="153"/>
      <c r="L467" s="153"/>
      <c r="M467" s="153"/>
      <c r="N467" s="153"/>
      <c r="O467" s="153"/>
      <c r="P467" s="153"/>
      <c r="Q467" s="153"/>
      <c r="R467" s="153"/>
      <c r="S467" s="153"/>
      <c r="T467" s="153"/>
      <c r="U467" s="153"/>
      <c r="V467" s="153"/>
      <c r="W467" s="153"/>
      <c r="X467" s="153"/>
      <c r="Y467" s="153"/>
      <c r="Z467" s="153"/>
      <c r="AA467" s="153"/>
      <c r="AB467" s="153"/>
      <c r="AC467" s="153"/>
    </row>
    <row r="468">
      <c r="A468" s="152" t="s">
        <v>342</v>
      </c>
      <c r="B468" s="133" t="str">
        <f>IFERROR(__xludf.DUMMYFUNCTION("FILTER ('Research Papers'!D:D,'Research Papers'!A:A=C468)"),"AgentSense: LLMs Empower Generalizable and Explainable Web-Based Participatory Urban Sensing")</f>
        <v>AgentSense: LLMs Empower Generalizable and Explainable Web-Based Participatory Urban Sensing</v>
      </c>
      <c r="C468" s="133" t="s">
        <v>831</v>
      </c>
      <c r="D468" s="153" t="str">
        <f t="shared" si="1"/>
        <v>AgentSense: LLMs Empower Generalizable and Explainable Web-Based Participatory Urban Sensing
Xusen Guo, Mingxing Peng, Xixuan Hao, Xingchen Zou,
Qiongyan Wang, Sijie Ruan and Yuxuan Liang
</v>
      </c>
      <c r="E468" s="153" t="str">
        <f>IFERROR(__xludf.DUMMYFUNCTION("TEXTJOIN(CHAR(10), TRUE,FILTER('Research Papers'!$C:$C,'Research Papers'!$A:$A=C468))"),"Xusen Guo, Mingxing Peng, Xixuan Hao, Xingchen Zou,
Qiongyan Wang, Sijie Ruan and Yuxuan Liang")</f>
        <v>Xusen Guo, Mingxing Peng, Xixuan Hao, Xingchen Zou,
Qiongyan Wang, Sijie Ruan and Yuxuan Liang</v>
      </c>
      <c r="F468" s="133" t="s">
        <v>197</v>
      </c>
      <c r="G468" s="153"/>
      <c r="H468" s="153"/>
      <c r="I468" s="120"/>
      <c r="J468" s="120"/>
      <c r="K468" s="153"/>
      <c r="L468" s="153"/>
      <c r="M468" s="153"/>
      <c r="N468" s="153"/>
      <c r="O468" s="153"/>
      <c r="P468" s="153"/>
      <c r="Q468" s="153"/>
      <c r="R468" s="153"/>
      <c r="S468" s="153"/>
      <c r="T468" s="153"/>
      <c r="U468" s="153"/>
      <c r="V468" s="153"/>
      <c r="W468" s="153"/>
      <c r="X468" s="153"/>
      <c r="Y468" s="153"/>
      <c r="Z468" s="153"/>
      <c r="AA468" s="153"/>
      <c r="AB468" s="153"/>
      <c r="AC468" s="153"/>
    </row>
    <row r="469">
      <c r="A469" s="152" t="s">
        <v>342</v>
      </c>
      <c r="B469" s="133" t="str">
        <f>IFERROR(__xludf.DUMMYFUNCTION("FILTER ('Research Papers'!D:D,'Research Papers'!A:A=C469)"),"TRACE: Trajectory Recovery with State Propagation Diffusion for Urban Mobility")</f>
        <v>TRACE: Trajectory Recovery with State Propagation Diffusion for Urban Mobility</v>
      </c>
      <c r="C469" s="133" t="s">
        <v>832</v>
      </c>
      <c r="D469" s="153" t="str">
        <f t="shared" si="1"/>
        <v>TRACE: Trajectory Recovery with State Propagation Diffusion for Urban Mobility
Jinming Wang, Hai Wang, Hongkai Wen, Geyong Min and Man Luo
</v>
      </c>
      <c r="E469" s="153" t="str">
        <f>IFERROR(__xludf.DUMMYFUNCTION("TEXTJOIN(CHAR(10), TRUE,FILTER('Research Papers'!$C:$C,'Research Papers'!$A:$A=C469))"),"Jinming Wang, Hai Wang, Hongkai Wen, Geyong Min and Man Luo")</f>
        <v>Jinming Wang, Hai Wang, Hongkai Wen, Geyong Min and Man Luo</v>
      </c>
      <c r="F469" s="133" t="s">
        <v>197</v>
      </c>
      <c r="G469" s="153"/>
      <c r="H469" s="153"/>
      <c r="I469" s="120"/>
      <c r="J469" s="120"/>
      <c r="K469" s="153"/>
      <c r="L469" s="153"/>
      <c r="M469" s="153"/>
      <c r="N469" s="153"/>
      <c r="O469" s="153"/>
      <c r="P469" s="153"/>
      <c r="Q469" s="153"/>
      <c r="R469" s="153"/>
      <c r="S469" s="153"/>
      <c r="T469" s="153"/>
      <c r="U469" s="153"/>
      <c r="V469" s="153"/>
      <c r="W469" s="153"/>
      <c r="X469" s="153"/>
      <c r="Y469" s="153"/>
      <c r="Z469" s="153"/>
      <c r="AA469" s="153"/>
      <c r="AB469" s="153"/>
      <c r="AC469" s="153"/>
    </row>
    <row r="470">
      <c r="A470" s="152" t="s">
        <v>342</v>
      </c>
      <c r="B470" s="133" t="str">
        <f>IFERROR(__xludf.DUMMYFUNCTION("FILTER ('Research Papers'!D:D,'Research Papers'!A:A=C470)"),"Smaller but Better: ​​Plasticity-Preserving Continual Learning for Embedded AI​")</f>
        <v>Smaller but Better: ​​Plasticity-Preserving Continual Learning for Embedded AI​</v>
      </c>
      <c r="C470" s="133" t="s">
        <v>833</v>
      </c>
      <c r="D470" s="153" t="str">
        <f t="shared" si="1"/>
        <v>Smaller but Better: ​​Plasticity-Preserving Continual Learning for Embedded AI​
Chenxin Mao, Haibo Liu, Zhenzhe Zheng, Fan Wu and Guihai
Chen
</v>
      </c>
      <c r="E470" s="153" t="str">
        <f>IFERROR(__xludf.DUMMYFUNCTION("TEXTJOIN(CHAR(10), TRUE,FILTER('Research Papers'!$C:$C,'Research Papers'!$A:$A=C470))"),"Chenxin Mao, Haibo Liu, Zhenzhe Zheng, Fan Wu and Guihai
Chen")</f>
        <v>Chenxin Mao, Haibo Liu, Zhenzhe Zheng, Fan Wu and Guihai
Chen</v>
      </c>
      <c r="F470" s="133" t="s">
        <v>223</v>
      </c>
      <c r="G470" s="133" t="s">
        <v>343</v>
      </c>
      <c r="H470" s="153"/>
      <c r="I470" s="149" t="s">
        <v>367</v>
      </c>
      <c r="J470" s="114">
        <f>COUNTIF(F:F,F470)</f>
        <v>37</v>
      </c>
      <c r="K470" s="153"/>
      <c r="L470" s="153"/>
      <c r="M470" s="153"/>
      <c r="N470" s="153"/>
      <c r="O470" s="153"/>
      <c r="P470" s="153"/>
      <c r="Q470" s="153"/>
      <c r="R470" s="153"/>
      <c r="S470" s="153"/>
      <c r="T470" s="153"/>
      <c r="U470" s="153"/>
      <c r="V470" s="153"/>
      <c r="W470" s="153"/>
      <c r="X470" s="153"/>
      <c r="Y470" s="153"/>
      <c r="Z470" s="153"/>
      <c r="AA470" s="153"/>
      <c r="AB470" s="153"/>
      <c r="AC470" s="153"/>
    </row>
    <row r="471">
      <c r="A471" s="152" t="s">
        <v>342</v>
      </c>
      <c r="B471" s="133" t="str">
        <f>IFERROR(__xludf.DUMMYFUNCTION("FILTER ('Research Papers'!D:D,'Research Papers'!A:A=C471)"),"Macro-Micro Collaborative Learning for Logical Data Center Microservice Indicators Forecasting")</f>
        <v>Macro-Micro Collaborative Learning for Logical Data Center Microservice Indicators Forecasting</v>
      </c>
      <c r="C471" s="133" t="s">
        <v>834</v>
      </c>
      <c r="D471" s="153" t="str">
        <f t="shared" si="1"/>
        <v>Macro-Micro Collaborative Learning for Logical Data Center Microservice Indicators Forecasting
Mohan Gao, Zhemeng Yu, Yang Luo, Lintao Ma, Yinbo Sun,
Yuchen Fang and Xiaofeng Gao
</v>
      </c>
      <c r="E471" s="153" t="str">
        <f>IFERROR(__xludf.DUMMYFUNCTION("TEXTJOIN(CHAR(10), TRUE,FILTER('Research Papers'!$C:$C,'Research Papers'!$A:$A=C471))"),"Mohan Gao, Zhemeng Yu, Yang Luo, Lintao Ma, Yinbo Sun,
Yuchen Fang and Xiaofeng Gao")</f>
        <v>Mohan Gao, Zhemeng Yu, Yang Luo, Lintao Ma, Yinbo Sun,
Yuchen Fang and Xiaofeng Gao</v>
      </c>
      <c r="F471" s="133" t="s">
        <v>223</v>
      </c>
      <c r="G471" s="133" t="s">
        <v>343</v>
      </c>
      <c r="H471" s="153"/>
      <c r="I471" s="120"/>
      <c r="J471" s="120"/>
      <c r="K471" s="153"/>
      <c r="L471" s="153"/>
      <c r="M471" s="153"/>
      <c r="N471" s="153"/>
      <c r="O471" s="153"/>
      <c r="P471" s="153"/>
      <c r="Q471" s="153"/>
      <c r="R471" s="153"/>
      <c r="S471" s="153"/>
      <c r="T471" s="153"/>
      <c r="U471" s="153"/>
      <c r="V471" s="153"/>
      <c r="W471" s="153"/>
      <c r="X471" s="153"/>
      <c r="Y471" s="153"/>
      <c r="Z471" s="153"/>
      <c r="AA471" s="153"/>
      <c r="AB471" s="153"/>
      <c r="AC471" s="153"/>
    </row>
    <row r="472">
      <c r="A472" s="152" t="s">
        <v>342</v>
      </c>
      <c r="B472" s="133" t="str">
        <f>IFERROR(__xludf.DUMMYFUNCTION("FILTER ('Research Papers'!D:D,'Research Papers'!A:A=C472)"),"Task-Aware Cloud-End Offloading for Vision-Language Model Serving via Dynamic Modality-Specific Adapter Scheduling")</f>
        <v>Task-Aware Cloud-End Offloading for Vision-Language Model Serving via Dynamic Modality-Specific Adapter Scheduling</v>
      </c>
      <c r="C472" s="133" t="s">
        <v>835</v>
      </c>
      <c r="D472" s="153" t="str">
        <f t="shared" si="1"/>
        <v>Task-Aware Cloud-End Offloading for Vision-Language Model Serving via Dynamic Modality-Specific Adapter Scheduling
Zian Wang, Ziyi Wang, Jie Xing, Yaya Wei, Ziyan Zhong and
Lanshan Zhang
</v>
      </c>
      <c r="E472" s="153" t="str">
        <f>IFERROR(__xludf.DUMMYFUNCTION("TEXTJOIN(CHAR(10), TRUE,FILTER('Research Papers'!$C:$C,'Research Papers'!$A:$A=C472))"),"Zian Wang, Ziyi Wang, Jie Xing, Yaya Wei, Ziyan Zhong and
Lanshan Zhang")</f>
        <v>Zian Wang, Ziyi Wang, Jie Xing, Yaya Wei, Ziyan Zhong and
Lanshan Zhang</v>
      </c>
      <c r="F472" s="133" t="s">
        <v>223</v>
      </c>
      <c r="G472" s="133" t="s">
        <v>343</v>
      </c>
      <c r="H472" s="153"/>
      <c r="I472" s="120"/>
      <c r="J472" s="120"/>
      <c r="K472" s="153"/>
      <c r="L472" s="153"/>
      <c r="M472" s="153"/>
      <c r="N472" s="153"/>
      <c r="O472" s="153"/>
      <c r="P472" s="153"/>
      <c r="Q472" s="153"/>
      <c r="R472" s="153"/>
      <c r="S472" s="153"/>
      <c r="T472" s="153"/>
      <c r="U472" s="153"/>
      <c r="V472" s="153"/>
      <c r="W472" s="153"/>
      <c r="X472" s="153"/>
      <c r="Y472" s="153"/>
      <c r="Z472" s="153"/>
      <c r="AA472" s="153"/>
      <c r="AB472" s="153"/>
      <c r="AC472" s="153"/>
    </row>
    <row r="473">
      <c r="A473" s="152" t="s">
        <v>342</v>
      </c>
      <c r="B473" s="133" t="str">
        <f>IFERROR(__xludf.DUMMYFUNCTION("FILTER ('Research Papers'!D:D,'Research Papers'!A:A=C473)"),"SkyCL: Swift Continuous Learning with Kinship-Awareness for Multi-Drone Video Analytics under Drastic Drift")</f>
        <v>SkyCL: Swift Continuous Learning with Kinship-Awareness for Multi-Drone Video Analytics under Drastic Drift</v>
      </c>
      <c r="C473" s="133" t="s">
        <v>836</v>
      </c>
      <c r="D473" s="153" t="str">
        <f t="shared" si="1"/>
        <v>SkyCL: Swift Continuous Learning with Kinship-Awareness for Multi-Drone Video Analytics under Drastic Drift
Yuanzheng Tan, Qing Li, Jiaqi Cui, Jun Peng, Gareth Tyson,
Zhenhui Yuan, Tingting Yang and Yong Jiang
</v>
      </c>
      <c r="E473" s="153" t="str">
        <f>IFERROR(__xludf.DUMMYFUNCTION("TEXTJOIN(CHAR(10), TRUE,FILTER('Research Papers'!$C:$C,'Research Papers'!$A:$A=C473))"),"Yuanzheng Tan, Qing Li, Jiaqi Cui, Jun Peng, Gareth Tyson,
Zhenhui Yuan, Tingting Yang and Yong Jiang")</f>
        <v>Yuanzheng Tan, Qing Li, Jiaqi Cui, Jun Peng, Gareth Tyson,
Zhenhui Yuan, Tingting Yang and Yong Jiang</v>
      </c>
      <c r="F473" s="133" t="s">
        <v>223</v>
      </c>
      <c r="G473" s="133" t="s">
        <v>343</v>
      </c>
      <c r="H473" s="153"/>
      <c r="I473" s="120"/>
      <c r="J473" s="120"/>
      <c r="K473" s="153"/>
      <c r="L473" s="153"/>
      <c r="M473" s="153"/>
      <c r="N473" s="153"/>
      <c r="O473" s="153"/>
      <c r="P473" s="153"/>
      <c r="Q473" s="153"/>
      <c r="R473" s="153"/>
      <c r="S473" s="153"/>
      <c r="T473" s="153"/>
      <c r="U473" s="153"/>
      <c r="V473" s="153"/>
      <c r="W473" s="153"/>
      <c r="X473" s="153"/>
      <c r="Y473" s="153"/>
      <c r="Z473" s="153"/>
      <c r="AA473" s="153"/>
      <c r="AB473" s="153"/>
      <c r="AC473" s="153"/>
    </row>
    <row r="474">
      <c r="A474" s="152" t="s">
        <v>342</v>
      </c>
      <c r="B474" s="133" t="str">
        <f>IFERROR(__xludf.DUMMYFUNCTION("FILTER ('Research Papers'!D:D,'Research Papers'!A:A=C474)"),"Meteor: High-Performance Control Message Delivery for Large-Scale Clouds")</f>
        <v>Meteor: High-Performance Control Message Delivery for Large-Scale Clouds</v>
      </c>
      <c r="C474" s="133" t="s">
        <v>837</v>
      </c>
      <c r="D474" s="153" t="str">
        <f t="shared" si="1"/>
        <v>Meteor: High-Performance Control Message Delivery for Large-Scale Clouds
Gongming Zhao, Baoqing Wang, Min Chen, Hongli Xu, Jiawei
Liu, Xuwei Yang, Liguang Xie, Yongqiang Yang and Ying Xiong
</v>
      </c>
      <c r="E474" s="153" t="str">
        <f>IFERROR(__xludf.DUMMYFUNCTION("TEXTJOIN(CHAR(10), TRUE,FILTER('Research Papers'!$C:$C,'Research Papers'!$A:$A=C474))"),"Gongming Zhao, Baoqing Wang, Min Chen, Hongli Xu, Jiawei
Liu, Xuwei Yang, Liguang Xie, Yongqiang Yang and Ying Xiong")</f>
        <v>Gongming Zhao, Baoqing Wang, Min Chen, Hongli Xu, Jiawei
Liu, Xuwei Yang, Liguang Xie, Yongqiang Yang and Ying Xiong</v>
      </c>
      <c r="F474" s="133" t="s">
        <v>223</v>
      </c>
      <c r="G474" s="133" t="s">
        <v>343</v>
      </c>
      <c r="H474" s="153"/>
      <c r="I474" s="120"/>
      <c r="J474" s="120"/>
      <c r="K474" s="153"/>
      <c r="L474" s="153"/>
      <c r="M474" s="153"/>
      <c r="N474" s="153"/>
      <c r="O474" s="153"/>
      <c r="P474" s="153"/>
      <c r="Q474" s="153"/>
      <c r="R474" s="153"/>
      <c r="S474" s="153"/>
      <c r="T474" s="153"/>
      <c r="U474" s="153"/>
      <c r="V474" s="153"/>
      <c r="W474" s="153"/>
      <c r="X474" s="153"/>
      <c r="Y474" s="153"/>
      <c r="Z474" s="153"/>
      <c r="AA474" s="153"/>
      <c r="AB474" s="153"/>
      <c r="AC474" s="153"/>
    </row>
    <row r="475">
      <c r="A475" s="152" t="s">
        <v>342</v>
      </c>
      <c r="B475" s="133" t="str">
        <f>IFERROR(__xludf.DUMMYFUNCTION("FILTER ('Research Papers'!D:D,'Research Papers'!A:A=C475)"),"MASI: Memory-Adaptive Inference Framework for Spiking Neural Networks on Edge Devices")</f>
        <v>MASI: Memory-Adaptive Inference Framework for Spiking Neural Networks on Edge Devices</v>
      </c>
      <c r="C475" s="133" t="s">
        <v>838</v>
      </c>
      <c r="D475" s="153" t="str">
        <f t="shared" si="1"/>
        <v>MASI: Memory-Adaptive Inference Framework for Spiking Neural Networks on Edge Devices
Di Yu, Helin Zheng, Changze Lv, Xin Du, Linshan Jiang,
Xiang Liu, Gang Pan and Shuiguang Deng
</v>
      </c>
      <c r="E475" s="153" t="str">
        <f>IFERROR(__xludf.DUMMYFUNCTION("TEXTJOIN(CHAR(10), TRUE,FILTER('Research Papers'!$C:$C,'Research Papers'!$A:$A=C475))"),"Di Yu, Helin Zheng, Changze Lv, Xin Du, Linshan Jiang,
Xiang Liu, Gang Pan and Shuiguang Deng")</f>
        <v>Di Yu, Helin Zheng, Changze Lv, Xin Du, Linshan Jiang,
Xiang Liu, Gang Pan and Shuiguang Deng</v>
      </c>
      <c r="F475" s="133" t="s">
        <v>223</v>
      </c>
      <c r="G475" s="133" t="s">
        <v>343</v>
      </c>
      <c r="H475" s="153"/>
      <c r="I475" s="120"/>
      <c r="J475" s="120"/>
      <c r="K475" s="153"/>
      <c r="L475" s="153"/>
      <c r="M475" s="153"/>
      <c r="N475" s="153"/>
      <c r="O475" s="153"/>
      <c r="P475" s="153"/>
      <c r="Q475" s="153"/>
      <c r="R475" s="153"/>
      <c r="S475" s="153"/>
      <c r="T475" s="153"/>
      <c r="U475" s="153"/>
      <c r="V475" s="153"/>
      <c r="W475" s="153"/>
      <c r="X475" s="153"/>
      <c r="Y475" s="153"/>
      <c r="Z475" s="153"/>
      <c r="AA475" s="153"/>
      <c r="AB475" s="153"/>
      <c r="AC475" s="153"/>
    </row>
    <row r="476">
      <c r="A476" s="152" t="s">
        <v>342</v>
      </c>
      <c r="B476" s="133" t="str">
        <f>IFERROR(__xludf.DUMMYFUNCTION("FILTER ('Research Papers'!D:D,'Research Papers'!A:A=C476)"),"FedRGL: Federated Riemannian Graph Learning in Mixed-Curvature Spaces with Ricci-Gated Convolution")</f>
        <v>FedRGL: Federated Riemannian Graph Learning in Mixed-Curvature Spaces with Ricci-Gated Convolution</v>
      </c>
      <c r="C476" s="133" t="s">
        <v>839</v>
      </c>
      <c r="D476" s="153" t="str">
        <f t="shared" si="1"/>
        <v>FedRGL: Federated Riemannian Graph Learning in Mixed-Curvature Spaces with Ricci-Gated Convolution
Haizhou Du, Haolin Wu, Zijie Zhu and Zicheng Shi
</v>
      </c>
      <c r="E476" s="153" t="str">
        <f>IFERROR(__xludf.DUMMYFUNCTION("TEXTJOIN(CHAR(10), TRUE,FILTER('Research Papers'!$C:$C,'Research Papers'!$A:$A=C476))"),"Haizhou Du, Haolin Wu, Zijie Zhu and Zicheng Shi")</f>
        <v>Haizhou Du, Haolin Wu, Zijie Zhu and Zicheng Shi</v>
      </c>
      <c r="F476" s="133" t="s">
        <v>223</v>
      </c>
      <c r="G476" s="133" t="s">
        <v>343</v>
      </c>
      <c r="H476" s="153"/>
      <c r="I476" s="120"/>
      <c r="J476" s="120"/>
      <c r="K476" s="153"/>
      <c r="L476" s="153"/>
      <c r="M476" s="153"/>
      <c r="N476" s="153"/>
      <c r="O476" s="153"/>
      <c r="P476" s="153"/>
      <c r="Q476" s="153"/>
      <c r="R476" s="153"/>
      <c r="S476" s="153"/>
      <c r="T476" s="153"/>
      <c r="U476" s="153"/>
      <c r="V476" s="153"/>
      <c r="W476" s="153"/>
      <c r="X476" s="153"/>
      <c r="Y476" s="153"/>
      <c r="Z476" s="153"/>
      <c r="AA476" s="153"/>
      <c r="AB476" s="153"/>
      <c r="AC476" s="153"/>
    </row>
    <row r="477">
      <c r="A477" s="152" t="s">
        <v>342</v>
      </c>
      <c r="B477" s="133" t="str">
        <f>IFERROR(__xludf.DUMMYFUNCTION("FILTER ('Research Papers'!D:D,'Research Papers'!A:A=C477)"),"MoE-LC: General-Purpose Lossless Compression for Multi-modal Data via Entropy-Aware Multi-Experts")</f>
        <v>MoE-LC: General-Purpose Lossless Compression for Multi-modal Data via Entropy-Aware Multi-Experts</v>
      </c>
      <c r="C477" s="133" t="s">
        <v>840</v>
      </c>
      <c r="D477" s="153" t="str">
        <f t="shared" si="1"/>
        <v>MoE-LC: General-Purpose Lossless Compression for Multi-modal Data via Entropy-Aware Multi-Experts
Zeyi Lu, Xiaoxiao Ma, Yujun Huang, Minxiao Chen, Bin Chen
and Shu-Tao Xia
</v>
      </c>
      <c r="E477" s="153" t="str">
        <f>IFERROR(__xludf.DUMMYFUNCTION("TEXTJOIN(CHAR(10), TRUE,FILTER('Research Papers'!$C:$C,'Research Papers'!$A:$A=C477))"),"Zeyi Lu, Xiaoxiao Ma, Yujun Huang, Minxiao Chen, Bin Chen
and Shu-Tao Xia")</f>
        <v>Zeyi Lu, Xiaoxiao Ma, Yujun Huang, Minxiao Chen, Bin Chen
and Shu-Tao Xia</v>
      </c>
      <c r="F477" s="133" t="s">
        <v>223</v>
      </c>
      <c r="G477" s="133" t="s">
        <v>343</v>
      </c>
      <c r="H477" s="153"/>
      <c r="I477" s="120"/>
      <c r="J477" s="120"/>
      <c r="K477" s="153"/>
      <c r="L477" s="153"/>
      <c r="M477" s="153"/>
      <c r="N477" s="153"/>
      <c r="O477" s="153"/>
      <c r="P477" s="153"/>
      <c r="Q477" s="153"/>
      <c r="R477" s="153"/>
      <c r="S477" s="153"/>
      <c r="T477" s="153"/>
      <c r="U477" s="153"/>
      <c r="V477" s="153"/>
      <c r="W477" s="153"/>
      <c r="X477" s="153"/>
      <c r="Y477" s="153"/>
      <c r="Z477" s="153"/>
      <c r="AA477" s="153"/>
      <c r="AB477" s="153"/>
      <c r="AC477" s="153"/>
    </row>
    <row r="478">
      <c r="A478" s="152" t="s">
        <v>342</v>
      </c>
      <c r="B478" s="133" t="str">
        <f>IFERROR(__xludf.DUMMYFUNCTION("FILTER ('Research Papers'!D:D,'Research Papers'!A:A=C478)"),"TraceLLM: Evaluating and Exploring Large Language Models on Trace Analysis in Microservice-based Web Applications")</f>
        <v>TraceLLM: Evaluating and Exploring Large Language Models on Trace Analysis in Microservice-based Web Applications</v>
      </c>
      <c r="C478" s="133" t="s">
        <v>841</v>
      </c>
      <c r="D478" s="153" t="str">
        <f t="shared" si="1"/>
        <v>TraceLLM: Evaluating and Exploring Large Language Models on Trace Analysis in Microservice-based Web Applications
Tong Zhou, Xin Peng, Jie Zhang, Chaofeng Sha, Chenxi Zhang,
Zicheng Yuan and Senyu Xie
</v>
      </c>
      <c r="E478" s="153" t="str">
        <f>IFERROR(__xludf.DUMMYFUNCTION("TEXTJOIN(CHAR(10), TRUE,FILTER('Research Papers'!$C:$C,'Research Papers'!$A:$A=C478))"),"Tong Zhou, Xin Peng, Jie Zhang, Chaofeng Sha, Chenxi Zhang,
Zicheng Yuan and Senyu Xie")</f>
        <v>Tong Zhou, Xin Peng, Jie Zhang, Chaofeng Sha, Chenxi Zhang,
Zicheng Yuan and Senyu Xie</v>
      </c>
      <c r="F478" s="133" t="s">
        <v>223</v>
      </c>
      <c r="G478" s="133" t="s">
        <v>117</v>
      </c>
      <c r="H478" s="153"/>
      <c r="I478" s="120"/>
      <c r="J478" s="120"/>
      <c r="K478" s="153"/>
      <c r="L478" s="153"/>
      <c r="M478" s="153"/>
      <c r="N478" s="153"/>
      <c r="O478" s="153"/>
      <c r="P478" s="153"/>
      <c r="Q478" s="153"/>
      <c r="R478" s="153"/>
      <c r="S478" s="153"/>
      <c r="T478" s="153"/>
      <c r="U478" s="153"/>
      <c r="V478" s="153"/>
      <c r="W478" s="153"/>
      <c r="X478" s="153"/>
      <c r="Y478" s="153"/>
      <c r="Z478" s="153"/>
      <c r="AA478" s="153"/>
      <c r="AB478" s="153"/>
      <c r="AC478" s="153"/>
    </row>
    <row r="479">
      <c r="A479" s="152" t="s">
        <v>342</v>
      </c>
      <c r="B479" s="133" t="str">
        <f>IFERROR(__xludf.DUMMYFUNCTION("FILTER ('Research Papers'!D:D,'Research Papers'!A:A=C479)"),"Broken Promise: Differential Analysis of Functional Discrepancies Between WebAssembly and Native Binaries")</f>
        <v>Broken Promise: Differential Analysis of Functional Discrepancies Between WebAssembly and Native Binaries</v>
      </c>
      <c r="C479" s="133" t="s">
        <v>842</v>
      </c>
      <c r="D479" s="153" t="str">
        <f t="shared" si="1"/>
        <v>Broken Promise: Differential Analysis of Functional Discrepancies Between WebAssembly and Native Binaries
Xiao Wu, Alan Romano, Liyan Huang, Qiwen Yan, Cai Fu and
Weihang Wang
</v>
      </c>
      <c r="E479" s="153" t="str">
        <f>IFERROR(__xludf.DUMMYFUNCTION("TEXTJOIN(CHAR(10), TRUE,FILTER('Research Papers'!$C:$C,'Research Papers'!$A:$A=C479))"),"Xiao Wu, Alan Romano, Liyan Huang, Qiwen Yan, Cai Fu and
Weihang Wang")</f>
        <v>Xiao Wu, Alan Romano, Liyan Huang, Qiwen Yan, Cai Fu and
Weihang Wang</v>
      </c>
      <c r="F479" s="133" t="s">
        <v>223</v>
      </c>
      <c r="G479" s="133" t="s">
        <v>117</v>
      </c>
      <c r="H479" s="153"/>
      <c r="I479" s="120"/>
      <c r="J479" s="120"/>
      <c r="K479" s="153"/>
      <c r="L479" s="153"/>
      <c r="M479" s="153"/>
      <c r="N479" s="153"/>
      <c r="O479" s="153"/>
      <c r="P479" s="153"/>
      <c r="Q479" s="153"/>
      <c r="R479" s="153"/>
      <c r="S479" s="153"/>
      <c r="T479" s="153"/>
      <c r="U479" s="153"/>
      <c r="V479" s="153"/>
      <c r="W479" s="153"/>
      <c r="X479" s="153"/>
      <c r="Y479" s="153"/>
      <c r="Z479" s="153"/>
      <c r="AA479" s="153"/>
      <c r="AB479" s="153"/>
      <c r="AC479" s="153"/>
    </row>
    <row r="480">
      <c r="A480" s="152" t="s">
        <v>342</v>
      </c>
      <c r="B480" s="133" t="str">
        <f>IFERROR(__xludf.DUMMYFUNCTION("FILTER ('Research Papers'!D:D,'Research Papers'!A:A=C480)"),"Self-Speculative Decoding for On-device MoE Acceleration")</f>
        <v>Self-Speculative Decoding for On-device MoE Acceleration</v>
      </c>
      <c r="C480" s="133" t="s">
        <v>843</v>
      </c>
      <c r="D480" s="153" t="str">
        <f t="shared" si="1"/>
        <v>Self-Speculative Decoding for On-device MoE Acceleration
Peirong Zheng, Wenchao Xu and Haozhao Wang
</v>
      </c>
      <c r="E480" s="153" t="str">
        <f>IFERROR(__xludf.DUMMYFUNCTION("TEXTJOIN(CHAR(10), TRUE,FILTER('Research Papers'!$C:$C,'Research Papers'!$A:$A=C480))"),"Peirong Zheng, Wenchao Xu and Haozhao Wang")</f>
        <v>Peirong Zheng, Wenchao Xu and Haozhao Wang</v>
      </c>
      <c r="F480" s="133" t="s">
        <v>223</v>
      </c>
      <c r="G480" s="133" t="s">
        <v>117</v>
      </c>
      <c r="H480" s="153"/>
      <c r="I480" s="120"/>
      <c r="J480" s="120"/>
      <c r="K480" s="153"/>
      <c r="L480" s="153"/>
      <c r="M480" s="153"/>
      <c r="N480" s="153"/>
      <c r="O480" s="153"/>
      <c r="P480" s="153"/>
      <c r="Q480" s="153"/>
      <c r="R480" s="153"/>
      <c r="S480" s="153"/>
      <c r="T480" s="153"/>
      <c r="U480" s="153"/>
      <c r="V480" s="153"/>
      <c r="W480" s="153"/>
      <c r="X480" s="153"/>
      <c r="Y480" s="153"/>
      <c r="Z480" s="153"/>
      <c r="AA480" s="153"/>
      <c r="AB480" s="153"/>
      <c r="AC480" s="153"/>
    </row>
    <row r="481">
      <c r="A481" s="152" t="s">
        <v>342</v>
      </c>
      <c r="B481" s="133" t="str">
        <f>IFERROR(__xludf.DUMMYFUNCTION("FILTER ('Research Papers'!D:D,'Research Papers'!A:A=C481)"),"HeteroSim: Towards High-Fidelity Heterogeneous LLM Training Simulation on GPUs")</f>
        <v>HeteroSim: Towards High-Fidelity Heterogeneous LLM Training Simulation on GPUs</v>
      </c>
      <c r="C481" s="133" t="s">
        <v>844</v>
      </c>
      <c r="D481" s="153" t="str">
        <f t="shared" si="1"/>
        <v>HeteroSim: Towards High-Fidelity Heterogeneous LLM Training Simulation on GPUs
Xiaofei Yue, Fangming Zhao, Fulun Ye, Jiongchi Yu, Zhaoxuan
Li, Tingting Li, Ziming Zhao and Jianwei Yin
</v>
      </c>
      <c r="E481" s="153" t="str">
        <f>IFERROR(__xludf.DUMMYFUNCTION("TEXTJOIN(CHAR(10), TRUE,FILTER('Research Papers'!$C:$C,'Research Papers'!$A:$A=C481))"),"Xiaofei Yue, Fangming Zhao, Fulun Ye, Jiongchi Yu, Zhaoxuan
Li, Tingting Li, Ziming Zhao and Jianwei Yin")</f>
        <v>Xiaofei Yue, Fangming Zhao, Fulun Ye, Jiongchi Yu, Zhaoxuan
Li, Tingting Li, Ziming Zhao and Jianwei Yin</v>
      </c>
      <c r="F481" s="133" t="s">
        <v>223</v>
      </c>
      <c r="G481" s="133" t="s">
        <v>117</v>
      </c>
      <c r="H481" s="153"/>
      <c r="I481" s="120"/>
      <c r="J481" s="120"/>
      <c r="K481" s="153"/>
      <c r="L481" s="153"/>
      <c r="M481" s="153"/>
      <c r="N481" s="153"/>
      <c r="O481" s="153"/>
      <c r="P481" s="153"/>
      <c r="Q481" s="153"/>
      <c r="R481" s="153"/>
      <c r="S481" s="153"/>
      <c r="T481" s="153"/>
      <c r="U481" s="153"/>
      <c r="V481" s="153"/>
      <c r="W481" s="153"/>
      <c r="X481" s="153"/>
      <c r="Y481" s="153"/>
      <c r="Z481" s="153"/>
      <c r="AA481" s="153"/>
      <c r="AB481" s="153"/>
      <c r="AC481" s="153"/>
    </row>
    <row r="482">
      <c r="A482" s="152" t="s">
        <v>342</v>
      </c>
      <c r="B482" s="133" t="str">
        <f>IFERROR(__xludf.DUMMYFUNCTION("FILTER ('Research Papers'!D:D,'Research Papers'!A:A=C482)"),"Curiosity Driven Knowledge Retrieval for Mobile Agents")</f>
        <v>Curiosity Driven Knowledge Retrieval for Mobile Agents</v>
      </c>
      <c r="C482" s="133" t="s">
        <v>845</v>
      </c>
      <c r="D482" s="153" t="str">
        <f t="shared" si="1"/>
        <v>Curiosity Driven Knowledge Retrieval for Mobile Agents
Sijia Li, Xiaoyu Tan, Shahir Ali, Niels Schmidt, Gengchen
Ma and Xihe Qiu
</v>
      </c>
      <c r="E482" s="153" t="str">
        <f>IFERROR(__xludf.DUMMYFUNCTION("TEXTJOIN(CHAR(10), TRUE,FILTER('Research Papers'!$C:$C,'Research Papers'!$A:$A=C482))"),"Sijia Li, Xiaoyu Tan, Shahir Ali, Niels Schmidt, Gengchen
Ma and Xihe Qiu")</f>
        <v>Sijia Li, Xiaoyu Tan, Shahir Ali, Niels Schmidt, Gengchen
Ma and Xihe Qiu</v>
      </c>
      <c r="F482" s="133" t="s">
        <v>223</v>
      </c>
      <c r="G482" s="133" t="s">
        <v>117</v>
      </c>
      <c r="H482" s="153"/>
      <c r="I482" s="120"/>
      <c r="J482" s="120"/>
      <c r="K482" s="153"/>
      <c r="L482" s="153"/>
      <c r="M482" s="153"/>
      <c r="N482" s="153"/>
      <c r="O482" s="153"/>
      <c r="P482" s="153"/>
      <c r="Q482" s="153"/>
      <c r="R482" s="153"/>
      <c r="S482" s="153"/>
      <c r="T482" s="153"/>
      <c r="U482" s="153"/>
      <c r="V482" s="153"/>
      <c r="W482" s="153"/>
      <c r="X482" s="153"/>
      <c r="Y482" s="153"/>
      <c r="Z482" s="153"/>
      <c r="AA482" s="153"/>
      <c r="AB482" s="153"/>
      <c r="AC482" s="153"/>
    </row>
    <row r="483">
      <c r="A483" s="152" t="s">
        <v>424</v>
      </c>
      <c r="B483" s="133" t="str">
        <f>IFERROR(__xludf.DUMMYFUNCTION("FILTER ('Research Papers'!D:D,'Research Papers'!A:A=C483)"),"Prototype Augmentation-based Edge-end Heterogeneous Collaborative Learning")</f>
        <v>Prototype Augmentation-based Edge-end Heterogeneous Collaborative Learning</v>
      </c>
      <c r="C483" s="133" t="s">
        <v>846</v>
      </c>
      <c r="D483" s="153" t="str">
        <f t="shared" si="1"/>
        <v>Prototype Augmentation-based Edge-end Heterogeneous Collaborative Learning
Enze Yu, Penghuan Cheng, Haipeng Dai, Haihan Zhang, Sujin
Hou, Meng Li, Zhenzhe Zheng, Qiang He and Guihai Chen
</v>
      </c>
      <c r="E483" s="153" t="str">
        <f>IFERROR(__xludf.DUMMYFUNCTION("TEXTJOIN(CHAR(10), TRUE,FILTER('Research Papers'!$C:$C,'Research Papers'!$A:$A=C483))"),"Enze Yu, Penghuan Cheng, Haipeng Dai, Haihan Zhang, Sujin
Hou, Meng Li, Zhenzhe Zheng, Qiang He and Guihai Chen")</f>
        <v>Enze Yu, Penghuan Cheng, Haipeng Dai, Haihan Zhang, Sujin
Hou, Meng Li, Zhenzhe Zheng, Qiang He and Guihai Chen</v>
      </c>
      <c r="F483" s="133" t="s">
        <v>223</v>
      </c>
      <c r="G483" s="133" t="s">
        <v>117</v>
      </c>
      <c r="H483" s="153"/>
      <c r="I483" s="120"/>
      <c r="J483" s="120"/>
      <c r="K483" s="153"/>
      <c r="L483" s="153"/>
      <c r="M483" s="153"/>
      <c r="N483" s="153"/>
      <c r="O483" s="153"/>
      <c r="P483" s="153"/>
      <c r="Q483" s="153"/>
      <c r="R483" s="153"/>
      <c r="S483" s="153"/>
      <c r="T483" s="153"/>
      <c r="U483" s="153"/>
      <c r="V483" s="153"/>
      <c r="W483" s="153"/>
      <c r="X483" s="153"/>
      <c r="Y483" s="153"/>
      <c r="Z483" s="153"/>
      <c r="AA483" s="153"/>
      <c r="AB483" s="153"/>
      <c r="AC483" s="153"/>
    </row>
    <row r="484">
      <c r="A484" s="152" t="s">
        <v>342</v>
      </c>
      <c r="B484" s="133" t="str">
        <f>IFERROR(__xludf.DUMMYFUNCTION("FILTER ('Research Papers'!D:D,'Research Papers'!A:A=C484)"),"Octopus: Vehicle-to-Road Collaborative Perception for Autonomous Driving with Closed-Loop Fusion")</f>
        <v>Octopus: Vehicle-to-Road Collaborative Perception for Autonomous Driving with Closed-Loop Fusion</v>
      </c>
      <c r="C484" s="133" t="s">
        <v>847</v>
      </c>
      <c r="D484" s="153" t="str">
        <f t="shared" si="1"/>
        <v>Octopus: Vehicle-to-Road Collaborative Perception for Autonomous Driving with Closed-Loop Fusion
Ruikun Luo, Jiadong Zhao, Peize Su, Jieming Yang, Jing
Yang, Yuan Gao, Minhui Xue and Xiaoyu Xia
</v>
      </c>
      <c r="E484" s="153" t="str">
        <f>IFERROR(__xludf.DUMMYFUNCTION("TEXTJOIN(CHAR(10), TRUE,FILTER('Research Papers'!$C:$C,'Research Papers'!$A:$A=C484))"),"Ruikun Luo, Jiadong Zhao, Peize Su, Jieming Yang, Jing
Yang, Yuan Gao, Minhui Xue and Xiaoyu Xia")</f>
        <v>Ruikun Luo, Jiadong Zhao, Peize Su, Jieming Yang, Jing
Yang, Yuan Gao, Minhui Xue and Xiaoyu Xia</v>
      </c>
      <c r="F484" s="133" t="s">
        <v>223</v>
      </c>
      <c r="G484" s="133" t="s">
        <v>117</v>
      </c>
      <c r="H484" s="153"/>
      <c r="I484" s="120"/>
      <c r="J484" s="120"/>
      <c r="K484" s="153"/>
      <c r="L484" s="153"/>
      <c r="M484" s="153"/>
      <c r="N484" s="153"/>
      <c r="O484" s="153"/>
      <c r="P484" s="153"/>
      <c r="Q484" s="153"/>
      <c r="R484" s="153"/>
      <c r="S484" s="153"/>
      <c r="T484" s="153"/>
      <c r="U484" s="153"/>
      <c r="V484" s="153"/>
      <c r="W484" s="153"/>
      <c r="X484" s="153"/>
      <c r="Y484" s="153"/>
      <c r="Z484" s="153"/>
      <c r="AA484" s="153"/>
      <c r="AB484" s="153"/>
      <c r="AC484" s="153"/>
    </row>
    <row r="485">
      <c r="A485" s="152" t="s">
        <v>342</v>
      </c>
      <c r="B485" s="133" t="str">
        <f>IFERROR(__xludf.DUMMYFUNCTION("FILTER ('Research Papers'!D:D,'Research Papers'!A:A=C485)"),"ViTs: Teaching Machines to See Time Series Anomalies Like Human Experts")</f>
        <v>ViTs: Teaching Machines to See Time Series Anomalies Like Human Experts</v>
      </c>
      <c r="C485" s="133" t="s">
        <v>848</v>
      </c>
      <c r="D485" s="153" t="str">
        <f t="shared" si="1"/>
        <v>ViTs: Teaching Machines to See Time Series Anomalies Like Human Experts
Zexin Wang, Changhua Pei, Yang Liu, Hengyue Jiang, Quan
Zhou, Haotian Si, Hang Cui, Jianhui Li, Gaogang Xie,
Jingjing Li and Dan Pei
</v>
      </c>
      <c r="E485" s="153" t="str">
        <f>IFERROR(__xludf.DUMMYFUNCTION("TEXTJOIN(CHAR(10), TRUE,FILTER('Research Papers'!$C:$C,'Research Papers'!$A:$A=C485))"),"Zexin Wang, Changhua Pei, Yang Liu, Hengyue Jiang, Quan
Zhou, Haotian Si, Hang Cui, Jianhui Li, Gaogang Xie,
Jingjing Li and Dan Pei")</f>
        <v>Zexin Wang, Changhua Pei, Yang Liu, Hengyue Jiang, Quan
Zhou, Haotian Si, Hang Cui, Jianhui Li, Gaogang Xie,
Jingjing Li and Dan Pei</v>
      </c>
      <c r="F485" s="133" t="s">
        <v>223</v>
      </c>
      <c r="G485" s="133" t="s">
        <v>344</v>
      </c>
      <c r="H485" s="153"/>
      <c r="I485" s="120"/>
      <c r="J485" s="120"/>
      <c r="K485" s="153"/>
      <c r="L485" s="153"/>
      <c r="M485" s="153"/>
      <c r="N485" s="153"/>
      <c r="O485" s="153"/>
      <c r="P485" s="153"/>
      <c r="Q485" s="153"/>
      <c r="R485" s="153"/>
      <c r="S485" s="153"/>
      <c r="T485" s="153"/>
      <c r="U485" s="153"/>
      <c r="V485" s="153"/>
      <c r="W485" s="153"/>
      <c r="X485" s="153"/>
      <c r="Y485" s="153"/>
      <c r="Z485" s="153"/>
      <c r="AA485" s="153"/>
      <c r="AB485" s="153"/>
      <c r="AC485" s="153"/>
    </row>
    <row r="486">
      <c r="A486" s="152" t="s">
        <v>342</v>
      </c>
      <c r="B486" s="133" t="str">
        <f>IFERROR(__xludf.DUMMYFUNCTION("FILTER ('Research Papers'!D:D,'Research Papers'!A:A=C486)"),"FSDI: Frequency-Shaped Diffusion For Time-Series Imputation")</f>
        <v>FSDI: Frequency-Shaped Diffusion For Time-Series Imputation</v>
      </c>
      <c r="C486" s="133" t="s">
        <v>849</v>
      </c>
      <c r="D486" s="153" t="str">
        <f t="shared" si="1"/>
        <v>FSDI: Frequency-Shaped Diffusion For Time-Series Imputation
Wangmeng Shen, Hongfan Gao, Qingsong Zhong, Dingli Xu and
Jilin Hu
</v>
      </c>
      <c r="E486" s="153" t="str">
        <f>IFERROR(__xludf.DUMMYFUNCTION("TEXTJOIN(CHAR(10), TRUE,FILTER('Research Papers'!$C:$C,'Research Papers'!$A:$A=C486))"),"Wangmeng Shen, Hongfan Gao, Qingsong Zhong, Dingli Xu and
Jilin Hu")</f>
        <v>Wangmeng Shen, Hongfan Gao, Qingsong Zhong, Dingli Xu and
Jilin Hu</v>
      </c>
      <c r="F486" s="133" t="s">
        <v>223</v>
      </c>
      <c r="G486" s="133" t="s">
        <v>344</v>
      </c>
      <c r="H486" s="153"/>
      <c r="I486" s="120"/>
      <c r="J486" s="120"/>
      <c r="K486" s="153"/>
      <c r="L486" s="153"/>
      <c r="M486" s="153"/>
      <c r="N486" s="153"/>
      <c r="O486" s="153"/>
      <c r="P486" s="153"/>
      <c r="Q486" s="153"/>
      <c r="R486" s="153"/>
      <c r="S486" s="153"/>
      <c r="T486" s="153"/>
      <c r="U486" s="153"/>
      <c r="V486" s="153"/>
      <c r="W486" s="153"/>
      <c r="X486" s="153"/>
      <c r="Y486" s="153"/>
      <c r="Z486" s="153"/>
      <c r="AA486" s="153"/>
      <c r="AB486" s="153"/>
      <c r="AC486" s="153"/>
    </row>
    <row r="487">
      <c r="A487" s="152" t="s">
        <v>342</v>
      </c>
      <c r="B487" s="133" t="str">
        <f>IFERROR(__xludf.DUMMYFUNCTION("FILTER ('Research Papers'!D:D,'Research Papers'!A:A=C487)"),"Automated Model Selection for Multivariate Time Series Forecasting")</f>
        <v>Automated Model Selection for Multivariate Time Series Forecasting</v>
      </c>
      <c r="C487" s="133" t="s">
        <v>850</v>
      </c>
      <c r="D487" s="153" t="str">
        <f t="shared" si="1"/>
        <v>Automated Model Selection for Multivariate Time Series Forecasting
Xiaoxuan Fan, Jiaqi Sun, Xianjun Deng, Qiankun Zhang, Wei
Xiang, Shenghao Liu and Lingzhi Yi
</v>
      </c>
      <c r="E487" s="153" t="str">
        <f>IFERROR(__xludf.DUMMYFUNCTION("TEXTJOIN(CHAR(10), TRUE,FILTER('Research Papers'!$C:$C,'Research Papers'!$A:$A=C487))"),"Xiaoxuan Fan, Jiaqi Sun, Xianjun Deng, Qiankun Zhang, Wei
Xiang, Shenghao Liu and Lingzhi Yi")</f>
        <v>Xiaoxuan Fan, Jiaqi Sun, Xianjun Deng, Qiankun Zhang, Wei
Xiang, Shenghao Liu and Lingzhi Yi</v>
      </c>
      <c r="F487" s="133" t="s">
        <v>223</v>
      </c>
      <c r="G487" s="133" t="s">
        <v>344</v>
      </c>
      <c r="H487" s="153"/>
      <c r="I487" s="120"/>
      <c r="J487" s="120"/>
      <c r="K487" s="153"/>
      <c r="L487" s="153"/>
      <c r="M487" s="153"/>
      <c r="N487" s="153"/>
      <c r="O487" s="153"/>
      <c r="P487" s="153"/>
      <c r="Q487" s="153"/>
      <c r="R487" s="153"/>
      <c r="S487" s="153"/>
      <c r="T487" s="153"/>
      <c r="U487" s="153"/>
      <c r="V487" s="153"/>
      <c r="W487" s="153"/>
      <c r="X487" s="153"/>
      <c r="Y487" s="153"/>
      <c r="Z487" s="153"/>
      <c r="AA487" s="153"/>
      <c r="AB487" s="153"/>
      <c r="AC487" s="153"/>
    </row>
    <row r="488">
      <c r="A488" s="152" t="s">
        <v>342</v>
      </c>
      <c r="B488" s="133" t="str">
        <f>IFERROR(__xludf.DUMMYFUNCTION("FILTER ('Research Papers'!D:D,'Research Papers'!A:A=C488)"),"Energy-Efficient and Dequantization-Free Quantization of LLMs: A Spiking Neural Network Approach to Salient Value Mitigation")</f>
        <v>Energy-Efficient and Dequantization-Free Quantization of LLMs: A Spiking Neural Network Approach to Salient Value Mitigation</v>
      </c>
      <c r="C488" s="133" t="s">
        <v>851</v>
      </c>
      <c r="D488" s="153" t="str">
        <f t="shared" si="1"/>
        <v>Energy-Efficient and Dequantization-Free Quantization of LLMs: A Spiking Neural Network Approach to Salient Value Mitigation
Chenyu Wang, Zhanglu Yan, Zhi Zhou, Xu Chen and Weng-Fai
Wong
</v>
      </c>
      <c r="E488" s="153" t="str">
        <f>IFERROR(__xludf.DUMMYFUNCTION("TEXTJOIN(CHAR(10), TRUE,FILTER('Research Papers'!$C:$C,'Research Papers'!$A:$A=C488))"),"Chenyu Wang, Zhanglu Yan, Zhi Zhou, Xu Chen and Weng-Fai
Wong")</f>
        <v>Chenyu Wang, Zhanglu Yan, Zhi Zhou, Xu Chen and Weng-Fai
Wong</v>
      </c>
      <c r="F488" s="133" t="s">
        <v>223</v>
      </c>
      <c r="G488" s="133" t="s">
        <v>344</v>
      </c>
      <c r="H488" s="153"/>
      <c r="I488" s="120"/>
      <c r="J488" s="120"/>
      <c r="K488" s="153"/>
      <c r="L488" s="153"/>
      <c r="M488" s="153"/>
      <c r="N488" s="153"/>
      <c r="O488" s="153"/>
      <c r="P488" s="153"/>
      <c r="Q488" s="153"/>
      <c r="R488" s="153"/>
      <c r="S488" s="153"/>
      <c r="T488" s="153"/>
      <c r="U488" s="153"/>
      <c r="V488" s="153"/>
      <c r="W488" s="153"/>
      <c r="X488" s="153"/>
      <c r="Y488" s="153"/>
      <c r="Z488" s="153"/>
      <c r="AA488" s="153"/>
      <c r="AB488" s="153"/>
      <c r="AC488" s="153"/>
    </row>
    <row r="489">
      <c r="A489" s="156" t="s">
        <v>342</v>
      </c>
      <c r="B489" s="157" t="str">
        <f>IFERROR(__xludf.DUMMYFUNCTION("FILTER ('Research Papers'!D:D,'Research Papers'!A:A=C489)"),"RAFed: Responsive Augmentation and Approximate Update Method for Federated Learning with Non-IID Data")</f>
        <v>RAFed: Responsive Augmentation and Approximate Update Method for Federated Learning with Non-IID Data</v>
      </c>
      <c r="C489" s="157" t="s">
        <v>852</v>
      </c>
      <c r="D489" s="158" t="str">
        <f t="shared" si="1"/>
        <v>RAFed: Responsive Augmentation and Approximate Update Method for Federated Learning with Non-IID Data
Yicheng Di and Zhanjie Zhang
</v>
      </c>
      <c r="E489" s="158" t="str">
        <f>IFERROR(__xludf.DUMMYFUNCTION("TEXTJOIN(CHAR(10), TRUE,FILTER('Research Papers'!$C:$C,'Research Papers'!$A:$A=C489))"),"Yicheng Di and Zhanjie Zhang")</f>
        <v>Yicheng Di and Zhanjie Zhang</v>
      </c>
      <c r="F489" s="157" t="s">
        <v>223</v>
      </c>
      <c r="G489" s="133" t="s">
        <v>185</v>
      </c>
      <c r="H489" s="158"/>
      <c r="I489" s="159"/>
      <c r="J489" s="159"/>
      <c r="K489" s="158"/>
      <c r="L489" s="158"/>
      <c r="M489" s="158"/>
      <c r="N489" s="158"/>
      <c r="O489" s="158"/>
      <c r="P489" s="158"/>
      <c r="Q489" s="158"/>
      <c r="R489" s="158"/>
      <c r="S489" s="158"/>
      <c r="T489" s="158"/>
      <c r="U489" s="158"/>
      <c r="V489" s="158"/>
      <c r="W489" s="158"/>
      <c r="X489" s="158"/>
      <c r="Y489" s="158"/>
      <c r="Z489" s="158"/>
      <c r="AA489" s="158"/>
      <c r="AB489" s="158"/>
      <c r="AC489" s="158"/>
    </row>
    <row r="490">
      <c r="A490" s="152" t="s">
        <v>342</v>
      </c>
      <c r="B490" s="133" t="str">
        <f>IFERROR(__xludf.DUMMYFUNCTION("FILTER ('Research Papers'!D:D,'Research Papers'!A:A=C490)"),"Enhancing Federated Class-Incremental Learning via Spatial-Temporal Statistics Aggregation")</f>
        <v>Enhancing Federated Class-Incremental Learning via Spatial-Temporal Statistics Aggregation</v>
      </c>
      <c r="C490" s="133" t="s">
        <v>853</v>
      </c>
      <c r="D490" s="153" t="str">
        <f t="shared" si="1"/>
        <v>Enhancing Federated Class-Incremental Learning via Spatial-Temporal Statistics Aggregation
Zenghao Guan, Guojun Zhu, Yucan Zhou, Wu Liu, Weiping Wang,
Jiebo Luo and Xiaoyan Gu
</v>
      </c>
      <c r="E490" s="153" t="str">
        <f>IFERROR(__xludf.DUMMYFUNCTION("TEXTJOIN(CHAR(10), TRUE,FILTER('Research Papers'!$C:$C,'Research Papers'!$A:$A=C490))"),"Zenghao Guan, Guojun Zhu, Yucan Zhou, Wu Liu, Weiping Wang,
Jiebo Luo and Xiaoyan Gu")</f>
        <v>Zenghao Guan, Guojun Zhu, Yucan Zhou, Wu Liu, Weiping Wang,
Jiebo Luo and Xiaoyan Gu</v>
      </c>
      <c r="F490" s="133" t="s">
        <v>223</v>
      </c>
      <c r="G490" s="133" t="s">
        <v>344</v>
      </c>
      <c r="H490" s="153"/>
      <c r="I490" s="120"/>
      <c r="J490" s="120"/>
      <c r="K490" s="153"/>
      <c r="L490" s="153"/>
      <c r="M490" s="153"/>
      <c r="N490" s="153"/>
      <c r="O490" s="153"/>
      <c r="P490" s="153"/>
      <c r="Q490" s="153"/>
      <c r="R490" s="153"/>
      <c r="S490" s="153"/>
      <c r="T490" s="153"/>
      <c r="U490" s="153"/>
      <c r="V490" s="153"/>
      <c r="W490" s="153"/>
      <c r="X490" s="153"/>
      <c r="Y490" s="153"/>
      <c r="Z490" s="153"/>
      <c r="AA490" s="153"/>
      <c r="AB490" s="153"/>
      <c r="AC490" s="153"/>
    </row>
    <row r="491">
      <c r="A491" s="152" t="s">
        <v>342</v>
      </c>
      <c r="B491" s="133" t="str">
        <f>IFERROR(__xludf.DUMMYFUNCTION("FILTER ('Research Papers'!D:D,'Research Papers'!A:A=C491)"),"Starlink in the Wild: Multi-Perspective Measurements via DNS")</f>
        <v>Starlink in the Wild: Multi-Perspective Measurements via DNS</v>
      </c>
      <c r="C491" s="133" t="s">
        <v>854</v>
      </c>
      <c r="D491" s="153" t="str">
        <f t="shared" si="1"/>
        <v>Starlink in the Wild: Multi-Perspective Measurements via DNS
Ruoxuan Xia, Bingyu Li, Zhenyu Chen, Pengyu Yuan, Yunjia
Wang, Xiaofeng Zheng and Jingqiang Lin
</v>
      </c>
      <c r="E491" s="153" t="str">
        <f>IFERROR(__xludf.DUMMYFUNCTION("TEXTJOIN(CHAR(10), TRUE,FILTER('Research Papers'!$C:$C,'Research Papers'!$A:$A=C491))"),"Ruoxuan Xia, Bingyu Li, Zhenyu Chen, Pengyu Yuan, Yunjia
Wang, Xiaofeng Zheng and Jingqiang Lin")</f>
        <v>Ruoxuan Xia, Bingyu Li, Zhenyu Chen, Pengyu Yuan, Yunjia
Wang, Xiaofeng Zheng and Jingqiang Lin</v>
      </c>
      <c r="F491" s="133" t="s">
        <v>223</v>
      </c>
      <c r="G491" s="133" t="s">
        <v>344</v>
      </c>
      <c r="H491" s="153"/>
      <c r="I491" s="120"/>
      <c r="J491" s="120"/>
      <c r="K491" s="153"/>
      <c r="L491" s="153"/>
      <c r="M491" s="153"/>
      <c r="N491" s="153"/>
      <c r="O491" s="153"/>
      <c r="P491" s="153"/>
      <c r="Q491" s="153"/>
      <c r="R491" s="153"/>
      <c r="S491" s="153"/>
      <c r="T491" s="153"/>
      <c r="U491" s="153"/>
      <c r="V491" s="153"/>
      <c r="W491" s="153"/>
      <c r="X491" s="153"/>
      <c r="Y491" s="153"/>
      <c r="Z491" s="153"/>
      <c r="AA491" s="153"/>
      <c r="AB491" s="153"/>
      <c r="AC491" s="153"/>
    </row>
    <row r="492">
      <c r="A492" s="152" t="s">
        <v>342</v>
      </c>
      <c r="B492" s="133" t="str">
        <f>IFERROR(__xludf.DUMMYFUNCTION("FILTER ('Research Papers'!D:D,'Research Papers'!A:A=C492)"),"Can Multimodal LLMs Perform Time Series Anomaly Detection?")</f>
        <v>Can Multimodal LLMs Perform Time Series Anomaly Detection?</v>
      </c>
      <c r="C492" s="133" t="s">
        <v>855</v>
      </c>
      <c r="D492" s="153" t="str">
        <f t="shared" si="1"/>
        <v>Can Multimodal LLMs Perform Time Series Anomaly Detection?
Xiongxiao Xu, Haoran Wang, Yueqing Liang, Philip S. Yu, Yue
Zhao and Kai Shu
</v>
      </c>
      <c r="E492" s="153" t="str">
        <f>IFERROR(__xludf.DUMMYFUNCTION("TEXTJOIN(CHAR(10), TRUE,FILTER('Research Papers'!$C:$C,'Research Papers'!$A:$A=C492))"),"Xiongxiao Xu, Haoran Wang, Yueqing Liang, Philip S. Yu, Yue
Zhao and Kai Shu")</f>
        <v>Xiongxiao Xu, Haoran Wang, Yueqing Liang, Philip S. Yu, Yue
Zhao and Kai Shu</v>
      </c>
      <c r="F492" s="133" t="s">
        <v>223</v>
      </c>
      <c r="G492" s="133" t="s">
        <v>345</v>
      </c>
      <c r="H492" s="153"/>
      <c r="I492" s="120"/>
      <c r="J492" s="120"/>
      <c r="K492" s="153"/>
      <c r="L492" s="153"/>
      <c r="M492" s="153"/>
      <c r="N492" s="153"/>
      <c r="O492" s="153"/>
      <c r="P492" s="153"/>
      <c r="Q492" s="153"/>
      <c r="R492" s="153"/>
      <c r="S492" s="153"/>
      <c r="T492" s="153"/>
      <c r="U492" s="153"/>
      <c r="V492" s="153"/>
      <c r="W492" s="153"/>
      <c r="X492" s="153"/>
      <c r="Y492" s="153"/>
      <c r="Z492" s="153"/>
      <c r="AA492" s="153"/>
      <c r="AB492" s="153"/>
      <c r="AC492" s="153"/>
    </row>
    <row r="493">
      <c r="A493" s="152" t="s">
        <v>342</v>
      </c>
      <c r="B493" s="133" t="str">
        <f>IFERROR(__xludf.DUMMYFUNCTION("FILTER ('Research Papers'!D:D,'Research Papers'!A:A=C493)"),"MF^3: Multimodal Federated Learning with Dual-Path Mamba-Transformer for Metro Flow Prediction")</f>
        <v>MF^3: Multimodal Federated Learning with Dual-Path Mamba-Transformer for Metro Flow Prediction</v>
      </c>
      <c r="C493" s="133" t="s">
        <v>856</v>
      </c>
      <c r="D493" s="153" t="str">
        <f t="shared" si="1"/>
        <v>MF^3: Multimodal Federated Learning with Dual-Path Mamba-Transformer for Metro Flow Prediction
Bingjie Wang, Chao Zhang, Wentao Li and Deyu Li
</v>
      </c>
      <c r="E493" s="153" t="str">
        <f>IFERROR(__xludf.DUMMYFUNCTION("TEXTJOIN(CHAR(10), TRUE,FILTER('Research Papers'!$C:$C,'Research Papers'!$A:$A=C493))"),"Bingjie Wang, Chao Zhang, Wentao Li and Deyu Li")</f>
        <v>Bingjie Wang, Chao Zhang, Wentao Li and Deyu Li</v>
      </c>
      <c r="F493" s="133" t="s">
        <v>223</v>
      </c>
      <c r="G493" s="133" t="s">
        <v>345</v>
      </c>
      <c r="H493" s="153"/>
      <c r="I493" s="120"/>
      <c r="J493" s="120"/>
      <c r="K493" s="153"/>
      <c r="L493" s="153"/>
      <c r="M493" s="153"/>
      <c r="N493" s="153"/>
      <c r="O493" s="153"/>
      <c r="P493" s="153"/>
      <c r="Q493" s="153"/>
      <c r="R493" s="153"/>
      <c r="S493" s="153"/>
      <c r="T493" s="153"/>
      <c r="U493" s="153"/>
      <c r="V493" s="153"/>
      <c r="W493" s="153"/>
      <c r="X493" s="153"/>
      <c r="Y493" s="153"/>
      <c r="Z493" s="153"/>
      <c r="AA493" s="153"/>
      <c r="AB493" s="153"/>
      <c r="AC493" s="153"/>
    </row>
    <row r="494">
      <c r="A494" s="152" t="s">
        <v>342</v>
      </c>
      <c r="B494" s="133" t="str">
        <f>IFERROR(__xludf.DUMMYFUNCTION("FILTER ('Research Papers'!D:D,'Research Papers'!A:A=C494)"),"An LLM-Powered Cooperative Framework for Large-Scale Multi-Vehicle Navigation")</f>
        <v>An LLM-Powered Cooperative Framework for Large-Scale Multi-Vehicle Navigation</v>
      </c>
      <c r="C494" s="133" t="s">
        <v>857</v>
      </c>
      <c r="D494" s="153" t="str">
        <f t="shared" si="1"/>
        <v>An LLM-Powered Cooperative Framework for Large-Scale Multi-Vehicle Navigation
Yuping Zhou, Siqi Lai, Jindong Han and Hao Liu
</v>
      </c>
      <c r="E494" s="153" t="str">
        <f>IFERROR(__xludf.DUMMYFUNCTION("TEXTJOIN(CHAR(10), TRUE,FILTER('Research Papers'!$C:$C,'Research Papers'!$A:$A=C494))"),"Yuping Zhou, Siqi Lai, Jindong Han and Hao Liu")</f>
        <v>Yuping Zhou, Siqi Lai, Jindong Han and Hao Liu</v>
      </c>
      <c r="F494" s="133" t="s">
        <v>223</v>
      </c>
      <c r="G494" s="133" t="s">
        <v>345</v>
      </c>
      <c r="H494" s="153"/>
      <c r="I494" s="120"/>
      <c r="J494" s="120"/>
      <c r="K494" s="153"/>
      <c r="L494" s="153"/>
      <c r="M494" s="153"/>
      <c r="N494" s="153"/>
      <c r="O494" s="153"/>
      <c r="P494" s="153"/>
      <c r="Q494" s="153"/>
      <c r="R494" s="153"/>
      <c r="S494" s="153"/>
      <c r="T494" s="153"/>
      <c r="U494" s="153"/>
      <c r="V494" s="153"/>
      <c r="W494" s="153"/>
      <c r="X494" s="153"/>
      <c r="Y494" s="153"/>
      <c r="Z494" s="153"/>
      <c r="AA494" s="153"/>
      <c r="AB494" s="153"/>
      <c r="AC494" s="153"/>
    </row>
    <row r="495">
      <c r="A495" s="152" t="s">
        <v>342</v>
      </c>
      <c r="B495" s="133" t="str">
        <f>IFERROR(__xludf.DUMMYFUNCTION("FILTER ('Research Papers'!D:D,'Research Papers'!A:A=C495)"),"Alzo: Auto-Tuning with Reinforcement Learning for DAG-based Blockchains")</f>
        <v>Alzo: Auto-Tuning with Reinforcement Learning for DAG-based Blockchains</v>
      </c>
      <c r="C495" s="133" t="s">
        <v>858</v>
      </c>
      <c r="D495" s="153" t="str">
        <f t="shared" si="1"/>
        <v>Alzo: Auto-Tuning with Reinforcement Learning for DAG-based Blockchains
Qiuyu Ding, Rongkai Zhang, Qinnan Zhang, Zhen Xiao, Jieyi
Long, Mingchao Wan, Sen Liu and Jin Dong
</v>
      </c>
      <c r="E495" s="153" t="str">
        <f>IFERROR(__xludf.DUMMYFUNCTION("TEXTJOIN(CHAR(10), TRUE,FILTER('Research Papers'!$C:$C,'Research Papers'!$A:$A=C495))"),"Qiuyu Ding, Rongkai Zhang, Qinnan Zhang, Zhen Xiao, Jieyi
Long, Mingchao Wan, Sen Liu and Jin Dong")</f>
        <v>Qiuyu Ding, Rongkai Zhang, Qinnan Zhang, Zhen Xiao, Jieyi
Long, Mingchao Wan, Sen Liu and Jin Dong</v>
      </c>
      <c r="F495" s="133" t="s">
        <v>223</v>
      </c>
      <c r="G495" s="133" t="s">
        <v>345</v>
      </c>
      <c r="H495" s="153"/>
      <c r="I495" s="120"/>
      <c r="J495" s="120"/>
      <c r="K495" s="153"/>
      <c r="L495" s="153"/>
      <c r="M495" s="153"/>
      <c r="N495" s="153"/>
      <c r="O495" s="153"/>
      <c r="P495" s="153"/>
      <c r="Q495" s="153"/>
      <c r="R495" s="153"/>
      <c r="S495" s="153"/>
      <c r="T495" s="153"/>
      <c r="U495" s="153"/>
      <c r="V495" s="153"/>
      <c r="W495" s="153"/>
      <c r="X495" s="153"/>
      <c r="Y495" s="153"/>
      <c r="Z495" s="153"/>
      <c r="AA495" s="153"/>
      <c r="AB495" s="153"/>
      <c r="AC495" s="153"/>
    </row>
    <row r="496">
      <c r="A496" s="152" t="s">
        <v>342</v>
      </c>
      <c r="B496" s="133" t="str">
        <f>IFERROR(__xludf.DUMMYFUNCTION("FILTER ('Research Papers'!D:D,'Research Papers'!A:A=C496)"),"Concordia: Enabling Low-Conflict Distributed Transaction Scheduling in Sharding Blockchain via Cooperative Perception")</f>
        <v>Concordia: Enabling Low-Conflict Distributed Transaction Scheduling in Sharding Blockchain via Cooperative Perception</v>
      </c>
      <c r="C496" s="133" t="s">
        <v>859</v>
      </c>
      <c r="D496" s="153" t="str">
        <f t="shared" si="1"/>
        <v>Concordia: Enabling Low-Conflict Distributed Transaction Scheduling in Sharding Blockchain via Cooperative Perception
Yanxiu Liu, Linpeng Jia, Xiaohu Yang, Zhongcheng Li and Yi
Sun
</v>
      </c>
      <c r="E496" s="153" t="str">
        <f>IFERROR(__xludf.DUMMYFUNCTION("TEXTJOIN(CHAR(10), TRUE,FILTER('Research Papers'!$C:$C,'Research Papers'!$A:$A=C496))"),"Yanxiu Liu, Linpeng Jia, Xiaohu Yang, Zhongcheng Li and Yi
Sun")</f>
        <v>Yanxiu Liu, Linpeng Jia, Xiaohu Yang, Zhongcheng Li and Yi
Sun</v>
      </c>
      <c r="F496" s="133" t="s">
        <v>223</v>
      </c>
      <c r="G496" s="133" t="s">
        <v>345</v>
      </c>
      <c r="H496" s="153"/>
      <c r="I496" s="120"/>
      <c r="J496" s="120"/>
      <c r="K496" s="153"/>
      <c r="L496" s="153"/>
      <c r="M496" s="153"/>
      <c r="N496" s="153"/>
      <c r="O496" s="153"/>
      <c r="P496" s="153"/>
      <c r="Q496" s="153"/>
      <c r="R496" s="153"/>
      <c r="S496" s="153"/>
      <c r="T496" s="153"/>
      <c r="U496" s="153"/>
      <c r="V496" s="153"/>
      <c r="W496" s="153"/>
      <c r="X496" s="153"/>
      <c r="Y496" s="153"/>
      <c r="Z496" s="153"/>
      <c r="AA496" s="153"/>
      <c r="AB496" s="153"/>
      <c r="AC496" s="153"/>
    </row>
    <row r="497">
      <c r="A497" s="152" t="s">
        <v>342</v>
      </c>
      <c r="B497" s="133" t="str">
        <f>IFERROR(__xludf.DUMMYFUNCTION("FILTER ('Research Papers'!D:D,'Research Papers'!A:A=C497)"),"SecureSplit: Mitigating Backdoor Attacks in Split Learning")</f>
        <v>SecureSplit: Mitigating Backdoor Attacks in Split Learning</v>
      </c>
      <c r="C497" s="133" t="s">
        <v>860</v>
      </c>
      <c r="D497" s="153" t="str">
        <f t="shared" si="1"/>
        <v>SecureSplit: Mitigating Backdoor Attacks in Split Learning
Zhihao Dou, Dongfei Cui, Weida Wang, Anjun Gao, Yueyang
Quan, Mengyao Ma, Viet Vo, Guangdong Bai, Zhuqing Liu and
Minghong Fang
</v>
      </c>
      <c r="E497" s="153" t="str">
        <f>IFERROR(__xludf.DUMMYFUNCTION("TEXTJOIN(CHAR(10), TRUE,FILTER('Research Papers'!$C:$C,'Research Papers'!$A:$A=C497))"),"Zhihao Dou, Dongfei Cui, Weida Wang, Anjun Gao, Yueyang
Quan, Mengyao Ma, Viet Vo, Guangdong Bai, Zhuqing Liu and
Minghong Fang")</f>
        <v>Zhihao Dou, Dongfei Cui, Weida Wang, Anjun Gao, Yueyang
Quan, Mengyao Ma, Viet Vo, Guangdong Bai, Zhuqing Liu and
Minghong Fang</v>
      </c>
      <c r="F497" s="133" t="s">
        <v>223</v>
      </c>
      <c r="G497" s="133" t="s">
        <v>345</v>
      </c>
      <c r="H497" s="153"/>
      <c r="I497" s="120"/>
      <c r="J497" s="120"/>
      <c r="K497" s="153"/>
      <c r="L497" s="153"/>
      <c r="M497" s="153"/>
      <c r="N497" s="153"/>
      <c r="O497" s="153"/>
      <c r="P497" s="153"/>
      <c r="Q497" s="153"/>
      <c r="R497" s="153"/>
      <c r="S497" s="153"/>
      <c r="T497" s="153"/>
      <c r="U497" s="153"/>
      <c r="V497" s="153"/>
      <c r="W497" s="153"/>
      <c r="X497" s="153"/>
      <c r="Y497" s="153"/>
      <c r="Z497" s="153"/>
      <c r="AA497" s="153"/>
      <c r="AB497" s="153"/>
      <c r="AC497" s="153"/>
    </row>
    <row r="498">
      <c r="A498" s="152" t="s">
        <v>342</v>
      </c>
      <c r="B498" s="133" t="str">
        <f>IFERROR(__xludf.DUMMYFUNCTION("FILTER ('Research Papers'!D:D,'Research Papers'!A:A=C498)"),"Predictability-Aware Compression and Decompression Framework for Multichannel Time Series Data with Latent Seasonality")</f>
        <v>Predictability-Aware Compression and Decompression Framework for Multichannel Time Series Data with Latent Seasonality</v>
      </c>
      <c r="C498" s="133" t="s">
        <v>861</v>
      </c>
      <c r="D498" s="153" t="str">
        <f t="shared" si="1"/>
        <v>Predictability-Aware Compression and Decompression Framework for Multichannel Time Series Data with Latent Seasonality
Ziqi Liu, Pei Zeng and Yi Ding
</v>
      </c>
      <c r="E498" s="153" t="str">
        <f>IFERROR(__xludf.DUMMYFUNCTION("TEXTJOIN(CHAR(10), TRUE,FILTER('Research Papers'!$C:$C,'Research Papers'!$A:$A=C498))"),"Ziqi Liu, Pei Zeng and Yi Ding")</f>
        <v>Ziqi Liu, Pei Zeng and Yi Ding</v>
      </c>
      <c r="F498" s="133" t="s">
        <v>223</v>
      </c>
      <c r="G498" s="133" t="s">
        <v>345</v>
      </c>
      <c r="H498" s="153"/>
      <c r="I498" s="120"/>
      <c r="J498" s="120"/>
      <c r="K498" s="153"/>
      <c r="L498" s="153"/>
      <c r="M498" s="153"/>
      <c r="N498" s="153"/>
      <c r="O498" s="153"/>
      <c r="P498" s="153"/>
      <c r="Q498" s="153"/>
      <c r="R498" s="153"/>
      <c r="S498" s="153"/>
      <c r="T498" s="153"/>
      <c r="U498" s="153"/>
      <c r="V498" s="153"/>
      <c r="W498" s="153"/>
      <c r="X498" s="153"/>
      <c r="Y498" s="153"/>
      <c r="Z498" s="153"/>
      <c r="AA498" s="153"/>
      <c r="AB498" s="153"/>
      <c r="AC498" s="153"/>
    </row>
    <row r="499">
      <c r="A499" s="152" t="s">
        <v>342</v>
      </c>
      <c r="B499" s="133" t="str">
        <f>IFERROR(__xludf.DUMMYFUNCTION("FILTER ('Research Papers'!D:D,'Research Papers'!A:A=C499)"),"Fate: Fast Edge Inference of Mixture-of-Experts Models via Cross-Layer Gate")</f>
        <v>Fate: Fast Edge Inference of Mixture-of-Experts Models via Cross-Layer Gate</v>
      </c>
      <c r="C499" s="133" t="s">
        <v>862</v>
      </c>
      <c r="D499" s="153" t="str">
        <f t="shared" si="1"/>
        <v>Fate: Fast Edge Inference of Mixture-of-Experts Models via Cross-Layer Gate
Zhiyuan Fang, Xingfan Yu, Yuegui Huang, Zicong Hong, Yufeng
Lyu, Wuhui Chen, Yue Yu and Fan Yu
</v>
      </c>
      <c r="E499" s="153" t="str">
        <f>IFERROR(__xludf.DUMMYFUNCTION("TEXTJOIN(CHAR(10), TRUE,FILTER('Research Papers'!$C:$C,'Research Papers'!$A:$A=C499))"),"Zhiyuan Fang, Xingfan Yu, Yuegui Huang, Zicong Hong, Yufeng
Lyu, Wuhui Chen, Yue Yu and Fan Yu")</f>
        <v>Zhiyuan Fang, Xingfan Yu, Yuegui Huang, Zicong Hong, Yufeng
Lyu, Wuhui Chen, Yue Yu and Fan Yu</v>
      </c>
      <c r="F499" s="133" t="s">
        <v>223</v>
      </c>
      <c r="G499" s="133" t="s">
        <v>185</v>
      </c>
      <c r="H499" s="153"/>
      <c r="I499" s="120"/>
      <c r="J499" s="120"/>
      <c r="K499" s="153"/>
      <c r="L499" s="153"/>
      <c r="M499" s="153"/>
      <c r="N499" s="153"/>
      <c r="O499" s="153"/>
      <c r="P499" s="153"/>
      <c r="Q499" s="153"/>
      <c r="R499" s="153"/>
      <c r="S499" s="153"/>
      <c r="T499" s="153"/>
      <c r="U499" s="153"/>
      <c r="V499" s="153"/>
      <c r="W499" s="153"/>
      <c r="X499" s="153"/>
      <c r="Y499" s="153"/>
      <c r="Z499" s="153"/>
      <c r="AA499" s="153"/>
      <c r="AB499" s="153"/>
      <c r="AC499" s="153"/>
    </row>
    <row r="500">
      <c r="A500" s="152" t="s">
        <v>342</v>
      </c>
      <c r="B500" s="133" t="str">
        <f>IFERROR(__xludf.DUMMYFUNCTION("FILTER ('Research Papers'!D:D,'Research Papers'!A:A=C500)"),"BIND: Enabling Continuous Transaction Processing During Account Migration in Sharded Blockchains")</f>
        <v>BIND: Enabling Continuous Transaction Processing During Account Migration in Sharded Blockchains</v>
      </c>
      <c r="C500" s="133" t="s">
        <v>863</v>
      </c>
      <c r="D500" s="153" t="str">
        <f t="shared" si="1"/>
        <v>BIND: Enabling Continuous Transaction Processing During Account Migration in Sharded Blockchains
Jiahao Qi, Dian Ding, Jie Li, Jiannong Cao, Yi-Chao Chen,
Guangtao Xue and Shengyun Liu
</v>
      </c>
      <c r="E500" s="153" t="str">
        <f>IFERROR(__xludf.DUMMYFUNCTION("TEXTJOIN(CHAR(10), TRUE,FILTER('Research Papers'!$C:$C,'Research Papers'!$A:$A=C500))"),"Jiahao Qi, Dian Ding, Jie Li, Jiannong Cao, Yi-Chao Chen,
Guangtao Xue and Shengyun Liu")</f>
        <v>Jiahao Qi, Dian Ding, Jie Li, Jiannong Cao, Yi-Chao Chen,
Guangtao Xue and Shengyun Liu</v>
      </c>
      <c r="F500" s="133" t="s">
        <v>223</v>
      </c>
      <c r="G500" s="133" t="s">
        <v>185</v>
      </c>
      <c r="H500" s="153"/>
      <c r="I500" s="120"/>
      <c r="J500" s="120"/>
      <c r="K500" s="153"/>
      <c r="L500" s="153"/>
      <c r="M500" s="153"/>
      <c r="N500" s="153"/>
      <c r="O500" s="153"/>
      <c r="P500" s="153"/>
      <c r="Q500" s="153"/>
      <c r="R500" s="153"/>
      <c r="S500" s="153"/>
      <c r="T500" s="153"/>
      <c r="U500" s="153"/>
      <c r="V500" s="153"/>
      <c r="W500" s="153"/>
      <c r="X500" s="153"/>
      <c r="Y500" s="153"/>
      <c r="Z500" s="153"/>
      <c r="AA500" s="153"/>
      <c r="AB500" s="153"/>
      <c r="AC500" s="153"/>
    </row>
    <row r="501">
      <c r="A501" s="152" t="s">
        <v>342</v>
      </c>
      <c r="B501" s="133" t="str">
        <f>IFERROR(__xludf.DUMMYFUNCTION("FILTER ('Research Papers'!D:D,'Research Papers'!A:A=C501)"),"Adaptive Model and Strategy Routing for Cost-Efficient LLM Services")</f>
        <v>Adaptive Model and Strategy Routing for Cost-Efficient LLM Services</v>
      </c>
      <c r="C501" s="133" t="s">
        <v>864</v>
      </c>
      <c r="D501" s="153" t="str">
        <f t="shared" si="1"/>
        <v>Adaptive Model and Strategy Routing for Cost-Efficient LLM Services
Zhihong Pan, Kai Zhang, Yuze Zhao and Yupeng Han
</v>
      </c>
      <c r="E501" s="153" t="str">
        <f>IFERROR(__xludf.DUMMYFUNCTION("TEXTJOIN(CHAR(10), TRUE,FILTER('Research Papers'!$C:$C,'Research Papers'!$A:$A=C501))"),"Zhihong Pan, Kai Zhang, Yuze Zhao and Yupeng Han")</f>
        <v>Zhihong Pan, Kai Zhang, Yuze Zhao and Yupeng Han</v>
      </c>
      <c r="F501" s="133" t="s">
        <v>223</v>
      </c>
      <c r="G501" s="133" t="s">
        <v>185</v>
      </c>
      <c r="H501" s="153"/>
      <c r="I501" s="120"/>
      <c r="J501" s="120"/>
      <c r="K501" s="153"/>
      <c r="L501" s="153"/>
      <c r="M501" s="153"/>
      <c r="N501" s="153"/>
      <c r="O501" s="153"/>
      <c r="P501" s="153"/>
      <c r="Q501" s="153"/>
      <c r="R501" s="153"/>
      <c r="S501" s="153"/>
      <c r="T501" s="153"/>
      <c r="U501" s="153"/>
      <c r="V501" s="153"/>
      <c r="W501" s="153"/>
      <c r="X501" s="153"/>
      <c r="Y501" s="153"/>
      <c r="Z501" s="153"/>
      <c r="AA501" s="153"/>
      <c r="AB501" s="153"/>
      <c r="AC501" s="153"/>
    </row>
    <row r="502">
      <c r="A502" s="152" t="s">
        <v>342</v>
      </c>
      <c r="B502" s="133" t="str">
        <f>IFERROR(__xludf.DUMMYFUNCTION("FILTER ('Research Papers'!D:D,'Research Papers'!A:A=C502)"),"MetaKube: An Experience-Aware LLM Framework for Kubernetes Failure Diagnosis")</f>
        <v>MetaKube: An Experience-Aware LLM Framework for Kubernetes Failure Diagnosis</v>
      </c>
      <c r="C502" s="133" t="s">
        <v>865</v>
      </c>
      <c r="D502" s="153" t="str">
        <f t="shared" si="1"/>
        <v>MetaKube: An Experience-Aware LLM Framework for Kubernetes Failure Diagnosis
Wei Sun, Ting Wang, Xinran Tian, Wanshun Lan, Xuhan Feng,
Haoyue Li and Fangxin Wang
</v>
      </c>
      <c r="E502" s="153" t="str">
        <f>IFERROR(__xludf.DUMMYFUNCTION("TEXTJOIN(CHAR(10), TRUE,FILTER('Research Papers'!$C:$C,'Research Papers'!$A:$A=C502))"),"Wei Sun, Ting Wang, Xinran Tian, Wanshun Lan, Xuhan Feng,
Haoyue Li and Fangxin Wang")</f>
        <v>Wei Sun, Ting Wang, Xinran Tian, Wanshun Lan, Xuhan Feng,
Haoyue Li and Fangxin Wang</v>
      </c>
      <c r="F502" s="133" t="s">
        <v>223</v>
      </c>
      <c r="G502" s="133" t="s">
        <v>185</v>
      </c>
      <c r="H502" s="153"/>
      <c r="I502" s="120"/>
      <c r="J502" s="120"/>
      <c r="K502" s="153"/>
      <c r="L502" s="153"/>
      <c r="M502" s="153"/>
      <c r="N502" s="153"/>
      <c r="O502" s="153"/>
      <c r="P502" s="153"/>
      <c r="Q502" s="153"/>
      <c r="R502" s="153"/>
      <c r="S502" s="153"/>
      <c r="T502" s="153"/>
      <c r="U502" s="153"/>
      <c r="V502" s="153"/>
      <c r="W502" s="153"/>
      <c r="X502" s="153"/>
      <c r="Y502" s="153"/>
      <c r="Z502" s="153"/>
      <c r="AA502" s="153"/>
      <c r="AB502" s="153"/>
      <c r="AC502" s="153"/>
    </row>
    <row r="503">
      <c r="A503" s="152" t="s">
        <v>342</v>
      </c>
      <c r="B503" s="133" t="str">
        <f>IFERROR(__xludf.DUMMYFUNCTION("FILTER ('Research Papers'!D:D,'Research Papers'!A:A=C503)"),"Amortized Predictability-aware Training Framework for Time Series Forecasting and Classification")</f>
        <v>Amortized Predictability-aware Training Framework for Time Series Forecasting and Classification</v>
      </c>
      <c r="C503" s="133" t="s">
        <v>866</v>
      </c>
      <c r="D503" s="153" t="str">
        <f t="shared" si="1"/>
        <v>Amortized Predictability-aware Training Framework for Time Series Forecasting and Classification
Xu Zhang, Peng Wang, Yichen Li and Wei Wang
</v>
      </c>
      <c r="E503" s="153" t="str">
        <f>IFERROR(__xludf.DUMMYFUNCTION("TEXTJOIN(CHAR(10), TRUE,FILTER('Research Papers'!$C:$C,'Research Papers'!$A:$A=C503))"),"Xu Zhang, Peng Wang, Yichen Li and Wei Wang")</f>
        <v>Xu Zhang, Peng Wang, Yichen Li and Wei Wang</v>
      </c>
      <c r="F503" s="133" t="s">
        <v>223</v>
      </c>
      <c r="G503" s="133" t="s">
        <v>185</v>
      </c>
      <c r="H503" s="153"/>
      <c r="I503" s="120"/>
      <c r="J503" s="120"/>
      <c r="K503" s="153"/>
      <c r="L503" s="153"/>
      <c r="M503" s="153"/>
      <c r="N503" s="153"/>
      <c r="O503" s="153"/>
      <c r="P503" s="153"/>
      <c r="Q503" s="153"/>
      <c r="R503" s="153"/>
      <c r="S503" s="153"/>
      <c r="T503" s="153"/>
      <c r="U503" s="153"/>
      <c r="V503" s="153"/>
      <c r="W503" s="153"/>
      <c r="X503" s="153"/>
      <c r="Y503" s="153"/>
      <c r="Z503" s="153"/>
      <c r="AA503" s="153"/>
      <c r="AB503" s="153"/>
      <c r="AC503" s="153"/>
    </row>
    <row r="504">
      <c r="A504" s="152" t="s">
        <v>342</v>
      </c>
      <c r="B504" s="133" t="str">
        <f>IFERROR(__xludf.DUMMYFUNCTION("FILTER ('Research Papers'!D:D,'Research Papers'!A:A=C504)"),"FovRL: Joint Foveation and Quality Control for Immersive VR Streaming Using Reinforcement Learning")</f>
        <v>FovRL: Joint Foveation and Quality Control for Immersive VR Streaming Using Reinforcement Learning</v>
      </c>
      <c r="C504" s="133" t="s">
        <v>867</v>
      </c>
      <c r="D504" s="153" t="str">
        <f t="shared" si="1"/>
        <v>FovRL: Joint Foveation and Quality Control for Immersive VR Streaming Using Reinforcement Learning
Yuk Hang Tsui, Ze Wu, Ahmad Alhilal, Matti Siekkinen and
Pan Hui
</v>
      </c>
      <c r="E504" s="153" t="str">
        <f>IFERROR(__xludf.DUMMYFUNCTION("TEXTJOIN(CHAR(10), TRUE,FILTER('Research Papers'!$C:$C,'Research Papers'!$A:$A=C504))"),"Yuk Hang Tsui, Ze Wu, Ahmad Alhilal, Matti Siekkinen and
Pan Hui")</f>
        <v>Yuk Hang Tsui, Ze Wu, Ahmad Alhilal, Matti Siekkinen and
Pan Hui</v>
      </c>
      <c r="F504" s="133" t="s">
        <v>223</v>
      </c>
      <c r="G504" s="133" t="s">
        <v>185</v>
      </c>
      <c r="H504" s="153"/>
      <c r="I504" s="120"/>
      <c r="J504" s="120"/>
      <c r="K504" s="153"/>
      <c r="L504" s="153"/>
      <c r="M504" s="153"/>
      <c r="N504" s="153"/>
      <c r="O504" s="153"/>
      <c r="P504" s="153"/>
      <c r="Q504" s="153"/>
      <c r="R504" s="153"/>
      <c r="S504" s="153"/>
      <c r="T504" s="153"/>
      <c r="U504" s="153"/>
      <c r="V504" s="153"/>
      <c r="W504" s="153"/>
      <c r="X504" s="153"/>
      <c r="Y504" s="153"/>
      <c r="Z504" s="153"/>
      <c r="AA504" s="153"/>
      <c r="AB504" s="153"/>
      <c r="AC504" s="153"/>
    </row>
    <row r="505">
      <c r="A505" s="152" t="s">
        <v>342</v>
      </c>
      <c r="B505" s="133" t="str">
        <f>IFERROR(__xludf.DUMMYFUNCTION("FILTER ('Research Papers'!D:D,'Research Papers'!A:A=C505)"),"SuperEar: Eavesdropping on Mobile Voice Calls via Stealthy Acoustic Metamaterials")</f>
        <v>SuperEar: Eavesdropping on Mobile Voice Calls via Stealthy Acoustic Metamaterials</v>
      </c>
      <c r="C505" s="133" t="s">
        <v>868</v>
      </c>
      <c r="D505" s="153" t="str">
        <f t="shared" si="1"/>
        <v>SuperEar: Eavesdropping on Mobile Voice Calls via Stealthy Acoustic Metamaterials
Zhiyuan Ning, Zhanyong Tang, Juan He, Weizhi Meng, Yuntian
Chen, Jie Zhang and Zheng Wang
</v>
      </c>
      <c r="E505" s="153" t="str">
        <f>IFERROR(__xludf.DUMMYFUNCTION("TEXTJOIN(CHAR(10), TRUE,FILTER('Research Papers'!$C:$C,'Research Papers'!$A:$A=C505))"),"Zhiyuan Ning, Zhanyong Tang, Juan He, Weizhi Meng, Yuntian
Chen, Jie Zhang and Zheng Wang")</f>
        <v>Zhiyuan Ning, Zhanyong Tang, Juan He, Weizhi Meng, Yuntian
Chen, Jie Zhang and Zheng Wang</v>
      </c>
      <c r="F505" s="133" t="s">
        <v>223</v>
      </c>
      <c r="G505" s="133" t="s">
        <v>185</v>
      </c>
      <c r="H505" s="153"/>
      <c r="I505" s="120"/>
      <c r="J505" s="120"/>
      <c r="K505" s="153"/>
      <c r="L505" s="153"/>
      <c r="M505" s="153"/>
      <c r="N505" s="153"/>
      <c r="O505" s="153"/>
      <c r="P505" s="153"/>
      <c r="Q505" s="153"/>
      <c r="R505" s="153"/>
      <c r="S505" s="153"/>
      <c r="T505" s="153"/>
      <c r="U505" s="153"/>
      <c r="V505" s="153"/>
      <c r="W505" s="153"/>
      <c r="X505" s="153"/>
      <c r="Y505" s="153"/>
      <c r="Z505" s="153"/>
      <c r="AA505" s="153"/>
      <c r="AB505" s="153"/>
      <c r="AC505" s="153"/>
    </row>
    <row r="506">
      <c r="A506" s="152" t="s">
        <v>342</v>
      </c>
      <c r="B506" s="133" t="str">
        <f>IFERROR(__xludf.DUMMYFUNCTION("FILTER ('Research Papers'!D:D,'Research Papers'!A:A=C506)"),"FedMHO: Heterogeneous One-Shot Federated Learning Towards Resource-Constrained Clients")</f>
        <v>FedMHO: Heterogeneous One-Shot Federated Learning Towards Resource-Constrained Clients</v>
      </c>
      <c r="C506" s="133" t="s">
        <v>869</v>
      </c>
      <c r="D506" s="153" t="str">
        <f t="shared" si="1"/>
        <v>FedMHO: Heterogeneous One-Shot Federated Learning Towards Resource-Constrained Clients
Dezhong Yao, Tongtong Liu, Yuexin Shi and Zhiqiang Xu
</v>
      </c>
      <c r="E506" s="153" t="str">
        <f>IFERROR(__xludf.DUMMYFUNCTION("TEXTJOIN(CHAR(10), TRUE,FILTER('Research Papers'!$C:$C,'Research Papers'!$A:$A=C506))"),"Dezhong Yao, Tongtong Liu, Yuexin Shi and Zhiqiang Xu")</f>
        <v>Dezhong Yao, Tongtong Liu, Yuexin Shi and Zhiqiang Xu</v>
      </c>
      <c r="F506" s="133" t="s">
        <v>223</v>
      </c>
      <c r="G506" s="133" t="s">
        <v>185</v>
      </c>
      <c r="H506" s="153"/>
      <c r="I506" s="120"/>
      <c r="J506" s="120"/>
      <c r="K506" s="153"/>
      <c r="L506" s="153"/>
      <c r="M506" s="153"/>
      <c r="N506" s="153"/>
      <c r="O506" s="153"/>
      <c r="P506" s="153"/>
      <c r="Q506" s="153"/>
      <c r="R506" s="153"/>
      <c r="S506" s="153"/>
      <c r="T506" s="153"/>
      <c r="U506" s="153"/>
      <c r="V506" s="153"/>
      <c r="W506" s="153"/>
      <c r="X506" s="153"/>
      <c r="Y506" s="153"/>
      <c r="Z506" s="153"/>
      <c r="AA506" s="153"/>
      <c r="AB506" s="153"/>
      <c r="AC506" s="153"/>
    </row>
    <row r="507">
      <c r="A507" s="153"/>
      <c r="B507" s="153"/>
      <c r="C507" s="153"/>
      <c r="D507" s="153" t="str">
        <f t="shared" si="1"/>
        <v>
</v>
      </c>
      <c r="E507" s="153" t="str">
        <f>IFERROR(__xludf.DUMMYFUNCTION("TEXTJOIN(CHAR(10), TRUE,FILTER('Research Papers'!$C:$C,'Research Papers'!$A:$A=C507))"),"")</f>
        <v/>
      </c>
      <c r="F507" s="153"/>
      <c r="G507" s="153"/>
      <c r="H507" s="153"/>
      <c r="I507" s="120"/>
      <c r="J507" s="120"/>
      <c r="K507" s="153"/>
      <c r="L507" s="153"/>
      <c r="M507" s="153"/>
      <c r="N507" s="153"/>
      <c r="O507" s="153"/>
      <c r="P507" s="153"/>
      <c r="Q507" s="153"/>
      <c r="R507" s="153"/>
      <c r="S507" s="153"/>
      <c r="T507" s="153"/>
      <c r="U507" s="153"/>
      <c r="V507" s="153"/>
      <c r="W507" s="153"/>
      <c r="X507" s="153"/>
      <c r="Y507" s="153"/>
      <c r="Z507" s="153"/>
      <c r="AA507" s="153"/>
      <c r="AB507" s="153"/>
      <c r="AC507" s="153"/>
    </row>
    <row r="508">
      <c r="A508" s="152" t="s">
        <v>346</v>
      </c>
      <c r="B508" s="133" t="str">
        <f>IFERROR(__xludf.DUMMYFUNCTION("FILTER ('Research Papers'!D:D,'Research Papers'!A:A=C508)"),"ThinkRec: Thinking-based recommendation via LLM")</f>
        <v>ThinkRec: Thinking-based recommendation via LLM</v>
      </c>
      <c r="C508" s="133" t="s">
        <v>870</v>
      </c>
      <c r="D508" s="153" t="str">
        <f t="shared" si="1"/>
        <v>ThinkRec: Thinking-based recommendation via LLM
Qihang Yu, Kairui Fu, Zheqi Lv, Shengyu Zhang, Xinhui Wu,
Chen Lin, Feng Wei, Bo Zheng and Fei Wu
</v>
      </c>
      <c r="E508" s="153" t="str">
        <f>IFERROR(__xludf.DUMMYFUNCTION("TEXTJOIN(CHAR(10), TRUE,FILTER('Research Papers'!$C:$C,'Research Papers'!$A:$A=C508))"),"Qihang Yu, Kairui Fu, Zheqi Lv, Shengyu Zhang, Xinhui Wu,
Chen Lin, Feng Wei, Bo Zheng and Fei Wu")</f>
        <v>Qihang Yu, Kairui Fu, Zheqi Lv, Shengyu Zhang, Xinhui Wu,
Chen Lin, Feng Wei, Bo Zheng and Fei Wu</v>
      </c>
      <c r="F508" s="133" t="s">
        <v>82</v>
      </c>
      <c r="G508" s="153"/>
      <c r="H508" s="153"/>
      <c r="I508" s="120"/>
      <c r="J508" s="120"/>
      <c r="K508" s="153"/>
      <c r="L508" s="153"/>
      <c r="M508" s="153"/>
      <c r="N508" s="153"/>
      <c r="O508" s="153"/>
      <c r="P508" s="153"/>
      <c r="Q508" s="153"/>
      <c r="R508" s="153"/>
      <c r="S508" s="153"/>
      <c r="T508" s="153"/>
      <c r="U508" s="153"/>
      <c r="V508" s="153"/>
      <c r="W508" s="153"/>
      <c r="X508" s="153"/>
      <c r="Y508" s="153"/>
      <c r="Z508" s="153"/>
      <c r="AA508" s="153"/>
      <c r="AB508" s="153"/>
      <c r="AC508" s="153"/>
    </row>
    <row r="509">
      <c r="A509" s="152" t="s">
        <v>346</v>
      </c>
      <c r="B509" s="133" t="str">
        <f>IFERROR(__xludf.DUMMYFUNCTION("FILTER ('Research Papers'!D:D,'Research Papers'!A:A=C509)"),"Iterative Semantic Reasoning from Individual to Group Interests for Generative Recommendation with LLMs")</f>
        <v>Iterative Semantic Reasoning from Individual to Group Interests for Generative Recommendation with LLMs</v>
      </c>
      <c r="C509" s="133" t="s">
        <v>871</v>
      </c>
      <c r="D509" s="153" t="str">
        <f t="shared" si="1"/>
        <v>Iterative Semantic Reasoning from Individual to Group Interests for Generative Recommendation with LLMs
Xiaofei Zhu, Jinfei Chen, Feiyang Yuan and Yang Zhou
</v>
      </c>
      <c r="E509" s="153" t="str">
        <f>IFERROR(__xludf.DUMMYFUNCTION("TEXTJOIN(CHAR(10), TRUE,FILTER('Research Papers'!$C:$C,'Research Papers'!$A:$A=C509))"),"Xiaofei Zhu, Jinfei Chen, Feiyang Yuan and Yang Zhou")</f>
        <v>Xiaofei Zhu, Jinfei Chen, Feiyang Yuan and Yang Zhou</v>
      </c>
      <c r="F509" s="133" t="s">
        <v>82</v>
      </c>
      <c r="G509" s="153"/>
      <c r="H509" s="153"/>
      <c r="I509" s="120"/>
      <c r="J509" s="120"/>
      <c r="K509" s="153"/>
      <c r="L509" s="153"/>
      <c r="M509" s="153"/>
      <c r="N509" s="153"/>
      <c r="O509" s="153"/>
      <c r="P509" s="153"/>
      <c r="Q509" s="153"/>
      <c r="R509" s="153"/>
      <c r="S509" s="153"/>
      <c r="T509" s="153"/>
      <c r="U509" s="153"/>
      <c r="V509" s="153"/>
      <c r="W509" s="153"/>
      <c r="X509" s="153"/>
      <c r="Y509" s="153"/>
      <c r="Z509" s="153"/>
      <c r="AA509" s="153"/>
      <c r="AB509" s="153"/>
      <c r="AC509" s="153"/>
    </row>
    <row r="510">
      <c r="A510" s="152" t="s">
        <v>346</v>
      </c>
      <c r="B510" s="133" t="str">
        <f>IFERROR(__xludf.DUMMYFUNCTION("FILTER ('Research Papers'!D:D,'Research Papers'!A:A=C510)"),"Reinforcement Learning-Constrained Segmented User Modeling with Large Language Models for Recommendation")</f>
        <v>Reinforcement Learning-Constrained Segmented User Modeling with Large Language Models for Recommendation</v>
      </c>
      <c r="C510" s="133" t="s">
        <v>872</v>
      </c>
      <c r="D510" s="153" t="str">
        <f t="shared" si="1"/>
        <v>Reinforcement Learning-Constrained Segmented User Modeling with Large Language Models for Recommendation
Yu Xia, Qing Tan, He Chen, Jingyu Chen and Qian Dong
</v>
      </c>
      <c r="E510" s="153" t="str">
        <f>IFERROR(__xludf.DUMMYFUNCTION("TEXTJOIN(CHAR(10), TRUE,FILTER('Research Papers'!$C:$C,'Research Papers'!$A:$A=C510))"),"Yu Xia, Qing Tan, He Chen, Jingyu Chen and Qian Dong")</f>
        <v>Yu Xia, Qing Tan, He Chen, Jingyu Chen and Qian Dong</v>
      </c>
      <c r="F510" s="133" t="s">
        <v>82</v>
      </c>
      <c r="G510" s="153"/>
      <c r="H510" s="153"/>
      <c r="I510" s="120"/>
      <c r="J510" s="120"/>
      <c r="K510" s="153"/>
      <c r="L510" s="153"/>
      <c r="M510" s="153"/>
      <c r="N510" s="153"/>
      <c r="O510" s="153"/>
      <c r="P510" s="153"/>
      <c r="Q510" s="153"/>
      <c r="R510" s="153"/>
      <c r="S510" s="153"/>
      <c r="T510" s="153"/>
      <c r="U510" s="153"/>
      <c r="V510" s="153"/>
      <c r="W510" s="153"/>
      <c r="X510" s="153"/>
      <c r="Y510" s="153"/>
      <c r="Z510" s="153"/>
      <c r="AA510" s="153"/>
      <c r="AB510" s="153"/>
      <c r="AC510" s="153"/>
    </row>
    <row r="511">
      <c r="A511" s="152" t="s">
        <v>346</v>
      </c>
      <c r="B511" s="133" t="str">
        <f>IFERROR(__xludf.DUMMYFUNCTION("FILTER ('Research Papers'!D:D,'Research Papers'!A:A=C511)"),"Multi-Task Multi-Behavior Sequential Recommendation")</f>
        <v>Multi-Task Multi-Behavior Sequential Recommendation</v>
      </c>
      <c r="C511" s="133" t="s">
        <v>873</v>
      </c>
      <c r="D511" s="153" t="str">
        <f t="shared" si="1"/>
        <v>Multi-Task Multi-Behavior Sequential Recommendation
Weihao Du, Ziran Deng, Weike Pan and Zhong Ming
</v>
      </c>
      <c r="E511" s="153" t="str">
        <f>IFERROR(__xludf.DUMMYFUNCTION("TEXTJOIN(CHAR(10), TRUE,FILTER('Research Papers'!$C:$C,'Research Papers'!$A:$A=C511))"),"Weihao Du, Ziran Deng, Weike Pan and Zhong Ming")</f>
        <v>Weihao Du, Ziran Deng, Weike Pan and Zhong Ming</v>
      </c>
      <c r="F511" s="133" t="s">
        <v>82</v>
      </c>
      <c r="G511" s="153"/>
      <c r="H511" s="153"/>
      <c r="I511" s="120"/>
      <c r="J511" s="120"/>
      <c r="K511" s="153"/>
      <c r="L511" s="153"/>
      <c r="M511" s="153"/>
      <c r="N511" s="153"/>
      <c r="O511" s="153"/>
      <c r="P511" s="153"/>
      <c r="Q511" s="153"/>
      <c r="R511" s="153"/>
      <c r="S511" s="153"/>
      <c r="T511" s="153"/>
      <c r="U511" s="153"/>
      <c r="V511" s="153"/>
      <c r="W511" s="153"/>
      <c r="X511" s="153"/>
      <c r="Y511" s="153"/>
      <c r="Z511" s="153"/>
      <c r="AA511" s="153"/>
      <c r="AB511" s="153"/>
      <c r="AC511" s="153"/>
    </row>
    <row r="512">
      <c r="A512" s="152" t="s">
        <v>346</v>
      </c>
      <c r="B512" s="133" t="str">
        <f>IFERROR(__xludf.DUMMYFUNCTION("FILTER ('Research Papers'!D:D,'Research Papers'!A:A=C512)"),"RMBRec: Robust Multi-Behavior Recommendation towards Target Behaviors")</f>
        <v>RMBRec: Robust Multi-Behavior Recommendation towards Target Behaviors</v>
      </c>
      <c r="C512" s="133" t="s">
        <v>874</v>
      </c>
      <c r="D512" s="153" t="str">
        <f t="shared" si="1"/>
        <v>RMBRec: Robust Multi-Behavior Recommendation towards Target Behaviors
Miaomiao Cai, Zhijie Zhang, Junfeng Fang, Zhiyong Cheng,
Xiang Wang and Meng Wang
</v>
      </c>
      <c r="E512" s="153" t="str">
        <f>IFERROR(__xludf.DUMMYFUNCTION("TEXTJOIN(CHAR(10), TRUE,FILTER('Research Papers'!$C:$C,'Research Papers'!$A:$A=C512))"),"Miaomiao Cai, Zhijie Zhang, Junfeng Fang, Zhiyong Cheng,
Xiang Wang and Meng Wang")</f>
        <v>Miaomiao Cai, Zhijie Zhang, Junfeng Fang, Zhiyong Cheng,
Xiang Wang and Meng Wang</v>
      </c>
      <c r="F512" s="133" t="s">
        <v>82</v>
      </c>
      <c r="G512" s="153"/>
      <c r="H512" s="153"/>
      <c r="I512" s="120"/>
      <c r="J512" s="120"/>
      <c r="K512" s="153"/>
      <c r="L512" s="153"/>
      <c r="M512" s="153"/>
      <c r="N512" s="153"/>
      <c r="O512" s="153"/>
      <c r="P512" s="153"/>
      <c r="Q512" s="153"/>
      <c r="R512" s="153"/>
      <c r="S512" s="153"/>
      <c r="T512" s="153"/>
      <c r="U512" s="153"/>
      <c r="V512" s="153"/>
      <c r="W512" s="153"/>
      <c r="X512" s="153"/>
      <c r="Y512" s="153"/>
      <c r="Z512" s="153"/>
      <c r="AA512" s="153"/>
      <c r="AB512" s="153"/>
      <c r="AC512" s="153"/>
    </row>
    <row r="513">
      <c r="A513" s="152" t="s">
        <v>346</v>
      </c>
      <c r="B513" s="133" t="str">
        <f>IFERROR(__xludf.DUMMYFUNCTION("FILTER ('Research Papers'!D:D,'Research Papers'!A:A=C513)"),"Pathways of Thoughts: Multi-Directional Thinking for Long-form Personalized Question Answering")</f>
        <v>Pathways of Thoughts: Multi-Directional Thinking for Long-form Personalized Question Answering</v>
      </c>
      <c r="C513" s="133" t="s">
        <v>875</v>
      </c>
      <c r="D513" s="153" t="str">
        <f t="shared" si="1"/>
        <v>Pathways of Thoughts: Multi-Directional Thinking for Long-form Personalized Question Answering
Alireza Salemi, Cheng Li, Mingyang Zhang, Qiaozhu Mei,
Zhuowan Li, Spurthi Amba Hombaiah, Weize Kong, Tao Chen,
Hamed Zamani and Michael Bendersky
</v>
      </c>
      <c r="E513" s="153" t="str">
        <f>IFERROR(__xludf.DUMMYFUNCTION("TEXTJOIN(CHAR(10), TRUE,FILTER('Research Papers'!$C:$C,'Research Papers'!$A:$A=C513))"),"Alireza Salemi, Cheng Li, Mingyang Zhang, Qiaozhu Mei,
Zhuowan Li, Spurthi Amba Hombaiah, Weize Kong, Tao Chen,
Hamed Zamani and Michael Bendersky")</f>
        <v>Alireza Salemi, Cheng Li, Mingyang Zhang, Qiaozhu Mei,
Zhuowan Li, Spurthi Amba Hombaiah, Weize Kong, Tao Chen,
Hamed Zamani and Michael Bendersky</v>
      </c>
      <c r="F513" s="133" t="s">
        <v>201</v>
      </c>
      <c r="G513" s="153"/>
      <c r="H513" s="153"/>
      <c r="I513" s="120"/>
      <c r="J513" s="120"/>
      <c r="K513" s="153"/>
      <c r="L513" s="153"/>
      <c r="M513" s="153"/>
      <c r="N513" s="153"/>
      <c r="O513" s="153"/>
      <c r="P513" s="153"/>
      <c r="Q513" s="153"/>
      <c r="R513" s="153"/>
      <c r="S513" s="153"/>
      <c r="T513" s="153"/>
      <c r="U513" s="153"/>
      <c r="V513" s="153"/>
      <c r="W513" s="153"/>
      <c r="X513" s="153"/>
      <c r="Y513" s="153"/>
      <c r="Z513" s="153"/>
      <c r="AA513" s="153"/>
      <c r="AB513" s="153"/>
      <c r="AC513" s="153"/>
    </row>
    <row r="514">
      <c r="A514" s="152" t="s">
        <v>346</v>
      </c>
      <c r="B514" s="133" t="str">
        <f>IFERROR(__xludf.DUMMYFUNCTION("FILTER ('Research Papers'!D:D,'Research Papers'!A:A=C514)"),"HyMiRec: A Hybrid Multi-interest Learning Framework for LLM-based Sequential Recommendation")</f>
        <v>HyMiRec: A Hybrid Multi-interest Learning Framework for LLM-based Sequential Recommendation</v>
      </c>
      <c r="C514" s="133" t="s">
        <v>876</v>
      </c>
      <c r="D514" s="153" t="str">
        <f t="shared" si="1"/>
        <v>HyMiRec: A Hybrid Multi-interest Learning Framework for LLM-based Sequential Recommendation
Jingyi Zhou, Cheng Chen, Kai Zuo, Manjie Xu, Zhendong Fu,
Yibo Chen, Xu Tang and Yao Hu
</v>
      </c>
      <c r="E514" s="153" t="str">
        <f>IFERROR(__xludf.DUMMYFUNCTION("TEXTJOIN(CHAR(10), TRUE,FILTER('Research Papers'!$C:$C,'Research Papers'!$A:$A=C514))"),"Jingyi Zhou, Cheng Chen, Kai Zuo, Manjie Xu, Zhendong Fu,
Yibo Chen, Xu Tang and Yao Hu")</f>
        <v>Jingyi Zhou, Cheng Chen, Kai Zuo, Manjie Xu, Zhendong Fu,
Yibo Chen, Xu Tang and Yao Hu</v>
      </c>
      <c r="F514" s="133" t="s">
        <v>201</v>
      </c>
      <c r="G514" s="153"/>
      <c r="H514" s="153"/>
      <c r="I514" s="120"/>
      <c r="J514" s="120"/>
      <c r="K514" s="153"/>
      <c r="L514" s="153"/>
      <c r="M514" s="153"/>
      <c r="N514" s="153"/>
      <c r="O514" s="153"/>
      <c r="P514" s="153"/>
      <c r="Q514" s="153"/>
      <c r="R514" s="153"/>
      <c r="S514" s="153"/>
      <c r="T514" s="153"/>
      <c r="U514" s="153"/>
      <c r="V514" s="153"/>
      <c r="W514" s="153"/>
      <c r="X514" s="153"/>
      <c r="Y514" s="153"/>
      <c r="Z514" s="153"/>
      <c r="AA514" s="153"/>
      <c r="AB514" s="153"/>
      <c r="AC514" s="153"/>
    </row>
    <row r="515">
      <c r="A515" s="152" t="s">
        <v>346</v>
      </c>
      <c r="B515" s="133" t="str">
        <f>IFERROR(__xludf.DUMMYFUNCTION("FILTER ('Research Papers'!D:D,'Research Papers'!A:A=C515)"),"Dynamic Routing-Based Adaptive Multi-LLM Collaboration: A Unified Recommendation Framework with Decision Knowledge Complementation")</f>
        <v>Dynamic Routing-Based Adaptive Multi-LLM Collaboration: A Unified Recommendation Framework with Decision Knowledge Complementation</v>
      </c>
      <c r="C515" s="133" t="s">
        <v>877</v>
      </c>
      <c r="D515" s="153" t="str">
        <f t="shared" si="1"/>
        <v>Dynamic Routing-Based Adaptive Multi-LLM Collaboration: A Unified Recommendation Framework with Decision Knowledge Complementation
Jiale Huang, Yingyuan Xiao, Likang Wu, Xu Cheng, Wengguang
Zheng, Qingbo Hao, Ming He and Hongke Zhao
</v>
      </c>
      <c r="E515" s="153" t="str">
        <f>IFERROR(__xludf.DUMMYFUNCTION("TEXTJOIN(CHAR(10), TRUE,FILTER('Research Papers'!$C:$C,'Research Papers'!$A:$A=C515))"),"Jiale Huang, Yingyuan Xiao, Likang Wu, Xu Cheng, Wengguang
Zheng, Qingbo Hao, Ming He and Hongke Zhao")</f>
        <v>Jiale Huang, Yingyuan Xiao, Likang Wu, Xu Cheng, Wengguang
Zheng, Qingbo Hao, Ming He and Hongke Zhao</v>
      </c>
      <c r="F515" s="133" t="s">
        <v>201</v>
      </c>
      <c r="G515" s="153"/>
      <c r="H515" s="153"/>
      <c r="I515" s="120"/>
      <c r="J515" s="120"/>
      <c r="K515" s="153"/>
      <c r="L515" s="153"/>
      <c r="M515" s="153"/>
      <c r="N515" s="153"/>
      <c r="O515" s="153"/>
      <c r="P515" s="153"/>
      <c r="Q515" s="153"/>
      <c r="R515" s="153"/>
      <c r="S515" s="153"/>
      <c r="T515" s="153"/>
      <c r="U515" s="153"/>
      <c r="V515" s="153"/>
      <c r="W515" s="153"/>
      <c r="X515" s="153"/>
      <c r="Y515" s="153"/>
      <c r="Z515" s="153"/>
      <c r="AA515" s="153"/>
      <c r="AB515" s="153"/>
      <c r="AC515" s="153"/>
    </row>
    <row r="516">
      <c r="A516" s="152" t="s">
        <v>346</v>
      </c>
      <c r="B516" s="133" t="str">
        <f>IFERROR(__xludf.DUMMYFUNCTION("FILTER ('Research Papers'!D:D,'Research Papers'!A:A=C516)"),"AgentDR: Dynamic Recommendation with Implicit Item-Item Relations via LLM-based Agents")</f>
        <v>AgentDR: Dynamic Recommendation with Implicit Item-Item Relations via LLM-based Agents</v>
      </c>
      <c r="C516" s="133" t="s">
        <v>878</v>
      </c>
      <c r="D516" s="153" t="str">
        <f t="shared" si="1"/>
        <v>AgentDR: Dynamic Recommendation with Implicit Item-Item Relations via LLM-based Agents
Mingdai Yang, Nurendra Choudhary, Jiangshu Du, Edward W.
Huang, Philip Yu, Karthik Subbian and Danai Koutra
</v>
      </c>
      <c r="E516" s="153" t="str">
        <f>IFERROR(__xludf.DUMMYFUNCTION("TEXTJOIN(CHAR(10), TRUE,FILTER('Research Papers'!$C:$C,'Research Papers'!$A:$A=C516))"),"Mingdai Yang, Nurendra Choudhary, Jiangshu Du, Edward W.
Huang, Philip Yu, Karthik Subbian and Danai Koutra")</f>
        <v>Mingdai Yang, Nurendra Choudhary, Jiangshu Du, Edward W.
Huang, Philip Yu, Karthik Subbian and Danai Koutra</v>
      </c>
      <c r="F516" s="133" t="s">
        <v>201</v>
      </c>
      <c r="G516" s="153"/>
      <c r="H516" s="153"/>
      <c r="I516" s="120"/>
      <c r="J516" s="120"/>
      <c r="K516" s="153"/>
      <c r="L516" s="153"/>
      <c r="M516" s="153"/>
      <c r="N516" s="153"/>
      <c r="O516" s="153"/>
      <c r="P516" s="153"/>
      <c r="Q516" s="153"/>
      <c r="R516" s="153"/>
      <c r="S516" s="153"/>
      <c r="T516" s="153"/>
      <c r="U516" s="153"/>
      <c r="V516" s="153"/>
      <c r="W516" s="153"/>
      <c r="X516" s="153"/>
      <c r="Y516" s="153"/>
      <c r="Z516" s="153"/>
      <c r="AA516" s="153"/>
      <c r="AB516" s="153"/>
      <c r="AC516" s="153"/>
    </row>
    <row r="517">
      <c r="A517" s="152" t="s">
        <v>346</v>
      </c>
      <c r="B517" s="133" t="str">
        <f>IFERROR(__xludf.DUMMYFUNCTION("FILTER ('Research Papers'!D:D,'Research Papers'!A:A=C517)"),"Does LLM Focus on the Right Words? Mitigating Context Bias in LLM-based Recommenders")</f>
        <v>Does LLM Focus on the Right Words? Mitigating Context Bias in LLM-based Recommenders</v>
      </c>
      <c r="C517" s="133" t="s">
        <v>879</v>
      </c>
      <c r="D517" s="153" t="str">
        <f t="shared" si="1"/>
        <v>Does LLM Focus on the Right Words? Mitigating Context Bias in LLM-based Recommenders
Bohao Wang, Jiawei Chen, Feng Liu, Changwang Zhang, Jun
Wang, Canghong Jin, Chun Chen and Can Wang
</v>
      </c>
      <c r="E517" s="153" t="str">
        <f>IFERROR(__xludf.DUMMYFUNCTION("TEXTJOIN(CHAR(10), TRUE,FILTER('Research Papers'!$C:$C,'Research Papers'!$A:$A=C517))"),"Bohao Wang, Jiawei Chen, Feng Liu, Changwang Zhang, Jun
Wang, Canghong Jin, Chun Chen and Can Wang")</f>
        <v>Bohao Wang, Jiawei Chen, Feng Liu, Changwang Zhang, Jun
Wang, Canghong Jin, Chun Chen and Can Wang</v>
      </c>
      <c r="F517" s="133" t="s">
        <v>201</v>
      </c>
      <c r="G517" s="153"/>
      <c r="H517" s="153"/>
      <c r="I517" s="120"/>
      <c r="J517" s="120"/>
      <c r="K517" s="153"/>
      <c r="L517" s="153"/>
      <c r="M517" s="153"/>
      <c r="N517" s="153"/>
      <c r="O517" s="153"/>
      <c r="P517" s="153"/>
      <c r="Q517" s="153"/>
      <c r="R517" s="153"/>
      <c r="S517" s="153"/>
      <c r="T517" s="153"/>
      <c r="U517" s="153"/>
      <c r="V517" s="153"/>
      <c r="W517" s="153"/>
      <c r="X517" s="153"/>
      <c r="Y517" s="153"/>
      <c r="Z517" s="153"/>
      <c r="AA517" s="153"/>
      <c r="AB517" s="153"/>
      <c r="AC517" s="153"/>
    </row>
    <row r="518">
      <c r="A518" s="152" t="s">
        <v>346</v>
      </c>
      <c r="B518" s="133" t="str">
        <f>IFERROR(__xludf.DUMMYFUNCTION("FILTER ('Research Papers'!D:D,'Research Papers'!A:A=C518)"),"Generative Data Transformation: From Mixed to Unified Data")</f>
        <v>Generative Data Transformation: From Mixed to Unified Data</v>
      </c>
      <c r="C518" s="133" t="s">
        <v>880</v>
      </c>
      <c r="D518" s="153" t="str">
        <f t="shared" si="1"/>
        <v>Generative Data Transformation: From Mixed to Unified Data
Jiaqing Zhang, Mingjia Yin, Hao Wang, Yuxin Tian, Yuyang
Ye, Yawen Li, Wei Guo, Yong Liu and Enhong Chen
</v>
      </c>
      <c r="E518" s="153" t="str">
        <f>IFERROR(__xludf.DUMMYFUNCTION("TEXTJOIN(CHAR(10), TRUE,FILTER('Research Papers'!$C:$C,'Research Papers'!$A:$A=C518))"),"Jiaqing Zhang, Mingjia Yin, Hao Wang, Yuxin Tian, Yuyang
Ye, Yawen Li, Wei Guo, Yong Liu and Enhong Chen")</f>
        <v>Jiaqing Zhang, Mingjia Yin, Hao Wang, Yuxin Tian, Yuyang
Ye, Yawen Li, Wei Guo, Yong Liu and Enhong Chen</v>
      </c>
      <c r="F518" s="133" t="s">
        <v>103</v>
      </c>
      <c r="G518" s="153"/>
      <c r="H518" s="153"/>
      <c r="I518" s="120"/>
      <c r="J518" s="120"/>
      <c r="K518" s="153"/>
      <c r="L518" s="153"/>
      <c r="M518" s="153"/>
      <c r="N518" s="153"/>
      <c r="O518" s="153"/>
      <c r="P518" s="153"/>
      <c r="Q518" s="153"/>
      <c r="R518" s="153"/>
      <c r="S518" s="153"/>
      <c r="T518" s="153"/>
      <c r="U518" s="153"/>
      <c r="V518" s="153"/>
      <c r="W518" s="153"/>
      <c r="X518" s="153"/>
      <c r="Y518" s="153"/>
      <c r="Z518" s="153"/>
      <c r="AA518" s="153"/>
      <c r="AB518" s="153"/>
      <c r="AC518" s="153"/>
    </row>
    <row r="519">
      <c r="A519" s="152" t="s">
        <v>346</v>
      </c>
      <c r="B519" s="133" t="str">
        <f>IFERROR(__xludf.DUMMYFUNCTION("FILTER ('Research Papers'!D:D,'Research Papers'!A:A=C519)"),"Gaussian Mixture Flow Matching with Domain Alignment for Multi-Domain Sequential Recommendation")</f>
        <v>Gaussian Mixture Flow Matching with Domain Alignment for Multi-Domain Sequential Recommendation</v>
      </c>
      <c r="C519" s="133" t="s">
        <v>881</v>
      </c>
      <c r="D519" s="153" t="str">
        <f t="shared" si="1"/>
        <v>Gaussian Mixture Flow Matching with Domain Alignment for Multi-Domain Sequential Recommendation
Xiaoxin Ye, Chengkai Huang, Hongtao Huang and Lina Yao
</v>
      </c>
      <c r="E519" s="153" t="str">
        <f>IFERROR(__xludf.DUMMYFUNCTION("TEXTJOIN(CHAR(10), TRUE,FILTER('Research Papers'!$C:$C,'Research Papers'!$A:$A=C519))"),"Xiaoxin Ye, Chengkai Huang, Hongtao Huang and Lina Yao")</f>
        <v>Xiaoxin Ye, Chengkai Huang, Hongtao Huang and Lina Yao</v>
      </c>
      <c r="F519" s="133" t="s">
        <v>103</v>
      </c>
      <c r="G519" s="153"/>
      <c r="H519" s="153"/>
      <c r="I519" s="120"/>
      <c r="J519" s="120"/>
      <c r="K519" s="153"/>
      <c r="L519" s="153"/>
      <c r="M519" s="153"/>
      <c r="N519" s="153"/>
      <c r="O519" s="153"/>
      <c r="P519" s="153"/>
      <c r="Q519" s="153"/>
      <c r="R519" s="153"/>
      <c r="S519" s="153"/>
      <c r="T519" s="153"/>
      <c r="U519" s="153"/>
      <c r="V519" s="153"/>
      <c r="W519" s="153"/>
      <c r="X519" s="153"/>
      <c r="Y519" s="153"/>
      <c r="Z519" s="153"/>
      <c r="AA519" s="153"/>
      <c r="AB519" s="153"/>
      <c r="AC519" s="153"/>
    </row>
    <row r="520">
      <c r="A520" s="152" t="s">
        <v>346</v>
      </c>
      <c r="B520" s="133" t="str">
        <f>IFERROR(__xludf.DUMMYFUNCTION("FILTER ('Research Papers'!D:D,'Research Papers'!A:A=C520)"),"WeaveRec: An LLM-Based Cross-Domain Sequential Recommendation Framework with Model Merging")</f>
        <v>WeaveRec: An LLM-Based Cross-Domain Sequential Recommendation Framework with Model Merging</v>
      </c>
      <c r="C520" s="133" t="s">
        <v>882</v>
      </c>
      <c r="D520" s="153" t="str">
        <f t="shared" si="1"/>
        <v>WeaveRec: An LLM-Based Cross-Domain Sequential Recommendation Framework with Model Merging
Min Hou, Xin Liu, Le Wu, Chenyi He, Hao Liu, Zhi Li, Xin Li
and Si Wei
</v>
      </c>
      <c r="E520" s="153" t="str">
        <f>IFERROR(__xludf.DUMMYFUNCTION("TEXTJOIN(CHAR(10), TRUE,FILTER('Research Papers'!$C:$C,'Research Papers'!$A:$A=C520))"),"Min Hou, Xin Liu, Le Wu, Chenyi He, Hao Liu, Zhi Li, Xin Li
and Si Wei")</f>
        <v>Min Hou, Xin Liu, Le Wu, Chenyi He, Hao Liu, Zhi Li, Xin Li
and Si Wei</v>
      </c>
      <c r="F520" s="133" t="s">
        <v>103</v>
      </c>
      <c r="G520" s="153"/>
      <c r="H520" s="153"/>
      <c r="I520" s="120"/>
      <c r="J520" s="120"/>
      <c r="K520" s="153"/>
      <c r="L520" s="153"/>
      <c r="M520" s="153"/>
      <c r="N520" s="153"/>
      <c r="O520" s="153"/>
      <c r="P520" s="153"/>
      <c r="Q520" s="153"/>
      <c r="R520" s="153"/>
      <c r="S520" s="153"/>
      <c r="T520" s="153"/>
      <c r="U520" s="153"/>
      <c r="V520" s="153"/>
      <c r="W520" s="153"/>
      <c r="X520" s="153"/>
      <c r="Y520" s="153"/>
      <c r="Z520" s="153"/>
      <c r="AA520" s="153"/>
      <c r="AB520" s="153"/>
      <c r="AC520" s="153"/>
    </row>
    <row r="521">
      <c r="A521" s="152" t="s">
        <v>346</v>
      </c>
      <c r="B521" s="133" t="str">
        <f>IFERROR(__xludf.DUMMYFUNCTION("FILTER ('Research Papers'!D:D,'Research Papers'!A:A=C521)"),"SemaCDR: LLM-Powered Transferable Semantics for Cross-Domain Sequential Recommendation")</f>
        <v>SemaCDR: LLM-Powered Transferable Semantics for Cross-Domain Sequential Recommendation</v>
      </c>
      <c r="C521" s="133" t="s">
        <v>883</v>
      </c>
      <c r="D521" s="153" t="str">
        <f t="shared" si="1"/>
        <v>SemaCDR: LLM-Powered Transferable Semantics for Cross-Domain Sequential Recommendation
Chunxu Zhang, Shanqiang Huang, Zijian Zhang, Jiahong Liu,
Linsong Yu, Ruiqi Wan, Bo Yang and Irwin King
</v>
      </c>
      <c r="E521" s="153" t="str">
        <f>IFERROR(__xludf.DUMMYFUNCTION("TEXTJOIN(CHAR(10), TRUE,FILTER('Research Papers'!$C:$C,'Research Papers'!$A:$A=C521))"),"Chunxu Zhang, Shanqiang Huang, Zijian Zhang, Jiahong Liu,
Linsong Yu, Ruiqi Wan, Bo Yang and Irwin King")</f>
        <v>Chunxu Zhang, Shanqiang Huang, Zijian Zhang, Jiahong Liu,
Linsong Yu, Ruiqi Wan, Bo Yang and Irwin King</v>
      </c>
      <c r="F521" s="133" t="s">
        <v>103</v>
      </c>
      <c r="G521" s="153"/>
      <c r="H521" s="153"/>
      <c r="I521" s="120"/>
      <c r="J521" s="120"/>
      <c r="K521" s="153"/>
      <c r="L521" s="153"/>
      <c r="M521" s="153"/>
      <c r="N521" s="153"/>
      <c r="O521" s="153"/>
      <c r="P521" s="153"/>
      <c r="Q521" s="153"/>
      <c r="R521" s="153"/>
      <c r="S521" s="153"/>
      <c r="T521" s="153"/>
      <c r="U521" s="153"/>
      <c r="V521" s="153"/>
      <c r="W521" s="153"/>
      <c r="X521" s="153"/>
      <c r="Y521" s="153"/>
      <c r="Z521" s="153"/>
      <c r="AA521" s="153"/>
      <c r="AB521" s="153"/>
      <c r="AC521" s="153"/>
    </row>
    <row r="522">
      <c r="A522" s="152" t="s">
        <v>346</v>
      </c>
      <c r="B522" s="133" t="str">
        <f>IFERROR(__xludf.DUMMYFUNCTION("FILTER ('Research Papers'!D:D,'Research Papers'!A:A=C522)"),"The Double-Edged Sword of Knowledge Transfer: Diagnosing and Curing Fairness Pathologies in Cross-Domain Recommendation")</f>
        <v>The Double-Edged Sword of Knowledge Transfer: Diagnosing and Curing Fairness Pathologies in Cross-Domain Recommendation</v>
      </c>
      <c r="C522" s="133" t="s">
        <v>884</v>
      </c>
      <c r="D522" s="153" t="str">
        <f t="shared" si="1"/>
        <v>The Double-Edged Sword of Knowledge Transfer: Diagnosing and Curing Fairness Pathologies in Cross-Domain Recommendation
Yuhan Zhao, Weixin Chen, Li Chen and Weike Pan
</v>
      </c>
      <c r="E522" s="153" t="str">
        <f>IFERROR(__xludf.DUMMYFUNCTION("TEXTJOIN(CHAR(10), TRUE,FILTER('Research Papers'!$C:$C,'Research Papers'!$A:$A=C522))"),"Yuhan Zhao, Weixin Chen, Li Chen and Weike Pan")</f>
        <v>Yuhan Zhao, Weixin Chen, Li Chen and Weike Pan</v>
      </c>
      <c r="F522" s="133" t="s">
        <v>103</v>
      </c>
      <c r="G522" s="153"/>
      <c r="H522" s="153"/>
      <c r="I522" s="120"/>
      <c r="J522" s="120"/>
      <c r="K522" s="153"/>
      <c r="L522" s="153"/>
      <c r="M522" s="153"/>
      <c r="N522" s="153"/>
      <c r="O522" s="153"/>
      <c r="P522" s="153"/>
      <c r="Q522" s="153"/>
      <c r="R522" s="153"/>
      <c r="S522" s="153"/>
      <c r="T522" s="153"/>
      <c r="U522" s="153"/>
      <c r="V522" s="153"/>
      <c r="W522" s="153"/>
      <c r="X522" s="153"/>
      <c r="Y522" s="153"/>
      <c r="Z522" s="153"/>
      <c r="AA522" s="153"/>
      <c r="AB522" s="153"/>
      <c r="AC522" s="153"/>
    </row>
    <row r="523">
      <c r="A523" s="152" t="s">
        <v>346</v>
      </c>
      <c r="B523" s="133" t="str">
        <f>IFERROR(__xludf.DUMMYFUNCTION("FILTER ('Research Papers'!D:D,'Research Papers'!A:A=C523)"),"Adaptive Graph Reweighting for Collaborative Filtering")</f>
        <v>Adaptive Graph Reweighting for Collaborative Filtering</v>
      </c>
      <c r="C523" s="133" t="s">
        <v>885</v>
      </c>
      <c r="D523" s="153" t="str">
        <f t="shared" si="1"/>
        <v>Adaptive Graph Reweighting for Collaborative Filtering
Yijun Sheng, Ximing Chen, Pui Ieng Lei, Yanyan Liu and
Zhiguo Gong
</v>
      </c>
      <c r="E523" s="153" t="str">
        <f>IFERROR(__xludf.DUMMYFUNCTION("TEXTJOIN(CHAR(10), TRUE,FILTER('Research Papers'!$C:$C,'Research Papers'!$A:$A=C523))"),"Yijun Sheng, Ximing Chen, Pui Ieng Lei, Yanyan Liu and
Zhiguo Gong")</f>
        <v>Yijun Sheng, Ximing Chen, Pui Ieng Lei, Yanyan Liu and
Zhiguo Gong</v>
      </c>
      <c r="F523" s="133" t="s">
        <v>135</v>
      </c>
      <c r="G523" s="153"/>
      <c r="H523" s="153"/>
      <c r="I523" s="120"/>
      <c r="J523" s="120"/>
      <c r="K523" s="153"/>
      <c r="L523" s="153"/>
      <c r="M523" s="153"/>
      <c r="N523" s="153"/>
      <c r="O523" s="153"/>
      <c r="P523" s="153"/>
      <c r="Q523" s="153"/>
      <c r="R523" s="153"/>
      <c r="S523" s="153"/>
      <c r="T523" s="153"/>
      <c r="U523" s="153"/>
      <c r="V523" s="153"/>
      <c r="W523" s="153"/>
      <c r="X523" s="153"/>
      <c r="Y523" s="153"/>
      <c r="Z523" s="153"/>
      <c r="AA523" s="153"/>
      <c r="AB523" s="153"/>
      <c r="AC523" s="153"/>
    </row>
    <row r="524">
      <c r="A524" s="152" t="s">
        <v>346</v>
      </c>
      <c r="B524" s="133" t="str">
        <f>IFERROR(__xludf.DUMMYFUNCTION("FILTER ('Research Papers'!D:D,'Research Papers'!A:A=C524)"),"IACLR: Intention Alignment via Contrastive Learning for Bipartite Graph Recommendation")</f>
        <v>IACLR: Intention Alignment via Contrastive Learning for Bipartite Graph Recommendation</v>
      </c>
      <c r="C524" s="133" t="s">
        <v>886</v>
      </c>
      <c r="D524" s="153" t="str">
        <f t="shared" si="1"/>
        <v>IACLR: Intention Alignment via Contrastive Learning for Bipartite Graph Recommendation
Huiying Hu, Tuo Wang, Yixiao Zhou and Xiaoqing Lyu
</v>
      </c>
      <c r="E524" s="153" t="str">
        <f>IFERROR(__xludf.DUMMYFUNCTION("TEXTJOIN(CHAR(10), TRUE,FILTER('Research Papers'!$C:$C,'Research Papers'!$A:$A=C524))"),"Huiying Hu, Tuo Wang, Yixiao Zhou and Xiaoqing Lyu")</f>
        <v>Huiying Hu, Tuo Wang, Yixiao Zhou and Xiaoqing Lyu</v>
      </c>
      <c r="F524" s="133" t="s">
        <v>135</v>
      </c>
      <c r="G524" s="153"/>
      <c r="H524" s="153"/>
      <c r="I524" s="120"/>
      <c r="J524" s="120"/>
      <c r="K524" s="153"/>
      <c r="L524" s="153"/>
      <c r="M524" s="153"/>
      <c r="N524" s="153"/>
      <c r="O524" s="153"/>
      <c r="P524" s="153"/>
      <c r="Q524" s="153"/>
      <c r="R524" s="153"/>
      <c r="S524" s="153"/>
      <c r="T524" s="153"/>
      <c r="U524" s="153"/>
      <c r="V524" s="153"/>
      <c r="W524" s="153"/>
      <c r="X524" s="153"/>
      <c r="Y524" s="153"/>
      <c r="Z524" s="153"/>
      <c r="AA524" s="153"/>
      <c r="AB524" s="153"/>
      <c r="AC524" s="153"/>
    </row>
    <row r="525">
      <c r="A525" s="152" t="s">
        <v>346</v>
      </c>
      <c r="B525" s="133" t="str">
        <f>IFERROR(__xludf.DUMMYFUNCTION("FILTER ('Research Papers'!D:D,'Research Papers'!A:A=C525)"),"PULSE: Socially-Aware User Representation Modeling Toward Parameter-Efficient Graph Collaborative Filtering")</f>
        <v>PULSE: Socially-Aware User Representation Modeling Toward Parameter-Efficient Graph Collaborative Filtering</v>
      </c>
      <c r="C525" s="133" t="s">
        <v>887</v>
      </c>
      <c r="D525" s="153" t="str">
        <f t="shared" si="1"/>
        <v>PULSE: Socially-Aware User Representation Modeling Toward Parameter-Efficient Graph Collaborative Filtering
Doyun Choi, Cheonwoo Lee, Biniyam Aschalew Tolera, Taewook
Ham, Chanyoung Park and Jaemin Yoo
</v>
      </c>
      <c r="E525" s="153" t="str">
        <f>IFERROR(__xludf.DUMMYFUNCTION("TEXTJOIN(CHAR(10), TRUE,FILTER('Research Papers'!$C:$C,'Research Papers'!$A:$A=C525))"),"Doyun Choi, Cheonwoo Lee, Biniyam Aschalew Tolera, Taewook
Ham, Chanyoung Park and Jaemin Yoo")</f>
        <v>Doyun Choi, Cheonwoo Lee, Biniyam Aschalew Tolera, Taewook
Ham, Chanyoung Park and Jaemin Yoo</v>
      </c>
      <c r="F525" s="133" t="s">
        <v>135</v>
      </c>
      <c r="G525" s="153"/>
      <c r="H525" s="153"/>
      <c r="I525" s="120"/>
      <c r="J525" s="120"/>
      <c r="K525" s="153"/>
      <c r="L525" s="153"/>
      <c r="M525" s="153"/>
      <c r="N525" s="153"/>
      <c r="O525" s="153"/>
      <c r="P525" s="153"/>
      <c r="Q525" s="153"/>
      <c r="R525" s="153"/>
      <c r="S525" s="153"/>
      <c r="T525" s="153"/>
      <c r="U525" s="153"/>
      <c r="V525" s="153"/>
      <c r="W525" s="153"/>
      <c r="X525" s="153"/>
      <c r="Y525" s="153"/>
      <c r="Z525" s="153"/>
      <c r="AA525" s="153"/>
      <c r="AB525" s="153"/>
      <c r="AC525" s="153"/>
    </row>
    <row r="526">
      <c r="A526" s="152" t="s">
        <v>346</v>
      </c>
      <c r="B526" s="133" t="str">
        <f>IFERROR(__xludf.DUMMYFUNCTION("FILTER ('Research Papers'!D:D,'Research Papers'!A:A=C526)"),"Line Graphs Are Here! Unlock a Simple Solution for Data Sparsity and Class Imbalance in Recommender System")</f>
        <v>Line Graphs Are Here! Unlock a Simple Solution for Data Sparsity and Class Imbalance in Recommender System</v>
      </c>
      <c r="C526" s="133" t="s">
        <v>888</v>
      </c>
      <c r="D526" s="153" t="str">
        <f t="shared" si="1"/>
        <v>Line Graphs Are Here! Unlock a Simple Solution for Data Sparsity and Class Imbalance in Recommender System
Junming Zhou, Hao Zhong, Shupeng Li, Zhengyang Wu, Yong
Tang and Ronghua Lin
</v>
      </c>
      <c r="E526" s="153" t="str">
        <f>IFERROR(__xludf.DUMMYFUNCTION("TEXTJOIN(CHAR(10), TRUE,FILTER('Research Papers'!$C:$C,'Research Papers'!$A:$A=C526))"),"Junming Zhou, Hao Zhong, Shupeng Li, Zhengyang Wu, Yong
Tang and Ronghua Lin")</f>
        <v>Junming Zhou, Hao Zhong, Shupeng Li, Zhengyang Wu, Yong
Tang and Ronghua Lin</v>
      </c>
      <c r="F526" s="133" t="s">
        <v>135</v>
      </c>
      <c r="G526" s="153"/>
      <c r="H526" s="153"/>
      <c r="I526" s="120"/>
      <c r="J526" s="120"/>
      <c r="K526" s="153"/>
      <c r="L526" s="153"/>
      <c r="M526" s="153"/>
      <c r="N526" s="153"/>
      <c r="O526" s="153"/>
      <c r="P526" s="153"/>
      <c r="Q526" s="153"/>
      <c r="R526" s="153"/>
      <c r="S526" s="153"/>
      <c r="T526" s="153"/>
      <c r="U526" s="153"/>
      <c r="V526" s="153"/>
      <c r="W526" s="153"/>
      <c r="X526" s="153"/>
      <c r="Y526" s="153"/>
      <c r="Z526" s="153"/>
      <c r="AA526" s="153"/>
      <c r="AB526" s="153"/>
      <c r="AC526" s="153"/>
    </row>
    <row r="527">
      <c r="A527" s="152" t="s">
        <v>346</v>
      </c>
      <c r="B527" s="133" t="str">
        <f>IFERROR(__xludf.DUMMYFUNCTION("FILTER ('Research Papers'!D:D,'Research Papers'!A:A=C527)"),"Multi-modal Bipartite Graph Structure Learning with Information Bottleneck for Micro-video Recommendation")</f>
        <v>Multi-modal Bipartite Graph Structure Learning with Information Bottleneck for Micro-video Recommendation</v>
      </c>
      <c r="C527" s="133" t="s">
        <v>889</v>
      </c>
      <c r="D527" s="153" t="str">
        <f t="shared" si="1"/>
        <v>Multi-modal Bipartite Graph Structure Learning with Information Bottleneck for Micro-video Recommendation
Ying He, Desheng Cai, Shengsheng Qian, Quan Fang, Yinwei
Wei and Changsheng Xu
</v>
      </c>
      <c r="E527" s="153" t="str">
        <f>IFERROR(__xludf.DUMMYFUNCTION("TEXTJOIN(CHAR(10), TRUE,FILTER('Research Papers'!$C:$C,'Research Papers'!$A:$A=C527))"),"Ying He, Desheng Cai, Shengsheng Qian, Quan Fang, Yinwei
Wei and Changsheng Xu")</f>
        <v>Ying He, Desheng Cai, Shengsheng Qian, Quan Fang, Yinwei
Wei and Changsheng Xu</v>
      </c>
      <c r="F527" s="133" t="s">
        <v>135</v>
      </c>
      <c r="G527" s="153"/>
      <c r="H527" s="153"/>
      <c r="I527" s="120"/>
      <c r="J527" s="120"/>
      <c r="K527" s="153"/>
      <c r="L527" s="153"/>
      <c r="M527" s="153"/>
      <c r="N527" s="153"/>
      <c r="O527" s="153"/>
      <c r="P527" s="153"/>
      <c r="Q527" s="153"/>
      <c r="R527" s="153"/>
      <c r="S527" s="153"/>
      <c r="T527" s="153"/>
      <c r="U527" s="153"/>
      <c r="V527" s="153"/>
      <c r="W527" s="153"/>
      <c r="X527" s="153"/>
      <c r="Y527" s="153"/>
      <c r="Z527" s="153"/>
      <c r="AA527" s="153"/>
      <c r="AB527" s="153"/>
      <c r="AC527" s="153"/>
    </row>
    <row r="528">
      <c r="A528" s="152" t="s">
        <v>346</v>
      </c>
      <c r="B528" s="133" t="str">
        <f>IFERROR(__xludf.DUMMYFUNCTION("FILTER ('Research Papers'!D:D,'Research Papers'!A:A=C528)"),"Lifelong Sequential Recommendation with Adaptive Subsequence Compression and Contextual Fusion")</f>
        <v>Lifelong Sequential Recommendation with Adaptive Subsequence Compression and Contextual Fusion</v>
      </c>
      <c r="C528" s="133" t="s">
        <v>890</v>
      </c>
      <c r="D528" s="153" t="str">
        <f t="shared" si="1"/>
        <v>Lifelong Sequential Recommendation with Adaptive Subsequence Compression and Contextual Fusion
Fei Li, Xiaoming Liu, Jiayi Luo, Guibing Guo, Jianzhe Zhao
and Xingwei Wang
</v>
      </c>
      <c r="E528" s="153" t="str">
        <f>IFERROR(__xludf.DUMMYFUNCTION("TEXTJOIN(CHAR(10), TRUE,FILTER('Research Papers'!$C:$C,'Research Papers'!$A:$A=C528))"),"Fei Li, Xiaoming Liu, Jiayi Luo, Guibing Guo, Jianzhe Zhao
and Xingwei Wang")</f>
        <v>Fei Li, Xiaoming Liu, Jiayi Luo, Guibing Guo, Jianzhe Zhao
and Xingwei Wang</v>
      </c>
      <c r="F528" s="133" t="s">
        <v>155</v>
      </c>
      <c r="G528" s="153"/>
      <c r="H528" s="153"/>
      <c r="I528" s="120"/>
      <c r="J528" s="120"/>
      <c r="K528" s="153"/>
      <c r="L528" s="153"/>
      <c r="M528" s="153"/>
      <c r="N528" s="153"/>
      <c r="O528" s="153"/>
      <c r="P528" s="153"/>
      <c r="Q528" s="153"/>
      <c r="R528" s="153"/>
      <c r="S528" s="153"/>
      <c r="T528" s="153"/>
      <c r="U528" s="153"/>
      <c r="V528" s="153"/>
      <c r="W528" s="153"/>
      <c r="X528" s="153"/>
      <c r="Y528" s="153"/>
      <c r="Z528" s="153"/>
      <c r="AA528" s="153"/>
      <c r="AB528" s="153"/>
      <c r="AC528" s="153"/>
    </row>
    <row r="529">
      <c r="A529" s="152" t="s">
        <v>346</v>
      </c>
      <c r="B529" s="133" t="str">
        <f>IFERROR(__xludf.DUMMYFUNCTION("FILTER ('Research Papers'!D:D,'Research Papers'!A:A=C529)"),"Temporal-Series-Aware Adaptive Positional Encoding for Transformer-based Sequential Recommendation")</f>
        <v>Temporal-Series-Aware Adaptive Positional Encoding for Transformer-based Sequential Recommendation</v>
      </c>
      <c r="C529" s="133" t="s">
        <v>891</v>
      </c>
      <c r="D529" s="153" t="str">
        <f t="shared" si="1"/>
        <v>Temporal-Series-Aware Adaptive Positional Encoding for Transformer-based Sequential Recommendation
Rongbo Qi, Yaqi Zhang, Chunyao Song and Tingjian Ge
</v>
      </c>
      <c r="E529" s="153" t="str">
        <f>IFERROR(__xludf.DUMMYFUNCTION("TEXTJOIN(CHAR(10), TRUE,FILTER('Research Papers'!$C:$C,'Research Papers'!$A:$A=C529))"),"Rongbo Qi, Yaqi Zhang, Chunyao Song and Tingjian Ge")</f>
        <v>Rongbo Qi, Yaqi Zhang, Chunyao Song and Tingjian Ge</v>
      </c>
      <c r="F529" s="133" t="s">
        <v>155</v>
      </c>
      <c r="G529" s="153"/>
      <c r="H529" s="153"/>
      <c r="I529" s="120"/>
      <c r="J529" s="120"/>
      <c r="K529" s="153"/>
      <c r="L529" s="153"/>
      <c r="M529" s="153"/>
      <c r="N529" s="153"/>
      <c r="O529" s="153"/>
      <c r="P529" s="153"/>
      <c r="Q529" s="153"/>
      <c r="R529" s="153"/>
      <c r="S529" s="153"/>
      <c r="T529" s="153"/>
      <c r="U529" s="153"/>
      <c r="V529" s="153"/>
      <c r="W529" s="153"/>
      <c r="X529" s="153"/>
      <c r="Y529" s="153"/>
      <c r="Z529" s="153"/>
      <c r="AA529" s="153"/>
      <c r="AB529" s="153"/>
      <c r="AC529" s="153"/>
    </row>
    <row r="530">
      <c r="A530" s="152" t="s">
        <v>346</v>
      </c>
      <c r="B530" s="133" t="str">
        <f>IFERROR(__xludf.DUMMYFUNCTION("FILTER ('Research Papers'!D:D,'Research Papers'!A:A=C530)"),"BlossomRec: Block-level Fused Sparse Attention Mechanism for Sequential Recommendations")</f>
        <v>BlossomRec: Block-level Fused Sparse Attention Mechanism for Sequential Recommendations</v>
      </c>
      <c r="C530" s="133" t="s">
        <v>892</v>
      </c>
      <c r="D530" s="153" t="str">
        <f t="shared" si="1"/>
        <v>BlossomRec: Block-level Fused Sparse Attention Mechanism for Sequential Recommendations
Mengyang Ma, Xiaopeng Li, Wanyu Wang, Zhaocheng Du,
Jingtong Gao, Pengyue Jia, Yuyang Ye, Yiqi Wang, Yunpeng
Weng, Weihong Luo, Xiao Han and Xiangyu Zhao
</v>
      </c>
      <c r="E530" s="153" t="str">
        <f>IFERROR(__xludf.DUMMYFUNCTION("TEXTJOIN(CHAR(10), TRUE,FILTER('Research Papers'!$C:$C,'Research Papers'!$A:$A=C530))"),"Mengyang Ma, Xiaopeng Li, Wanyu Wang, Zhaocheng Du,
Jingtong Gao, Pengyue Jia, Yuyang Ye, Yiqi Wang, Yunpeng
Weng, Weihong Luo, Xiao Han and Xiangyu Zhao")</f>
        <v>Mengyang Ma, Xiaopeng Li, Wanyu Wang, Zhaocheng Du,
Jingtong Gao, Pengyue Jia, Yuyang Ye, Yiqi Wang, Yunpeng
Weng, Weihong Luo, Xiao Han and Xiangyu Zhao</v>
      </c>
      <c r="F530" s="133" t="s">
        <v>155</v>
      </c>
      <c r="G530" s="153"/>
      <c r="H530" s="153"/>
      <c r="I530" s="120"/>
      <c r="J530" s="120"/>
      <c r="K530" s="153"/>
      <c r="L530" s="153"/>
      <c r="M530" s="153"/>
      <c r="N530" s="153"/>
      <c r="O530" s="153"/>
      <c r="P530" s="153"/>
      <c r="Q530" s="153"/>
      <c r="R530" s="153"/>
      <c r="S530" s="153"/>
      <c r="T530" s="153"/>
      <c r="U530" s="153"/>
      <c r="V530" s="153"/>
      <c r="W530" s="153"/>
      <c r="X530" s="153"/>
      <c r="Y530" s="153"/>
      <c r="Z530" s="153"/>
      <c r="AA530" s="153"/>
      <c r="AB530" s="153"/>
      <c r="AC530" s="153"/>
    </row>
    <row r="531">
      <c r="A531" s="152" t="s">
        <v>346</v>
      </c>
      <c r="B531" s="133" t="str">
        <f>IFERROR(__xludf.DUMMYFUNCTION("FILTER ('Research Papers'!D:D,'Research Papers'!A:A=C531)"),"Mixture of Sequence: Theme-Aware Mixture-of-Experts for Long-Sequence Recommendation")</f>
        <v>Mixture of Sequence: Theme-Aware Mixture-of-Experts for Long-Sequence Recommendation</v>
      </c>
      <c r="C531" s="133" t="s">
        <v>893</v>
      </c>
      <c r="D531" s="153" t="str">
        <f t="shared" si="1"/>
        <v>Mixture of Sequence: Theme-Aware Mixture-of-Experts for Long-Sequence Recommendation
Xiao Lin, Zhicheng Tang, Weilin Cong, Mengyue Hang, Kai
Wang, Yajuan Wang, Zhichen Zeng, Ting-Wei Li, Hyunsik Yoo,
Zhining Liu, Xuying Ning, Ruizhong Qiu, Wen-Yen Chen, Shuo
Chang, Rong Jin, Huayu Li and Hanghang Tong
</v>
      </c>
      <c r="E531" s="153" t="str">
        <f>IFERROR(__xludf.DUMMYFUNCTION("TEXTJOIN(CHAR(10), TRUE,FILTER('Research Papers'!$C:$C,'Research Papers'!$A:$A=C531))"),"Xiao Lin, Zhicheng Tang, Weilin Cong, Mengyue Hang, Kai
Wang, Yajuan Wang, Zhichen Zeng, Ting-Wei Li, Hyunsik Yoo,
Zhining Liu, Xuying Ning, Ruizhong Qiu, Wen-Yen Chen, Shuo
Chang, Rong Jin, Huayu Li and Hanghang Tong")</f>
        <v>Xiao Lin, Zhicheng Tang, Weilin Cong, Mengyue Hang, Kai
Wang, Yajuan Wang, Zhichen Zeng, Ting-Wei Li, Hyunsik Yoo,
Zhining Liu, Xuying Ning, Ruizhong Qiu, Wen-Yen Chen, Shuo
Chang, Rong Jin, Huayu Li and Hanghang Tong</v>
      </c>
      <c r="F531" s="133" t="s">
        <v>155</v>
      </c>
      <c r="G531" s="153"/>
      <c r="H531" s="153"/>
      <c r="I531" s="120"/>
      <c r="J531" s="120"/>
      <c r="K531" s="153"/>
      <c r="L531" s="153"/>
      <c r="M531" s="153"/>
      <c r="N531" s="153"/>
      <c r="O531" s="153"/>
      <c r="P531" s="153"/>
      <c r="Q531" s="153"/>
      <c r="R531" s="153"/>
      <c r="S531" s="153"/>
      <c r="T531" s="153"/>
      <c r="U531" s="153"/>
      <c r="V531" s="153"/>
      <c r="W531" s="153"/>
      <c r="X531" s="153"/>
      <c r="Y531" s="153"/>
      <c r="Z531" s="153"/>
      <c r="AA531" s="153"/>
      <c r="AB531" s="153"/>
      <c r="AC531" s="153"/>
    </row>
    <row r="532">
      <c r="A532" s="152" t="s">
        <v>346</v>
      </c>
      <c r="B532" s="133" t="str">
        <f>IFERROR(__xludf.DUMMYFUNCTION("FILTER ('Research Papers'!D:D,'Research Papers'!A:A=C532)"),"Hyena Operator for Fast Sequential Recommendation")</f>
        <v>Hyena Operator for Fast Sequential Recommendation</v>
      </c>
      <c r="C532" s="133" t="s">
        <v>894</v>
      </c>
      <c r="D532" s="153" t="str">
        <f t="shared" si="1"/>
        <v>Hyena Operator for Fast Sequential Recommendation
Jiahao Liu, Lin Li, Zhiyuan Li, Kaixi Hu, Kaize Shi and
Jingling Yuan
</v>
      </c>
      <c r="E532" s="153" t="str">
        <f>IFERROR(__xludf.DUMMYFUNCTION("TEXTJOIN(CHAR(10), TRUE,FILTER('Research Papers'!$C:$C,'Research Papers'!$A:$A=C532))"),"Jiahao Liu, Lin Li, Zhiyuan Li, Kaixi Hu, Kaize Shi and
Jingling Yuan")</f>
        <v>Jiahao Liu, Lin Li, Zhiyuan Li, Kaixi Hu, Kaize Shi and
Jingling Yuan</v>
      </c>
      <c r="F532" s="133" t="s">
        <v>155</v>
      </c>
      <c r="G532" s="153"/>
      <c r="H532" s="153"/>
      <c r="I532" s="120"/>
      <c r="J532" s="120"/>
      <c r="K532" s="153"/>
      <c r="L532" s="153"/>
      <c r="M532" s="153"/>
      <c r="N532" s="153"/>
      <c r="O532" s="153"/>
      <c r="P532" s="153"/>
      <c r="Q532" s="153"/>
      <c r="R532" s="153"/>
      <c r="S532" s="153"/>
      <c r="T532" s="153"/>
      <c r="U532" s="153"/>
      <c r="V532" s="153"/>
      <c r="W532" s="153"/>
      <c r="X532" s="153"/>
      <c r="Y532" s="153"/>
      <c r="Z532" s="153"/>
      <c r="AA532" s="153"/>
      <c r="AB532" s="153"/>
      <c r="AC532" s="153"/>
    </row>
    <row r="533">
      <c r="A533" s="152" t="s">
        <v>346</v>
      </c>
      <c r="B533" s="133" t="str">
        <f>IFERROR(__xludf.DUMMYFUNCTION("FILTER ('Research Papers'!D:D,'Research Papers'!A:A=C533)"),"ES-MemEval: Benchmarking Conversational Agents on Personalized Long-Term Emotional Support")</f>
        <v>ES-MemEval: Benchmarking Conversational Agents on Personalized Long-Term Emotional Support</v>
      </c>
      <c r="C533" s="133" t="s">
        <v>895</v>
      </c>
      <c r="D533" s="153" t="str">
        <f t="shared" si="1"/>
        <v>ES-MemEval: Benchmarking Conversational Agents on Personalized Long-Term Emotional Support
Tiantian Chen, Jiaqi Lu, Ying Shen and Lin Zhang
</v>
      </c>
      <c r="E533" s="153" t="str">
        <f>IFERROR(__xludf.DUMMYFUNCTION("TEXTJOIN(CHAR(10), TRUE,FILTER('Research Papers'!$C:$C,'Research Papers'!$A:$A=C533))"),"Tiantian Chen, Jiaqi Lu, Ying Shen and Lin Zhang")</f>
        <v>Tiantian Chen, Jiaqi Lu, Ying Shen and Lin Zhang</v>
      </c>
      <c r="F533" s="133" t="s">
        <v>173</v>
      </c>
      <c r="G533" s="153"/>
      <c r="H533" s="153"/>
      <c r="I533" s="120"/>
      <c r="J533" s="120"/>
      <c r="K533" s="153"/>
      <c r="L533" s="153"/>
      <c r="M533" s="153"/>
      <c r="N533" s="153"/>
      <c r="O533" s="153"/>
      <c r="P533" s="153"/>
      <c r="Q533" s="153"/>
      <c r="R533" s="153"/>
      <c r="S533" s="153"/>
      <c r="T533" s="153"/>
      <c r="U533" s="153"/>
      <c r="V533" s="153"/>
      <c r="W533" s="153"/>
      <c r="X533" s="153"/>
      <c r="Y533" s="153"/>
      <c r="Z533" s="153"/>
      <c r="AA533" s="153"/>
      <c r="AB533" s="153"/>
      <c r="AC533" s="153"/>
    </row>
    <row r="534">
      <c r="A534" s="152" t="s">
        <v>346</v>
      </c>
      <c r="B534" s="133" t="str">
        <f>IFERROR(__xludf.DUMMYFUNCTION("FILTER ('Research Papers'!D:D,'Research Papers'!A:A=C534)"),"Learning Evolving Preferences: A Federated Continual Framework for User-Centric Recommendation")</f>
        <v>Learning Evolving Preferences: A Federated Continual Framework for User-Centric Recommendation</v>
      </c>
      <c r="C534" s="133" t="s">
        <v>896</v>
      </c>
      <c r="D534" s="153" t="str">
        <f t="shared" si="1"/>
        <v>Learning Evolving Preferences: A Federated Continual Framework for User-Centric Recommendation
Chunxu Zhang, Zhiheng Xue, Guodong Long, Weipeng Zhang and
Bo Yang
</v>
      </c>
      <c r="E534" s="153" t="str">
        <f>IFERROR(__xludf.DUMMYFUNCTION("TEXTJOIN(CHAR(10), TRUE,FILTER('Research Papers'!$C:$C,'Research Papers'!$A:$A=C534))"),"Chunxu Zhang, Zhiheng Xue, Guodong Long, Weipeng Zhang and
Bo Yang")</f>
        <v>Chunxu Zhang, Zhiheng Xue, Guodong Long, Weipeng Zhang and
Bo Yang</v>
      </c>
      <c r="F534" s="133" t="s">
        <v>173</v>
      </c>
      <c r="G534" s="153"/>
      <c r="H534" s="153"/>
      <c r="I534" s="120"/>
      <c r="J534" s="120"/>
      <c r="K534" s="153"/>
      <c r="L534" s="153"/>
      <c r="M534" s="153"/>
      <c r="N534" s="153"/>
      <c r="O534" s="153"/>
      <c r="P534" s="153"/>
      <c r="Q534" s="153"/>
      <c r="R534" s="153"/>
      <c r="S534" s="153"/>
      <c r="T534" s="153"/>
      <c r="U534" s="153"/>
      <c r="V534" s="153"/>
      <c r="W534" s="153"/>
      <c r="X534" s="153"/>
      <c r="Y534" s="153"/>
      <c r="Z534" s="153"/>
      <c r="AA534" s="153"/>
      <c r="AB534" s="153"/>
      <c r="AC534" s="153"/>
    </row>
    <row r="535">
      <c r="A535" s="152" t="s">
        <v>346</v>
      </c>
      <c r="B535" s="133" t="str">
        <f>IFERROR(__xludf.DUMMYFUNCTION("FILTER ('Research Papers'!D:D,'Research Papers'!A:A=C535)"),"Prototype-Aligned Federated Soft-Prompts for Continual Web Personalization")</f>
        <v>Prototype-Aligned Federated Soft-Prompts for Continual Web Personalization</v>
      </c>
      <c r="C535" s="133" t="s">
        <v>897</v>
      </c>
      <c r="D535" s="153" t="str">
        <f t="shared" si="1"/>
        <v>Prototype-Aligned Federated Soft-Prompts for Continual Web Personalization
Canran Xiao and Liwei Hou
</v>
      </c>
      <c r="E535" s="153" t="str">
        <f>IFERROR(__xludf.DUMMYFUNCTION("TEXTJOIN(CHAR(10), TRUE,FILTER('Research Papers'!$C:$C,'Research Papers'!$A:$A=C535))"),"Canran Xiao and Liwei Hou")</f>
        <v>Canran Xiao and Liwei Hou</v>
      </c>
      <c r="F535" s="133" t="s">
        <v>173</v>
      </c>
      <c r="G535" s="153"/>
      <c r="H535" s="153"/>
      <c r="I535" s="120"/>
      <c r="J535" s="120"/>
      <c r="K535" s="153"/>
      <c r="L535" s="153"/>
      <c r="M535" s="153"/>
      <c r="N535" s="153"/>
      <c r="O535" s="153"/>
      <c r="P535" s="153"/>
      <c r="Q535" s="153"/>
      <c r="R535" s="153"/>
      <c r="S535" s="153"/>
      <c r="T535" s="153"/>
      <c r="U535" s="153"/>
      <c r="V535" s="153"/>
      <c r="W535" s="153"/>
      <c r="X535" s="153"/>
      <c r="Y535" s="153"/>
      <c r="Z535" s="153"/>
      <c r="AA535" s="153"/>
      <c r="AB535" s="153"/>
      <c r="AC535" s="153"/>
    </row>
    <row r="536">
      <c r="A536" s="152" t="s">
        <v>346</v>
      </c>
      <c r="B536" s="133" t="str">
        <f>IFERROR(__xludf.DUMMYFUNCTION("FILTER ('Research Papers'!D:D,'Research Papers'!A:A=C536)"),"Modeling Stage-wise Evolution of User Interests for News Recommendation")</f>
        <v>Modeling Stage-wise Evolution of User Interests for News Recommendation</v>
      </c>
      <c r="C536" s="133" t="s">
        <v>898</v>
      </c>
      <c r="D536" s="153" t="str">
        <f t="shared" si="1"/>
        <v>Modeling Stage-wise Evolution of User Interests for News Recommendation
Zhiyong Cheng, Yike Jin, Zhijie Zhang, Huilin Chen,
Zhangling Duan and Meng Wang
</v>
      </c>
      <c r="E536" s="153" t="str">
        <f>IFERROR(__xludf.DUMMYFUNCTION("TEXTJOIN(CHAR(10), TRUE,FILTER('Research Papers'!$C:$C,'Research Papers'!$A:$A=C536))"),"Zhiyong Cheng, Yike Jin, Zhijie Zhang, Huilin Chen,
Zhangling Duan and Meng Wang")</f>
        <v>Zhiyong Cheng, Yike Jin, Zhijie Zhang, Huilin Chen,
Zhangling Duan and Meng Wang</v>
      </c>
      <c r="F536" s="133" t="s">
        <v>173</v>
      </c>
      <c r="G536" s="153"/>
      <c r="H536" s="153"/>
      <c r="I536" s="120"/>
      <c r="J536" s="120"/>
      <c r="K536" s="153"/>
      <c r="L536" s="153"/>
      <c r="M536" s="153"/>
      <c r="N536" s="153"/>
      <c r="O536" s="153"/>
      <c r="P536" s="153"/>
      <c r="Q536" s="153"/>
      <c r="R536" s="153"/>
      <c r="S536" s="153"/>
      <c r="T536" s="153"/>
      <c r="U536" s="153"/>
      <c r="V536" s="153"/>
      <c r="W536" s="153"/>
      <c r="X536" s="153"/>
      <c r="Y536" s="153"/>
      <c r="Z536" s="153"/>
      <c r="AA536" s="153"/>
      <c r="AB536" s="153"/>
      <c r="AC536" s="153"/>
    </row>
    <row r="537">
      <c r="A537" s="152" t="s">
        <v>346</v>
      </c>
      <c r="B537" s="133" t="str">
        <f>IFERROR(__xludf.DUMMYFUNCTION("FILTER ('Research Papers'!D:D,'Research Papers'!A:A=C537)"),"MemWeaver: A Hierarchical Memory from Textual Interactive Behaviors for Personalized Generation")</f>
        <v>MemWeaver: A Hierarchical Memory from Textual Interactive Behaviors for Personalized Generation</v>
      </c>
      <c r="C537" s="133" t="s">
        <v>899</v>
      </c>
      <c r="D537" s="153" t="str">
        <f t="shared" si="1"/>
        <v>MemWeaver: A Hierarchical Memory from Textual Interactive Behaviors for Personalized Generation
Shuo Yu, Mingyue Cheng, Daoyu Wang, Qi Liu, Zirui Liu, Ze
Guo and Xiaoyu Tao
</v>
      </c>
      <c r="E537" s="153" t="str">
        <f>IFERROR(__xludf.DUMMYFUNCTION("TEXTJOIN(CHAR(10), TRUE,FILTER('Research Papers'!$C:$C,'Research Papers'!$A:$A=C537))"),"Shuo Yu, Mingyue Cheng, Daoyu Wang, Qi Liu, Zirui Liu, Ze
Guo and Xiaoyu Tao")</f>
        <v>Shuo Yu, Mingyue Cheng, Daoyu Wang, Qi Liu, Zirui Liu, Ze
Guo and Xiaoyu Tao</v>
      </c>
      <c r="F537" s="133" t="s">
        <v>173</v>
      </c>
      <c r="G537" s="153"/>
      <c r="H537" s="153"/>
      <c r="I537" s="120"/>
      <c r="J537" s="120"/>
      <c r="K537" s="153"/>
      <c r="L537" s="153"/>
      <c r="M537" s="153"/>
      <c r="N537" s="153"/>
      <c r="O537" s="153"/>
      <c r="P537" s="153"/>
      <c r="Q537" s="153"/>
      <c r="R537" s="153"/>
      <c r="S537" s="153"/>
      <c r="T537" s="153"/>
      <c r="U537" s="153"/>
      <c r="V537" s="153"/>
      <c r="W537" s="153"/>
      <c r="X537" s="153"/>
      <c r="Y537" s="153"/>
      <c r="Z537" s="153"/>
      <c r="AA537" s="153"/>
      <c r="AB537" s="153"/>
      <c r="AC537" s="153"/>
    </row>
    <row r="538">
      <c r="A538" s="152" t="s">
        <v>346</v>
      </c>
      <c r="B538" s="133" t="str">
        <f>IFERROR(__xludf.DUMMYFUNCTION("FILTER ('Research Papers'!D:D,'Research Papers'!A:A=C538)"),"SEAR: LLM-Powered Sequential Recommendation via Fusion of Collaborative, Semantic, and Rating Information")</f>
        <v>SEAR: LLM-Powered Sequential Recommendation via Fusion of Collaborative, Semantic, and Rating Information</v>
      </c>
      <c r="C538" s="133" t="s">
        <v>900</v>
      </c>
      <c r="D538" s="153" t="str">
        <f t="shared" si="1"/>
        <v>SEAR: LLM-Powered Sequential Recommendation via Fusion of Collaborative, Semantic, and Rating Information
Wei Guan, Jian Cao, Qiqi Cai, Jianqi Gao, Jinyu Cai and
See-Kiong Ng
</v>
      </c>
      <c r="E538" s="153" t="str">
        <f>IFERROR(__xludf.DUMMYFUNCTION("TEXTJOIN(CHAR(10), TRUE,FILTER('Research Papers'!$C:$C,'Research Papers'!$A:$A=C538))"),"Wei Guan, Jian Cao, Qiqi Cai, Jianqi Gao, Jinyu Cai and
See-Kiong Ng")</f>
        <v>Wei Guan, Jian Cao, Qiqi Cai, Jianqi Gao, Jinyu Cai and
See-Kiong Ng</v>
      </c>
      <c r="F538" s="133" t="s">
        <v>200</v>
      </c>
      <c r="G538" s="153"/>
      <c r="H538" s="153"/>
      <c r="I538" s="120"/>
      <c r="J538" s="120"/>
      <c r="K538" s="153"/>
      <c r="L538" s="153"/>
      <c r="M538" s="153"/>
      <c r="N538" s="153"/>
      <c r="O538" s="153"/>
      <c r="P538" s="153"/>
      <c r="Q538" s="153"/>
      <c r="R538" s="153"/>
      <c r="S538" s="153"/>
      <c r="T538" s="153"/>
      <c r="U538" s="153"/>
      <c r="V538" s="153"/>
      <c r="W538" s="153"/>
      <c r="X538" s="153"/>
      <c r="Y538" s="153"/>
      <c r="Z538" s="153"/>
      <c r="AA538" s="153"/>
      <c r="AB538" s="153"/>
      <c r="AC538" s="153"/>
    </row>
    <row r="539">
      <c r="A539" s="152" t="s">
        <v>346</v>
      </c>
      <c r="B539" s="133" t="str">
        <f>IFERROR(__xludf.DUMMYFUNCTION("FILTER ('Research Papers'!D:D,'Research Papers'!A:A=C539)"),"Retracing and Restoring: Chronological Context Preservation for Effective Dynamic Recommendation")</f>
        <v>Retracing and Restoring: Chronological Context Preservation for Effective Dynamic Recommendation</v>
      </c>
      <c r="C539" s="133" t="s">
        <v>901</v>
      </c>
      <c r="D539" s="153" t="str">
        <f t="shared" si="1"/>
        <v>Retracing and Restoring: Chronological Context Preservation for Effective Dynamic Recommendation
Min-Jeong Kim, Jiwon Son, Yeon-Chang Lee and Sang-Wook Kim
</v>
      </c>
      <c r="E539" s="153" t="str">
        <f>IFERROR(__xludf.DUMMYFUNCTION("TEXTJOIN(CHAR(10), TRUE,FILTER('Research Papers'!$C:$C,'Research Papers'!$A:$A=C539))"),"Min-Jeong Kim, Jiwon Son, Yeon-Chang Lee and Sang-Wook Kim")</f>
        <v>Min-Jeong Kim, Jiwon Son, Yeon-Chang Lee and Sang-Wook Kim</v>
      </c>
      <c r="F539" s="133" t="s">
        <v>200</v>
      </c>
      <c r="G539" s="153"/>
      <c r="H539" s="153"/>
      <c r="I539" s="120"/>
      <c r="J539" s="120"/>
      <c r="K539" s="153"/>
      <c r="L539" s="153"/>
      <c r="M539" s="153"/>
      <c r="N539" s="153"/>
      <c r="O539" s="153"/>
      <c r="P539" s="153"/>
      <c r="Q539" s="153"/>
      <c r="R539" s="153"/>
      <c r="S539" s="153"/>
      <c r="T539" s="153"/>
      <c r="U539" s="153"/>
      <c r="V539" s="153"/>
      <c r="W539" s="153"/>
      <c r="X539" s="153"/>
      <c r="Y539" s="153"/>
      <c r="Z539" s="153"/>
      <c r="AA539" s="153"/>
      <c r="AB539" s="153"/>
      <c r="AC539" s="153"/>
    </row>
    <row r="540">
      <c r="A540" s="152" t="s">
        <v>346</v>
      </c>
      <c r="B540" s="133" t="str">
        <f>IFERROR(__xludf.DUMMYFUNCTION("FILTER ('Research Papers'!D:D,'Research Papers'!A:A=C540)"),"FCRLLM: Aligning LLM with Collaborative Filtering for Long-tailed Sequential Recommendation")</f>
        <v>FCRLLM: Aligning LLM with Collaborative Filtering for Long-tailed Sequential Recommendation</v>
      </c>
      <c r="C540" s="133" t="s">
        <v>902</v>
      </c>
      <c r="D540" s="153" t="str">
        <f t="shared" si="1"/>
        <v>FCRLLM: Aligning LLM with Collaborative Filtering for Long-tailed Sequential Recommendation
Byungmoon Heo, Namjun Lee, Seonah Kim and Jaekwang Kim
</v>
      </c>
      <c r="E540" s="153" t="str">
        <f>IFERROR(__xludf.DUMMYFUNCTION("TEXTJOIN(CHAR(10), TRUE,FILTER('Research Papers'!$C:$C,'Research Papers'!$A:$A=C540))"),"Byungmoon Heo, Namjun Lee, Seonah Kim and Jaekwang Kim")</f>
        <v>Byungmoon Heo, Namjun Lee, Seonah Kim and Jaekwang Kim</v>
      </c>
      <c r="F540" s="133" t="s">
        <v>200</v>
      </c>
      <c r="G540" s="153"/>
      <c r="H540" s="153"/>
      <c r="I540" s="120"/>
      <c r="J540" s="120"/>
      <c r="K540" s="153"/>
      <c r="L540" s="153"/>
      <c r="M540" s="153"/>
      <c r="N540" s="153"/>
      <c r="O540" s="153"/>
      <c r="P540" s="153"/>
      <c r="Q540" s="153"/>
      <c r="R540" s="153"/>
      <c r="S540" s="153"/>
      <c r="T540" s="153"/>
      <c r="U540" s="153"/>
      <c r="V540" s="153"/>
      <c r="W540" s="153"/>
      <c r="X540" s="153"/>
      <c r="Y540" s="153"/>
      <c r="Z540" s="153"/>
      <c r="AA540" s="153"/>
      <c r="AB540" s="153"/>
      <c r="AC540" s="153"/>
    </row>
    <row r="541">
      <c r="A541" s="152" t="s">
        <v>346</v>
      </c>
      <c r="B541" s="133" t="str">
        <f>IFERROR(__xludf.DUMMYFUNCTION("FILTER ('Research Papers'!D:D,'Research Papers'!A:A=C541)"),"Generative Archetype-Grounded Item Representations for Sequential Recommendation")</f>
        <v>Generative Archetype-Grounded Item Representations for Sequential Recommendation</v>
      </c>
      <c r="C541" s="133" t="s">
        <v>903</v>
      </c>
      <c r="D541" s="153" t="str">
        <f t="shared" si="1"/>
        <v>Generative Archetype-Grounded Item Representations for Sequential Recommendation
Yifan Li, Jiahong Liu, Xinni Zhang, Hao Chen, Yankai Chen,
Wenhao Yu, Jianting Chen and Irwin King
</v>
      </c>
      <c r="E541" s="153" t="str">
        <f>IFERROR(__xludf.DUMMYFUNCTION("TEXTJOIN(CHAR(10), TRUE,FILTER('Research Papers'!$C:$C,'Research Papers'!$A:$A=C541))"),"Yifan Li, Jiahong Liu, Xinni Zhang, Hao Chen, Yankai Chen,
Wenhao Yu, Jianting Chen and Irwin King")</f>
        <v>Yifan Li, Jiahong Liu, Xinni Zhang, Hao Chen, Yankai Chen,
Wenhao Yu, Jianting Chen and Irwin King</v>
      </c>
      <c r="F541" s="133" t="s">
        <v>200</v>
      </c>
      <c r="G541" s="153"/>
      <c r="H541" s="153"/>
      <c r="I541" s="120"/>
      <c r="J541" s="120"/>
      <c r="K541" s="153"/>
      <c r="L541" s="153"/>
      <c r="M541" s="153"/>
      <c r="N541" s="153"/>
      <c r="O541" s="153"/>
      <c r="P541" s="153"/>
      <c r="Q541" s="153"/>
      <c r="R541" s="153"/>
      <c r="S541" s="153"/>
      <c r="T541" s="153"/>
      <c r="U541" s="153"/>
      <c r="V541" s="153"/>
      <c r="W541" s="153"/>
      <c r="X541" s="153"/>
      <c r="Y541" s="153"/>
      <c r="Z541" s="153"/>
      <c r="AA541" s="153"/>
      <c r="AB541" s="153"/>
      <c r="AC541" s="153"/>
    </row>
    <row r="542">
      <c r="A542" s="152" t="s">
        <v>346</v>
      </c>
      <c r="B542" s="133" t="str">
        <f>IFERROR(__xludf.DUMMYFUNCTION("FILTER ('Research Papers'!D:D,'Research Papers'!A:A=C542)"),"Token-level Collaborative Alignment for LLM-based Generative Recommendation")</f>
        <v>Token-level Collaborative Alignment for LLM-based Generative Recommendation</v>
      </c>
      <c r="C542" s="133" t="s">
        <v>904</v>
      </c>
      <c r="D542" s="153" t="str">
        <f t="shared" si="1"/>
        <v>Token-level Collaborative Alignment for LLM-based Generative Recommendation
Fake Lin, Binbin Hu, Zhi Zheng, Xi Zhu, Ziqi Liu, Zhiqiang
Zhang, Jun Zhou and Tong Xu
</v>
      </c>
      <c r="E542" s="153" t="str">
        <f>IFERROR(__xludf.DUMMYFUNCTION("TEXTJOIN(CHAR(10), TRUE,FILTER('Research Papers'!$C:$C,'Research Papers'!$A:$A=C542))"),"Fake Lin, Binbin Hu, Zhi Zheng, Xi Zhu, Ziqi Liu, Zhiqiang
Zhang, Jun Zhou and Tong Xu")</f>
        <v>Fake Lin, Binbin Hu, Zhi Zheng, Xi Zhu, Ziqi Liu, Zhiqiang
Zhang, Jun Zhou and Tong Xu</v>
      </c>
      <c r="F542" s="133" t="s">
        <v>200</v>
      </c>
      <c r="G542" s="153"/>
      <c r="H542" s="153"/>
      <c r="I542" s="120"/>
      <c r="J542" s="120"/>
      <c r="K542" s="153"/>
      <c r="L542" s="153"/>
      <c r="M542" s="153"/>
      <c r="N542" s="153"/>
      <c r="O542" s="153"/>
      <c r="P542" s="153"/>
      <c r="Q542" s="153"/>
      <c r="R542" s="153"/>
      <c r="S542" s="153"/>
      <c r="T542" s="153"/>
      <c r="U542" s="153"/>
      <c r="V542" s="153"/>
      <c r="W542" s="153"/>
      <c r="X542" s="153"/>
      <c r="Y542" s="153"/>
      <c r="Z542" s="153"/>
      <c r="AA542" s="153"/>
      <c r="AB542" s="153"/>
      <c r="AC542" s="153"/>
    </row>
    <row r="543">
      <c r="A543" s="152" t="s">
        <v>346</v>
      </c>
      <c r="B543" s="133" t="str">
        <f>IFERROR(__xludf.DUMMYFUNCTION("FILTER ('Research Papers'!D:D,'Research Papers'!A:A=C543)"),"DiffGRM: Diffusion-based Generative Recommendation Model")</f>
        <v>DiffGRM: Diffusion-based Generative Recommendation Model</v>
      </c>
      <c r="C543" s="133" t="s">
        <v>905</v>
      </c>
      <c r="D543" s="153" t="str">
        <f t="shared" si="1"/>
        <v>DiffGRM: Diffusion-based Generative Recommendation Model
Zhao Liu, Yichen Zhu, Yiqing Yang, Xiao Lv, Guoping Tang,
Rui Huang, Qiang Luo, Ruiming Tang and Guorui Zhou
</v>
      </c>
      <c r="E543" s="153" t="str">
        <f>IFERROR(__xludf.DUMMYFUNCTION("TEXTJOIN(CHAR(10), TRUE,FILTER('Research Papers'!$C:$C,'Research Papers'!$A:$A=C543))"),"Zhao Liu, Yichen Zhu, Yiqing Yang, Xiao Lv, Guoping Tang,
Rui Huang, Qiang Luo, Ruiming Tang and Guorui Zhou")</f>
        <v>Zhao Liu, Yichen Zhu, Yiqing Yang, Xiao Lv, Guoping Tang,
Rui Huang, Qiang Luo, Ruiming Tang and Guorui Zhou</v>
      </c>
      <c r="F543" s="133" t="s">
        <v>104</v>
      </c>
      <c r="G543" s="153"/>
      <c r="H543" s="153"/>
      <c r="I543" s="120"/>
      <c r="J543" s="120"/>
      <c r="K543" s="153"/>
      <c r="L543" s="153"/>
      <c r="M543" s="153"/>
      <c r="N543" s="153"/>
      <c r="O543" s="153"/>
      <c r="P543" s="153"/>
      <c r="Q543" s="153"/>
      <c r="R543" s="153"/>
      <c r="S543" s="153"/>
      <c r="T543" s="153"/>
      <c r="U543" s="153"/>
      <c r="V543" s="153"/>
      <c r="W543" s="153"/>
      <c r="X543" s="153"/>
      <c r="Y543" s="153"/>
      <c r="Z543" s="153"/>
      <c r="AA543" s="153"/>
      <c r="AB543" s="153"/>
      <c r="AC543" s="153"/>
    </row>
    <row r="544">
      <c r="A544" s="152" t="s">
        <v>346</v>
      </c>
      <c r="B544" s="133" t="str">
        <f>IFERROR(__xludf.DUMMYFUNCTION("FILTER ('Research Papers'!D:D,'Research Papers'!A:A=C544)"),"Modeling Endogenous Logic: Causal Neuro-Symbolic Reasoning Model for Explainable Multi-Behavior Recommendation")</f>
        <v>Modeling Endogenous Logic: Causal Neuro-Symbolic Reasoning Model for Explainable Multi-Behavior Recommendation</v>
      </c>
      <c r="C544" s="133" t="s">
        <v>906</v>
      </c>
      <c r="D544" s="153" t="str">
        <f t="shared" si="1"/>
        <v>Modeling Endogenous Logic: Causal Neuro-Symbolic Reasoning Model for Explainable Multi-Behavior Recommendation
Yuzhe Chen, Jie Cao, Youquan Wang, Haicheng Tao, Darko
Vuković and Jia Wu
</v>
      </c>
      <c r="E544" s="153" t="str">
        <f>IFERROR(__xludf.DUMMYFUNCTION("TEXTJOIN(CHAR(10), TRUE,FILTER('Research Papers'!$C:$C,'Research Papers'!$A:$A=C544))"),"Yuzhe Chen, Jie Cao, Youquan Wang, Haicheng Tao, Darko
Vuković and Jia Wu")</f>
        <v>Yuzhe Chen, Jie Cao, Youquan Wang, Haicheng Tao, Darko
Vuković and Jia Wu</v>
      </c>
      <c r="F544" s="133" t="s">
        <v>104</v>
      </c>
      <c r="G544" s="153"/>
      <c r="H544" s="153"/>
      <c r="I544" s="120"/>
      <c r="J544" s="120"/>
      <c r="K544" s="153"/>
      <c r="L544" s="153"/>
      <c r="M544" s="153"/>
      <c r="N544" s="153"/>
      <c r="O544" s="153"/>
      <c r="P544" s="153"/>
      <c r="Q544" s="153"/>
      <c r="R544" s="153"/>
      <c r="S544" s="153"/>
      <c r="T544" s="153"/>
      <c r="U544" s="153"/>
      <c r="V544" s="153"/>
      <c r="W544" s="153"/>
      <c r="X544" s="153"/>
      <c r="Y544" s="153"/>
      <c r="Z544" s="153"/>
      <c r="AA544" s="153"/>
      <c r="AB544" s="153"/>
      <c r="AC544" s="153"/>
    </row>
    <row r="545">
      <c r="A545" s="152" t="s">
        <v>346</v>
      </c>
      <c r="B545" s="133" t="str">
        <f>IFERROR(__xludf.DUMMYFUNCTION("FILTER ('Research Papers'!D:D,'Research Papers'!A:A=C545)"),"MCLMR: A Model-Agnostic Causal Learning Framework for Multi-Behavior Recommendation")</f>
        <v>MCLMR: A Model-Agnostic Causal Learning Framework for Multi-Behavior Recommendation</v>
      </c>
      <c r="C545" s="133" t="s">
        <v>907</v>
      </c>
      <c r="D545" s="153" t="str">
        <f t="shared" si="1"/>
        <v>MCLMR: A Model-Agnostic Causal Learning Framework for Multi-Behavior Recommendation
Ranxu Zhang, Junjie Meng, Ying Sun, Ziqi Xu, Bing Yin, Hao
Li, Yanyong Zhang and Chao Wang
</v>
      </c>
      <c r="E545" s="153" t="str">
        <f>IFERROR(__xludf.DUMMYFUNCTION("TEXTJOIN(CHAR(10), TRUE,FILTER('Research Papers'!$C:$C,'Research Papers'!$A:$A=C545))"),"Ranxu Zhang, Junjie Meng, Ying Sun, Ziqi Xu, Bing Yin, Hao
Li, Yanyong Zhang and Chao Wang")</f>
        <v>Ranxu Zhang, Junjie Meng, Ying Sun, Ziqi Xu, Bing Yin, Hao
Li, Yanyong Zhang and Chao Wang</v>
      </c>
      <c r="F545" s="133" t="s">
        <v>104</v>
      </c>
      <c r="G545" s="153"/>
      <c r="H545" s="153"/>
      <c r="I545" s="120"/>
      <c r="J545" s="120"/>
      <c r="K545" s="153"/>
      <c r="L545" s="153"/>
      <c r="M545" s="153"/>
      <c r="N545" s="153"/>
      <c r="O545" s="153"/>
      <c r="P545" s="153"/>
      <c r="Q545" s="153"/>
      <c r="R545" s="153"/>
      <c r="S545" s="153"/>
      <c r="T545" s="153"/>
      <c r="U545" s="153"/>
      <c r="V545" s="153"/>
      <c r="W545" s="153"/>
      <c r="X545" s="153"/>
      <c r="Y545" s="153"/>
      <c r="Z545" s="153"/>
      <c r="AA545" s="153"/>
      <c r="AB545" s="153"/>
      <c r="AC545" s="153"/>
    </row>
    <row r="546">
      <c r="A546" s="152" t="s">
        <v>346</v>
      </c>
      <c r="B546" s="133" t="str">
        <f>IFERROR(__xludf.DUMMYFUNCTION("FILTER ('Research Papers'!D:D,'Research Papers'!A:A=C546)"),"C-HyPOD: Causal Hyperbolic Learning with Prototype Orthogonal Disentanglement for Graph Out-of-Distribution Recommendation")</f>
        <v>C-HyPOD: Causal Hyperbolic Learning with Prototype Orthogonal Disentanglement for Graph Out-of-Distribution Recommendation</v>
      </c>
      <c r="C546" s="133" t="s">
        <v>908</v>
      </c>
      <c r="D546" s="153" t="str">
        <f t="shared" si="1"/>
        <v>C-HyPOD: Causal Hyperbolic Learning with Prototype Orthogonal Disentanglement for Graph Out-of-Distribution Recommendation
Jiahao Liang, Yutian Xiao, Haoran Yang, Zhiwen Yu, Jia-Nan
Liu and Kaixiang Yang
</v>
      </c>
      <c r="E546" s="153" t="str">
        <f>IFERROR(__xludf.DUMMYFUNCTION("TEXTJOIN(CHAR(10), TRUE,FILTER('Research Papers'!$C:$C,'Research Papers'!$A:$A=C546))"),"Jiahao Liang, Yutian Xiao, Haoran Yang, Zhiwen Yu, Jia-Nan
Liu and Kaixiang Yang")</f>
        <v>Jiahao Liang, Yutian Xiao, Haoran Yang, Zhiwen Yu, Jia-Nan
Liu and Kaixiang Yang</v>
      </c>
      <c r="F546" s="133" t="s">
        <v>104</v>
      </c>
      <c r="G546" s="153"/>
      <c r="H546" s="153"/>
      <c r="I546" s="120"/>
      <c r="J546" s="120"/>
      <c r="K546" s="153"/>
      <c r="L546" s="153"/>
      <c r="M546" s="153"/>
      <c r="N546" s="153"/>
      <c r="O546" s="153"/>
      <c r="P546" s="153"/>
      <c r="Q546" s="153"/>
      <c r="R546" s="153"/>
      <c r="S546" s="153"/>
      <c r="T546" s="153"/>
      <c r="U546" s="153"/>
      <c r="V546" s="153"/>
      <c r="W546" s="153"/>
      <c r="X546" s="153"/>
      <c r="Y546" s="153"/>
      <c r="Z546" s="153"/>
      <c r="AA546" s="153"/>
      <c r="AB546" s="153"/>
      <c r="AC546" s="153"/>
    </row>
    <row r="547">
      <c r="A547" s="152" t="s">
        <v>346</v>
      </c>
      <c r="B547" s="133" t="str">
        <f>IFERROR(__xludf.DUMMYFUNCTION("FILTER ('Research Papers'!D:D,'Research Papers'!A:A=C547)"),"Causality Enhancement for Cross-Domain Recommendation")</f>
        <v>Causality Enhancement for Cross-Domain Recommendation</v>
      </c>
      <c r="C547" s="133" t="s">
        <v>909</v>
      </c>
      <c r="D547" s="153" t="str">
        <f t="shared" si="1"/>
        <v>Causality Enhancement for Cross-Domain Recommendation
Zhibo Wu, Yunfan Wu, Yang Chang, Ping Yang and Yao Hu
</v>
      </c>
      <c r="E547" s="153" t="str">
        <f>IFERROR(__xludf.DUMMYFUNCTION("TEXTJOIN(CHAR(10), TRUE,FILTER('Research Papers'!$C:$C,'Research Papers'!$A:$A=C547))"),"Zhibo Wu, Yunfan Wu, Yang Chang, Ping Yang and Yao Hu")</f>
        <v>Zhibo Wu, Yunfan Wu, Yang Chang, Ping Yang and Yao Hu</v>
      </c>
      <c r="F547" s="133" t="s">
        <v>104</v>
      </c>
      <c r="G547" s="153"/>
      <c r="H547" s="153"/>
      <c r="I547" s="120"/>
      <c r="J547" s="120"/>
      <c r="K547" s="153"/>
      <c r="L547" s="153"/>
      <c r="M547" s="153"/>
      <c r="N547" s="153"/>
      <c r="O547" s="153"/>
      <c r="P547" s="153"/>
      <c r="Q547" s="153"/>
      <c r="R547" s="153"/>
      <c r="S547" s="153"/>
      <c r="T547" s="153"/>
      <c r="U547" s="153"/>
      <c r="V547" s="153"/>
      <c r="W547" s="153"/>
      <c r="X547" s="153"/>
      <c r="Y547" s="153"/>
      <c r="Z547" s="153"/>
      <c r="AA547" s="153"/>
      <c r="AB547" s="153"/>
      <c r="AC547" s="153"/>
    </row>
    <row r="548">
      <c r="A548" s="152" t="s">
        <v>346</v>
      </c>
      <c r="B548" s="133" t="str">
        <f>IFERROR(__xludf.DUMMYFUNCTION("FILTER ('Research Papers'!D:D,'Research Papers'!A:A=C548)"),"Guiding Generative Recommender Systems with Structured Human Priors via Multi-head Decoding")</f>
        <v>Guiding Generative Recommender Systems with Structured Human Priors via Multi-head Decoding</v>
      </c>
      <c r="C548" s="133" t="s">
        <v>910</v>
      </c>
      <c r="D548" s="153" t="str">
        <f t="shared" si="1"/>
        <v>Guiding Generative Recommender Systems with Structured Human Priors via Multi-head Decoding
Yunkai Zhang, Qiang Zhang, Diji Yang, Ryan Lin, Ruizhong
Qiu, Benyu Zhang, Hanchao Yu, Jason Liu, Yinglong Xia,
Zhuokai Zhao, Lizhu Zhang, Xiangjun Fan, Zhuoran Yu,
Abhishek Kumar and Zeyu Zheng
</v>
      </c>
      <c r="E548" s="153" t="str">
        <f>IFERROR(__xludf.DUMMYFUNCTION("TEXTJOIN(CHAR(10), TRUE,FILTER('Research Papers'!$C:$C,'Research Papers'!$A:$A=C548))"),"Yunkai Zhang, Qiang Zhang, Diji Yang, Ryan Lin, Ruizhong
Qiu, Benyu Zhang, Hanchao Yu, Jason Liu, Yinglong Xia,
Zhuokai Zhao, Lizhu Zhang, Xiangjun Fan, Zhuoran Yu,
Abhishek Kumar and Zeyu Zheng")</f>
        <v>Yunkai Zhang, Qiang Zhang, Diji Yang, Ryan Lin, Ruizhong
Qiu, Benyu Zhang, Hanchao Yu, Jason Liu, Yinglong Xia,
Zhuokai Zhao, Lizhu Zhang, Xiangjun Fan, Zhuoran Yu,
Abhishek Kumar and Zeyu Zheng</v>
      </c>
      <c r="F548" s="133" t="s">
        <v>156</v>
      </c>
      <c r="G548" s="153"/>
      <c r="H548" s="153"/>
      <c r="I548" s="120"/>
      <c r="J548" s="120"/>
      <c r="K548" s="153"/>
      <c r="L548" s="153"/>
      <c r="M548" s="153"/>
      <c r="N548" s="153"/>
      <c r="O548" s="153"/>
      <c r="P548" s="153"/>
      <c r="Q548" s="153"/>
      <c r="R548" s="153"/>
      <c r="S548" s="153"/>
      <c r="T548" s="153"/>
      <c r="U548" s="153"/>
      <c r="V548" s="153"/>
      <c r="W548" s="153"/>
      <c r="X548" s="153"/>
      <c r="Y548" s="153"/>
      <c r="Z548" s="153"/>
      <c r="AA548" s="153"/>
      <c r="AB548" s="153"/>
      <c r="AC548" s="153"/>
    </row>
    <row r="549">
      <c r="A549" s="152" t="s">
        <v>346</v>
      </c>
      <c r="B549" s="133" t="str">
        <f>IFERROR(__xludf.DUMMYFUNCTION("FILTER ('Research Papers'!D:D,'Research Papers'!A:A=C549)"),"Bridging Explicit and Implicit Intent: Unified Interest Generative Method for Joint Search-Recommendation Modeling")</f>
        <v>Bridging Explicit and Implicit Intent: Unified Interest Generative Method for Joint Search-Recommendation Modeling</v>
      </c>
      <c r="C549" s="133" t="s">
        <v>911</v>
      </c>
      <c r="D549" s="153" t="str">
        <f t="shared" si="1"/>
        <v>Bridging Explicit and Implicit Intent: Unified Interest Generative Method for Joint Search-Recommendation Modeling
Dongliang Liao, Chenxing Wang and Yawen Zeng
</v>
      </c>
      <c r="E549" s="153" t="str">
        <f>IFERROR(__xludf.DUMMYFUNCTION("TEXTJOIN(CHAR(10), TRUE,FILTER('Research Papers'!$C:$C,'Research Papers'!$A:$A=C549))"),"Dongliang Liao, Chenxing Wang and Yawen Zeng")</f>
        <v>Dongliang Liao, Chenxing Wang and Yawen Zeng</v>
      </c>
      <c r="F549" s="133" t="s">
        <v>156</v>
      </c>
      <c r="G549" s="153"/>
      <c r="H549" s="153"/>
      <c r="I549" s="120"/>
      <c r="J549" s="120"/>
      <c r="K549" s="153"/>
      <c r="L549" s="153"/>
      <c r="M549" s="153"/>
      <c r="N549" s="153"/>
      <c r="O549" s="153"/>
      <c r="P549" s="153"/>
      <c r="Q549" s="153"/>
      <c r="R549" s="153"/>
      <c r="S549" s="153"/>
      <c r="T549" s="153"/>
      <c r="U549" s="153"/>
      <c r="V549" s="153"/>
      <c r="W549" s="153"/>
      <c r="X549" s="153"/>
      <c r="Y549" s="153"/>
      <c r="Z549" s="153"/>
      <c r="AA549" s="153"/>
      <c r="AB549" s="153"/>
      <c r="AC549" s="153"/>
    </row>
    <row r="550">
      <c r="A550" s="152" t="s">
        <v>346</v>
      </c>
      <c r="B550" s="133" t="str">
        <f>IFERROR(__xludf.DUMMYFUNCTION("FILTER ('Research Papers'!D:D,'Research Papers'!A:A=C550)"),"Field Matters: A Lightweight LLM-enhanced Method for CTR Prediction")</f>
        <v>Field Matters: A Lightweight LLM-enhanced Method for CTR Prediction</v>
      </c>
      <c r="C550" s="133" t="s">
        <v>912</v>
      </c>
      <c r="D550" s="153" t="str">
        <f t="shared" si="1"/>
        <v>Field Matters: A Lightweight LLM-enhanced Method for CTR Prediction
Yu Cui, Feng Liu, Jiawei Chen, Xingyu Lou, Changwang Zhang,
Jun Wang, Yuegang Sun, Xiaohu Yang and Can Wang
</v>
      </c>
      <c r="E550" s="153" t="str">
        <f>IFERROR(__xludf.DUMMYFUNCTION("TEXTJOIN(CHAR(10), TRUE,FILTER('Research Papers'!$C:$C,'Research Papers'!$A:$A=C550))"),"Yu Cui, Feng Liu, Jiawei Chen, Xingyu Lou, Changwang Zhang,
Jun Wang, Yuegang Sun, Xiaohu Yang and Can Wang")</f>
        <v>Yu Cui, Feng Liu, Jiawei Chen, Xingyu Lou, Changwang Zhang,
Jun Wang, Yuegang Sun, Xiaohu Yang and Can Wang</v>
      </c>
      <c r="F550" s="133" t="s">
        <v>156</v>
      </c>
      <c r="G550" s="153"/>
      <c r="H550" s="153"/>
      <c r="I550" s="120"/>
      <c r="J550" s="120"/>
      <c r="K550" s="153"/>
      <c r="L550" s="153"/>
      <c r="M550" s="153"/>
      <c r="N550" s="153"/>
      <c r="O550" s="153"/>
      <c r="P550" s="153"/>
      <c r="Q550" s="153"/>
      <c r="R550" s="153"/>
      <c r="S550" s="153"/>
      <c r="T550" s="153"/>
      <c r="U550" s="153"/>
      <c r="V550" s="153"/>
      <c r="W550" s="153"/>
      <c r="X550" s="153"/>
      <c r="Y550" s="153"/>
      <c r="Z550" s="153"/>
      <c r="AA550" s="153"/>
      <c r="AB550" s="153"/>
      <c r="AC550" s="153"/>
    </row>
    <row r="551">
      <c r="A551" s="152" t="s">
        <v>346</v>
      </c>
      <c r="B551" s="133" t="str">
        <f>IFERROR(__xludf.DUMMYFUNCTION("FILTER ('Research Papers'!D:D,'Research Papers'!A:A=C551)"),"Towards Context-aware Reasoning-enhanced Generative Searching in E-commerce")</f>
        <v>Towards Context-aware Reasoning-enhanced Generative Searching in E-commerce</v>
      </c>
      <c r="C551" s="133" t="s">
        <v>913</v>
      </c>
      <c r="D551" s="153" t="str">
        <f t="shared" si="1"/>
        <v>Towards Context-aware Reasoning-enhanced Generative Searching in E-commerce
Zhiding Liu, Ben Chen, Mingyue Cheng, Enhong Chen, Li Li,
Chenyi Lei, Wenwu Ou, Han Li and Kun Gai
</v>
      </c>
      <c r="E551" s="153" t="str">
        <f>IFERROR(__xludf.DUMMYFUNCTION("TEXTJOIN(CHAR(10), TRUE,FILTER('Research Papers'!$C:$C,'Research Papers'!$A:$A=C551))"),"Zhiding Liu, Ben Chen, Mingyue Cheng, Enhong Chen, Li Li,
Chenyi Lei, Wenwu Ou, Han Li and Kun Gai")</f>
        <v>Zhiding Liu, Ben Chen, Mingyue Cheng, Enhong Chen, Li Li,
Chenyi Lei, Wenwu Ou, Han Li and Kun Gai</v>
      </c>
      <c r="F551" s="133" t="s">
        <v>156</v>
      </c>
      <c r="G551" s="153"/>
      <c r="H551" s="153"/>
      <c r="I551" s="120"/>
      <c r="J551" s="120"/>
      <c r="K551" s="153"/>
      <c r="L551" s="153"/>
      <c r="M551" s="153"/>
      <c r="N551" s="153"/>
      <c r="O551" s="153"/>
      <c r="P551" s="153"/>
      <c r="Q551" s="153"/>
      <c r="R551" s="153"/>
      <c r="S551" s="153"/>
      <c r="T551" s="153"/>
      <c r="U551" s="153"/>
      <c r="V551" s="153"/>
      <c r="W551" s="153"/>
      <c r="X551" s="153"/>
      <c r="Y551" s="153"/>
      <c r="Z551" s="153"/>
      <c r="AA551" s="153"/>
      <c r="AB551" s="153"/>
      <c r="AC551" s="153"/>
    </row>
    <row r="552">
      <c r="A552" s="152" t="s">
        <v>346</v>
      </c>
      <c r="B552" s="133" t="str">
        <f>IFERROR(__xludf.DUMMYFUNCTION("FILTER ('Research Papers'!D:D,'Research Papers'!A:A=C552)"),"GenCI: Generative Modeling of User Interest Shift via Cohort-based Intent Learning for CTR Prediction")</f>
        <v>GenCI: Generative Modeling of User Interest Shift via Cohort-based Intent Learning for CTR Prediction</v>
      </c>
      <c r="C552" s="133" t="s">
        <v>914</v>
      </c>
      <c r="D552" s="153" t="str">
        <f t="shared" si="1"/>
        <v>GenCI: Generative Modeling of User Interest Shift via Cohort-based Intent Learning for CTR Prediction
Kesha Ou, Zhen Tian, Wayne Xin Zhao, Hongyu Lu and Ji-Rong
Wen
</v>
      </c>
      <c r="E552" s="153" t="str">
        <f>IFERROR(__xludf.DUMMYFUNCTION("TEXTJOIN(CHAR(10), TRUE,FILTER('Research Papers'!$C:$C,'Research Papers'!$A:$A=C552))"),"Kesha Ou, Zhen Tian, Wayne Xin Zhao, Hongyu Lu and Ji-Rong
Wen")</f>
        <v>Kesha Ou, Zhen Tian, Wayne Xin Zhao, Hongyu Lu and Ji-Rong
Wen</v>
      </c>
      <c r="F552" s="133" t="s">
        <v>156</v>
      </c>
      <c r="G552" s="153"/>
      <c r="H552" s="153"/>
      <c r="I552" s="120"/>
      <c r="J552" s="120"/>
      <c r="K552" s="153"/>
      <c r="L552" s="153"/>
      <c r="M552" s="153"/>
      <c r="N552" s="153"/>
      <c r="O552" s="153"/>
      <c r="P552" s="153"/>
      <c r="Q552" s="153"/>
      <c r="R552" s="153"/>
      <c r="S552" s="153"/>
      <c r="T552" s="153"/>
      <c r="U552" s="153"/>
      <c r="V552" s="153"/>
      <c r="W552" s="153"/>
      <c r="X552" s="153"/>
      <c r="Y552" s="153"/>
      <c r="Z552" s="153"/>
      <c r="AA552" s="153"/>
      <c r="AB552" s="153"/>
      <c r="AC552" s="153"/>
    </row>
    <row r="553">
      <c r="A553" s="152" t="s">
        <v>346</v>
      </c>
      <c r="B553" s="133" t="str">
        <f>IFERROR(__xludf.DUMMYFUNCTION("FILTER ('Research Papers'!D:D,'Research Papers'!A:A=C553)"),"Personalized Parameter-Efficient Fine-Tuning of Foundation Models for Multimodal Recommendation")</f>
        <v>Personalized Parameter-Efficient Fine-Tuning of Foundation Models for Multimodal Recommendation</v>
      </c>
      <c r="C553" s="133" t="s">
        <v>915</v>
      </c>
      <c r="D553" s="153" t="str">
        <f t="shared" si="1"/>
        <v>Personalized Parameter-Efficient Fine-Tuning of Foundation Models for Multimodal Recommendation
Sunwoo Kim, Hyunjin Hwang and Kijung Shin
</v>
      </c>
      <c r="E553" s="153" t="str">
        <f>IFERROR(__xludf.DUMMYFUNCTION("TEXTJOIN(CHAR(10), TRUE,FILTER('Research Papers'!$C:$C,'Research Papers'!$A:$A=C553))"),"Sunwoo Kim, Hyunjin Hwang and Kijung Shin")</f>
        <v>Sunwoo Kim, Hyunjin Hwang and Kijung Shin</v>
      </c>
      <c r="F553" s="133" t="s">
        <v>174</v>
      </c>
      <c r="G553" s="153"/>
      <c r="H553" s="153"/>
      <c r="I553" s="120"/>
      <c r="J553" s="120"/>
      <c r="K553" s="153"/>
      <c r="L553" s="153"/>
      <c r="M553" s="153"/>
      <c r="N553" s="153"/>
      <c r="O553" s="153"/>
      <c r="P553" s="153"/>
      <c r="Q553" s="153"/>
      <c r="R553" s="153"/>
      <c r="S553" s="153"/>
      <c r="T553" s="153"/>
      <c r="U553" s="153"/>
      <c r="V553" s="153"/>
      <c r="W553" s="153"/>
      <c r="X553" s="153"/>
      <c r="Y553" s="153"/>
      <c r="Z553" s="153"/>
      <c r="AA553" s="153"/>
      <c r="AB553" s="153"/>
      <c r="AC553" s="153"/>
    </row>
    <row r="554">
      <c r="A554" s="152" t="s">
        <v>346</v>
      </c>
      <c r="B554" s="133" t="str">
        <f>IFERROR(__xludf.DUMMYFUNCTION("FILTER ('Research Papers'!D:D,'Research Papers'!A:A=C554)"),"MCRec: Few-Shot Multimodal Cover Recommendation via User Interest Profiles")</f>
        <v>MCRec: Few-Shot Multimodal Cover Recommendation via User Interest Profiles</v>
      </c>
      <c r="C554" s="133" t="s">
        <v>916</v>
      </c>
      <c r="D554" s="153" t="str">
        <f t="shared" si="1"/>
        <v>MCRec: Few-Shot Multimodal Cover Recommendation via User Interest Profiles
Weixin Zheng, Chunyao Song and Tingjian Ge
</v>
      </c>
      <c r="E554" s="153" t="str">
        <f>IFERROR(__xludf.DUMMYFUNCTION("TEXTJOIN(CHAR(10), TRUE,FILTER('Research Papers'!$C:$C,'Research Papers'!$A:$A=C554))"),"Weixin Zheng, Chunyao Song and Tingjian Ge")</f>
        <v>Weixin Zheng, Chunyao Song and Tingjian Ge</v>
      </c>
      <c r="F554" s="133" t="s">
        <v>174</v>
      </c>
      <c r="G554" s="153"/>
      <c r="H554" s="153"/>
      <c r="I554" s="120"/>
      <c r="J554" s="120"/>
      <c r="K554" s="153"/>
      <c r="L554" s="153"/>
      <c r="M554" s="153"/>
      <c r="N554" s="153"/>
      <c r="O554" s="153"/>
      <c r="P554" s="153"/>
      <c r="Q554" s="153"/>
      <c r="R554" s="153"/>
      <c r="S554" s="153"/>
      <c r="T554" s="153"/>
      <c r="U554" s="153"/>
      <c r="V554" s="153"/>
      <c r="W554" s="153"/>
      <c r="X554" s="153"/>
      <c r="Y554" s="153"/>
      <c r="Z554" s="153"/>
      <c r="AA554" s="153"/>
      <c r="AB554" s="153"/>
      <c r="AC554" s="153"/>
    </row>
    <row r="555">
      <c r="A555" s="152" t="s">
        <v>346</v>
      </c>
      <c r="B555" s="133" t="str">
        <f>IFERROR(__xludf.DUMMYFUNCTION("FILTER ('Research Papers'!D:D,'Research Papers'!A:A=C555)"),"Drifting with Intent: Generative Interest Trajectories for Multimodal Web Recommendation")</f>
        <v>Drifting with Intent: Generative Interest Trajectories for Multimodal Web Recommendation</v>
      </c>
      <c r="C555" s="133" t="s">
        <v>917</v>
      </c>
      <c r="D555" s="153" t="str">
        <f t="shared" si="1"/>
        <v>Drifting with Intent: Generative Interest Trajectories for Multimodal Web Recommendation
Weilin Zhou, Hao Zhang and Guangxin Wu
</v>
      </c>
      <c r="E555" s="153" t="str">
        <f>IFERROR(__xludf.DUMMYFUNCTION("TEXTJOIN(CHAR(10), TRUE,FILTER('Research Papers'!$C:$C,'Research Papers'!$A:$A=C555))"),"Weilin Zhou, Hao Zhang and Guangxin Wu")</f>
        <v>Weilin Zhou, Hao Zhang and Guangxin Wu</v>
      </c>
      <c r="F555" s="133" t="s">
        <v>174</v>
      </c>
      <c r="G555" s="153"/>
      <c r="H555" s="153"/>
      <c r="I555" s="120"/>
      <c r="J555" s="120"/>
      <c r="K555" s="153"/>
      <c r="L555" s="153"/>
      <c r="M555" s="153"/>
      <c r="N555" s="153"/>
      <c r="O555" s="153"/>
      <c r="P555" s="153"/>
      <c r="Q555" s="153"/>
      <c r="R555" s="153"/>
      <c r="S555" s="153"/>
      <c r="T555" s="153"/>
      <c r="U555" s="153"/>
      <c r="V555" s="153"/>
      <c r="W555" s="153"/>
      <c r="X555" s="153"/>
      <c r="Y555" s="153"/>
      <c r="Z555" s="153"/>
      <c r="AA555" s="153"/>
      <c r="AB555" s="153"/>
      <c r="AC555" s="153"/>
    </row>
    <row r="556">
      <c r="A556" s="152" t="s">
        <v>346</v>
      </c>
      <c r="B556" s="133" t="str">
        <f>IFERROR(__xludf.DUMMYFUNCTION("FILTER ('Research Papers'!D:D,'Research Papers'!A:A=C556)"),"TargetMR: Learning Modality Target for Multimodal Recommendation")</f>
        <v>TargetMR: Learning Modality Target for Multimodal Recommendation</v>
      </c>
      <c r="C556" s="133" t="s">
        <v>918</v>
      </c>
      <c r="D556" s="153" t="str">
        <f t="shared" si="1"/>
        <v>TargetMR: Learning Modality Target for Multimodal Recommendation
Gu Tang, Jinghe Wang, Jiang Bo, Ze Zhao, Jianping Zhou,
Xiaoying Gan, Luoyi Fu, Xinbing Wang and Chenghu Zhou
</v>
      </c>
      <c r="E556" s="153" t="str">
        <f>IFERROR(__xludf.DUMMYFUNCTION("TEXTJOIN(CHAR(10), TRUE,FILTER('Research Papers'!$C:$C,'Research Papers'!$A:$A=C556))"),"Gu Tang, Jinghe Wang, Jiang Bo, Ze Zhao, Jianping Zhou,
Xiaoying Gan, Luoyi Fu, Xinbing Wang and Chenghu Zhou")</f>
        <v>Gu Tang, Jinghe Wang, Jiang Bo, Ze Zhao, Jianping Zhou,
Xiaoying Gan, Luoyi Fu, Xinbing Wang and Chenghu Zhou</v>
      </c>
      <c r="F556" s="133" t="s">
        <v>174</v>
      </c>
      <c r="G556" s="153"/>
      <c r="H556" s="153"/>
      <c r="I556" s="120"/>
      <c r="J556" s="120"/>
      <c r="K556" s="153"/>
      <c r="L556" s="153"/>
      <c r="M556" s="153"/>
      <c r="N556" s="153"/>
      <c r="O556" s="153"/>
      <c r="P556" s="153"/>
      <c r="Q556" s="153"/>
      <c r="R556" s="153"/>
      <c r="S556" s="153"/>
      <c r="T556" s="153"/>
      <c r="U556" s="153"/>
      <c r="V556" s="153"/>
      <c r="W556" s="153"/>
      <c r="X556" s="153"/>
      <c r="Y556" s="153"/>
      <c r="Z556" s="153"/>
      <c r="AA556" s="153"/>
      <c r="AB556" s="153"/>
      <c r="AC556" s="153"/>
    </row>
    <row r="557">
      <c r="A557" s="152" t="s">
        <v>346</v>
      </c>
      <c r="B557" s="133" t="str">
        <f>IFERROR(__xludf.DUMMYFUNCTION("FILTER ('Research Papers'!D:D,'Research Papers'!A:A=C557)"),"Multimodal-enhanced Federated Recommendation: A Group-wise Fusion Approach")</f>
        <v>Multimodal-enhanced Federated Recommendation: A Group-wise Fusion Approach</v>
      </c>
      <c r="C557" s="133" t="s">
        <v>919</v>
      </c>
      <c r="D557" s="153" t="str">
        <f t="shared" si="1"/>
        <v>Multimodal-enhanced Federated Recommendation: A Group-wise Fusion Approach
Chunxu Zhang, Weipeng Zhang, Guodong Long, Zhiheng Xue,
Riting Xia and Bo Yang
</v>
      </c>
      <c r="E557" s="153" t="str">
        <f>IFERROR(__xludf.DUMMYFUNCTION("TEXTJOIN(CHAR(10), TRUE,FILTER('Research Papers'!$C:$C,'Research Papers'!$A:$A=C557))"),"Chunxu Zhang, Weipeng Zhang, Guodong Long, Zhiheng Xue,
Riting Xia and Bo Yang")</f>
        <v>Chunxu Zhang, Weipeng Zhang, Guodong Long, Zhiheng Xue,
Riting Xia and Bo Yang</v>
      </c>
      <c r="F557" s="133" t="s">
        <v>174</v>
      </c>
      <c r="G557" s="153"/>
      <c r="H557" s="153"/>
      <c r="I557" s="120"/>
      <c r="J557" s="120"/>
      <c r="K557" s="153"/>
      <c r="L557" s="153"/>
      <c r="M557" s="153"/>
      <c r="N557" s="153"/>
      <c r="O557" s="153"/>
      <c r="P557" s="153"/>
      <c r="Q557" s="153"/>
      <c r="R557" s="153"/>
      <c r="S557" s="153"/>
      <c r="T557" s="153"/>
      <c r="U557" s="153"/>
      <c r="V557" s="153"/>
      <c r="W557" s="153"/>
      <c r="X557" s="153"/>
      <c r="Y557" s="153"/>
      <c r="Z557" s="153"/>
      <c r="AA557" s="153"/>
      <c r="AB557" s="153"/>
      <c r="AC557" s="153"/>
    </row>
    <row r="558">
      <c r="A558" s="152" t="s">
        <v>346</v>
      </c>
      <c r="B558" s="133" t="str">
        <f>IFERROR(__xludf.DUMMYFUNCTION("FILTER ('Research Papers'!D:D,'Research Papers'!A:A=C558)"),"Quantum-enhanced Representation Learning and Matching Learning for Recommendation")</f>
        <v>Quantum-enhanced Representation Learning and Matching Learning for Recommendation</v>
      </c>
      <c r="C558" s="133" t="s">
        <v>920</v>
      </c>
      <c r="D558" s="153" t="str">
        <f t="shared" si="1"/>
        <v>Quantum-enhanced Representation Learning and Matching Learning for Recommendation
Anchen Li and Elena Casiraghi
</v>
      </c>
      <c r="E558" s="153" t="str">
        <f>IFERROR(__xludf.DUMMYFUNCTION("TEXTJOIN(CHAR(10), TRUE,FILTER('Research Papers'!$C:$C,'Research Papers'!$A:$A=C558))"),"Anchen Li and Elena Casiraghi")</f>
        <v>Anchen Li and Elena Casiraghi</v>
      </c>
      <c r="F558" s="133" t="s">
        <v>225</v>
      </c>
      <c r="G558" s="133" t="s">
        <v>347</v>
      </c>
      <c r="H558" s="153"/>
      <c r="I558" s="149" t="s">
        <v>367</v>
      </c>
      <c r="J558" s="114">
        <f>COUNTIF(F:F,F558)</f>
        <v>60</v>
      </c>
      <c r="K558" s="153"/>
      <c r="L558" s="153"/>
      <c r="M558" s="153"/>
      <c r="N558" s="153"/>
      <c r="O558" s="153"/>
      <c r="P558" s="153"/>
      <c r="Q558" s="153"/>
      <c r="R558" s="153"/>
      <c r="S558" s="153"/>
      <c r="T558" s="153"/>
      <c r="U558" s="153"/>
      <c r="V558" s="153"/>
      <c r="W558" s="153"/>
      <c r="X558" s="153"/>
      <c r="Y558" s="153"/>
      <c r="Z558" s="153"/>
      <c r="AA558" s="153"/>
      <c r="AB558" s="153"/>
      <c r="AC558" s="153"/>
    </row>
    <row r="559">
      <c r="A559" s="152" t="s">
        <v>346</v>
      </c>
      <c r="B559" s="133" t="str">
        <f>IFERROR(__xludf.DUMMYFUNCTION("FILTER ('Research Papers'!D:D,'Research Papers'!A:A=C559)"),"From Entity Reliability to Clean Feedback: An Entity-Aware Denoising Framework Beyond Interaction-Level Signals")</f>
        <v>From Entity Reliability to Clean Feedback: An Entity-Aware Denoising Framework Beyond Interaction-Level Signals</v>
      </c>
      <c r="C559" s="133" t="s">
        <v>921</v>
      </c>
      <c r="D559" s="153" t="str">
        <f t="shared" si="1"/>
        <v>From Entity Reliability to Clean Feedback: An Entity-Aware Denoising Framework Beyond Interaction-Level Signals
Ze Liu, Xianquan Wang, Shuochen Liu, Jie Ma, Huibo Xu,
Yupeng Han, Kai Zhang and Jun Zhou
</v>
      </c>
      <c r="E559" s="153" t="str">
        <f>IFERROR(__xludf.DUMMYFUNCTION("TEXTJOIN(CHAR(10), TRUE,FILTER('Research Papers'!$C:$C,'Research Papers'!$A:$A=C559))"),"Ze Liu, Xianquan Wang, Shuochen Liu, Jie Ma, Huibo Xu,
Yupeng Han, Kai Zhang and Jun Zhou")</f>
        <v>Ze Liu, Xianquan Wang, Shuochen Liu, Jie Ma, Huibo Xu,
Yupeng Han, Kai Zhang and Jun Zhou</v>
      </c>
      <c r="F559" s="133" t="s">
        <v>225</v>
      </c>
      <c r="G559" s="133" t="s">
        <v>347</v>
      </c>
      <c r="H559" s="153"/>
      <c r="I559" s="120"/>
      <c r="J559" s="120"/>
      <c r="K559" s="153"/>
      <c r="L559" s="153"/>
      <c r="M559" s="153"/>
      <c r="N559" s="153"/>
      <c r="O559" s="153"/>
      <c r="P559" s="153"/>
      <c r="Q559" s="153"/>
      <c r="R559" s="153"/>
      <c r="S559" s="153"/>
      <c r="T559" s="153"/>
      <c r="U559" s="153"/>
      <c r="V559" s="153"/>
      <c r="W559" s="153"/>
      <c r="X559" s="153"/>
      <c r="Y559" s="153"/>
      <c r="Z559" s="153"/>
      <c r="AA559" s="153"/>
      <c r="AB559" s="153"/>
      <c r="AC559" s="153"/>
    </row>
    <row r="560">
      <c r="A560" s="152" t="s">
        <v>346</v>
      </c>
      <c r="B560" s="133" t="str">
        <f>IFERROR(__xludf.DUMMYFUNCTION("FILTER ('Research Papers'!D:D,'Research Papers'!A:A=C560)"),"Thorki: Decoupling General and Personalized Knowledge with Collaborative Fusion for Personalized Federated Learning")</f>
        <v>Thorki: Decoupling General and Personalized Knowledge with Collaborative Fusion for Personalized Federated Learning</v>
      </c>
      <c r="C560" s="133" t="s">
        <v>922</v>
      </c>
      <c r="D560" s="153" t="str">
        <f t="shared" si="1"/>
        <v>Thorki: Decoupling General and Personalized Knowledge with Collaborative Fusion for Personalized Federated Learning
Qiang He, Rui Chen, Yicheng Liu, Sheng Zhong, Haipeng Dai,
Feifei Chen, Hai Jin and Yun Yang
</v>
      </c>
      <c r="E560" s="153" t="str">
        <f>IFERROR(__xludf.DUMMYFUNCTION("TEXTJOIN(CHAR(10), TRUE,FILTER('Research Papers'!$C:$C,'Research Papers'!$A:$A=C560))"),"Qiang He, Rui Chen, Yicheng Liu, Sheng Zhong, Haipeng Dai,
Feifei Chen, Hai Jin and Yun Yang")</f>
        <v>Qiang He, Rui Chen, Yicheng Liu, Sheng Zhong, Haipeng Dai,
Feifei Chen, Hai Jin and Yun Yang</v>
      </c>
      <c r="F560" s="133" t="s">
        <v>225</v>
      </c>
      <c r="G560" s="133" t="s">
        <v>347</v>
      </c>
      <c r="H560" s="153"/>
      <c r="I560" s="120"/>
      <c r="J560" s="120"/>
      <c r="K560" s="153"/>
      <c r="L560" s="153"/>
      <c r="M560" s="153"/>
      <c r="N560" s="153"/>
      <c r="O560" s="153"/>
      <c r="P560" s="153"/>
      <c r="Q560" s="153"/>
      <c r="R560" s="153"/>
      <c r="S560" s="153"/>
      <c r="T560" s="153"/>
      <c r="U560" s="153"/>
      <c r="V560" s="153"/>
      <c r="W560" s="153"/>
      <c r="X560" s="153"/>
      <c r="Y560" s="153"/>
      <c r="Z560" s="153"/>
      <c r="AA560" s="153"/>
      <c r="AB560" s="153"/>
      <c r="AC560" s="153"/>
    </row>
    <row r="561">
      <c r="A561" s="152" t="s">
        <v>346</v>
      </c>
      <c r="B561" s="133" t="str">
        <f>IFERROR(__xludf.DUMMYFUNCTION("FILTER ('Research Papers'!D:D,'Research Papers'!A:A=C561)"),"Large Language Models-Enhanced Semantic Diffusion for User-Centric Recommendation")</f>
        <v>Large Language Models-Enhanced Semantic Diffusion for User-Centric Recommendation</v>
      </c>
      <c r="C561" s="133" t="s">
        <v>923</v>
      </c>
      <c r="D561" s="153" t="str">
        <f t="shared" si="1"/>
        <v>Large Language Models-Enhanced Semantic Diffusion for User-Centric Recommendation
Xian Mo, Yijun Hu and Jun Pang
</v>
      </c>
      <c r="E561" s="153" t="str">
        <f>IFERROR(__xludf.DUMMYFUNCTION("TEXTJOIN(CHAR(10), TRUE,FILTER('Research Papers'!$C:$C,'Research Papers'!$A:$A=C561))"),"Xian Mo, Yijun Hu and Jun Pang")</f>
        <v>Xian Mo, Yijun Hu and Jun Pang</v>
      </c>
      <c r="F561" s="133" t="s">
        <v>225</v>
      </c>
      <c r="G561" s="133" t="s">
        <v>347</v>
      </c>
      <c r="H561" s="153"/>
      <c r="I561" s="120"/>
      <c r="J561" s="120"/>
      <c r="K561" s="153"/>
      <c r="L561" s="153"/>
      <c r="M561" s="153"/>
      <c r="N561" s="153"/>
      <c r="O561" s="153"/>
      <c r="P561" s="153"/>
      <c r="Q561" s="153"/>
      <c r="R561" s="153"/>
      <c r="S561" s="153"/>
      <c r="T561" s="153"/>
      <c r="U561" s="153"/>
      <c r="V561" s="153"/>
      <c r="W561" s="153"/>
      <c r="X561" s="153"/>
      <c r="Y561" s="153"/>
      <c r="Z561" s="153"/>
      <c r="AA561" s="153"/>
      <c r="AB561" s="153"/>
      <c r="AC561" s="153"/>
    </row>
    <row r="562">
      <c r="A562" s="152" t="s">
        <v>346</v>
      </c>
      <c r="B562" s="133" t="str">
        <f>IFERROR(__xludf.DUMMYFUNCTION("FILTER ('Research Papers'!D:D,'Research Papers'!A:A=C562)"),"Not All Information Brings Benefits: Personalization-Driven Agent Debate for Conversational Recommendation")</f>
        <v>Not All Information Brings Benefits: Personalization-Driven Agent Debate for Conversational Recommendation</v>
      </c>
      <c r="C562" s="133" t="s">
        <v>924</v>
      </c>
      <c r="D562" s="153" t="str">
        <f t="shared" si="1"/>
        <v>Not All Information Brings Benefits: Personalization-Driven Agent Debate for Conversational Recommendation
Pengfei Zhang, Guojia An, Jin Huang, Yuhan Yang, Yang Yang
and Jie Zou
</v>
      </c>
      <c r="E562" s="153" t="str">
        <f>IFERROR(__xludf.DUMMYFUNCTION("TEXTJOIN(CHAR(10), TRUE,FILTER('Research Papers'!$C:$C,'Research Papers'!$A:$A=C562))"),"Pengfei Zhang, Guojia An, Jin Huang, Yuhan Yang, Yang Yang
and Jie Zou")</f>
        <v>Pengfei Zhang, Guojia An, Jin Huang, Yuhan Yang, Yang Yang
and Jie Zou</v>
      </c>
      <c r="F562" s="133" t="s">
        <v>225</v>
      </c>
      <c r="G562" s="133" t="s">
        <v>347</v>
      </c>
      <c r="H562" s="153"/>
      <c r="I562" s="120"/>
      <c r="J562" s="120"/>
      <c r="K562" s="153"/>
      <c r="L562" s="153"/>
      <c r="M562" s="153"/>
      <c r="N562" s="153"/>
      <c r="O562" s="153"/>
      <c r="P562" s="153"/>
      <c r="Q562" s="153"/>
      <c r="R562" s="153"/>
      <c r="S562" s="153"/>
      <c r="T562" s="153"/>
      <c r="U562" s="153"/>
      <c r="V562" s="153"/>
      <c r="W562" s="153"/>
      <c r="X562" s="153"/>
      <c r="Y562" s="153"/>
      <c r="Z562" s="153"/>
      <c r="AA562" s="153"/>
      <c r="AB562" s="153"/>
      <c r="AC562" s="153"/>
    </row>
    <row r="563">
      <c r="A563" s="152" t="s">
        <v>346</v>
      </c>
      <c r="B563" s="133" t="str">
        <f>IFERROR(__xludf.DUMMYFUNCTION("FILTER ('Research Papers'!D:D,'Research Papers'!A:A=C563)"),"FairFS: Addressing Deep Feature Selection Biases for Recommender System")</f>
        <v>FairFS: Addressing Deep Feature Selection Biases for Recommender System</v>
      </c>
      <c r="C563" s="133" t="s">
        <v>925</v>
      </c>
      <c r="D563" s="153" t="str">
        <f t="shared" si="1"/>
        <v>FairFS: Addressing Deep Feature Selection Biases for Recommender System
Xianquan Wang, Zhaocheng Du, Jieming Zhu, Qinglin Jia,
Zhenhua Dong and Kai Zhang
</v>
      </c>
      <c r="E563" s="153" t="str">
        <f>IFERROR(__xludf.DUMMYFUNCTION("TEXTJOIN(CHAR(10), TRUE,FILTER('Research Papers'!$C:$C,'Research Papers'!$A:$A=C563))"),"Xianquan Wang, Zhaocheng Du, Jieming Zhu, Qinglin Jia,
Zhenhua Dong and Kai Zhang")</f>
        <v>Xianquan Wang, Zhaocheng Du, Jieming Zhu, Qinglin Jia,
Zhenhua Dong and Kai Zhang</v>
      </c>
      <c r="F563" s="133" t="s">
        <v>225</v>
      </c>
      <c r="G563" s="133" t="s">
        <v>347</v>
      </c>
      <c r="H563" s="153"/>
      <c r="I563" s="120"/>
      <c r="J563" s="120"/>
      <c r="K563" s="153"/>
      <c r="L563" s="153"/>
      <c r="M563" s="153"/>
      <c r="N563" s="153"/>
      <c r="O563" s="153"/>
      <c r="P563" s="153"/>
      <c r="Q563" s="153"/>
      <c r="R563" s="153"/>
      <c r="S563" s="153"/>
      <c r="T563" s="153"/>
      <c r="U563" s="153"/>
      <c r="V563" s="153"/>
      <c r="W563" s="153"/>
      <c r="X563" s="153"/>
      <c r="Y563" s="153"/>
      <c r="Z563" s="153"/>
      <c r="AA563" s="153"/>
      <c r="AB563" s="153"/>
      <c r="AC563" s="153"/>
    </row>
    <row r="564">
      <c r="A564" s="152" t="s">
        <v>346</v>
      </c>
      <c r="B564" s="133" t="str">
        <f>IFERROR(__xludf.DUMMYFUNCTION("FILTER ('Research Papers'!D:D,'Research Papers'!A:A=C564)"),"Tail-Aware Data Augmentation for Long-Tail Sequential Recommendation")</f>
        <v>Tail-Aware Data Augmentation for Long-Tail Sequential Recommendation</v>
      </c>
      <c r="C564" s="133" t="s">
        <v>926</v>
      </c>
      <c r="D564" s="153" t="str">
        <f t="shared" si="1"/>
        <v>Tail-Aware Data Augmentation for Long-Tail Sequential Recommendation
Yizhou Dang, Zhifu Wei, Minhan Huang, Lianbo Ma, Jianzhe
Zhao, Guibing Guo and Xingwei Wang
</v>
      </c>
      <c r="E564" s="153" t="str">
        <f>IFERROR(__xludf.DUMMYFUNCTION("TEXTJOIN(CHAR(10), TRUE,FILTER('Research Papers'!$C:$C,'Research Papers'!$A:$A=C564))"),"Yizhou Dang, Zhifu Wei, Minhan Huang, Lianbo Ma, Jianzhe
Zhao, Guibing Guo and Xingwei Wang")</f>
        <v>Yizhou Dang, Zhifu Wei, Minhan Huang, Lianbo Ma, Jianzhe
Zhao, Guibing Guo and Xingwei Wang</v>
      </c>
      <c r="F564" s="133" t="s">
        <v>225</v>
      </c>
      <c r="G564" s="133" t="s">
        <v>347</v>
      </c>
      <c r="H564" s="153"/>
      <c r="I564" s="120"/>
      <c r="J564" s="120"/>
      <c r="K564" s="153"/>
      <c r="L564" s="153"/>
      <c r="M564" s="153"/>
      <c r="N564" s="153"/>
      <c r="O564" s="153"/>
      <c r="P564" s="153"/>
      <c r="Q564" s="153"/>
      <c r="R564" s="153"/>
      <c r="S564" s="153"/>
      <c r="T564" s="153"/>
      <c r="U564" s="153"/>
      <c r="V564" s="153"/>
      <c r="W564" s="153"/>
      <c r="X564" s="153"/>
      <c r="Y564" s="153"/>
      <c r="Z564" s="153"/>
      <c r="AA564" s="153"/>
      <c r="AB564" s="153"/>
      <c r="AC564" s="153"/>
    </row>
    <row r="565">
      <c r="A565" s="152" t="s">
        <v>346</v>
      </c>
      <c r="B565" s="133" t="str">
        <f>IFERROR(__xludf.DUMMYFUNCTION("FILTER ('Research Papers'!D:D,'Research Papers'!A:A=C565)"),"Off-Policy Learning with Limited Supply")</f>
        <v>Off-Policy Learning with Limited Supply</v>
      </c>
      <c r="C565" s="133" t="s">
        <v>927</v>
      </c>
      <c r="D565" s="153" t="str">
        <f t="shared" si="1"/>
        <v>Off-Policy Learning with Limited Supply
Koichi Tanaka, Ren Kishimoto, Bushun Kawagishi, Yusuke
Narita, Yasuo Yamamoto, Nobuyuki Shimizu and Yuta Saito
</v>
      </c>
      <c r="E565" s="153" t="str">
        <f>IFERROR(__xludf.DUMMYFUNCTION("TEXTJOIN(CHAR(10), TRUE,FILTER('Research Papers'!$C:$C,'Research Papers'!$A:$A=C565))"),"Koichi Tanaka, Ren Kishimoto, Bushun Kawagishi, Yusuke
Narita, Yasuo Yamamoto, Nobuyuki Shimizu and Yuta Saito")</f>
        <v>Koichi Tanaka, Ren Kishimoto, Bushun Kawagishi, Yusuke
Narita, Yasuo Yamamoto, Nobuyuki Shimizu and Yuta Saito</v>
      </c>
      <c r="F565" s="133" t="s">
        <v>225</v>
      </c>
      <c r="G565" s="133" t="s">
        <v>347</v>
      </c>
      <c r="H565" s="153"/>
      <c r="I565" s="120"/>
      <c r="J565" s="120"/>
      <c r="K565" s="153"/>
      <c r="L565" s="153"/>
      <c r="M565" s="153"/>
      <c r="N565" s="153"/>
      <c r="O565" s="153"/>
      <c r="P565" s="153"/>
      <c r="Q565" s="153"/>
      <c r="R565" s="153"/>
      <c r="S565" s="153"/>
      <c r="T565" s="153"/>
      <c r="U565" s="153"/>
      <c r="V565" s="153"/>
      <c r="W565" s="153"/>
      <c r="X565" s="153"/>
      <c r="Y565" s="153"/>
      <c r="Z565" s="153"/>
      <c r="AA565" s="153"/>
      <c r="AB565" s="153"/>
      <c r="AC565" s="153"/>
    </row>
    <row r="566">
      <c r="A566" s="152" t="s">
        <v>346</v>
      </c>
      <c r="B566" s="133" t="str">
        <f>IFERROR(__xludf.DUMMYFUNCTION("FILTER ('Research Papers'!D:D,'Research Papers'!A:A=C566)"),"S2CDR: Smoothing-Sharpening Process Model for Cross-Domain Recommendation")</f>
        <v>S2CDR: Smoothing-Sharpening Process Model for Cross-Domain Recommendation</v>
      </c>
      <c r="C566" s="133" t="s">
        <v>928</v>
      </c>
      <c r="D566" s="153" t="str">
        <f t="shared" si="1"/>
        <v>S2CDR: Smoothing-Sharpening Process Model for Cross-Domain Recommendation
Xiaodong Li, Juwei Yue, Xinghua Zhang, Jiawei Sheng,
Wenyuan Zhang, Taoyu Su, Zefeng Zhang and Tingwen Liu
</v>
      </c>
      <c r="E566" s="153" t="str">
        <f>IFERROR(__xludf.DUMMYFUNCTION("TEXTJOIN(CHAR(10), TRUE,FILTER('Research Papers'!$C:$C,'Research Papers'!$A:$A=C566))"),"Xiaodong Li, Juwei Yue, Xinghua Zhang, Jiawei Sheng,
Wenyuan Zhang, Taoyu Su, Zefeng Zhang and Tingwen Liu")</f>
        <v>Xiaodong Li, Juwei Yue, Xinghua Zhang, Jiawei Sheng,
Wenyuan Zhang, Taoyu Su, Zefeng Zhang and Tingwen Liu</v>
      </c>
      <c r="F566" s="133" t="s">
        <v>225</v>
      </c>
      <c r="G566" s="133" t="s">
        <v>347</v>
      </c>
      <c r="H566" s="153"/>
      <c r="I566" s="120"/>
      <c r="J566" s="120"/>
      <c r="K566" s="153"/>
      <c r="L566" s="153"/>
      <c r="M566" s="153"/>
      <c r="N566" s="153"/>
      <c r="O566" s="153"/>
      <c r="P566" s="153"/>
      <c r="Q566" s="153"/>
      <c r="R566" s="153"/>
      <c r="S566" s="153"/>
      <c r="T566" s="153"/>
      <c r="U566" s="153"/>
      <c r="V566" s="153"/>
      <c r="W566" s="153"/>
      <c r="X566" s="153"/>
      <c r="Y566" s="153"/>
      <c r="Z566" s="153"/>
      <c r="AA566" s="153"/>
      <c r="AB566" s="153"/>
      <c r="AC566" s="153"/>
    </row>
    <row r="567">
      <c r="A567" s="152" t="s">
        <v>346</v>
      </c>
      <c r="B567" s="133" t="str">
        <f>IFERROR(__xludf.DUMMYFUNCTION("FILTER ('Research Papers'!D:D,'Research Papers'!A:A=C567)"),"Multi-view Semantic Contrastive Alignment for Multimodal Recommendation")</f>
        <v>Multi-view Semantic Contrastive Alignment for Multimodal Recommendation</v>
      </c>
      <c r="C567" s="133" t="s">
        <v>929</v>
      </c>
      <c r="D567" s="153" t="str">
        <f t="shared" si="1"/>
        <v>Multi-view Semantic Contrastive Alignment for Multimodal Recommendation
Jiuqiang Li and Hongjun Wang
</v>
      </c>
      <c r="E567" s="153" t="str">
        <f>IFERROR(__xludf.DUMMYFUNCTION("TEXTJOIN(CHAR(10), TRUE,FILTER('Research Papers'!$C:$C,'Research Papers'!$A:$A=C567))"),"Jiuqiang Li and Hongjun Wang")</f>
        <v>Jiuqiang Li and Hongjun Wang</v>
      </c>
      <c r="F567" s="133" t="s">
        <v>225</v>
      </c>
      <c r="G567" s="133" t="s">
        <v>347</v>
      </c>
      <c r="H567" s="153"/>
      <c r="I567" s="120"/>
      <c r="J567" s="120"/>
      <c r="K567" s="153"/>
      <c r="L567" s="153"/>
      <c r="M567" s="153"/>
      <c r="N567" s="153"/>
      <c r="O567" s="153"/>
      <c r="P567" s="153"/>
      <c r="Q567" s="153"/>
      <c r="R567" s="153"/>
      <c r="S567" s="153"/>
      <c r="T567" s="153"/>
      <c r="U567" s="153"/>
      <c r="V567" s="153"/>
      <c r="W567" s="153"/>
      <c r="X567" s="153"/>
      <c r="Y567" s="153"/>
      <c r="Z567" s="153"/>
      <c r="AA567" s="153"/>
      <c r="AB567" s="153"/>
      <c r="AC567" s="153"/>
    </row>
    <row r="568">
      <c r="A568" s="152" t="s">
        <v>346</v>
      </c>
      <c r="B568" s="133" t="str">
        <f>IFERROR(__xludf.DUMMYFUNCTION("FILTER ('Research Papers'!D:D,'Research Papers'!A:A=C568)"),"pFedDKS: Detached Knowledge Sharing for Personalized Federated Learning")</f>
        <v>pFedDKS: Detached Knowledge Sharing for Personalized Federated Learning</v>
      </c>
      <c r="C568" s="133" t="s">
        <v>930</v>
      </c>
      <c r="D568" s="153" t="str">
        <f t="shared" si="1"/>
        <v>pFedDKS: Detached Knowledge Sharing for Personalized Federated Learning
Haozhao Wang, Wenchao Xu, Jingzhi Wang, Yunfeng Fan,
Xiaoquan Yi and Rui Zhang
</v>
      </c>
      <c r="E568" s="153" t="str">
        <f>IFERROR(__xludf.DUMMYFUNCTION("TEXTJOIN(CHAR(10), TRUE,FILTER('Research Papers'!$C:$C,'Research Papers'!$A:$A=C568))"),"Haozhao Wang, Wenchao Xu, Jingzhi Wang, Yunfeng Fan,
Xiaoquan Yi and Rui Zhang")</f>
        <v>Haozhao Wang, Wenchao Xu, Jingzhi Wang, Yunfeng Fan,
Xiaoquan Yi and Rui Zhang</v>
      </c>
      <c r="F568" s="133" t="s">
        <v>225</v>
      </c>
      <c r="G568" s="133" t="s">
        <v>347</v>
      </c>
      <c r="H568" s="153"/>
      <c r="I568" s="120"/>
      <c r="J568" s="120"/>
      <c r="K568" s="153"/>
      <c r="L568" s="153"/>
      <c r="M568" s="153"/>
      <c r="N568" s="153"/>
      <c r="O568" s="153"/>
      <c r="P568" s="153"/>
      <c r="Q568" s="153"/>
      <c r="R568" s="153"/>
      <c r="S568" s="153"/>
      <c r="T568" s="153"/>
      <c r="U568" s="153"/>
      <c r="V568" s="153"/>
      <c r="W568" s="153"/>
      <c r="X568" s="153"/>
      <c r="Y568" s="153"/>
      <c r="Z568" s="153"/>
      <c r="AA568" s="153"/>
      <c r="AB568" s="153"/>
      <c r="AC568" s="153"/>
    </row>
    <row r="569">
      <c r="A569" s="152" t="s">
        <v>346</v>
      </c>
      <c r="B569" s="133" t="str">
        <f>IFERROR(__xludf.DUMMYFUNCTION("FILTER ('Research Papers'!D:D,'Research Papers'!A:A=C569)"),"Adaptive Contrastive Learning in Sequential Recommendation based on Perturbation and Restoration Networks")</f>
        <v>Adaptive Contrastive Learning in Sequential Recommendation based on Perturbation and Restoration Networks</v>
      </c>
      <c r="C569" s="133" t="s">
        <v>931</v>
      </c>
      <c r="D569" s="153" t="str">
        <f t="shared" si="1"/>
        <v>Adaptive Contrastive Learning in Sequential Recommendation based on Perturbation and Restoration Networks
Yanbo Zhou, Bin Lü, Xu-Hua Yang, Xin-Li Xu and Boling Wang
</v>
      </c>
      <c r="E569" s="153" t="str">
        <f>IFERROR(__xludf.DUMMYFUNCTION("TEXTJOIN(CHAR(10), TRUE,FILTER('Research Papers'!$C:$C,'Research Papers'!$A:$A=C569))"),"Yanbo Zhou, Bin Lü, Xu-Hua Yang, Xin-Li Xu and Boling Wang")</f>
        <v>Yanbo Zhou, Bin Lü, Xu-Hua Yang, Xin-Li Xu and Boling Wang</v>
      </c>
      <c r="F569" s="133" t="s">
        <v>225</v>
      </c>
      <c r="G569" s="133" t="s">
        <v>347</v>
      </c>
      <c r="H569" s="153"/>
      <c r="I569" s="120"/>
      <c r="J569" s="120"/>
      <c r="K569" s="153"/>
      <c r="L569" s="153"/>
      <c r="M569" s="153"/>
      <c r="N569" s="153"/>
      <c r="O569" s="153"/>
      <c r="P569" s="153"/>
      <c r="Q569" s="153"/>
      <c r="R569" s="153"/>
      <c r="S569" s="153"/>
      <c r="T569" s="153"/>
      <c r="U569" s="153"/>
      <c r="V569" s="153"/>
      <c r="W569" s="153"/>
      <c r="X569" s="153"/>
      <c r="Y569" s="153"/>
      <c r="Z569" s="153"/>
      <c r="AA569" s="153"/>
      <c r="AB569" s="153"/>
      <c r="AC569" s="153"/>
    </row>
    <row r="570">
      <c r="A570" s="152" t="s">
        <v>346</v>
      </c>
      <c r="B570" s="133" t="str">
        <f>IFERROR(__xludf.DUMMYFUNCTION("FILTER ('Research Papers'!D:D,'Research Papers'!A:A=C570)"),"Optimizing Multi-Turn Interactive Recommendation Agents via Generative Intrinsic Motivation")</f>
        <v>Optimizing Multi-Turn Interactive Recommendation Agents via Generative Intrinsic Motivation</v>
      </c>
      <c r="C570" s="133" t="s">
        <v>932</v>
      </c>
      <c r="D570" s="153" t="str">
        <f t="shared" si="1"/>
        <v>Optimizing Multi-Turn Interactive Recommendation Agents via Generative Intrinsic Motivation
Xueyang Feng, Jiakai Tang, Xu Chen, Quanyu Dai and Zhenhua
Dong
</v>
      </c>
      <c r="E570" s="153" t="str">
        <f>IFERROR(__xludf.DUMMYFUNCTION("TEXTJOIN(CHAR(10), TRUE,FILTER('Research Papers'!$C:$C,'Research Papers'!$A:$A=C570))"),"Xueyang Feng, Jiakai Tang, Xu Chen, Quanyu Dai and Zhenhua
Dong")</f>
        <v>Xueyang Feng, Jiakai Tang, Xu Chen, Quanyu Dai and Zhenhua
Dong</v>
      </c>
      <c r="F570" s="133" t="s">
        <v>225</v>
      </c>
      <c r="G570" s="133" t="s">
        <v>118</v>
      </c>
      <c r="H570" s="153"/>
      <c r="I570" s="120"/>
      <c r="J570" s="120"/>
      <c r="K570" s="153"/>
      <c r="L570" s="153"/>
      <c r="M570" s="153"/>
      <c r="N570" s="153"/>
      <c r="O570" s="153"/>
      <c r="P570" s="153"/>
      <c r="Q570" s="153"/>
      <c r="R570" s="153"/>
      <c r="S570" s="153"/>
      <c r="T570" s="153"/>
      <c r="U570" s="153"/>
      <c r="V570" s="153"/>
      <c r="W570" s="153"/>
      <c r="X570" s="153"/>
      <c r="Y570" s="153"/>
      <c r="Z570" s="153"/>
      <c r="AA570" s="153"/>
      <c r="AB570" s="153"/>
      <c r="AC570" s="153"/>
    </row>
    <row r="571">
      <c r="A571" s="152" t="s">
        <v>346</v>
      </c>
      <c r="B571" s="133" t="str">
        <f>IFERROR(__xludf.DUMMYFUNCTION("FILTER ('Research Papers'!D:D,'Research Papers'!A:A=C571)"),"Unveiling and Simulating Short-Video Addiction Behaviors via Economic Addiction Theory")</f>
        <v>Unveiling and Simulating Short-Video Addiction Behaviors via Economic Addiction Theory</v>
      </c>
      <c r="C571" s="133" t="s">
        <v>933</v>
      </c>
      <c r="D571" s="153" t="str">
        <f t="shared" si="1"/>
        <v>Unveiling and Simulating Short-Video Addiction Behaviors via Economic Addiction Theory
Chen Xu, Zhipeng Yi, Ruizi Wang, Wenjie Wang, Jun Xu and
Maarten de Rijke
</v>
      </c>
      <c r="E571" s="153" t="str">
        <f>IFERROR(__xludf.DUMMYFUNCTION("TEXTJOIN(CHAR(10), TRUE,FILTER('Research Papers'!$C:$C,'Research Papers'!$A:$A=C571))"),"Chen Xu, Zhipeng Yi, Ruizi Wang, Wenjie Wang, Jun Xu and
Maarten de Rijke")</f>
        <v>Chen Xu, Zhipeng Yi, Ruizi Wang, Wenjie Wang, Jun Xu and
Maarten de Rijke</v>
      </c>
      <c r="F571" s="133" t="s">
        <v>225</v>
      </c>
      <c r="G571" s="133" t="s">
        <v>118</v>
      </c>
      <c r="H571" s="153"/>
      <c r="I571" s="120"/>
      <c r="J571" s="120"/>
      <c r="K571" s="153"/>
      <c r="L571" s="153"/>
      <c r="M571" s="153"/>
      <c r="N571" s="153"/>
      <c r="O571" s="153"/>
      <c r="P571" s="153"/>
      <c r="Q571" s="153"/>
      <c r="R571" s="153"/>
      <c r="S571" s="153"/>
      <c r="T571" s="153"/>
      <c r="U571" s="153"/>
      <c r="V571" s="153"/>
      <c r="W571" s="153"/>
      <c r="X571" s="153"/>
      <c r="Y571" s="153"/>
      <c r="Z571" s="153"/>
      <c r="AA571" s="153"/>
      <c r="AB571" s="153"/>
      <c r="AC571" s="153"/>
    </row>
    <row r="572">
      <c r="A572" s="152" t="s">
        <v>346</v>
      </c>
      <c r="B572" s="133" t="str">
        <f>IFERROR(__xludf.DUMMYFUNCTION("FILTER ('Research Papers'!D:D,'Research Papers'!A:A=C572)"),"PRISM: Personalized Recommendation via Information Synergy Module")</f>
        <v>PRISM: Personalized Recommendation via Information Synergy Module</v>
      </c>
      <c r="C572" s="133" t="s">
        <v>934</v>
      </c>
      <c r="D572" s="153" t="str">
        <f t="shared" si="1"/>
        <v>PRISM: Personalized Recommendation via Information Synergy Module
Yutong Li, Xinyi Zhang, Peijie Sun, Letian Sha and
Zhongxuan Han
</v>
      </c>
      <c r="E572" s="153" t="str">
        <f>IFERROR(__xludf.DUMMYFUNCTION("TEXTJOIN(CHAR(10), TRUE,FILTER('Research Papers'!$C:$C,'Research Papers'!$A:$A=C572))"),"Yutong Li, Xinyi Zhang, Peijie Sun, Letian Sha and
Zhongxuan Han")</f>
        <v>Yutong Li, Xinyi Zhang, Peijie Sun, Letian Sha and
Zhongxuan Han</v>
      </c>
      <c r="F572" s="133" t="s">
        <v>225</v>
      </c>
      <c r="G572" s="133" t="s">
        <v>118</v>
      </c>
      <c r="H572" s="153"/>
      <c r="I572" s="120"/>
      <c r="J572" s="120"/>
      <c r="K572" s="153"/>
      <c r="L572" s="153"/>
      <c r="M572" s="153"/>
      <c r="N572" s="153"/>
      <c r="O572" s="153"/>
      <c r="P572" s="153"/>
      <c r="Q572" s="153"/>
      <c r="R572" s="153"/>
      <c r="S572" s="153"/>
      <c r="T572" s="153"/>
      <c r="U572" s="153"/>
      <c r="V572" s="153"/>
      <c r="W572" s="153"/>
      <c r="X572" s="153"/>
      <c r="Y572" s="153"/>
      <c r="Z572" s="153"/>
      <c r="AA572" s="153"/>
      <c r="AB572" s="153"/>
      <c r="AC572" s="153"/>
    </row>
    <row r="573">
      <c r="A573" s="152" t="s">
        <v>346</v>
      </c>
      <c r="B573" s="133" t="str">
        <f>IFERROR(__xludf.DUMMYFUNCTION("FILTER ('Research Papers'!D:D,'Research Papers'!A:A=C573)"),"Learning on Adaptive Manifolds for Graph Collaborative Filtering")</f>
        <v>Learning on Adaptive Manifolds for Graph Collaborative Filtering</v>
      </c>
      <c r="C573" s="133" t="s">
        <v>935</v>
      </c>
      <c r="D573" s="153" t="str">
        <f t="shared" si="1"/>
        <v>Learning on Adaptive Manifolds for Graph Collaborative Filtering
Guangzhi Qi, Guojun Liu and Qi Zhou
</v>
      </c>
      <c r="E573" s="153" t="str">
        <f>IFERROR(__xludf.DUMMYFUNCTION("TEXTJOIN(CHAR(10), TRUE,FILTER('Research Papers'!$C:$C,'Research Papers'!$A:$A=C573))"),"Guangzhi Qi, Guojun Liu and Qi Zhou")</f>
        <v>Guangzhi Qi, Guojun Liu and Qi Zhou</v>
      </c>
      <c r="F573" s="133" t="s">
        <v>225</v>
      </c>
      <c r="G573" s="133" t="s">
        <v>118</v>
      </c>
      <c r="H573" s="153"/>
      <c r="I573" s="120"/>
      <c r="J573" s="120"/>
      <c r="K573" s="153"/>
      <c r="L573" s="153"/>
      <c r="M573" s="153"/>
      <c r="N573" s="153"/>
      <c r="O573" s="153"/>
      <c r="P573" s="153"/>
      <c r="Q573" s="153"/>
      <c r="R573" s="153"/>
      <c r="S573" s="153"/>
      <c r="T573" s="153"/>
      <c r="U573" s="153"/>
      <c r="V573" s="153"/>
      <c r="W573" s="153"/>
      <c r="X573" s="153"/>
      <c r="Y573" s="153"/>
      <c r="Z573" s="153"/>
      <c r="AA573" s="153"/>
      <c r="AB573" s="153"/>
      <c r="AC573" s="153"/>
    </row>
    <row r="574">
      <c r="A574" s="152" t="s">
        <v>346</v>
      </c>
      <c r="B574" s="133" t="str">
        <f>IFERROR(__xludf.DUMMYFUNCTION("FILTER ('Research Papers'!D:D,'Research Papers'!A:A=C574)"),"Room Matters: Dynamic Room-level Collaboration Information Modeling for Live Streaming Recommendation")</f>
        <v>Room Matters: Dynamic Room-level Collaboration Information Modeling for Live Streaming Recommendation</v>
      </c>
      <c r="C574" s="133" t="s">
        <v>936</v>
      </c>
      <c r="D574" s="153" t="str">
        <f t="shared" si="1"/>
        <v>Room Matters: Dynamic Room-level Collaboration Information Modeling for Live Streaming Recommendation
Ke Guo, Changle Qu, Xiao Zhang, Liqin Zhao, Shijun Wang,
Yanan Niu and Jun Xu
</v>
      </c>
      <c r="E574" s="153" t="str">
        <f>IFERROR(__xludf.DUMMYFUNCTION("TEXTJOIN(CHAR(10), TRUE,FILTER('Research Papers'!$C:$C,'Research Papers'!$A:$A=C574))"),"Ke Guo, Changle Qu, Xiao Zhang, Liqin Zhao, Shijun Wang,
Yanan Niu and Jun Xu")</f>
        <v>Ke Guo, Changle Qu, Xiao Zhang, Liqin Zhao, Shijun Wang,
Yanan Niu and Jun Xu</v>
      </c>
      <c r="F574" s="133" t="s">
        <v>225</v>
      </c>
      <c r="G574" s="133" t="s">
        <v>118</v>
      </c>
      <c r="H574" s="153"/>
      <c r="I574" s="120"/>
      <c r="J574" s="120"/>
      <c r="K574" s="153"/>
      <c r="L574" s="153"/>
      <c r="M574" s="153"/>
      <c r="N574" s="153"/>
      <c r="O574" s="153"/>
      <c r="P574" s="153"/>
      <c r="Q574" s="153"/>
      <c r="R574" s="153"/>
      <c r="S574" s="153"/>
      <c r="T574" s="153"/>
      <c r="U574" s="153"/>
      <c r="V574" s="153"/>
      <c r="W574" s="153"/>
      <c r="X574" s="153"/>
      <c r="Y574" s="153"/>
      <c r="Z574" s="153"/>
      <c r="AA574" s="153"/>
      <c r="AB574" s="153"/>
      <c r="AC574" s="153"/>
    </row>
    <row r="575">
      <c r="A575" s="152" t="s">
        <v>346</v>
      </c>
      <c r="B575" s="133" t="str">
        <f>IFERROR(__xludf.DUMMYFUNCTION("FILTER ('Research Papers'!D:D,'Research Papers'!A:A=C575)"),"ONE-PASS: Single Forward Pass Decoding for Listwise Reranking")</f>
        <v>ONE-PASS: Single Forward Pass Decoding for Listwise Reranking</v>
      </c>
      <c r="C575" s="133" t="s">
        <v>937</v>
      </c>
      <c r="D575" s="153" t="str">
        <f t="shared" si="1"/>
        <v>ONE-PASS: Single Forward Pass Decoding for Listwise Reranking
Yingpeng Du, Zhu Sun, Tianjun Wei and Jie Zhang
</v>
      </c>
      <c r="E575" s="153" t="str">
        <f>IFERROR(__xludf.DUMMYFUNCTION("TEXTJOIN(CHAR(10), TRUE,FILTER('Research Papers'!$C:$C,'Research Papers'!$A:$A=C575))"),"Yingpeng Du, Zhu Sun, Tianjun Wei and Jie Zhang")</f>
        <v>Yingpeng Du, Zhu Sun, Tianjun Wei and Jie Zhang</v>
      </c>
      <c r="F575" s="133" t="s">
        <v>225</v>
      </c>
      <c r="G575" s="133" t="s">
        <v>118</v>
      </c>
      <c r="H575" s="153"/>
      <c r="I575" s="120"/>
      <c r="J575" s="120"/>
      <c r="K575" s="153"/>
      <c r="L575" s="153"/>
      <c r="M575" s="153"/>
      <c r="N575" s="153"/>
      <c r="O575" s="153"/>
      <c r="P575" s="153"/>
      <c r="Q575" s="153"/>
      <c r="R575" s="153"/>
      <c r="S575" s="153"/>
      <c r="T575" s="153"/>
      <c r="U575" s="153"/>
      <c r="V575" s="153"/>
      <c r="W575" s="153"/>
      <c r="X575" s="153"/>
      <c r="Y575" s="153"/>
      <c r="Z575" s="153"/>
      <c r="AA575" s="153"/>
      <c r="AB575" s="153"/>
      <c r="AC575" s="153"/>
    </row>
    <row r="576">
      <c r="A576" s="152" t="s">
        <v>346</v>
      </c>
      <c r="B576" s="133" t="str">
        <f>IFERROR(__xludf.DUMMYFUNCTION("FILTER ('Research Papers'!D:D,'Research Papers'!A:A=C576)"),"Personalized Learning Path Planning through Goal-Driven Learner State Modeling")</f>
        <v>Personalized Learning Path Planning through Goal-Driven Learner State Modeling</v>
      </c>
      <c r="C576" s="133" t="s">
        <v>938</v>
      </c>
      <c r="D576" s="153" t="str">
        <f t="shared" si="1"/>
        <v>Personalized Learning Path Planning through Goal-Driven Learner State Modeling
Joy Jia Yin Lim, Ye He, Jifan Yu, Xin Cong, Daniel
Zhang-Li, Zhiyuan Liu, Huiqin Liu, Lei Hou, Juanzi Li and
Bin Xu
</v>
      </c>
      <c r="E576" s="153" t="str">
        <f>IFERROR(__xludf.DUMMYFUNCTION("TEXTJOIN(CHAR(10), TRUE,FILTER('Research Papers'!$C:$C,'Research Papers'!$A:$A=C576))"),"Joy Jia Yin Lim, Ye He, Jifan Yu, Xin Cong, Daniel
Zhang-Li, Zhiyuan Liu, Huiqin Liu, Lei Hou, Juanzi Li and
Bin Xu")</f>
        <v>Joy Jia Yin Lim, Ye He, Jifan Yu, Xin Cong, Daniel
Zhang-Li, Zhiyuan Liu, Huiqin Liu, Lei Hou, Juanzi Li and
Bin Xu</v>
      </c>
      <c r="F576" s="133" t="s">
        <v>225</v>
      </c>
      <c r="G576" s="133" t="s">
        <v>118</v>
      </c>
      <c r="H576" s="153"/>
      <c r="I576" s="120"/>
      <c r="J576" s="120"/>
      <c r="K576" s="153"/>
      <c r="L576" s="153"/>
      <c r="M576" s="153"/>
      <c r="N576" s="153"/>
      <c r="O576" s="153"/>
      <c r="P576" s="153"/>
      <c r="Q576" s="153"/>
      <c r="R576" s="153"/>
      <c r="S576" s="153"/>
      <c r="T576" s="153"/>
      <c r="U576" s="153"/>
      <c r="V576" s="153"/>
      <c r="W576" s="153"/>
      <c r="X576" s="153"/>
      <c r="Y576" s="153"/>
      <c r="Z576" s="153"/>
      <c r="AA576" s="153"/>
      <c r="AB576" s="153"/>
      <c r="AC576" s="153"/>
    </row>
    <row r="577">
      <c r="A577" s="152" t="s">
        <v>346</v>
      </c>
      <c r="B577" s="133" t="str">
        <f>IFERROR(__xludf.DUMMYFUNCTION("FILTER ('Research Papers'!D:D,'Research Papers'!A:A=C577)"),"Bridging Time and Domains: A Time-aware Framework for Cross-Domain Sequential Recommendation")</f>
        <v>Bridging Time and Domains: A Time-aware Framework for Cross-Domain Sequential Recommendation</v>
      </c>
      <c r="C577" s="133" t="s">
        <v>939</v>
      </c>
      <c r="D577" s="153" t="str">
        <f t="shared" si="1"/>
        <v>Bridging Time and Domains: A Time-aware Framework for Cross-Domain Sequential Recommendation
Zemu Liu, Zhida Qin, Pengzhan Zhou, Tianyu Huang and Gangyi
Ding
</v>
      </c>
      <c r="E577" s="153" t="str">
        <f>IFERROR(__xludf.DUMMYFUNCTION("TEXTJOIN(CHAR(10), TRUE,FILTER('Research Papers'!$C:$C,'Research Papers'!$A:$A=C577))"),"Zemu Liu, Zhida Qin, Pengzhan Zhou, Tianyu Huang and Gangyi
Ding")</f>
        <v>Zemu Liu, Zhida Qin, Pengzhan Zhou, Tianyu Huang and Gangyi
Ding</v>
      </c>
      <c r="F577" s="133" t="s">
        <v>225</v>
      </c>
      <c r="G577" s="133" t="s">
        <v>118</v>
      </c>
      <c r="H577" s="153"/>
      <c r="I577" s="120"/>
      <c r="J577" s="120"/>
      <c r="K577" s="153"/>
      <c r="L577" s="153"/>
      <c r="M577" s="153"/>
      <c r="N577" s="153"/>
      <c r="O577" s="153"/>
      <c r="P577" s="153"/>
      <c r="Q577" s="153"/>
      <c r="R577" s="153"/>
      <c r="S577" s="153"/>
      <c r="T577" s="153"/>
      <c r="U577" s="153"/>
      <c r="V577" s="153"/>
      <c r="W577" s="153"/>
      <c r="X577" s="153"/>
      <c r="Y577" s="153"/>
      <c r="Z577" s="153"/>
      <c r="AA577" s="153"/>
      <c r="AB577" s="153"/>
      <c r="AC577" s="153"/>
    </row>
    <row r="578">
      <c r="A578" s="152" t="s">
        <v>346</v>
      </c>
      <c r="B578" s="133" t="str">
        <f>IFERROR(__xludf.DUMMYFUNCTION("FILTER ('Research Papers'!D:D,'Research Papers'!A:A=C578)"),"CC-OR-Net: A Unified Framework for LTV Prediction through Structural Decoupling")</f>
        <v>CC-OR-Net: A Unified Framework for LTV Prediction through Structural Decoupling</v>
      </c>
      <c r="C578" s="133" t="s">
        <v>940</v>
      </c>
      <c r="D578" s="153" t="str">
        <f t="shared" si="1"/>
        <v>CC-OR-Net: A Unified Framework for LTV Prediction through Structural Decoupling
Mingyu Zhao, Haoran Bai, Yu Tian, Bing Zhu and Hengliang Luo
</v>
      </c>
      <c r="E578" s="153" t="str">
        <f>IFERROR(__xludf.DUMMYFUNCTION("TEXTJOIN(CHAR(10), TRUE,FILTER('Research Papers'!$C:$C,'Research Papers'!$A:$A=C578))"),"Mingyu Zhao, Haoran Bai, Yu Tian, Bing Zhu and Hengliang Luo")</f>
        <v>Mingyu Zhao, Haoran Bai, Yu Tian, Bing Zhu and Hengliang Luo</v>
      </c>
      <c r="F578" s="133" t="s">
        <v>225</v>
      </c>
      <c r="G578" s="133" t="s">
        <v>118</v>
      </c>
      <c r="H578" s="153"/>
      <c r="I578" s="120"/>
      <c r="J578" s="120"/>
      <c r="K578" s="153"/>
      <c r="L578" s="153"/>
      <c r="M578" s="153"/>
      <c r="N578" s="153"/>
      <c r="O578" s="153"/>
      <c r="P578" s="153"/>
      <c r="Q578" s="153"/>
      <c r="R578" s="153"/>
      <c r="S578" s="153"/>
      <c r="T578" s="153"/>
      <c r="U578" s="153"/>
      <c r="V578" s="153"/>
      <c r="W578" s="153"/>
      <c r="X578" s="153"/>
      <c r="Y578" s="153"/>
      <c r="Z578" s="153"/>
      <c r="AA578" s="153"/>
      <c r="AB578" s="153"/>
      <c r="AC578" s="153"/>
    </row>
    <row r="579">
      <c r="A579" s="152" t="s">
        <v>346</v>
      </c>
      <c r="B579" s="133" t="str">
        <f>IFERROR(__xludf.DUMMYFUNCTION("FILTER ('Research Papers'!D:D,'Research Papers'!A:A=C579)"),"KE-FedRS: Tackling Data Sparsity in Federated Recommendation via Knowledge Enhancement")</f>
        <v>KE-FedRS: Tackling Data Sparsity in Federated Recommendation via Knowledge Enhancement</v>
      </c>
      <c r="C579" s="133" t="s">
        <v>941</v>
      </c>
      <c r="D579" s="153" t="str">
        <f t="shared" si="1"/>
        <v>KE-FedRS: Tackling Data Sparsity in Federated Recommendation via Knowledge Enhancement
Jiayu Bao, Hongjian Shi, Guanyu Zhang, Rui Zhou, Haozhao
Wang and Yuan Liu
</v>
      </c>
      <c r="E579" s="153" t="str">
        <f>IFERROR(__xludf.DUMMYFUNCTION("TEXTJOIN(CHAR(10), TRUE,FILTER('Research Papers'!$C:$C,'Research Papers'!$A:$A=C579))"),"Jiayu Bao, Hongjian Shi, Guanyu Zhang, Rui Zhou, Haozhao
Wang and Yuan Liu")</f>
        <v>Jiayu Bao, Hongjian Shi, Guanyu Zhang, Rui Zhou, Haozhao
Wang and Yuan Liu</v>
      </c>
      <c r="F579" s="133" t="s">
        <v>225</v>
      </c>
      <c r="G579" s="133" t="s">
        <v>118</v>
      </c>
      <c r="H579" s="153"/>
      <c r="I579" s="120"/>
      <c r="J579" s="120"/>
      <c r="K579" s="153"/>
      <c r="L579" s="153"/>
      <c r="M579" s="153"/>
      <c r="N579" s="153"/>
      <c r="O579" s="153"/>
      <c r="P579" s="153"/>
      <c r="Q579" s="153"/>
      <c r="R579" s="153"/>
      <c r="S579" s="153"/>
      <c r="T579" s="153"/>
      <c r="U579" s="153"/>
      <c r="V579" s="153"/>
      <c r="W579" s="153"/>
      <c r="X579" s="153"/>
      <c r="Y579" s="153"/>
      <c r="Z579" s="153"/>
      <c r="AA579" s="153"/>
      <c r="AB579" s="153"/>
      <c r="AC579" s="153"/>
    </row>
    <row r="580">
      <c r="A580" s="152" t="s">
        <v>346</v>
      </c>
      <c r="B580" s="133" t="str">
        <f>IFERROR(__xludf.DUMMYFUNCTION("FILTER ('Research Papers'!D:D,'Research Papers'!A:A=C580)"),"Long Story Short: Auditing U.S. Political Polarization in Recommendations for Long- vs. Short-form Videos on YouTube")</f>
        <v>Long Story Short: Auditing U.S. Political Polarization in Recommendations for Long- vs. Short-form Videos on YouTube</v>
      </c>
      <c r="C580" s="133" t="s">
        <v>942</v>
      </c>
      <c r="D580" s="153" t="str">
        <f t="shared" si="1"/>
        <v>Long Story Short: Auditing U.S. Political Polarization in Recommendations for Long- vs. Short-form Videos on YouTube
Shaokang Jiang, Arshia Arya, Seoyoung Kweon, Ivan Liang,
Deepak Kumar and Kristen Vaccaro
</v>
      </c>
      <c r="E580" s="153" t="str">
        <f>IFERROR(__xludf.DUMMYFUNCTION("TEXTJOIN(CHAR(10), TRUE,FILTER('Research Papers'!$C:$C,'Research Papers'!$A:$A=C580))"),"Shaokang Jiang, Arshia Arya, Seoyoung Kweon, Ivan Liang,
Deepak Kumar and Kristen Vaccaro")</f>
        <v>Shaokang Jiang, Arshia Arya, Seoyoung Kweon, Ivan Liang,
Deepak Kumar and Kristen Vaccaro</v>
      </c>
      <c r="F580" s="133" t="s">
        <v>225</v>
      </c>
      <c r="G580" s="133" t="s">
        <v>118</v>
      </c>
      <c r="H580" s="153"/>
      <c r="I580" s="120"/>
      <c r="J580" s="120"/>
      <c r="K580" s="153"/>
      <c r="L580" s="153"/>
      <c r="M580" s="153"/>
      <c r="N580" s="153"/>
      <c r="O580" s="153"/>
      <c r="P580" s="153"/>
      <c r="Q580" s="153"/>
      <c r="R580" s="153"/>
      <c r="S580" s="153"/>
      <c r="T580" s="153"/>
      <c r="U580" s="153"/>
      <c r="V580" s="153"/>
      <c r="W580" s="153"/>
      <c r="X580" s="153"/>
      <c r="Y580" s="153"/>
      <c r="Z580" s="153"/>
      <c r="AA580" s="153"/>
      <c r="AB580" s="153"/>
      <c r="AC580" s="153"/>
    </row>
    <row r="581">
      <c r="A581" s="152" t="s">
        <v>346</v>
      </c>
      <c r="B581" s="133" t="str">
        <f>IFERROR(__xludf.DUMMYFUNCTION("FILTER ('Research Papers'!D:D,'Research Papers'!A:A=C581)"),"From Prediction to Understanding: Leveraging Reasoning in Large Language Model-based Recommendations")</f>
        <v>From Prediction to Understanding: Leveraging Reasoning in Large Language Model-based Recommendations</v>
      </c>
      <c r="C581" s="133" t="s">
        <v>943</v>
      </c>
      <c r="D581" s="153" t="str">
        <f t="shared" si="1"/>
        <v>From Prediction to Understanding: Leveraging Reasoning in Large Language Model-based Recommendations
Zhi-Yuan Chen, Siyu Lu, Qiang Liu, Xingxing Wang and Yankai
Lin
</v>
      </c>
      <c r="E581" s="153" t="str">
        <f>IFERROR(__xludf.DUMMYFUNCTION("TEXTJOIN(CHAR(10), TRUE,FILTER('Research Papers'!$C:$C,'Research Papers'!$A:$A=C581))"),"Zhi-Yuan Chen, Siyu Lu, Qiang Liu, Xingxing Wang and Yankai
Lin")</f>
        <v>Zhi-Yuan Chen, Siyu Lu, Qiang Liu, Xingxing Wang and Yankai
Lin</v>
      </c>
      <c r="F581" s="133" t="s">
        <v>225</v>
      </c>
      <c r="G581" s="133" t="s">
        <v>348</v>
      </c>
      <c r="H581" s="153"/>
      <c r="I581" s="120"/>
      <c r="J581" s="120"/>
      <c r="K581" s="153"/>
      <c r="L581" s="153"/>
      <c r="M581" s="153"/>
      <c r="N581" s="153"/>
      <c r="O581" s="153"/>
      <c r="P581" s="153"/>
      <c r="Q581" s="153"/>
      <c r="R581" s="153"/>
      <c r="S581" s="153"/>
      <c r="T581" s="153"/>
      <c r="U581" s="153"/>
      <c r="V581" s="153"/>
      <c r="W581" s="153"/>
      <c r="X581" s="153"/>
      <c r="Y581" s="153"/>
      <c r="Z581" s="153"/>
      <c r="AA581" s="153"/>
      <c r="AB581" s="153"/>
      <c r="AC581" s="153"/>
    </row>
    <row r="582">
      <c r="A582" s="152" t="s">
        <v>346</v>
      </c>
      <c r="B582" s="133" t="str">
        <f>IFERROR(__xludf.DUMMYFUNCTION("FILTER ('Research Papers'!D:D,'Research Papers'!A:A=C582)"),"Generative Regression Based Watch Time Prediction for Short-Video Recommendation")</f>
        <v>Generative Regression Based Watch Time Prediction for Short-Video Recommendation</v>
      </c>
      <c r="C582" s="133" t="s">
        <v>944</v>
      </c>
      <c r="D582" s="153" t="str">
        <f t="shared" si="1"/>
        <v>Generative Regression Based Watch Time Prediction for Short-Video Recommendation
Hongxu Ma, Kai Tian, Tao Zhang, Xuefeng Zhang, Han Zhou,
Chenghou Jin, Chunjie Chen, Han Li, Jihong Guan and
Shuigeng Zhou
</v>
      </c>
      <c r="E582" s="153" t="str">
        <f>IFERROR(__xludf.DUMMYFUNCTION("TEXTJOIN(CHAR(10), TRUE,FILTER('Research Papers'!$C:$C,'Research Papers'!$A:$A=C582))"),"Hongxu Ma, Kai Tian, Tao Zhang, Xuefeng Zhang, Han Zhou,
Chenghou Jin, Chunjie Chen, Han Li, Jihong Guan and
Shuigeng Zhou")</f>
        <v>Hongxu Ma, Kai Tian, Tao Zhang, Xuefeng Zhang, Han Zhou,
Chenghou Jin, Chunjie Chen, Han Li, Jihong Guan and
Shuigeng Zhou</v>
      </c>
      <c r="F582" s="133" t="s">
        <v>225</v>
      </c>
      <c r="G582" s="133" t="s">
        <v>348</v>
      </c>
      <c r="H582" s="153"/>
      <c r="I582" s="120"/>
      <c r="J582" s="120"/>
      <c r="K582" s="153"/>
      <c r="L582" s="153"/>
      <c r="M582" s="153"/>
      <c r="N582" s="153"/>
      <c r="O582" s="153"/>
      <c r="P582" s="153"/>
      <c r="Q582" s="153"/>
      <c r="R582" s="153"/>
      <c r="S582" s="153"/>
      <c r="T582" s="153"/>
      <c r="U582" s="153"/>
      <c r="V582" s="153"/>
      <c r="W582" s="153"/>
      <c r="X582" s="153"/>
      <c r="Y582" s="153"/>
      <c r="Z582" s="153"/>
      <c r="AA582" s="153"/>
      <c r="AB582" s="153"/>
      <c r="AC582" s="153"/>
    </row>
    <row r="583">
      <c r="A583" s="152" t="s">
        <v>346</v>
      </c>
      <c r="B583" s="133" t="str">
        <f>IFERROR(__xludf.DUMMYFUNCTION("FILTER ('Research Papers'!D:D,'Research Papers'!A:A=C583)"),"FeDecider: An LLM-Based Framework for Federated Cross-Domain Recommendation")</f>
        <v>FeDecider: An LLM-Based Framework for Federated Cross-Domain Recommendation</v>
      </c>
      <c r="C583" s="133" t="s">
        <v>945</v>
      </c>
      <c r="D583" s="153" t="str">
        <f t="shared" si="1"/>
        <v>FeDecider: An LLM-Based Framework for Federated Cross-Domain Recommendation
Xinrui He, Ting-Wei Li, Tianxin Wei, Xuying Ning, Xinyu He,
Wenxuan Bao, Hanghang Tong and Jingrui He
</v>
      </c>
      <c r="E583" s="153" t="str">
        <f>IFERROR(__xludf.DUMMYFUNCTION("TEXTJOIN(CHAR(10), TRUE,FILTER('Research Papers'!$C:$C,'Research Papers'!$A:$A=C583))"),"Xinrui He, Ting-Wei Li, Tianxin Wei, Xuying Ning, Xinyu He,
Wenxuan Bao, Hanghang Tong and Jingrui He")</f>
        <v>Xinrui He, Ting-Wei Li, Tianxin Wei, Xuying Ning, Xinyu He,
Wenxuan Bao, Hanghang Tong and Jingrui He</v>
      </c>
      <c r="F583" s="133" t="s">
        <v>225</v>
      </c>
      <c r="G583" s="133" t="s">
        <v>348</v>
      </c>
      <c r="H583" s="153"/>
      <c r="I583" s="120"/>
      <c r="J583" s="120"/>
      <c r="K583" s="153"/>
      <c r="L583" s="153"/>
      <c r="M583" s="153"/>
      <c r="N583" s="153"/>
      <c r="O583" s="153"/>
      <c r="P583" s="153"/>
      <c r="Q583" s="153"/>
      <c r="R583" s="153"/>
      <c r="S583" s="153"/>
      <c r="T583" s="153"/>
      <c r="U583" s="153"/>
      <c r="V583" s="153"/>
      <c r="W583" s="153"/>
      <c r="X583" s="153"/>
      <c r="Y583" s="153"/>
      <c r="Z583" s="153"/>
      <c r="AA583" s="153"/>
      <c r="AB583" s="153"/>
      <c r="AC583" s="153"/>
    </row>
    <row r="584">
      <c r="A584" s="152" t="s">
        <v>346</v>
      </c>
      <c r="B584" s="133" t="str">
        <f>IFERROR(__xludf.DUMMYFUNCTION("FILTER ('Research Papers'!D:D,'Research Papers'!A:A=C584)"),"Joint Similar User Exploration and Informative Behavior Guidance for Multi-Modal New Item Recommendation")</f>
        <v>Joint Similar User Exploration and Informative Behavior Guidance for Multi-Modal New Item Recommendation</v>
      </c>
      <c r="C584" s="133" t="s">
        <v>946</v>
      </c>
      <c r="D584" s="153" t="str">
        <f t="shared" si="1"/>
        <v>Joint Similar User Exploration and Informative Behavior Guidance for Multi-Modal New Item Recommendation
Jianye Xie, Lianyong Qi, Weiming Liu, Anqi Wang, Xiaolong
Xu, Haolong Xiang, Xuyun Zhang, Wenwen Gong, Yang Zhang,
Amin Beheshti and Wanchun Dou
</v>
      </c>
      <c r="E584" s="153" t="str">
        <f>IFERROR(__xludf.DUMMYFUNCTION("TEXTJOIN(CHAR(10), TRUE,FILTER('Research Papers'!$C:$C,'Research Papers'!$A:$A=C584))"),"Jianye Xie, Lianyong Qi, Weiming Liu, Anqi Wang, Xiaolong
Xu, Haolong Xiang, Xuyun Zhang, Wenwen Gong, Yang Zhang,
Amin Beheshti and Wanchun Dou")</f>
        <v>Jianye Xie, Lianyong Qi, Weiming Liu, Anqi Wang, Xiaolong
Xu, Haolong Xiang, Xuyun Zhang, Wenwen Gong, Yang Zhang,
Amin Beheshti and Wanchun Dou</v>
      </c>
      <c r="F584" s="133" t="s">
        <v>225</v>
      </c>
      <c r="G584" s="133" t="s">
        <v>348</v>
      </c>
      <c r="H584" s="153"/>
      <c r="I584" s="120"/>
      <c r="J584" s="120"/>
      <c r="K584" s="153"/>
      <c r="L584" s="153"/>
      <c r="M584" s="153"/>
      <c r="N584" s="153"/>
      <c r="O584" s="153"/>
      <c r="P584" s="153"/>
      <c r="Q584" s="153"/>
      <c r="R584" s="153"/>
      <c r="S584" s="153"/>
      <c r="T584" s="153"/>
      <c r="U584" s="153"/>
      <c r="V584" s="153"/>
      <c r="W584" s="153"/>
      <c r="X584" s="153"/>
      <c r="Y584" s="153"/>
      <c r="Z584" s="153"/>
      <c r="AA584" s="153"/>
      <c r="AB584" s="153"/>
      <c r="AC584" s="153"/>
    </row>
    <row r="585">
      <c r="A585" s="152" t="s">
        <v>346</v>
      </c>
      <c r="B585" s="133" t="str">
        <f>IFERROR(__xludf.DUMMYFUNCTION("FILTER ('Research Papers'!D:D,'Research Papers'!A:A=C585)"),"ScotRec: Social Chain-of-Thought LLM Reasoning for Recommendation")</f>
        <v>ScotRec: Social Chain-of-Thought LLM Reasoning for Recommendation</v>
      </c>
      <c r="C585" s="133" t="s">
        <v>947</v>
      </c>
      <c r="D585" s="153" t="str">
        <f t="shared" si="1"/>
        <v>ScotRec: Social Chain-of-Thought LLM Reasoning for Recommendation
Kaibei Li, Jie Zou, Qika Lin, Weikang Guo, Qinyang He and
Yang Yang
</v>
      </c>
      <c r="E585" s="153" t="str">
        <f>IFERROR(__xludf.DUMMYFUNCTION("TEXTJOIN(CHAR(10), TRUE,FILTER('Research Papers'!$C:$C,'Research Papers'!$A:$A=C585))"),"Kaibei Li, Jie Zou, Qika Lin, Weikang Guo, Qinyang He and
Yang Yang")</f>
        <v>Kaibei Li, Jie Zou, Qika Lin, Weikang Guo, Qinyang He and
Yang Yang</v>
      </c>
      <c r="F585" s="133" t="s">
        <v>225</v>
      </c>
      <c r="G585" s="133" t="s">
        <v>348</v>
      </c>
      <c r="H585" s="153"/>
      <c r="I585" s="120"/>
      <c r="J585" s="120"/>
      <c r="K585" s="153"/>
      <c r="L585" s="153"/>
      <c r="M585" s="153"/>
      <c r="N585" s="153"/>
      <c r="O585" s="153"/>
      <c r="P585" s="153"/>
      <c r="Q585" s="153"/>
      <c r="R585" s="153"/>
      <c r="S585" s="153"/>
      <c r="T585" s="153"/>
      <c r="U585" s="153"/>
      <c r="V585" s="153"/>
      <c r="W585" s="153"/>
      <c r="X585" s="153"/>
      <c r="Y585" s="153"/>
      <c r="Z585" s="153"/>
      <c r="AA585" s="153"/>
      <c r="AB585" s="153"/>
      <c r="AC585" s="153"/>
    </row>
    <row r="586">
      <c r="A586" s="152" t="s">
        <v>346</v>
      </c>
      <c r="B586" s="133" t="str">
        <f>IFERROR(__xludf.DUMMYFUNCTION("FILTER ('Research Papers'!D:D,'Research Papers'!A:A=C586)"),"Modeling Cascaded Delay Feedback for Online Net Conversion Rate Prediction: Benchmark, Insights and Solutions")</f>
        <v>Modeling Cascaded Delay Feedback for Online Net Conversion Rate Prediction: Benchmark, Insights and Solutions</v>
      </c>
      <c r="C586" s="133" t="s">
        <v>948</v>
      </c>
      <c r="D586" s="153" t="str">
        <f t="shared" si="1"/>
        <v>Modeling Cascaded Delay Feedback for Online Net Conversion Rate Prediction: Benchmark, Insights and Solutions
Mingxuan Luo, Guipeng Xv, Sishuo Chen, Xinyu Li, Li Zhang,
Zhangming Chan, Xiang-Rong Sheng, Han Zhu, Jian Xu, Bo
Zheng and Chen Lin
</v>
      </c>
      <c r="E586" s="153" t="str">
        <f>IFERROR(__xludf.DUMMYFUNCTION("TEXTJOIN(CHAR(10), TRUE,FILTER('Research Papers'!$C:$C,'Research Papers'!$A:$A=C586))"),"Mingxuan Luo, Guipeng Xv, Sishuo Chen, Xinyu Li, Li Zhang,
Zhangming Chan, Xiang-Rong Sheng, Han Zhu, Jian Xu, Bo
Zheng and Chen Lin")</f>
        <v>Mingxuan Luo, Guipeng Xv, Sishuo Chen, Xinyu Li, Li Zhang,
Zhangming Chan, Xiang-Rong Sheng, Han Zhu, Jian Xu, Bo
Zheng and Chen Lin</v>
      </c>
      <c r="F586" s="133" t="s">
        <v>225</v>
      </c>
      <c r="G586" s="133" t="s">
        <v>348</v>
      </c>
      <c r="H586" s="153"/>
      <c r="I586" s="120"/>
      <c r="J586" s="120"/>
      <c r="K586" s="153"/>
      <c r="L586" s="153"/>
      <c r="M586" s="153"/>
      <c r="N586" s="153"/>
      <c r="O586" s="153"/>
      <c r="P586" s="153"/>
      <c r="Q586" s="153"/>
      <c r="R586" s="153"/>
      <c r="S586" s="153"/>
      <c r="T586" s="153"/>
      <c r="U586" s="153"/>
      <c r="V586" s="153"/>
      <c r="W586" s="153"/>
      <c r="X586" s="153"/>
      <c r="Y586" s="153"/>
      <c r="Z586" s="153"/>
      <c r="AA586" s="153"/>
      <c r="AB586" s="153"/>
      <c r="AC586" s="153"/>
    </row>
    <row r="587">
      <c r="A587" s="152" t="s">
        <v>346</v>
      </c>
      <c r="B587" s="133" t="str">
        <f>IFERROR(__xludf.DUMMYFUNCTION("FILTER ('Research Papers'!D:D,'Research Papers'!A:A=C587)"),"Diversity-Augmented Negative Sampling for Implicit Collaborative Filtering")</f>
        <v>Diversity-Augmented Negative Sampling for Implicit Collaborative Filtering</v>
      </c>
      <c r="C587" s="133" t="s">
        <v>949</v>
      </c>
      <c r="D587" s="153" t="str">
        <f t="shared" si="1"/>
        <v>Diversity-Augmented Negative Sampling for Implicit Collaborative Filtering
Yueqing Xuan, Kacper Sokol, Mark Sanderson and Jeffrey Chan
</v>
      </c>
      <c r="E587" s="153" t="str">
        <f>IFERROR(__xludf.DUMMYFUNCTION("TEXTJOIN(CHAR(10), TRUE,FILTER('Research Papers'!$C:$C,'Research Papers'!$A:$A=C587))"),"Yueqing Xuan, Kacper Sokol, Mark Sanderson and Jeffrey Chan")</f>
        <v>Yueqing Xuan, Kacper Sokol, Mark Sanderson and Jeffrey Chan</v>
      </c>
      <c r="F587" s="133" t="s">
        <v>225</v>
      </c>
      <c r="G587" s="133" t="s">
        <v>348</v>
      </c>
      <c r="H587" s="153"/>
      <c r="I587" s="120"/>
      <c r="J587" s="120"/>
      <c r="K587" s="153"/>
      <c r="L587" s="153"/>
      <c r="M587" s="153"/>
      <c r="N587" s="153"/>
      <c r="O587" s="153"/>
      <c r="P587" s="153"/>
      <c r="Q587" s="153"/>
      <c r="R587" s="153"/>
      <c r="S587" s="153"/>
      <c r="T587" s="153"/>
      <c r="U587" s="153"/>
      <c r="V587" s="153"/>
      <c r="W587" s="153"/>
      <c r="X587" s="153"/>
      <c r="Y587" s="153"/>
      <c r="Z587" s="153"/>
      <c r="AA587" s="153"/>
      <c r="AB587" s="153"/>
      <c r="AC587" s="153"/>
    </row>
    <row r="588">
      <c r="A588" s="152" t="s">
        <v>346</v>
      </c>
      <c r="B588" s="133" t="str">
        <f>IFERROR(__xludf.DUMMYFUNCTION("FILTER ('Research Papers'!D:D,'Research Papers'!A:A=C588)"),"Delayed Feedback Modeling for Post-Click Gross Merchandise Volume Prediction: Benchmark, Insights and Approaches")</f>
        <v>Delayed Feedback Modeling for Post-Click Gross Merchandise Volume Prediction: Benchmark, Insights and Approaches</v>
      </c>
      <c r="C588" s="133" t="s">
        <v>950</v>
      </c>
      <c r="D588" s="153" t="str">
        <f t="shared" si="1"/>
        <v>Delayed Feedback Modeling for Post-Click Gross Merchandise Volume Prediction: Benchmark, Insights and Approaches
Xinyu Li, Sishuo Chen, Guipeng Xv, Li Zhang, Mingxuan Luo,
Zhangming Chan, Xiang-Rong Sheng, Han Zhu, Jian Xu and Chen
Lin
</v>
      </c>
      <c r="E588" s="153" t="str">
        <f>IFERROR(__xludf.DUMMYFUNCTION("TEXTJOIN(CHAR(10), TRUE,FILTER('Research Papers'!$C:$C,'Research Papers'!$A:$A=C588))"),"Xinyu Li, Sishuo Chen, Guipeng Xv, Li Zhang, Mingxuan Luo,
Zhangming Chan, Xiang-Rong Sheng, Han Zhu, Jian Xu and Chen
Lin")</f>
        <v>Xinyu Li, Sishuo Chen, Guipeng Xv, Li Zhang, Mingxuan Luo,
Zhangming Chan, Xiang-Rong Sheng, Han Zhu, Jian Xu and Chen
Lin</v>
      </c>
      <c r="F588" s="133" t="s">
        <v>225</v>
      </c>
      <c r="G588" s="133" t="s">
        <v>348</v>
      </c>
      <c r="H588" s="153"/>
      <c r="I588" s="120"/>
      <c r="J588" s="120"/>
      <c r="K588" s="153"/>
      <c r="L588" s="153"/>
      <c r="M588" s="153"/>
      <c r="N588" s="153"/>
      <c r="O588" s="153"/>
      <c r="P588" s="153"/>
      <c r="Q588" s="153"/>
      <c r="R588" s="153"/>
      <c r="S588" s="153"/>
      <c r="T588" s="153"/>
      <c r="U588" s="153"/>
      <c r="V588" s="153"/>
      <c r="W588" s="153"/>
      <c r="X588" s="153"/>
      <c r="Y588" s="153"/>
      <c r="Z588" s="153"/>
      <c r="AA588" s="153"/>
      <c r="AB588" s="153"/>
      <c r="AC588" s="153"/>
    </row>
    <row r="589">
      <c r="A589" s="152" t="s">
        <v>346</v>
      </c>
      <c r="B589" s="133" t="str">
        <f>IFERROR(__xludf.DUMMYFUNCTION("FILTER ('Research Papers'!D:D,'Research Papers'!A:A=C589)"),"AlphaFree: Recommendation Free from Users, IDs, and GNNs")</f>
        <v>AlphaFree: Recommendation Free from Users, IDs, and GNNs</v>
      </c>
      <c r="C589" s="133" t="s">
        <v>951</v>
      </c>
      <c r="D589" s="153" t="str">
        <f t="shared" si="1"/>
        <v>AlphaFree: Recommendation Free from Users, IDs, and GNNs
Minseo Jeon, Junwoo Jung, Daewon Gwak and Jinhong Jung
</v>
      </c>
      <c r="E589" s="153" t="str">
        <f>IFERROR(__xludf.DUMMYFUNCTION("TEXTJOIN(CHAR(10), TRUE,FILTER('Research Papers'!$C:$C,'Research Papers'!$A:$A=C589))"),"Minseo Jeon, Junwoo Jung, Daewon Gwak and Jinhong Jung")</f>
        <v>Minseo Jeon, Junwoo Jung, Daewon Gwak and Jinhong Jung</v>
      </c>
      <c r="F589" s="133" t="s">
        <v>225</v>
      </c>
      <c r="G589" s="133" t="s">
        <v>348</v>
      </c>
      <c r="H589" s="153"/>
      <c r="I589" s="120"/>
      <c r="J589" s="120"/>
      <c r="K589" s="153"/>
      <c r="L589" s="153"/>
      <c r="M589" s="153"/>
      <c r="N589" s="153"/>
      <c r="O589" s="153"/>
      <c r="P589" s="153"/>
      <c r="Q589" s="153"/>
      <c r="R589" s="153"/>
      <c r="S589" s="153"/>
      <c r="T589" s="153"/>
      <c r="U589" s="153"/>
      <c r="V589" s="153"/>
      <c r="W589" s="153"/>
      <c r="X589" s="153"/>
      <c r="Y589" s="153"/>
      <c r="Z589" s="153"/>
      <c r="AA589" s="153"/>
      <c r="AB589" s="153"/>
      <c r="AC589" s="153"/>
    </row>
    <row r="590">
      <c r="A590" s="152" t="s">
        <v>346</v>
      </c>
      <c r="B590" s="133" t="str">
        <f>IFERROR(__xludf.DUMMYFUNCTION("FILTER ('Research Papers'!D:D,'Research Papers'!A:A=C590)"),"Same Last-Item Confusion Unveiled: A Unified Mitigation Framework for Graph Learning in Session-Based Recommendation")</f>
        <v>Same Last-Item Confusion Unveiled: A Unified Mitigation Framework for Graph Learning in Session-Based Recommendation</v>
      </c>
      <c r="C590" s="133" t="s">
        <v>952</v>
      </c>
      <c r="D590" s="153" t="str">
        <f t="shared" si="1"/>
        <v>Same Last-Item Confusion Unveiled: A Unified Mitigation Framework for Graph Learning in Session-Based Recommendation
Jinpeng Chen, Jianxiang He, Yuan Cao, Huan Li, Zhenye Yang,
Kaimin Wei, Xiongnan Jin, Senzhang Wang and Weiping Tu
</v>
      </c>
      <c r="E590" s="153" t="str">
        <f>IFERROR(__xludf.DUMMYFUNCTION("TEXTJOIN(CHAR(10), TRUE,FILTER('Research Papers'!$C:$C,'Research Papers'!$A:$A=C590))"),"Jinpeng Chen, Jianxiang He, Yuan Cao, Huan Li, Zhenye Yang,
Kaimin Wei, Xiongnan Jin, Senzhang Wang and Weiping Tu")</f>
        <v>Jinpeng Chen, Jianxiang He, Yuan Cao, Huan Li, Zhenye Yang,
Kaimin Wei, Xiongnan Jin, Senzhang Wang and Weiping Tu</v>
      </c>
      <c r="F590" s="133" t="s">
        <v>225</v>
      </c>
      <c r="G590" s="133" t="s">
        <v>348</v>
      </c>
      <c r="H590" s="153"/>
      <c r="I590" s="120"/>
      <c r="J590" s="120"/>
      <c r="K590" s="153"/>
      <c r="L590" s="153"/>
      <c r="M590" s="153"/>
      <c r="N590" s="153"/>
      <c r="O590" s="153"/>
      <c r="P590" s="153"/>
      <c r="Q590" s="153"/>
      <c r="R590" s="153"/>
      <c r="S590" s="153"/>
      <c r="T590" s="153"/>
      <c r="U590" s="153"/>
      <c r="V590" s="153"/>
      <c r="W590" s="153"/>
      <c r="X590" s="153"/>
      <c r="Y590" s="153"/>
      <c r="Z590" s="153"/>
      <c r="AA590" s="153"/>
      <c r="AB590" s="153"/>
      <c r="AC590" s="153"/>
    </row>
    <row r="591">
      <c r="A591" s="152" t="s">
        <v>346</v>
      </c>
      <c r="B591" s="133" t="str">
        <f>IFERROR(__xludf.DUMMYFUNCTION("FILTER ('Research Papers'!D:D,'Research Papers'!A:A=C591)"),"R2NS: Recall and Re-ranking of Negative Samples for Sequential Recommendation")</f>
        <v>R2NS: Recall and Re-ranking of Negative Samples for Sequential Recommendation</v>
      </c>
      <c r="C591" s="133" t="s">
        <v>953</v>
      </c>
      <c r="D591" s="153" t="str">
        <f t="shared" si="1"/>
        <v>R2NS: Recall and Re-ranking of Negative Samples for Sequential Recommendation
Yuanzi Li, Xuri Ge, Jingyu Zhao, Yidan Wang, Jiyuan Yang,
Zhumin Chen, Zhaochun Ren and Xin Xin
</v>
      </c>
      <c r="E591" s="153" t="str">
        <f>IFERROR(__xludf.DUMMYFUNCTION("TEXTJOIN(CHAR(10), TRUE,FILTER('Research Papers'!$C:$C,'Research Papers'!$A:$A=C591))"),"Yuanzi Li, Xuri Ge, Jingyu Zhao, Yidan Wang, Jiyuan Yang,
Zhumin Chen, Zhaochun Ren and Xin Xin")</f>
        <v>Yuanzi Li, Xuri Ge, Jingyu Zhao, Yidan Wang, Jiyuan Yang,
Zhumin Chen, Zhaochun Ren and Xin Xin</v>
      </c>
      <c r="F591" s="133" t="s">
        <v>225</v>
      </c>
      <c r="G591" s="133" t="s">
        <v>348</v>
      </c>
      <c r="H591" s="153"/>
      <c r="I591" s="120"/>
      <c r="J591" s="120"/>
      <c r="K591" s="153"/>
      <c r="L591" s="153"/>
      <c r="M591" s="153"/>
      <c r="N591" s="153"/>
      <c r="O591" s="153"/>
      <c r="P591" s="153"/>
      <c r="Q591" s="153"/>
      <c r="R591" s="153"/>
      <c r="S591" s="153"/>
      <c r="T591" s="153"/>
      <c r="U591" s="153"/>
      <c r="V591" s="153"/>
      <c r="W591" s="153"/>
      <c r="X591" s="153"/>
      <c r="Y591" s="153"/>
      <c r="Z591" s="153"/>
      <c r="AA591" s="153"/>
      <c r="AB591" s="153"/>
      <c r="AC591" s="153"/>
    </row>
    <row r="592">
      <c r="A592" s="152" t="s">
        <v>346</v>
      </c>
      <c r="B592" s="133" t="str">
        <f>IFERROR(__xludf.DUMMYFUNCTION("FILTER ('Research Papers'!D:D,'Research Papers'!A:A=C592)"),"DynaMoLTV: A Cross-Game Dynamic Mixture Model with Weighted Sub-Distributions for Player Lifetime Value Prediction")</f>
        <v>DynaMoLTV: A Cross-Game Dynamic Mixture Model with Weighted Sub-Distributions for Player Lifetime Value Prediction</v>
      </c>
      <c r="C592" s="133" t="s">
        <v>954</v>
      </c>
      <c r="D592" s="153" t="str">
        <f t="shared" si="1"/>
        <v>DynaMoLTV: A Cross-Game Dynamic Mixture Model with Weighted Sub-Distributions for Player Lifetime Value Prediction
Furen Xu, Jie Zhang, Kai Jiang, Chengxiang Zhuo and Zang Li
</v>
      </c>
      <c r="E592" s="153" t="str">
        <f>IFERROR(__xludf.DUMMYFUNCTION("TEXTJOIN(CHAR(10), TRUE,FILTER('Research Papers'!$C:$C,'Research Papers'!$A:$A=C592))"),"Furen Xu, Jie Zhang, Kai Jiang, Chengxiang Zhuo and Zang Li")</f>
        <v>Furen Xu, Jie Zhang, Kai Jiang, Chengxiang Zhuo and Zang Li</v>
      </c>
      <c r="F592" s="133" t="s">
        <v>225</v>
      </c>
      <c r="G592" s="133" t="s">
        <v>348</v>
      </c>
      <c r="H592" s="153"/>
      <c r="I592" s="120"/>
      <c r="J592" s="120"/>
      <c r="K592" s="153"/>
      <c r="L592" s="153"/>
      <c r="M592" s="153"/>
      <c r="N592" s="153"/>
      <c r="O592" s="153"/>
      <c r="P592" s="153"/>
      <c r="Q592" s="153"/>
      <c r="R592" s="153"/>
      <c r="S592" s="153"/>
      <c r="T592" s="153"/>
      <c r="U592" s="153"/>
      <c r="V592" s="153"/>
      <c r="W592" s="153"/>
      <c r="X592" s="153"/>
      <c r="Y592" s="153"/>
      <c r="Z592" s="153"/>
      <c r="AA592" s="153"/>
      <c r="AB592" s="153"/>
      <c r="AC592" s="153"/>
    </row>
    <row r="593">
      <c r="A593" s="152" t="s">
        <v>346</v>
      </c>
      <c r="B593" s="133" t="str">
        <f>IFERROR(__xludf.DUMMYFUNCTION("FILTER ('Research Papers'!D:D,'Research Papers'!A:A=C593)"),"From Criteria to Ranking: Targeting-Aware Tripartite Graph Learning for Multi-Criteria Recommendation")</f>
        <v>From Criteria to Ranking: Targeting-Aware Tripartite Graph Learning for Multi-Criteria Recommendation</v>
      </c>
      <c r="C593" s="133" t="s">
        <v>955</v>
      </c>
      <c r="D593" s="153" t="str">
        <f t="shared" si="1"/>
        <v>From Criteria to Ranking: Targeting-Aware Tripartite Graph Learning for Multi-Criteria Recommendation
Zhenhua Meng and Fanshen Meng
</v>
      </c>
      <c r="E593" s="153" t="str">
        <f>IFERROR(__xludf.DUMMYFUNCTION("TEXTJOIN(CHAR(10), TRUE,FILTER('Research Papers'!$C:$C,'Research Papers'!$A:$A=C593))"),"Zhenhua Meng and Fanshen Meng")</f>
        <v>Zhenhua Meng and Fanshen Meng</v>
      </c>
      <c r="F593" s="133" t="s">
        <v>225</v>
      </c>
      <c r="G593" s="133" t="s">
        <v>349</v>
      </c>
      <c r="H593" s="153"/>
      <c r="I593" s="120"/>
      <c r="J593" s="120"/>
      <c r="K593" s="153"/>
      <c r="L593" s="153"/>
      <c r="M593" s="153"/>
      <c r="N593" s="153"/>
      <c r="O593" s="153"/>
      <c r="P593" s="153"/>
      <c r="Q593" s="153"/>
      <c r="R593" s="153"/>
      <c r="S593" s="153"/>
      <c r="T593" s="153"/>
      <c r="U593" s="153"/>
      <c r="V593" s="153"/>
      <c r="W593" s="153"/>
      <c r="X593" s="153"/>
      <c r="Y593" s="153"/>
      <c r="Z593" s="153"/>
      <c r="AA593" s="153"/>
      <c r="AB593" s="153"/>
      <c r="AC593" s="153"/>
    </row>
    <row r="594">
      <c r="A594" s="152" t="s">
        <v>346</v>
      </c>
      <c r="B594" s="133" t="str">
        <f>IFERROR(__xludf.DUMMYFUNCTION("FILTER ('Research Papers'!D:D,'Research Papers'!A:A=C594)"),"SAGE: Global Semantic Alignment with LLMs for Long-Tail Sequential Recommendation")</f>
        <v>SAGE: Global Semantic Alignment with LLMs for Long-Tail Sequential Recommendation</v>
      </c>
      <c r="C594" s="133" t="s">
        <v>956</v>
      </c>
      <c r="D594" s="153" t="str">
        <f t="shared" si="1"/>
        <v>SAGE: Global Semantic Alignment with LLMs for Long-Tail Sequential Recommendation
Maolin Wang, Tongshu Bian, Ziyan Wang, Xiaotong Jiang,
Binhao Wang, Derong Xu, Wanyu Wang, Ruocheng Guo and
Xiangyu Zhao
</v>
      </c>
      <c r="E594" s="153" t="str">
        <f>IFERROR(__xludf.DUMMYFUNCTION("TEXTJOIN(CHAR(10), TRUE,FILTER('Research Papers'!$C:$C,'Research Papers'!$A:$A=C594))"),"Maolin Wang, Tongshu Bian, Ziyan Wang, Xiaotong Jiang,
Binhao Wang, Derong Xu, Wanyu Wang, Ruocheng Guo and
Xiangyu Zhao")</f>
        <v>Maolin Wang, Tongshu Bian, Ziyan Wang, Xiaotong Jiang,
Binhao Wang, Derong Xu, Wanyu Wang, Ruocheng Guo and
Xiangyu Zhao</v>
      </c>
      <c r="F594" s="133" t="s">
        <v>225</v>
      </c>
      <c r="G594" s="133" t="s">
        <v>349</v>
      </c>
      <c r="H594" s="153"/>
      <c r="I594" s="120"/>
      <c r="J594" s="120"/>
      <c r="K594" s="153"/>
      <c r="L594" s="153"/>
      <c r="M594" s="153"/>
      <c r="N594" s="153"/>
      <c r="O594" s="153"/>
      <c r="P594" s="153"/>
      <c r="Q594" s="153"/>
      <c r="R594" s="153"/>
      <c r="S594" s="153"/>
      <c r="T594" s="153"/>
      <c r="U594" s="153"/>
      <c r="V594" s="153"/>
      <c r="W594" s="153"/>
      <c r="X594" s="153"/>
      <c r="Y594" s="153"/>
      <c r="Z594" s="153"/>
      <c r="AA594" s="153"/>
      <c r="AB594" s="153"/>
      <c r="AC594" s="153"/>
    </row>
    <row r="595">
      <c r="A595" s="152" t="s">
        <v>346</v>
      </c>
      <c r="B595" s="133" t="str">
        <f>IFERROR(__xludf.DUMMYFUNCTION("FILTER ('Research Papers'!D:D,'Research Papers'!A:A=C595)"),"Relation-aware Diffusion-Asymmetric Graph Contrastive Learning for Recommendation")</f>
        <v>Relation-aware Diffusion-Asymmetric Graph Contrastive Learning for Recommendation</v>
      </c>
      <c r="C595" s="133" t="s">
        <v>957</v>
      </c>
      <c r="D595" s="153" t="str">
        <f t="shared" si="1"/>
        <v>Relation-aware Diffusion-Asymmetric Graph Contrastive Learning for Recommendation
Yixuan Huang, Jiawei Chen, Shengfan Zhang and Zane Cao
</v>
      </c>
      <c r="E595" s="153" t="str">
        <f>IFERROR(__xludf.DUMMYFUNCTION("TEXTJOIN(CHAR(10), TRUE,FILTER('Research Papers'!$C:$C,'Research Papers'!$A:$A=C595))"),"Yixuan Huang, Jiawei Chen, Shengfan Zhang and Zane Cao")</f>
        <v>Yixuan Huang, Jiawei Chen, Shengfan Zhang and Zane Cao</v>
      </c>
      <c r="F595" s="133" t="s">
        <v>225</v>
      </c>
      <c r="G595" s="133" t="s">
        <v>349</v>
      </c>
      <c r="H595" s="153"/>
      <c r="I595" s="120"/>
      <c r="J595" s="120"/>
      <c r="K595" s="153"/>
      <c r="L595" s="153"/>
      <c r="M595" s="153"/>
      <c r="N595" s="153"/>
      <c r="O595" s="153"/>
      <c r="P595" s="153"/>
      <c r="Q595" s="153"/>
      <c r="R595" s="153"/>
      <c r="S595" s="153"/>
      <c r="T595" s="153"/>
      <c r="U595" s="153"/>
      <c r="V595" s="153"/>
      <c r="W595" s="153"/>
      <c r="X595" s="153"/>
      <c r="Y595" s="153"/>
      <c r="Z595" s="153"/>
      <c r="AA595" s="153"/>
      <c r="AB595" s="153"/>
      <c r="AC595" s="153"/>
    </row>
    <row r="596">
      <c r="A596" s="152" t="s">
        <v>346</v>
      </c>
      <c r="B596" s="133" t="str">
        <f>IFERROR(__xludf.DUMMYFUNCTION("FILTER ('Research Papers'!D:D,'Research Papers'!A:A=C596)"),"Adaptive Location Hierarchy Learning for Long-Tailed Mobility Prediction")</f>
        <v>Adaptive Location Hierarchy Learning for Long-Tailed Mobility Prediction</v>
      </c>
      <c r="C596" s="133" t="s">
        <v>958</v>
      </c>
      <c r="D596" s="153" t="str">
        <f t="shared" si="1"/>
        <v>Adaptive Location Hierarchy Learning for Long-Tailed Mobility Prediction
Yu Wang, Junshu Dai, Yuchen Ying, Hanyang Yuan, Zunlei
Feng, Tongya Zheng and Mingli Song
</v>
      </c>
      <c r="E596" s="153" t="str">
        <f>IFERROR(__xludf.DUMMYFUNCTION("TEXTJOIN(CHAR(10), TRUE,FILTER('Research Papers'!$C:$C,'Research Papers'!$A:$A=C596))"),"Yu Wang, Junshu Dai, Yuchen Ying, Hanyang Yuan, Zunlei
Feng, Tongya Zheng and Mingli Song")</f>
        <v>Yu Wang, Junshu Dai, Yuchen Ying, Hanyang Yuan, Zunlei
Feng, Tongya Zheng and Mingli Song</v>
      </c>
      <c r="F596" s="133" t="s">
        <v>225</v>
      </c>
      <c r="G596" s="133" t="s">
        <v>349</v>
      </c>
      <c r="H596" s="153"/>
      <c r="I596" s="120"/>
      <c r="J596" s="120"/>
      <c r="K596" s="153"/>
      <c r="L596" s="153"/>
      <c r="M596" s="153"/>
      <c r="N596" s="153"/>
      <c r="O596" s="153"/>
      <c r="P596" s="153"/>
      <c r="Q596" s="153"/>
      <c r="R596" s="153"/>
      <c r="S596" s="153"/>
      <c r="T596" s="153"/>
      <c r="U596" s="153"/>
      <c r="V596" s="153"/>
      <c r="W596" s="153"/>
      <c r="X596" s="153"/>
      <c r="Y596" s="153"/>
      <c r="Z596" s="153"/>
      <c r="AA596" s="153"/>
      <c r="AB596" s="153"/>
      <c r="AC596" s="153"/>
    </row>
    <row r="597">
      <c r="A597" s="152" t="s">
        <v>346</v>
      </c>
      <c r="B597" s="133" t="str">
        <f>IFERROR(__xludf.DUMMYFUNCTION("FILTER ('Research Papers'!D:D,'Research Papers'!A:A=C597)"),"Scaling Collaborative Filtering with Multimodal Contrastive Fine-tuning")</f>
        <v>Scaling Collaborative Filtering with Multimodal Contrastive Fine-tuning</v>
      </c>
      <c r="C597" s="133" t="s">
        <v>959</v>
      </c>
      <c r="D597" s="153" t="str">
        <f t="shared" si="1"/>
        <v>Scaling Collaborative Filtering with Multimodal Contrastive Fine-tuning
Liwei Jin, Dan Luo, Lixin Zou, Chenliang Li, Xiangyang Luo,
Xixun Lin, Liming Dong and Yifan Zhang
</v>
      </c>
      <c r="E597" s="153" t="str">
        <f>IFERROR(__xludf.DUMMYFUNCTION("TEXTJOIN(CHAR(10), TRUE,FILTER('Research Papers'!$C:$C,'Research Papers'!$A:$A=C597))"),"Liwei Jin, Dan Luo, Lixin Zou, Chenliang Li, Xiangyang Luo,
Xixun Lin, Liming Dong and Yifan Zhang")</f>
        <v>Liwei Jin, Dan Luo, Lixin Zou, Chenliang Li, Xiangyang Luo,
Xixun Lin, Liming Dong and Yifan Zhang</v>
      </c>
      <c r="F597" s="133" t="s">
        <v>225</v>
      </c>
      <c r="G597" s="133" t="s">
        <v>349</v>
      </c>
      <c r="H597" s="153"/>
      <c r="I597" s="120"/>
      <c r="J597" s="120"/>
      <c r="K597" s="153"/>
      <c r="L597" s="153"/>
      <c r="M597" s="153"/>
      <c r="N597" s="153"/>
      <c r="O597" s="153"/>
      <c r="P597" s="153"/>
      <c r="Q597" s="153"/>
      <c r="R597" s="153"/>
      <c r="S597" s="153"/>
      <c r="T597" s="153"/>
      <c r="U597" s="153"/>
      <c r="V597" s="153"/>
      <c r="W597" s="153"/>
      <c r="X597" s="153"/>
      <c r="Y597" s="153"/>
      <c r="Z597" s="153"/>
      <c r="AA597" s="153"/>
      <c r="AB597" s="153"/>
      <c r="AC597" s="153"/>
    </row>
    <row r="598">
      <c r="A598" s="152" t="s">
        <v>346</v>
      </c>
      <c r="B598" s="133" t="str">
        <f>IFERROR(__xludf.DUMMYFUNCTION("FILTER ('Research Papers'!D:D,'Research Papers'!A:A=C598)"),"Embedding Enhancement via Fine-Tuned Language Models for Learner-Item Cognitive Modeling")</f>
        <v>Embedding Enhancement via Fine-Tuned Language Models for Learner-Item Cognitive Modeling</v>
      </c>
      <c r="C598" s="133" t="s">
        <v>960</v>
      </c>
      <c r="D598" s="153" t="str">
        <f t="shared" si="1"/>
        <v>Embedding Enhancement via Fine-Tuned Language Models for Learner-Item Cognitive Modeling
Yuanhao Liu, Zihan Zhou, Kaiying Wu, Shuo Liu, Yiyang
Huang, Jiajun Guo, Aimin Zhou and Hong Qian
</v>
      </c>
      <c r="E598" s="153" t="str">
        <f>IFERROR(__xludf.DUMMYFUNCTION("TEXTJOIN(CHAR(10), TRUE,FILTER('Research Papers'!$C:$C,'Research Papers'!$A:$A=C598))"),"Yuanhao Liu, Zihan Zhou, Kaiying Wu, Shuo Liu, Yiyang
Huang, Jiajun Guo, Aimin Zhou and Hong Qian")</f>
        <v>Yuanhao Liu, Zihan Zhou, Kaiying Wu, Shuo Liu, Yiyang
Huang, Jiajun Guo, Aimin Zhou and Hong Qian</v>
      </c>
      <c r="F598" s="133" t="s">
        <v>225</v>
      </c>
      <c r="G598" s="133" t="s">
        <v>349</v>
      </c>
      <c r="H598" s="153"/>
      <c r="I598" s="120"/>
      <c r="J598" s="120"/>
      <c r="K598" s="153"/>
      <c r="L598" s="153"/>
      <c r="M598" s="153"/>
      <c r="N598" s="153"/>
      <c r="O598" s="153"/>
      <c r="P598" s="153"/>
      <c r="Q598" s="153"/>
      <c r="R598" s="153"/>
      <c r="S598" s="153"/>
      <c r="T598" s="153"/>
      <c r="U598" s="153"/>
      <c r="V598" s="153"/>
      <c r="W598" s="153"/>
      <c r="X598" s="153"/>
      <c r="Y598" s="153"/>
      <c r="Z598" s="153"/>
      <c r="AA598" s="153"/>
      <c r="AB598" s="153"/>
      <c r="AC598" s="153"/>
    </row>
    <row r="599">
      <c r="A599" s="152" t="s">
        <v>346</v>
      </c>
      <c r="B599" s="133" t="str">
        <f>IFERROR(__xludf.DUMMYFUNCTION("FILTER ('Research Papers'!D:D,'Research Papers'!A:A=C599)"),"Spattack: Subgroup Poisoning Attacks on Federated Recommender Systems")</f>
        <v>Spattack: Subgroup Poisoning Attacks on Federated Recommender Systems</v>
      </c>
      <c r="C599" s="133" t="s">
        <v>961</v>
      </c>
      <c r="D599" s="153" t="str">
        <f t="shared" si="1"/>
        <v>Spattack: Subgroup Poisoning Attacks on Federated Recommender Systems
Bo Yan, Yurong Hao, Dingqi Liu, Huabin Sun, Pengpeng Qiao,
Wei Yang Bryan Lim, Yang Cao and Chuan Shi
</v>
      </c>
      <c r="E599" s="153" t="str">
        <f>IFERROR(__xludf.DUMMYFUNCTION("TEXTJOIN(CHAR(10), TRUE,FILTER('Research Papers'!$C:$C,'Research Papers'!$A:$A=C599))"),"Bo Yan, Yurong Hao, Dingqi Liu, Huabin Sun, Pengpeng Qiao,
Wei Yang Bryan Lim, Yang Cao and Chuan Shi")</f>
        <v>Bo Yan, Yurong Hao, Dingqi Liu, Huabin Sun, Pengpeng Qiao,
Wei Yang Bryan Lim, Yang Cao and Chuan Shi</v>
      </c>
      <c r="F599" s="133" t="s">
        <v>225</v>
      </c>
      <c r="G599" s="133" t="s">
        <v>349</v>
      </c>
      <c r="H599" s="153"/>
      <c r="I599" s="120"/>
      <c r="J599" s="120"/>
      <c r="K599" s="153"/>
      <c r="L599" s="153"/>
      <c r="M599" s="153"/>
      <c r="N599" s="153"/>
      <c r="O599" s="153"/>
      <c r="P599" s="153"/>
      <c r="Q599" s="153"/>
      <c r="R599" s="153"/>
      <c r="S599" s="153"/>
      <c r="T599" s="153"/>
      <c r="U599" s="153"/>
      <c r="V599" s="153"/>
      <c r="W599" s="153"/>
      <c r="X599" s="153"/>
      <c r="Y599" s="153"/>
      <c r="Z599" s="153"/>
      <c r="AA599" s="153"/>
      <c r="AB599" s="153"/>
      <c r="AC599" s="153"/>
    </row>
    <row r="600">
      <c r="A600" s="152" t="s">
        <v>346</v>
      </c>
      <c r="B600" s="133" t="str">
        <f>IFERROR(__xludf.DUMMYFUNCTION("FILTER ('Research Papers'!D:D,'Research Papers'!A:A=C600)"),"Quantifying User Coherence: A Unified Framework for Analyzing Recommender Systems Across Domains")</f>
        <v>Quantifying User Coherence: A Unified Framework for Analyzing Recommender Systems Across Domains</v>
      </c>
      <c r="C600" s="133" t="s">
        <v>962</v>
      </c>
      <c r="D600" s="153" t="str">
        <f t="shared" si="1"/>
        <v>Quantifying User Coherence: A Unified Framework for Analyzing Recommender Systems Across Domains
Michael Soumm, Alexandre Fournier-Montgieux, Adrian Popescu
and Bertrand Delezoide
</v>
      </c>
      <c r="E600" s="153" t="str">
        <f>IFERROR(__xludf.DUMMYFUNCTION("TEXTJOIN(CHAR(10), TRUE,FILTER('Research Papers'!$C:$C,'Research Papers'!$A:$A=C600))"),"Michael Soumm, Alexandre Fournier-Montgieux, Adrian Popescu
and Bertrand Delezoide")</f>
        <v>Michael Soumm, Alexandre Fournier-Montgieux, Adrian Popescu
and Bertrand Delezoide</v>
      </c>
      <c r="F600" s="133" t="s">
        <v>225</v>
      </c>
      <c r="G600" s="133" t="s">
        <v>349</v>
      </c>
      <c r="H600" s="153"/>
      <c r="I600" s="120"/>
      <c r="J600" s="120"/>
      <c r="K600" s="153"/>
      <c r="L600" s="153"/>
      <c r="M600" s="153"/>
      <c r="N600" s="153"/>
      <c r="O600" s="153"/>
      <c r="P600" s="153"/>
      <c r="Q600" s="153"/>
      <c r="R600" s="153"/>
      <c r="S600" s="153"/>
      <c r="T600" s="153"/>
      <c r="U600" s="153"/>
      <c r="V600" s="153"/>
      <c r="W600" s="153"/>
      <c r="X600" s="153"/>
      <c r="Y600" s="153"/>
      <c r="Z600" s="153"/>
      <c r="AA600" s="153"/>
      <c r="AB600" s="153"/>
      <c r="AC600" s="153"/>
    </row>
    <row r="601">
      <c r="A601" s="152" t="s">
        <v>346</v>
      </c>
      <c r="B601" s="133" t="str">
        <f>IFERROR(__xludf.DUMMYFUNCTION("FILTER ('Research Papers'!D:D,'Research Papers'!A:A=C601)"),"ONeRec: Towards Openness-Aware and Adaptive Proactive News Recommendation")</f>
        <v>ONeRec: Towards Openness-Aware and Adaptive Proactive News Recommendation</v>
      </c>
      <c r="C601" s="133" t="s">
        <v>963</v>
      </c>
      <c r="D601" s="153" t="str">
        <f t="shared" si="1"/>
        <v>ONeRec: Towards Openness-Aware and Adaptive Proactive News Recommendation
Jie Li, Zhen Cui and Linmei Hu
</v>
      </c>
      <c r="E601" s="153" t="str">
        <f>IFERROR(__xludf.DUMMYFUNCTION("TEXTJOIN(CHAR(10), TRUE,FILTER('Research Papers'!$C:$C,'Research Papers'!$A:$A=C601))"),"Jie Li, Zhen Cui and Linmei Hu")</f>
        <v>Jie Li, Zhen Cui and Linmei Hu</v>
      </c>
      <c r="F601" s="133" t="s">
        <v>225</v>
      </c>
      <c r="G601" s="133" t="s">
        <v>349</v>
      </c>
      <c r="H601" s="153"/>
      <c r="I601" s="120"/>
      <c r="J601" s="120"/>
      <c r="K601" s="153"/>
      <c r="L601" s="153"/>
      <c r="M601" s="153"/>
      <c r="N601" s="153"/>
      <c r="O601" s="153"/>
      <c r="P601" s="153"/>
      <c r="Q601" s="153"/>
      <c r="R601" s="153"/>
      <c r="S601" s="153"/>
      <c r="T601" s="153"/>
      <c r="U601" s="153"/>
      <c r="V601" s="153"/>
      <c r="W601" s="153"/>
      <c r="X601" s="153"/>
      <c r="Y601" s="153"/>
      <c r="Z601" s="153"/>
      <c r="AA601" s="153"/>
      <c r="AB601" s="153"/>
      <c r="AC601" s="153"/>
    </row>
    <row r="602">
      <c r="A602" s="152" t="s">
        <v>346</v>
      </c>
      <c r="B602" s="133" t="str">
        <f>IFERROR(__xludf.DUMMYFUNCTION("FILTER ('Research Papers'!D:D,'Research Papers'!A:A=C602)"),"Sharpness-Consistent Cross-Domain Recommendation for Cold-Start Items")</f>
        <v>Sharpness-Consistent Cross-Domain Recommendation for Cold-Start Items</v>
      </c>
      <c r="C602" s="133" t="s">
        <v>964</v>
      </c>
      <c r="D602" s="153" t="str">
        <f t="shared" si="1"/>
        <v>Sharpness-Consistent Cross-Domain Recommendation for Cold-Start Items
Ke Fei, Jingjing Li, Zhekai Du and Hongbo Chen
</v>
      </c>
      <c r="E602" s="153" t="str">
        <f>IFERROR(__xludf.DUMMYFUNCTION("TEXTJOIN(CHAR(10), TRUE,FILTER('Research Papers'!$C:$C,'Research Papers'!$A:$A=C602))"),"Ke Fei, Jingjing Li, Zhekai Du and Hongbo Chen")</f>
        <v>Ke Fei, Jingjing Li, Zhekai Du and Hongbo Chen</v>
      </c>
      <c r="F602" s="133" t="s">
        <v>225</v>
      </c>
      <c r="G602" s="133" t="s">
        <v>349</v>
      </c>
      <c r="H602" s="153"/>
      <c r="I602" s="120"/>
      <c r="J602" s="120"/>
      <c r="K602" s="153"/>
      <c r="L602" s="153"/>
      <c r="M602" s="153"/>
      <c r="N602" s="153"/>
      <c r="O602" s="153"/>
      <c r="P602" s="153"/>
      <c r="Q602" s="153"/>
      <c r="R602" s="153"/>
      <c r="S602" s="153"/>
      <c r="T602" s="153"/>
      <c r="U602" s="153"/>
      <c r="V602" s="153"/>
      <c r="W602" s="153"/>
      <c r="X602" s="153"/>
      <c r="Y602" s="153"/>
      <c r="Z602" s="153"/>
      <c r="AA602" s="153"/>
      <c r="AB602" s="153"/>
      <c r="AC602" s="153"/>
    </row>
    <row r="603">
      <c r="A603" s="152" t="s">
        <v>346</v>
      </c>
      <c r="B603" s="133" t="str">
        <f>IFERROR(__xludf.DUMMYFUNCTION("FILTER ('Research Papers'!D:D,'Research Papers'!A:A=C603)"),"Sharpness-Aware Minimization for Generalized Embedding Learning in Federated Recommendation")</f>
        <v>Sharpness-Aware Minimization for Generalized Embedding Learning in Federated Recommendation</v>
      </c>
      <c r="C603" s="133" t="s">
        <v>965</v>
      </c>
      <c r="D603" s="153" t="str">
        <f t="shared" si="1"/>
        <v>Sharpness-Aware Minimization for Generalized Embedding Learning in Federated Recommendation
Fengyuan Yu, Xiaohua Feng, Yuyuan Li, Changwang Zhang, Jun
Wang and Chaochao Chen
</v>
      </c>
      <c r="E603" s="153" t="str">
        <f>IFERROR(__xludf.DUMMYFUNCTION("TEXTJOIN(CHAR(10), TRUE,FILTER('Research Papers'!$C:$C,'Research Papers'!$A:$A=C603))"),"Fengyuan Yu, Xiaohua Feng, Yuyuan Li, Changwang Zhang, Jun
Wang and Chaochao Chen")</f>
        <v>Fengyuan Yu, Xiaohua Feng, Yuyuan Li, Changwang Zhang, Jun
Wang and Chaochao Chen</v>
      </c>
      <c r="F603" s="133" t="s">
        <v>225</v>
      </c>
      <c r="G603" s="133" t="s">
        <v>349</v>
      </c>
      <c r="H603" s="153"/>
      <c r="I603" s="120"/>
      <c r="J603" s="120"/>
      <c r="K603" s="153"/>
      <c r="L603" s="153"/>
      <c r="M603" s="153"/>
      <c r="N603" s="153"/>
      <c r="O603" s="153"/>
      <c r="P603" s="153"/>
      <c r="Q603" s="153"/>
      <c r="R603" s="153"/>
      <c r="S603" s="153"/>
      <c r="T603" s="153"/>
      <c r="U603" s="153"/>
      <c r="V603" s="153"/>
      <c r="W603" s="153"/>
      <c r="X603" s="153"/>
      <c r="Y603" s="153"/>
      <c r="Z603" s="153"/>
      <c r="AA603" s="153"/>
      <c r="AB603" s="153"/>
      <c r="AC603" s="153"/>
    </row>
    <row r="604">
      <c r="A604" s="152" t="s">
        <v>346</v>
      </c>
      <c r="B604" s="133" t="str">
        <f>IFERROR(__xludf.DUMMYFUNCTION("FILTER ('Research Papers'!D:D,'Research Papers'!A:A=C604)"),"Dynamic Experts Synergy for Multi-Task Recommendation")</f>
        <v>Dynamic Experts Synergy for Multi-Task Recommendation</v>
      </c>
      <c r="C604" s="133" t="s">
        <v>966</v>
      </c>
      <c r="D604" s="153" t="str">
        <f t="shared" si="1"/>
        <v>Dynamic Experts Synergy for Multi-Task Recommendation
Haotian Wu, Yingpeng Du, Zhu Sun, Jie Zhang and Puay Siew
Tan
</v>
      </c>
      <c r="E604" s="153" t="str">
        <f>IFERROR(__xludf.DUMMYFUNCTION("TEXTJOIN(CHAR(10), TRUE,FILTER('Research Papers'!$C:$C,'Research Papers'!$A:$A=C604))"),"Haotian Wu, Yingpeng Du, Zhu Sun, Jie Zhang and Puay Siew
Tan")</f>
        <v>Haotian Wu, Yingpeng Du, Zhu Sun, Jie Zhang and Puay Siew
Tan</v>
      </c>
      <c r="F604" s="133" t="s">
        <v>225</v>
      </c>
      <c r="G604" s="133" t="s">
        <v>349</v>
      </c>
      <c r="H604" s="153"/>
      <c r="I604" s="120"/>
      <c r="J604" s="120"/>
      <c r="K604" s="153"/>
      <c r="L604" s="153"/>
      <c r="M604" s="153"/>
      <c r="N604" s="153"/>
      <c r="O604" s="153"/>
      <c r="P604" s="153"/>
      <c r="Q604" s="153"/>
      <c r="R604" s="153"/>
      <c r="S604" s="153"/>
      <c r="T604" s="153"/>
      <c r="U604" s="153"/>
      <c r="V604" s="153"/>
      <c r="W604" s="153"/>
      <c r="X604" s="153"/>
      <c r="Y604" s="153"/>
      <c r="Z604" s="153"/>
      <c r="AA604" s="153"/>
      <c r="AB604" s="153"/>
      <c r="AC604" s="153"/>
    </row>
    <row r="605">
      <c r="A605" s="152" t="s">
        <v>346</v>
      </c>
      <c r="B605" s="133" t="str">
        <f>IFERROR(__xludf.DUMMYFUNCTION("FILTER ('Research Papers'!D:D,'Research Papers'!A:A=C605)"),"Talos: Optimizing Top-K Accuracy in Recommender Systems")</f>
        <v>Talos: Optimizing Top-K Accuracy in Recommender Systems</v>
      </c>
      <c r="C605" s="133" t="s">
        <v>967</v>
      </c>
      <c r="D605" s="153" t="str">
        <f t="shared" si="1"/>
        <v>Talos: Optimizing Top-K Accuracy in Recommender Systems
Shengjia Zhang, Weiqin Yang, Jiawei Chen, Peng Wu, Yuegang
Sun, Gang Wang, Qihao Shi and Can Wang
</v>
      </c>
      <c r="E605" s="153" t="str">
        <f>IFERROR(__xludf.DUMMYFUNCTION("TEXTJOIN(CHAR(10), TRUE,FILTER('Research Papers'!$C:$C,'Research Papers'!$A:$A=C605))"),"Shengjia Zhang, Weiqin Yang, Jiawei Chen, Peng Wu, Yuegang
Sun, Gang Wang, Qihao Shi and Can Wang")</f>
        <v>Shengjia Zhang, Weiqin Yang, Jiawei Chen, Peng Wu, Yuegang
Sun, Gang Wang, Qihao Shi and Can Wang</v>
      </c>
      <c r="F605" s="133" t="s">
        <v>225</v>
      </c>
      <c r="G605" s="133" t="s">
        <v>186</v>
      </c>
      <c r="H605" s="153"/>
      <c r="I605" s="120"/>
      <c r="J605" s="120"/>
      <c r="K605" s="153"/>
      <c r="L605" s="153"/>
      <c r="M605" s="153"/>
      <c r="N605" s="153"/>
      <c r="O605" s="153"/>
      <c r="P605" s="153"/>
      <c r="Q605" s="153"/>
      <c r="R605" s="153"/>
      <c r="S605" s="153"/>
      <c r="T605" s="153"/>
      <c r="U605" s="153"/>
      <c r="V605" s="153"/>
      <c r="W605" s="153"/>
      <c r="X605" s="153"/>
      <c r="Y605" s="153"/>
      <c r="Z605" s="153"/>
      <c r="AA605" s="153"/>
      <c r="AB605" s="153"/>
      <c r="AC605" s="153"/>
    </row>
    <row r="606">
      <c r="A606" s="152" t="s">
        <v>346</v>
      </c>
      <c r="B606" s="133" t="str">
        <f>IFERROR(__xludf.DUMMYFUNCTION("FILTER ('Research Papers'!D:D,'Research Papers'!A:A=C606)"),"From Token to Item: Enhancing Large Language Models for Recommendation via Item-aware Attention Mechanism")</f>
        <v>From Token to Item: Enhancing Large Language Models for Recommendation via Item-aware Attention Mechanism</v>
      </c>
      <c r="C606" s="133" t="s">
        <v>968</v>
      </c>
      <c r="D606" s="153" t="str">
        <f t="shared" si="1"/>
        <v>From Token to Item: Enhancing Large Language Models for Recommendation via Item-aware Attention Mechanism
Xiaokun Zhang, Bowei He, Jiamin Chen, Ziqiang Cui and Chen
Ma
</v>
      </c>
      <c r="E606" s="153" t="str">
        <f>IFERROR(__xludf.DUMMYFUNCTION("TEXTJOIN(CHAR(10), TRUE,FILTER('Research Papers'!$C:$C,'Research Papers'!$A:$A=C606))"),"Xiaokun Zhang, Bowei He, Jiamin Chen, Ziqiang Cui and Chen
Ma")</f>
        <v>Xiaokun Zhang, Bowei He, Jiamin Chen, Ziqiang Cui and Chen
Ma</v>
      </c>
      <c r="F606" s="133" t="s">
        <v>225</v>
      </c>
      <c r="G606" s="133" t="s">
        <v>186</v>
      </c>
      <c r="H606" s="153"/>
      <c r="I606" s="120"/>
      <c r="J606" s="120"/>
      <c r="K606" s="153"/>
      <c r="L606" s="153"/>
      <c r="M606" s="153"/>
      <c r="N606" s="153"/>
      <c r="O606" s="153"/>
      <c r="P606" s="153"/>
      <c r="Q606" s="153"/>
      <c r="R606" s="153"/>
      <c r="S606" s="153"/>
      <c r="T606" s="153"/>
      <c r="U606" s="153"/>
      <c r="V606" s="153"/>
      <c r="W606" s="153"/>
      <c r="X606" s="153"/>
      <c r="Y606" s="153"/>
      <c r="Z606" s="153"/>
      <c r="AA606" s="153"/>
      <c r="AB606" s="153"/>
      <c r="AC606" s="153"/>
    </row>
    <row r="607">
      <c r="A607" s="152" t="s">
        <v>346</v>
      </c>
      <c r="B607" s="133" t="str">
        <f>IFERROR(__xludf.DUMMYFUNCTION("FILTER ('Research Papers'!D:D,'Research Papers'!A:A=C607)"),"Following the TRAIL: Predicting and Explaining Tomorrow’s Hits with a Fine-Tuned LLM")</f>
        <v>Following the TRAIL: Predicting and Explaining Tomorrow’s Hits with a Fine-Tuned LLM</v>
      </c>
      <c r="C607" s="133" t="s">
        <v>969</v>
      </c>
      <c r="D607" s="153" t="str">
        <f t="shared" si="1"/>
        <v>Following the TRAIL: Predicting and Explaining Tomorrow’s Hits with a Fine-Tuned LLM
Yinan Zhang, Zhixi Chen, Jiazheng Jing and Zhiqi Shen
</v>
      </c>
      <c r="E607" s="153" t="str">
        <f>IFERROR(__xludf.DUMMYFUNCTION("TEXTJOIN(CHAR(10), TRUE,FILTER('Research Papers'!$C:$C,'Research Papers'!$A:$A=C607))"),"Yinan Zhang, Zhixi Chen, Jiazheng Jing and Zhiqi Shen")</f>
        <v>Yinan Zhang, Zhixi Chen, Jiazheng Jing and Zhiqi Shen</v>
      </c>
      <c r="F607" s="133" t="s">
        <v>225</v>
      </c>
      <c r="G607" s="133" t="s">
        <v>186</v>
      </c>
      <c r="H607" s="153"/>
      <c r="I607" s="120"/>
      <c r="J607" s="120"/>
      <c r="K607" s="153"/>
      <c r="L607" s="153"/>
      <c r="M607" s="153"/>
      <c r="N607" s="153"/>
      <c r="O607" s="153"/>
      <c r="P607" s="153"/>
      <c r="Q607" s="153"/>
      <c r="R607" s="153"/>
      <c r="S607" s="153"/>
      <c r="T607" s="153"/>
      <c r="U607" s="153"/>
      <c r="V607" s="153"/>
      <c r="W607" s="153"/>
      <c r="X607" s="153"/>
      <c r="Y607" s="153"/>
      <c r="Z607" s="153"/>
      <c r="AA607" s="153"/>
      <c r="AB607" s="153"/>
      <c r="AC607" s="153"/>
    </row>
    <row r="608">
      <c r="A608" s="152" t="s">
        <v>346</v>
      </c>
      <c r="B608" s="133" t="str">
        <f>IFERROR(__xludf.DUMMYFUNCTION("FILTER ('Research Papers'!D:D,'Research Papers'!A:A=C608)"),"QDDR: Quality-Driven Intent Disentanglement with Dual-Path Modeling for Recommendation")</f>
        <v>QDDR: Quality-Driven Intent Disentanglement with Dual-Path Modeling for Recommendation</v>
      </c>
      <c r="C608" s="133" t="s">
        <v>970</v>
      </c>
      <c r="D608" s="153" t="str">
        <f t="shared" si="1"/>
        <v>QDDR: Quality-Driven Intent Disentanglement with Dual-Path Modeling for Recommendation
Nengjun Zhu, Yixun Lu and Qi Zhang
</v>
      </c>
      <c r="E608" s="153" t="str">
        <f>IFERROR(__xludf.DUMMYFUNCTION("TEXTJOIN(CHAR(10), TRUE,FILTER('Research Papers'!$C:$C,'Research Papers'!$A:$A=C608))"),"Nengjun Zhu, Yixun Lu and Qi Zhang")</f>
        <v>Nengjun Zhu, Yixun Lu and Qi Zhang</v>
      </c>
      <c r="F608" s="133" t="s">
        <v>225</v>
      </c>
      <c r="G608" s="133" t="s">
        <v>186</v>
      </c>
      <c r="H608" s="153"/>
      <c r="I608" s="120"/>
      <c r="J608" s="120"/>
      <c r="K608" s="153"/>
      <c r="L608" s="153"/>
      <c r="M608" s="153"/>
      <c r="N608" s="153"/>
      <c r="O608" s="153"/>
      <c r="P608" s="153"/>
      <c r="Q608" s="153"/>
      <c r="R608" s="153"/>
      <c r="S608" s="153"/>
      <c r="T608" s="153"/>
      <c r="U608" s="153"/>
      <c r="V608" s="153"/>
      <c r="W608" s="153"/>
      <c r="X608" s="153"/>
      <c r="Y608" s="153"/>
      <c r="Z608" s="153"/>
      <c r="AA608" s="153"/>
      <c r="AB608" s="153"/>
      <c r="AC608" s="153"/>
    </row>
    <row r="609">
      <c r="A609" s="152" t="s">
        <v>346</v>
      </c>
      <c r="B609" s="133" t="str">
        <f>IFERROR(__xludf.DUMMYFUNCTION("FILTER ('Research Papers'!D:D,'Research Papers'!A:A=C609)"),"IMPerSumm: Information-Modulated User Preference Modeling for Personalized Text Summarization")</f>
        <v>IMPerSumm: Information-Modulated User Preference Modeling for Personalized Text Summarization</v>
      </c>
      <c r="C609" s="133" t="s">
        <v>971</v>
      </c>
      <c r="D609" s="153" t="str">
        <f t="shared" si="1"/>
        <v>IMPerSumm: Information-Modulated User Preference Modeling for Personalized Text Summarization
Parthiv Chatterjee, Dhara Jhaveri, Sourish Dasgupta and
Tanmoy Chakraborty
</v>
      </c>
      <c r="E609" s="153" t="str">
        <f>IFERROR(__xludf.DUMMYFUNCTION("TEXTJOIN(CHAR(10), TRUE,FILTER('Research Papers'!$C:$C,'Research Papers'!$A:$A=C609))"),"Parthiv Chatterjee, Dhara Jhaveri, Sourish Dasgupta and
Tanmoy Chakraborty")</f>
        <v>Parthiv Chatterjee, Dhara Jhaveri, Sourish Dasgupta and
Tanmoy Chakraborty</v>
      </c>
      <c r="F609" s="133" t="s">
        <v>225</v>
      </c>
      <c r="G609" s="133" t="s">
        <v>186</v>
      </c>
      <c r="H609" s="153"/>
      <c r="I609" s="120"/>
      <c r="J609" s="120"/>
      <c r="K609" s="153"/>
      <c r="L609" s="153"/>
      <c r="M609" s="153"/>
      <c r="N609" s="153"/>
      <c r="O609" s="153"/>
      <c r="P609" s="153"/>
      <c r="Q609" s="153"/>
      <c r="R609" s="153"/>
      <c r="S609" s="153"/>
      <c r="T609" s="153"/>
      <c r="U609" s="153"/>
      <c r="V609" s="153"/>
      <c r="W609" s="153"/>
      <c r="X609" s="153"/>
      <c r="Y609" s="153"/>
      <c r="Z609" s="153"/>
      <c r="AA609" s="153"/>
      <c r="AB609" s="153"/>
      <c r="AC609" s="153"/>
    </row>
    <row r="610">
      <c r="A610" s="152" t="s">
        <v>346</v>
      </c>
      <c r="B610" s="133" t="str">
        <f>IFERROR(__xludf.DUMMYFUNCTION("FILTER ('Research Papers'!D:D,'Research Papers'!A:A=C610)"),"CCL-Diff: Representation-Consistent Diffusion with Intrinsic Contrastive Learning for Recommender Systems")</f>
        <v>CCL-Diff: Representation-Consistent Diffusion with Intrinsic Contrastive Learning for Recommender Systems</v>
      </c>
      <c r="C610" s="133" t="s">
        <v>972</v>
      </c>
      <c r="D610" s="153" t="str">
        <f t="shared" si="1"/>
        <v>CCL-Diff: Representation-Consistent Diffusion with Intrinsic Contrastive Learning for Recommender Systems
Lingyan Zhang, Wanyu Ling, Shuwen Daizhou, Li Kuang and
Kehua Guo
</v>
      </c>
      <c r="E610" s="153" t="str">
        <f>IFERROR(__xludf.DUMMYFUNCTION("TEXTJOIN(CHAR(10), TRUE,FILTER('Research Papers'!$C:$C,'Research Papers'!$A:$A=C610))"),"Lingyan Zhang, Wanyu Ling, Shuwen Daizhou, Li Kuang and
Kehua Guo")</f>
        <v>Lingyan Zhang, Wanyu Ling, Shuwen Daizhou, Li Kuang and
Kehua Guo</v>
      </c>
      <c r="F610" s="133" t="s">
        <v>225</v>
      </c>
      <c r="G610" s="133" t="s">
        <v>186</v>
      </c>
      <c r="H610" s="153"/>
      <c r="I610" s="120"/>
      <c r="J610" s="120"/>
      <c r="K610" s="153"/>
      <c r="L610" s="153"/>
      <c r="M610" s="153"/>
      <c r="N610" s="153"/>
      <c r="O610" s="153"/>
      <c r="P610" s="153"/>
      <c r="Q610" s="153"/>
      <c r="R610" s="153"/>
      <c r="S610" s="153"/>
      <c r="T610" s="153"/>
      <c r="U610" s="153"/>
      <c r="V610" s="153"/>
      <c r="W610" s="153"/>
      <c r="X610" s="153"/>
      <c r="Y610" s="153"/>
      <c r="Z610" s="153"/>
      <c r="AA610" s="153"/>
      <c r="AB610" s="153"/>
      <c r="AC610" s="153"/>
    </row>
    <row r="611">
      <c r="A611" s="152" t="s">
        <v>346</v>
      </c>
      <c r="B611" s="133" t="str">
        <f>IFERROR(__xludf.DUMMYFUNCTION("FILTER ('Research Papers'!D:D,'Research Papers'!A:A=C611)"),"Exploration Sizing via Model-Predictive Control")</f>
        <v>Exploration Sizing via Model-Predictive Control</v>
      </c>
      <c r="C611" s="133" t="s">
        <v>973</v>
      </c>
      <c r="D611" s="153" t="str">
        <f t="shared" si="1"/>
        <v>Exploration Sizing via Model-Predictive Control
Ethan Che, Hakan Ceylan, James McInerney and Nathan Kallus
</v>
      </c>
      <c r="E611" s="153" t="str">
        <f>IFERROR(__xludf.DUMMYFUNCTION("TEXTJOIN(CHAR(10), TRUE,FILTER('Research Papers'!$C:$C,'Research Papers'!$A:$A=C611))"),"Ethan Che, Hakan Ceylan, James McInerney and Nathan Kallus")</f>
        <v>Ethan Che, Hakan Ceylan, James McInerney and Nathan Kallus</v>
      </c>
      <c r="F611" s="133" t="s">
        <v>225</v>
      </c>
      <c r="G611" s="133" t="s">
        <v>186</v>
      </c>
      <c r="H611" s="153"/>
      <c r="I611" s="120"/>
      <c r="J611" s="120"/>
      <c r="K611" s="153"/>
      <c r="L611" s="153"/>
      <c r="M611" s="153"/>
      <c r="N611" s="153"/>
      <c r="O611" s="153"/>
      <c r="P611" s="153"/>
      <c r="Q611" s="153"/>
      <c r="R611" s="153"/>
      <c r="S611" s="153"/>
      <c r="T611" s="153"/>
      <c r="U611" s="153"/>
      <c r="V611" s="153"/>
      <c r="W611" s="153"/>
      <c r="X611" s="153"/>
      <c r="Y611" s="153"/>
      <c r="Z611" s="153"/>
      <c r="AA611" s="153"/>
      <c r="AB611" s="153"/>
      <c r="AC611" s="153"/>
    </row>
    <row r="612">
      <c r="A612" s="152" t="s">
        <v>346</v>
      </c>
      <c r="B612" s="133" t="str">
        <f>IFERROR(__xludf.DUMMYFUNCTION("FILTER ('Research Papers'!D:D,'Research Papers'!A:A=C612)"),"Post-hoc Popularity Bias Correction in GNN-based Collaborative Filtering")</f>
        <v>Post-hoc Popularity Bias Correction in GNN-based Collaborative Filtering</v>
      </c>
      <c r="C612" s="133" t="s">
        <v>974</v>
      </c>
      <c r="D612" s="153" t="str">
        <f t="shared" si="1"/>
        <v>Post-hoc Popularity Bias Correction in GNN-based Collaborative Filtering
Md Aminul Islam, Elena Zheleva and Ren Wang
</v>
      </c>
      <c r="E612" s="153" t="str">
        <f>IFERROR(__xludf.DUMMYFUNCTION("TEXTJOIN(CHAR(10), TRUE,FILTER('Research Papers'!$C:$C,'Research Papers'!$A:$A=C612))"),"Md Aminul Islam, Elena Zheleva and Ren Wang")</f>
        <v>Md Aminul Islam, Elena Zheleva and Ren Wang</v>
      </c>
      <c r="F612" s="133" t="s">
        <v>225</v>
      </c>
      <c r="G612" s="133" t="s">
        <v>186</v>
      </c>
      <c r="H612" s="153"/>
      <c r="I612" s="120"/>
      <c r="J612" s="120"/>
      <c r="K612" s="153"/>
      <c r="L612" s="153"/>
      <c r="M612" s="153"/>
      <c r="N612" s="153"/>
      <c r="O612" s="153"/>
      <c r="P612" s="153"/>
      <c r="Q612" s="153"/>
      <c r="R612" s="153"/>
      <c r="S612" s="153"/>
      <c r="T612" s="153"/>
      <c r="U612" s="153"/>
      <c r="V612" s="153"/>
      <c r="W612" s="153"/>
      <c r="X612" s="153"/>
      <c r="Y612" s="153"/>
      <c r="Z612" s="153"/>
      <c r="AA612" s="153"/>
      <c r="AB612" s="153"/>
      <c r="AC612" s="153"/>
    </row>
    <row r="613">
      <c r="A613" s="152" t="s">
        <v>346</v>
      </c>
      <c r="B613" s="133" t="str">
        <f>IFERROR(__xludf.DUMMYFUNCTION("FILTER ('Research Papers'!D:D,'Research Papers'!A:A=C613)"),"Identifying and Upweighting Power-Niche Users to Mitigate Popularity Bias in Recommendations")</f>
        <v>Identifying and Upweighting Power-Niche Users to Mitigate Popularity Bias in Recommendations</v>
      </c>
      <c r="C613" s="133" t="s">
        <v>975</v>
      </c>
      <c r="D613" s="153" t="str">
        <f t="shared" si="1"/>
        <v>Identifying and Upweighting Power-Niche Users to Mitigate Popularity Bias in Recommendations
David Liu, Erik Weis, Moritz Laber, Tina Eliassi-Rad and
Brennan Klein
</v>
      </c>
      <c r="E613" s="153" t="str">
        <f>IFERROR(__xludf.DUMMYFUNCTION("TEXTJOIN(CHAR(10), TRUE,FILTER('Research Papers'!$C:$C,'Research Papers'!$A:$A=C613))"),"David Liu, Erik Weis, Moritz Laber, Tina Eliassi-Rad and
Brennan Klein")</f>
        <v>David Liu, Erik Weis, Moritz Laber, Tina Eliassi-Rad and
Brennan Klein</v>
      </c>
      <c r="F613" s="133" t="s">
        <v>225</v>
      </c>
      <c r="G613" s="133" t="s">
        <v>186</v>
      </c>
      <c r="H613" s="153"/>
      <c r="I613" s="120"/>
      <c r="J613" s="120"/>
      <c r="K613" s="153"/>
      <c r="L613" s="153"/>
      <c r="M613" s="153"/>
      <c r="N613" s="153"/>
      <c r="O613" s="153"/>
      <c r="P613" s="153"/>
      <c r="Q613" s="153"/>
      <c r="R613" s="153"/>
      <c r="S613" s="153"/>
      <c r="T613" s="153"/>
      <c r="U613" s="153"/>
      <c r="V613" s="153"/>
      <c r="W613" s="153"/>
      <c r="X613" s="153"/>
      <c r="Y613" s="153"/>
      <c r="Z613" s="153"/>
      <c r="AA613" s="153"/>
      <c r="AB613" s="153"/>
      <c r="AC613" s="153"/>
    </row>
    <row r="614">
      <c r="A614" s="152" t="s">
        <v>346</v>
      </c>
      <c r="B614" s="133" t="str">
        <f>IFERROR(__xludf.DUMMYFUNCTION("FILTER ('Research Papers'!D:D,'Research Papers'!A:A=C614)"),"Efficient Content-based Recommendation Model Training via Noise-aware Coreset Selection")</f>
        <v>Efficient Content-based Recommendation Model Training via Noise-aware Coreset Selection</v>
      </c>
      <c r="C614" s="133" t="s">
        <v>976</v>
      </c>
      <c r="D614" s="153" t="str">
        <f t="shared" si="1"/>
        <v>Efficient Content-based Recommendation Model Training via Noise-aware Coreset Selection
Hung V. Tran, Tong Chen, Hechuan Wen, Quoc Viet Hung
Nguyen, Bin Cui and Hongzhi Yin
</v>
      </c>
      <c r="E614" s="153" t="str">
        <f>IFERROR(__xludf.DUMMYFUNCTION("TEXTJOIN(CHAR(10), TRUE,FILTER('Research Papers'!$C:$C,'Research Papers'!$A:$A=C614))"),"Hung V. Tran, Tong Chen, Hechuan Wen, Quoc Viet Hung
Nguyen, Bin Cui and Hongzhi Yin")</f>
        <v>Hung V. Tran, Tong Chen, Hechuan Wen, Quoc Viet Hung
Nguyen, Bin Cui and Hongzhi Yin</v>
      </c>
      <c r="F614" s="133" t="s">
        <v>225</v>
      </c>
      <c r="G614" s="133" t="s">
        <v>186</v>
      </c>
      <c r="H614" s="153"/>
      <c r="I614" s="120"/>
      <c r="J614" s="120"/>
      <c r="K614" s="153"/>
      <c r="L614" s="153"/>
      <c r="M614" s="153"/>
      <c r="N614" s="153"/>
      <c r="O614" s="153"/>
      <c r="P614" s="153"/>
      <c r="Q614" s="153"/>
      <c r="R614" s="153"/>
      <c r="S614" s="153"/>
      <c r="T614" s="153"/>
      <c r="U614" s="153"/>
      <c r="V614" s="153"/>
      <c r="W614" s="153"/>
      <c r="X614" s="153"/>
      <c r="Y614" s="153"/>
      <c r="Z614" s="153"/>
      <c r="AA614" s="153"/>
      <c r="AB614" s="153"/>
      <c r="AC614" s="153"/>
    </row>
    <row r="615">
      <c r="A615" s="152" t="s">
        <v>346</v>
      </c>
      <c r="B615" s="133" t="str">
        <f>IFERROR(__xludf.DUMMYFUNCTION("FILTER ('Research Papers'!D:D,'Research Papers'!A:A=C615)"),"DrunkAgent: Stealthy Memory Corruption in LLM-Powered Recommender Agents")</f>
        <v>DrunkAgent: Stealthy Memory Corruption in LLM-Powered Recommender Agents</v>
      </c>
      <c r="C615" s="133" t="s">
        <v>977</v>
      </c>
      <c r="D615" s="153" t="str">
        <f t="shared" si="1"/>
        <v>DrunkAgent: Stealthy Memory Corruption in LLM-Powered Recommender Agents
Shiyi Yang, Zhibo Hu, Xinshu Li, Chen Wang, Tong Yu, Xiwei
Xu, Liming Zhu and Lina Yao
</v>
      </c>
      <c r="E615" s="153" t="str">
        <f>IFERROR(__xludf.DUMMYFUNCTION("TEXTJOIN(CHAR(10), TRUE,FILTER('Research Papers'!$C:$C,'Research Papers'!$A:$A=C615))"),"Shiyi Yang, Zhibo Hu, Xinshu Li, Chen Wang, Tong Yu, Xiwei
Xu, Liming Zhu and Lina Yao")</f>
        <v>Shiyi Yang, Zhibo Hu, Xinshu Li, Chen Wang, Tong Yu, Xiwei
Xu, Liming Zhu and Lina Yao</v>
      </c>
      <c r="F615" s="133" t="s">
        <v>225</v>
      </c>
      <c r="G615" s="133" t="s">
        <v>186</v>
      </c>
      <c r="H615" s="153"/>
      <c r="I615" s="120"/>
      <c r="J615" s="120"/>
      <c r="K615" s="153"/>
      <c r="L615" s="153"/>
      <c r="M615" s="153"/>
      <c r="N615" s="153"/>
      <c r="O615" s="153"/>
      <c r="P615" s="153"/>
      <c r="Q615" s="153"/>
      <c r="R615" s="153"/>
      <c r="S615" s="153"/>
      <c r="T615" s="153"/>
      <c r="U615" s="153"/>
      <c r="V615" s="153"/>
      <c r="W615" s="153"/>
      <c r="X615" s="153"/>
      <c r="Y615" s="153"/>
      <c r="Z615" s="153"/>
      <c r="AA615" s="153"/>
      <c r="AB615" s="153"/>
      <c r="AC615" s="153"/>
    </row>
    <row r="616">
      <c r="A616" s="152" t="s">
        <v>346</v>
      </c>
      <c r="B616" s="133" t="str">
        <f>IFERROR(__xludf.DUMMYFUNCTION("FILTER ('Research Papers'!D:D,'Research Papers'!A:A=C616)"),"TopKGAT: A Top-K Objective-Driven Architecture for Recommendation")</f>
        <v>TopKGAT: A Top-K Objective-Driven Architecture for Recommendation</v>
      </c>
      <c r="C616" s="133" t="s">
        <v>978</v>
      </c>
      <c r="D616" s="153" t="str">
        <f t="shared" si="1"/>
        <v>TopKGAT: A Top-K Objective-Driven Architecture for Recommendation
Sirui Chen, Jiawei Chen, Canghong Jin, Sheng Zhou, Jingbang
Chen, Wujie Sun and Can Wang
</v>
      </c>
      <c r="E616" s="153" t="str">
        <f>IFERROR(__xludf.DUMMYFUNCTION("TEXTJOIN(CHAR(10), TRUE,FILTER('Research Papers'!$C:$C,'Research Papers'!$A:$A=C616))"),"Sirui Chen, Jiawei Chen, Canghong Jin, Sheng Zhou, Jingbang
Chen, Wujie Sun and Can Wang")</f>
        <v>Sirui Chen, Jiawei Chen, Canghong Jin, Sheng Zhou, Jingbang
Chen, Wujie Sun and Can Wang</v>
      </c>
      <c r="F616" s="133" t="s">
        <v>225</v>
      </c>
      <c r="G616" s="133" t="s">
        <v>186</v>
      </c>
      <c r="H616" s="153"/>
      <c r="I616" s="120"/>
      <c r="J616" s="120"/>
      <c r="K616" s="153"/>
      <c r="L616" s="153"/>
      <c r="M616" s="153"/>
      <c r="N616" s="153"/>
      <c r="O616" s="153"/>
      <c r="P616" s="153"/>
      <c r="Q616" s="153"/>
      <c r="R616" s="153"/>
      <c r="S616" s="153"/>
      <c r="T616" s="153"/>
      <c r="U616" s="153"/>
      <c r="V616" s="153"/>
      <c r="W616" s="153"/>
      <c r="X616" s="153"/>
      <c r="Y616" s="153"/>
      <c r="Z616" s="153"/>
      <c r="AA616" s="153"/>
      <c r="AB616" s="153"/>
      <c r="AC616" s="153"/>
    </row>
    <row r="617">
      <c r="A617" s="152" t="s">
        <v>346</v>
      </c>
      <c r="B617" s="133" t="str">
        <f>IFERROR(__xludf.DUMMYFUNCTION("FILTER ('Research Papers'!D:D,'Research Papers'!A:A=C617)"),"Taming the Long Tail: Efficient Item-wise Sharpness-Aware Minimization for LLM-based Recommender Systems")</f>
        <v>Taming the Long Tail: Efficient Item-wise Sharpness-Aware Minimization for LLM-based Recommender Systems</v>
      </c>
      <c r="C617" s="133" t="s">
        <v>979</v>
      </c>
      <c r="D617" s="153" t="str">
        <f t="shared" si="1"/>
        <v>Taming the Long Tail: Efficient Item-wise Sharpness-Aware Minimization for LLM-based Recommender Systems
Jiaming Zhang, Yuyuan Li, Xiaohua Feng, Li Zhang, Longfei
Li, Jun Zhou and Chaochao Chen
</v>
      </c>
      <c r="E617" s="153" t="str">
        <f>IFERROR(__xludf.DUMMYFUNCTION("TEXTJOIN(CHAR(10), TRUE,FILTER('Research Papers'!$C:$C,'Research Papers'!$A:$A=C617))"),"Jiaming Zhang, Yuyuan Li, Xiaohua Feng, Li Zhang, Longfei
Li, Jun Zhou and Chaochao Chen")</f>
        <v>Jiaming Zhang, Yuyuan Li, Xiaohua Feng, Li Zhang, Longfei
Li, Jun Zhou and Chaochao Chen</v>
      </c>
      <c r="F617" s="133" t="s">
        <v>225</v>
      </c>
      <c r="G617" s="133" t="s">
        <v>186</v>
      </c>
      <c r="H617" s="153"/>
      <c r="I617" s="120"/>
      <c r="J617" s="120"/>
      <c r="K617" s="153"/>
      <c r="L617" s="153"/>
      <c r="M617" s="153"/>
      <c r="N617" s="153"/>
      <c r="O617" s="153"/>
      <c r="P617" s="153"/>
      <c r="Q617" s="153"/>
      <c r="R617" s="153"/>
      <c r="S617" s="153"/>
      <c r="T617" s="153"/>
      <c r="U617" s="153"/>
      <c r="V617" s="153"/>
      <c r="W617" s="153"/>
      <c r="X617" s="153"/>
      <c r="Y617" s="153"/>
      <c r="Z617" s="153"/>
      <c r="AA617" s="153"/>
      <c r="AB617" s="153"/>
      <c r="AC617" s="153"/>
    </row>
    <row r="618">
      <c r="A618" s="153"/>
      <c r="B618" s="153"/>
      <c r="C618" s="153"/>
      <c r="D618" s="153" t="str">
        <f t="shared" si="1"/>
        <v>
</v>
      </c>
      <c r="E618" s="153" t="str">
        <f>IFERROR(__xludf.DUMMYFUNCTION("TEXTJOIN(CHAR(10), TRUE,FILTER('Research Papers'!$C:$C,'Research Papers'!$A:$A=C618))"),"")</f>
        <v/>
      </c>
      <c r="F618" s="153"/>
      <c r="G618" s="153"/>
      <c r="H618" s="153"/>
      <c r="I618" s="120"/>
      <c r="J618" s="120"/>
      <c r="K618" s="153"/>
      <c r="L618" s="153"/>
      <c r="M618" s="153"/>
      <c r="N618" s="153"/>
      <c r="O618" s="153"/>
      <c r="P618" s="153"/>
      <c r="Q618" s="153"/>
      <c r="R618" s="153"/>
      <c r="S618" s="153"/>
      <c r="T618" s="153"/>
      <c r="U618" s="153"/>
      <c r="V618" s="153"/>
      <c r="W618" s="153"/>
      <c r="X618" s="153"/>
      <c r="Y618" s="153"/>
      <c r="Z618" s="153"/>
      <c r="AA618" s="153"/>
      <c r="AB618" s="153"/>
      <c r="AC618" s="153"/>
    </row>
    <row r="619">
      <c r="A619" s="152" t="s">
        <v>350</v>
      </c>
      <c r="B619" s="133" t="str">
        <f>IFERROR(__xludf.DUMMYFUNCTION("FILTER ('Research Papers'!D:D,'Research Papers'!A:A=C619)"),"A Frequency-Aware Mixture of Heterogeneous Experts Framework for Knowledge Tracing")</f>
        <v>A Frequency-Aware Mixture of Heterogeneous Experts Framework for Knowledge Tracing</v>
      </c>
      <c r="C619" s="133" t="s">
        <v>980</v>
      </c>
      <c r="D619" s="153" t="str">
        <f t="shared" si="1"/>
        <v>A Frequency-Aware Mixture of Heterogeneous Experts Framework for Knowledge Tracing
Youheng Bai, Mingliang Hou, Teng Guo, Zitao Liu and Weiqi
Luo
</v>
      </c>
      <c r="E619" s="153" t="str">
        <f>IFERROR(__xludf.DUMMYFUNCTION("TEXTJOIN(CHAR(10), TRUE,FILTER('Research Papers'!$C:$C,'Research Papers'!$A:$A=C619))"),"Youheng Bai, Mingliang Hou, Teng Guo, Zitao Liu and Weiqi
Luo")</f>
        <v>Youheng Bai, Mingliang Hou, Teng Guo, Zitao Liu and Weiqi
Luo</v>
      </c>
      <c r="F619" s="133" t="s">
        <v>81</v>
      </c>
      <c r="G619" s="153"/>
      <c r="H619" s="153"/>
      <c r="I619" s="120"/>
      <c r="J619" s="120"/>
      <c r="K619" s="153"/>
      <c r="L619" s="153"/>
      <c r="M619" s="153"/>
      <c r="N619" s="153"/>
      <c r="O619" s="153"/>
      <c r="P619" s="153"/>
      <c r="Q619" s="153"/>
      <c r="R619" s="153"/>
      <c r="S619" s="153"/>
      <c r="T619" s="153"/>
      <c r="U619" s="153"/>
      <c r="V619" s="153"/>
      <c r="W619" s="153"/>
      <c r="X619" s="153"/>
      <c r="Y619" s="153"/>
      <c r="Z619" s="153"/>
      <c r="AA619" s="153"/>
      <c r="AB619" s="153"/>
      <c r="AC619" s="153"/>
    </row>
    <row r="620">
      <c r="A620" s="152" t="s">
        <v>350</v>
      </c>
      <c r="B620" s="133" t="str">
        <f>IFERROR(__xludf.DUMMYFUNCTION("FILTER ('Research Papers'!D:D,'Research Papers'!A:A=C620)"),"Efficient High-Dimensional Time Series Forecasting with Transformers: A Channel Reordering Perspective")</f>
        <v>Efficient High-Dimensional Time Series Forecasting with Transformers: A Channel Reordering Perspective</v>
      </c>
      <c r="C620" s="133" t="s">
        <v>981</v>
      </c>
      <c r="D620" s="153" t="str">
        <f t="shared" si="1"/>
        <v>Efficient High-Dimensional Time Series Forecasting with Transformers: A Channel Reordering Perspective
Yuchen Fang, Shiyu Wang, Yuxuan Liang, Zhou Ye, Yang Xiang,
Yan Zhao and Kai Zheng
</v>
      </c>
      <c r="E620" s="153" t="str">
        <f>IFERROR(__xludf.DUMMYFUNCTION("TEXTJOIN(CHAR(10), TRUE,FILTER('Research Papers'!$C:$C,'Research Papers'!$A:$A=C620))"),"Yuchen Fang, Shiyu Wang, Yuxuan Liang, Zhou Ye, Yang Xiang,
Yan Zhao and Kai Zheng")</f>
        <v>Yuchen Fang, Shiyu Wang, Yuxuan Liang, Zhou Ye, Yang Xiang,
Yan Zhao and Kai Zheng</v>
      </c>
      <c r="F620" s="133" t="s">
        <v>81</v>
      </c>
      <c r="G620" s="153"/>
      <c r="H620" s="153"/>
      <c r="I620" s="120"/>
      <c r="J620" s="120"/>
      <c r="K620" s="153"/>
      <c r="L620" s="153"/>
      <c r="M620" s="153"/>
      <c r="N620" s="153"/>
      <c r="O620" s="153"/>
      <c r="P620" s="153"/>
      <c r="Q620" s="153"/>
      <c r="R620" s="153"/>
      <c r="S620" s="153"/>
      <c r="T620" s="153"/>
      <c r="U620" s="153"/>
      <c r="V620" s="153"/>
      <c r="W620" s="153"/>
      <c r="X620" s="153"/>
      <c r="Y620" s="153"/>
      <c r="Z620" s="153"/>
      <c r="AA620" s="153"/>
      <c r="AB620" s="153"/>
      <c r="AC620" s="153"/>
    </row>
    <row r="621">
      <c r="A621" s="152" t="s">
        <v>350</v>
      </c>
      <c r="B621" s="133" t="str">
        <f>IFERROR(__xludf.DUMMYFUNCTION("FILTER ('Research Papers'!D:D,'Research Papers'!A:A=C621)"),"Modeling Point-to-Point Dependency for High-Dimensional Long-Term Series Forecasting")</f>
        <v>Modeling Point-to-Point Dependency for High-Dimensional Long-Term Series Forecasting</v>
      </c>
      <c r="C621" s="133" t="s">
        <v>982</v>
      </c>
      <c r="D621" s="153" t="str">
        <f t="shared" si="1"/>
        <v>Modeling Point-to-Point Dependency for High-Dimensional Long-Term Series Forecasting
Xinyu Li, Kexi Chen, Ying Zheng, Zhiyi Yao, Yi Xie, Jihan
Dai, Lei Bai, Jin Zhao, Jiajie Shen, Yunqi Cai, Hong Lu and
Xin Wang
</v>
      </c>
      <c r="E621" s="153" t="str">
        <f>IFERROR(__xludf.DUMMYFUNCTION("TEXTJOIN(CHAR(10), TRUE,FILTER('Research Papers'!$C:$C,'Research Papers'!$A:$A=C621))"),"Xinyu Li, Kexi Chen, Ying Zheng, Zhiyi Yao, Yi Xie, Jihan
Dai, Lei Bai, Jin Zhao, Jiajie Shen, Yunqi Cai, Hong Lu and
Xin Wang")</f>
        <v>Xinyu Li, Kexi Chen, Ying Zheng, Zhiyi Yao, Yi Xie, Jihan
Dai, Lei Bai, Jin Zhao, Jiajie Shen, Yunqi Cai, Hong Lu and
Xin Wang</v>
      </c>
      <c r="F621" s="133" t="s">
        <v>81</v>
      </c>
      <c r="G621" s="153"/>
      <c r="H621" s="153"/>
      <c r="I621" s="120"/>
      <c r="J621" s="120"/>
      <c r="K621" s="153"/>
      <c r="L621" s="153"/>
      <c r="M621" s="153"/>
      <c r="N621" s="153"/>
      <c r="O621" s="153"/>
      <c r="P621" s="153"/>
      <c r="Q621" s="153"/>
      <c r="R621" s="153"/>
      <c r="S621" s="153"/>
      <c r="T621" s="153"/>
      <c r="U621" s="153"/>
      <c r="V621" s="153"/>
      <c r="W621" s="153"/>
      <c r="X621" s="153"/>
      <c r="Y621" s="153"/>
      <c r="Z621" s="153"/>
      <c r="AA621" s="153"/>
      <c r="AB621" s="153"/>
      <c r="AC621" s="153"/>
    </row>
    <row r="622">
      <c r="A622" s="152" t="s">
        <v>350</v>
      </c>
      <c r="B622" s="133" t="str">
        <f>IFERROR(__xludf.DUMMYFUNCTION("FILTER ('Research Papers'!D:D,'Research Papers'!A:A=C622)"),"Time-TK: A Multi-Offset Temporal Interaction Framework Combining Transformer and Kolmogorov-Arnold Networks for Time Series Forecasting")</f>
        <v>Time-TK: A Multi-Offset Temporal Interaction Framework Combining Transformer and Kolmogorov-Arnold Networks for Time Series Forecasting</v>
      </c>
      <c r="C622" s="133" t="s">
        <v>983</v>
      </c>
      <c r="D622" s="153" t="str">
        <f t="shared" si="1"/>
        <v>Time-TK: A Multi-Offset Temporal Interaction Framework Combining Transformer and Kolmogorov-Arnold Networks for Time Series Forecasting
Fan Zhang, Shiming Fan and Hua Wang
</v>
      </c>
      <c r="E622" s="153" t="str">
        <f>IFERROR(__xludf.DUMMYFUNCTION("TEXTJOIN(CHAR(10), TRUE,FILTER('Research Papers'!$C:$C,'Research Papers'!$A:$A=C622))"),"Fan Zhang, Shiming Fan and Hua Wang")</f>
        <v>Fan Zhang, Shiming Fan and Hua Wang</v>
      </c>
      <c r="F622" s="133" t="s">
        <v>81</v>
      </c>
      <c r="G622" s="153"/>
      <c r="H622" s="153"/>
      <c r="I622" s="120"/>
      <c r="J622" s="120"/>
      <c r="K622" s="153"/>
      <c r="L622" s="153"/>
      <c r="M622" s="153"/>
      <c r="N622" s="153"/>
      <c r="O622" s="153"/>
      <c r="P622" s="153"/>
      <c r="Q622" s="153"/>
      <c r="R622" s="153"/>
      <c r="S622" s="153"/>
      <c r="T622" s="153"/>
      <c r="U622" s="153"/>
      <c r="V622" s="153"/>
      <c r="W622" s="153"/>
      <c r="X622" s="153"/>
      <c r="Y622" s="153"/>
      <c r="Z622" s="153"/>
      <c r="AA622" s="153"/>
      <c r="AB622" s="153"/>
      <c r="AC622" s="153"/>
    </row>
    <row r="623">
      <c r="A623" s="152" t="s">
        <v>350</v>
      </c>
      <c r="B623" s="133" t="str">
        <f>IFERROR(__xludf.DUMMYFUNCTION("FILTER ('Research Papers'!D:D,'Research Papers'!A:A=C623)"),"FedDis: A Causal Disentanglement Framework for Federated Traffic Prediction")</f>
        <v>FedDis: A Causal Disentanglement Framework for Federated Traffic Prediction</v>
      </c>
      <c r="C623" s="133" t="s">
        <v>984</v>
      </c>
      <c r="D623" s="153" t="str">
        <f t="shared" si="1"/>
        <v>FedDis: A Causal Disentanglement Framework for Federated Traffic Prediction
Chengyang Zhou, Zijian Zhang, Chunxu Zhang, Hao Miao, Yulin
Zhang, Kedi Lyu and Juncheng Hu
</v>
      </c>
      <c r="E623" s="153" t="str">
        <f>IFERROR(__xludf.DUMMYFUNCTION("TEXTJOIN(CHAR(10), TRUE,FILTER('Research Papers'!$C:$C,'Research Papers'!$A:$A=C623))"),"Chengyang Zhou, Zijian Zhang, Chunxu Zhang, Hao Miao, Yulin
Zhang, Kedi Lyu and Juncheng Hu")</f>
        <v>Chengyang Zhou, Zijian Zhang, Chunxu Zhang, Hao Miao, Yulin
Zhang, Kedi Lyu and Juncheng Hu</v>
      </c>
      <c r="F623" s="133" t="s">
        <v>81</v>
      </c>
      <c r="G623" s="153"/>
      <c r="H623" s="153"/>
      <c r="I623" s="120"/>
      <c r="J623" s="120"/>
      <c r="K623" s="153"/>
      <c r="L623" s="153"/>
      <c r="M623" s="153"/>
      <c r="N623" s="153"/>
      <c r="O623" s="153"/>
      <c r="P623" s="153"/>
      <c r="Q623" s="153"/>
      <c r="R623" s="153"/>
      <c r="S623" s="153"/>
      <c r="T623" s="153"/>
      <c r="U623" s="153"/>
      <c r="V623" s="153"/>
      <c r="W623" s="153"/>
      <c r="X623" s="153"/>
      <c r="Y623" s="153"/>
      <c r="Z623" s="153"/>
      <c r="AA623" s="153"/>
      <c r="AB623" s="153"/>
      <c r="AC623" s="153"/>
    </row>
    <row r="624">
      <c r="A624" s="152" t="s">
        <v>350</v>
      </c>
      <c r="B624" s="133" t="str">
        <f>IFERROR(__xludf.DUMMYFUNCTION("FILTER ('Research Papers'!D:D,'Research Papers'!A:A=C624)"),"Hermes the Polyglot: A Unified Framework to Enhance Expressiveness for Multimodal Interlingual Subtitling")</f>
        <v>Hermes the Polyglot: A Unified Framework to Enhance Expressiveness for Multimodal Interlingual Subtitling</v>
      </c>
      <c r="C624" s="133" t="s">
        <v>985</v>
      </c>
      <c r="D624" s="153" t="str">
        <f t="shared" si="1"/>
        <v>Hermes the Polyglot: A Unified Framework to Enhance Expressiveness for Multimodal Interlingual Subtitling
Chaoqun Cui, Shijing Wang, Liangbin Huang, Qingqing Gu,
Zhaolong Huang, Xiao Zeng and Wenji Mao
</v>
      </c>
      <c r="E624" s="153" t="str">
        <f>IFERROR(__xludf.DUMMYFUNCTION("TEXTJOIN(CHAR(10), TRUE,FILTER('Research Papers'!$C:$C,'Research Papers'!$A:$A=C624))"),"Chaoqun Cui, Shijing Wang, Liangbin Huang, Qingqing Gu,
Zhaolong Huang, Xiao Zeng and Wenji Mao")</f>
        <v>Chaoqun Cui, Shijing Wang, Liangbin Huang, Qingqing Gu,
Zhaolong Huang, Xiao Zeng and Wenji Mao</v>
      </c>
      <c r="F624" s="133" t="s">
        <v>102</v>
      </c>
      <c r="G624" s="153"/>
      <c r="H624" s="153"/>
      <c r="I624" s="120"/>
      <c r="J624" s="120"/>
      <c r="K624" s="153"/>
      <c r="L624" s="153"/>
      <c r="M624" s="153"/>
      <c r="N624" s="153"/>
      <c r="O624" s="153"/>
      <c r="P624" s="153"/>
      <c r="Q624" s="153"/>
      <c r="R624" s="153"/>
      <c r="S624" s="153"/>
      <c r="T624" s="153"/>
      <c r="U624" s="153"/>
      <c r="V624" s="153"/>
      <c r="W624" s="153"/>
      <c r="X624" s="153"/>
      <c r="Y624" s="153"/>
      <c r="Z624" s="153"/>
      <c r="AA624" s="153"/>
      <c r="AB624" s="153"/>
      <c r="AC624" s="153"/>
    </row>
    <row r="625">
      <c r="A625" s="152" t="s">
        <v>350</v>
      </c>
      <c r="B625" s="133" t="str">
        <f>IFERROR(__xludf.DUMMYFUNCTION("FILTER ('Research Papers'!D:D,'Research Papers'!A:A=C625)"),"BHGap: A Deep Iterative Prompting and Multi-stage Alignment Framework for Dynamic Facial Expression Recognition")</f>
        <v>BHGap: A Deep Iterative Prompting and Multi-stage Alignment Framework for Dynamic Facial Expression Recognition</v>
      </c>
      <c r="C625" s="133" t="s">
        <v>986</v>
      </c>
      <c r="D625" s="153" t="str">
        <f t="shared" si="1"/>
        <v>BHGap: A Deep Iterative Prompting and Multi-stage Alignment Framework for Dynamic Facial Expression Recognition
Yichi Zhang, Yunqi Han, Jiayue Ding and Liangyu Chen
</v>
      </c>
      <c r="E625" s="153" t="str">
        <f>IFERROR(__xludf.DUMMYFUNCTION("TEXTJOIN(CHAR(10), TRUE,FILTER('Research Papers'!$C:$C,'Research Papers'!$A:$A=C625))"),"Yichi Zhang, Yunqi Han, Jiayue Ding and Liangyu Chen")</f>
        <v>Yichi Zhang, Yunqi Han, Jiayue Ding and Liangyu Chen</v>
      </c>
      <c r="F625" s="133" t="s">
        <v>102</v>
      </c>
      <c r="G625" s="153"/>
      <c r="H625" s="153"/>
      <c r="I625" s="120"/>
      <c r="J625" s="120"/>
      <c r="K625" s="153"/>
      <c r="L625" s="153"/>
      <c r="M625" s="153"/>
      <c r="N625" s="153"/>
      <c r="O625" s="153"/>
      <c r="P625" s="153"/>
      <c r="Q625" s="153"/>
      <c r="R625" s="153"/>
      <c r="S625" s="153"/>
      <c r="T625" s="153"/>
      <c r="U625" s="153"/>
      <c r="V625" s="153"/>
      <c r="W625" s="153"/>
      <c r="X625" s="153"/>
      <c r="Y625" s="153"/>
      <c r="Z625" s="153"/>
      <c r="AA625" s="153"/>
      <c r="AB625" s="153"/>
      <c r="AC625" s="153"/>
    </row>
    <row r="626">
      <c r="A626" s="152" t="s">
        <v>350</v>
      </c>
      <c r="B626" s="133" t="str">
        <f>IFERROR(__xludf.DUMMYFUNCTION("FILTER ('Research Papers'!D:D,'Research Papers'!A:A=C626)"),"MuVaC: A Variational Causal Framework for Multimodal Sarcasm Understanding in Dialogues")</f>
        <v>MuVaC: A Variational Causal Framework for Multimodal Sarcasm Understanding in Dialogues</v>
      </c>
      <c r="C626" s="133" t="s">
        <v>987</v>
      </c>
      <c r="D626" s="153" t="str">
        <f t="shared" si="1"/>
        <v>MuVaC: A Variational Causal Framework for Multimodal Sarcasm Understanding in Dialogues
Diandian Guo, Fangfang Yuan, Cong Cao, Xixun Lin, Chuan
Zhou, Hao Peng, Yanan Cao and Yanbing Liu
</v>
      </c>
      <c r="E626" s="153" t="str">
        <f>IFERROR(__xludf.DUMMYFUNCTION("TEXTJOIN(CHAR(10), TRUE,FILTER('Research Papers'!$C:$C,'Research Papers'!$A:$A=C626))"),"Diandian Guo, Fangfang Yuan, Cong Cao, Xixun Lin, Chuan
Zhou, Hao Peng, Yanan Cao and Yanbing Liu")</f>
        <v>Diandian Guo, Fangfang Yuan, Cong Cao, Xixun Lin, Chuan
Zhou, Hao Peng, Yanan Cao and Yanbing Liu</v>
      </c>
      <c r="F626" s="133" t="s">
        <v>102</v>
      </c>
      <c r="G626" s="153"/>
      <c r="H626" s="153"/>
      <c r="I626" s="120"/>
      <c r="J626" s="120"/>
      <c r="K626" s="153"/>
      <c r="L626" s="153"/>
      <c r="M626" s="153"/>
      <c r="N626" s="153"/>
      <c r="O626" s="153"/>
      <c r="P626" s="153"/>
      <c r="Q626" s="153"/>
      <c r="R626" s="153"/>
      <c r="S626" s="153"/>
      <c r="T626" s="153"/>
      <c r="U626" s="153"/>
      <c r="V626" s="153"/>
      <c r="W626" s="153"/>
      <c r="X626" s="153"/>
      <c r="Y626" s="153"/>
      <c r="Z626" s="153"/>
      <c r="AA626" s="153"/>
      <c r="AB626" s="153"/>
      <c r="AC626" s="153"/>
    </row>
    <row r="627">
      <c r="A627" s="152" t="s">
        <v>350</v>
      </c>
      <c r="B627" s="133" t="str">
        <f>IFERROR(__xludf.DUMMYFUNCTION("FILTER ('Research Papers'!D:D,'Research Papers'!A:A=C627)"),"CCAF: Coarse-to-fine Cross-Modal Alignment and Fusion for Multimodal Sentiment Analysis")</f>
        <v>CCAF: Coarse-to-fine Cross-Modal Alignment and Fusion for Multimodal Sentiment Analysis</v>
      </c>
      <c r="C627" s="133" t="s">
        <v>988</v>
      </c>
      <c r="D627" s="153" t="str">
        <f t="shared" si="1"/>
        <v>CCAF: Coarse-to-fine Cross-Modal Alignment and Fusion for Multimodal Sentiment Analysis
Xianbing Zhao, Shengzun Yang and Buzhou Tang
</v>
      </c>
      <c r="E627" s="153" t="str">
        <f>IFERROR(__xludf.DUMMYFUNCTION("TEXTJOIN(CHAR(10), TRUE,FILTER('Research Papers'!$C:$C,'Research Papers'!$A:$A=C627))"),"Xianbing Zhao, Shengzun Yang and Buzhou Tang")</f>
        <v>Xianbing Zhao, Shengzun Yang and Buzhou Tang</v>
      </c>
      <c r="F627" s="133" t="s">
        <v>102</v>
      </c>
      <c r="G627" s="153"/>
      <c r="H627" s="153"/>
      <c r="I627" s="120"/>
      <c r="J627" s="120"/>
      <c r="K627" s="153"/>
      <c r="L627" s="153"/>
      <c r="M627" s="153"/>
      <c r="N627" s="153"/>
      <c r="O627" s="153"/>
      <c r="P627" s="153"/>
      <c r="Q627" s="153"/>
      <c r="R627" s="153"/>
      <c r="S627" s="153"/>
      <c r="T627" s="153"/>
      <c r="U627" s="153"/>
      <c r="V627" s="153"/>
      <c r="W627" s="153"/>
      <c r="X627" s="153"/>
      <c r="Y627" s="153"/>
      <c r="Z627" s="153"/>
      <c r="AA627" s="153"/>
      <c r="AB627" s="153"/>
      <c r="AC627" s="153"/>
    </row>
    <row r="628">
      <c r="A628" s="152" t="s">
        <v>350</v>
      </c>
      <c r="B628" s="133" t="str">
        <f>IFERROR(__xludf.DUMMYFUNCTION("FILTER ('Research Papers'!D:D,'Research Papers'!A:A=C628)"),"ATGFB-MFF: Adaptive Text-Guided Fiber Bundle Feature Fusion with LLMs for Multimodal Sentiment Analysis and Emotion Recognition in Conversations")</f>
        <v>ATGFB-MFF: Adaptive Text-Guided Fiber Bundle Feature Fusion with LLMs for Multimodal Sentiment Analysis and Emotion Recognition in Conversations</v>
      </c>
      <c r="C628" s="133" t="s">
        <v>989</v>
      </c>
      <c r="D628" s="153" t="str">
        <f t="shared" si="1"/>
        <v>ATGFB-MFF: Adaptive Text-Guided Fiber Bundle Feature Fusion with LLMs for Multimodal Sentiment Analysis and Emotion Recognition in Conversations
Zhaowei Liu, Sheng Liu, Weiqing Yan, Peng Song, Yongchao
Song and Rufei Gao
</v>
      </c>
      <c r="E628" s="153" t="str">
        <f>IFERROR(__xludf.DUMMYFUNCTION("TEXTJOIN(CHAR(10), TRUE,FILTER('Research Papers'!$C:$C,'Research Papers'!$A:$A=C628))"),"Zhaowei Liu, Sheng Liu, Weiqing Yan, Peng Song, Yongchao
Song and Rufei Gao")</f>
        <v>Zhaowei Liu, Sheng Liu, Weiqing Yan, Peng Song, Yongchao
Song and Rufei Gao</v>
      </c>
      <c r="F628" s="133" t="s">
        <v>102</v>
      </c>
      <c r="G628" s="153"/>
      <c r="H628" s="153"/>
      <c r="I628" s="120"/>
      <c r="J628" s="120"/>
      <c r="K628" s="153"/>
      <c r="L628" s="153"/>
      <c r="M628" s="153"/>
      <c r="N628" s="153"/>
      <c r="O628" s="153"/>
      <c r="P628" s="153"/>
      <c r="Q628" s="153"/>
      <c r="R628" s="153"/>
      <c r="S628" s="153"/>
      <c r="T628" s="153"/>
      <c r="U628" s="153"/>
      <c r="V628" s="153"/>
      <c r="W628" s="153"/>
      <c r="X628" s="153"/>
      <c r="Y628" s="153"/>
      <c r="Z628" s="153"/>
      <c r="AA628" s="153"/>
      <c r="AB628" s="153"/>
      <c r="AC628" s="153"/>
    </row>
    <row r="629">
      <c r="A629" s="152" t="s">
        <v>350</v>
      </c>
      <c r="B629" s="133" t="str">
        <f>IFERROR(__xludf.DUMMYFUNCTION("FILTER ('Research Papers'!D:D,'Research Papers'!A:A=C629)"),"PAMAS: Self-Adaptive Multi-Agent System with Perspective Aggregation for Misinformation Detection")</f>
        <v>PAMAS: Self-Adaptive Multi-Agent System with Perspective Aggregation for Misinformation Detection</v>
      </c>
      <c r="C629" s="133" t="s">
        <v>990</v>
      </c>
      <c r="D629" s="153" t="str">
        <f t="shared" si="1"/>
        <v>PAMAS: Self-Adaptive Multi-Agent System with Perspective Aggregation for Misinformation Detection
Zongwei Wang, Min Gao, Junliang Yu, Tong Chen and Chenghua
Lin
</v>
      </c>
      <c r="E629" s="153" t="str">
        <f>IFERROR(__xludf.DUMMYFUNCTION("TEXTJOIN(CHAR(10), TRUE,FILTER('Research Papers'!$C:$C,'Research Papers'!$A:$A=C629))"),"Zongwei Wang, Min Gao, Junliang Yu, Tong Chen and Chenghua
Lin")</f>
        <v>Zongwei Wang, Min Gao, Junliang Yu, Tong Chen and Chenghua
Lin</v>
      </c>
      <c r="F629" s="133" t="s">
        <v>134</v>
      </c>
      <c r="G629" s="153"/>
      <c r="H629" s="153"/>
      <c r="I629" s="120"/>
      <c r="J629" s="120"/>
      <c r="K629" s="153"/>
      <c r="L629" s="153"/>
      <c r="M629" s="153"/>
      <c r="N629" s="153"/>
      <c r="O629" s="153"/>
      <c r="P629" s="153"/>
      <c r="Q629" s="153"/>
      <c r="R629" s="153"/>
      <c r="S629" s="153"/>
      <c r="T629" s="153"/>
      <c r="U629" s="153"/>
      <c r="V629" s="153"/>
      <c r="W629" s="153"/>
      <c r="X629" s="153"/>
      <c r="Y629" s="153"/>
      <c r="Z629" s="153"/>
      <c r="AA629" s="153"/>
      <c r="AB629" s="153"/>
      <c r="AC629" s="153"/>
    </row>
    <row r="630">
      <c r="A630" s="152" t="s">
        <v>350</v>
      </c>
      <c r="B630" s="133" t="str">
        <f>IFERROR(__xludf.DUMMYFUNCTION("FILTER ('Research Papers'!D:D,'Research Papers'!A:A=C630)"),"TrueLens: Video Fake News Detection with Dual Level Evidence Gathering and Consolidation")</f>
        <v>TrueLens: Video Fake News Detection with Dual Level Evidence Gathering and Consolidation</v>
      </c>
      <c r="C630" s="133" t="s">
        <v>991</v>
      </c>
      <c r="D630" s="153" t="str">
        <f t="shared" si="1"/>
        <v>TrueLens: Video Fake News Detection with Dual Level Evidence Gathering and Consolidation
Junyi Chen, Qian Liu, Jing Sun and Yi Zhang
</v>
      </c>
      <c r="E630" s="153" t="str">
        <f>IFERROR(__xludf.DUMMYFUNCTION("TEXTJOIN(CHAR(10), TRUE,FILTER('Research Papers'!$C:$C,'Research Papers'!$A:$A=C630))"),"Junyi Chen, Qian Liu, Jing Sun and Yi Zhang")</f>
        <v>Junyi Chen, Qian Liu, Jing Sun and Yi Zhang</v>
      </c>
      <c r="F630" s="133" t="s">
        <v>134</v>
      </c>
      <c r="G630" s="153"/>
      <c r="H630" s="153"/>
      <c r="I630" s="120"/>
      <c r="J630" s="120"/>
      <c r="K630" s="153"/>
      <c r="L630" s="153"/>
      <c r="M630" s="153"/>
      <c r="N630" s="153"/>
      <c r="O630" s="153"/>
      <c r="P630" s="153"/>
      <c r="Q630" s="153"/>
      <c r="R630" s="153"/>
      <c r="S630" s="153"/>
      <c r="T630" s="153"/>
      <c r="U630" s="153"/>
      <c r="V630" s="153"/>
      <c r="W630" s="153"/>
      <c r="X630" s="153"/>
      <c r="Y630" s="153"/>
      <c r="Z630" s="153"/>
      <c r="AA630" s="153"/>
      <c r="AB630" s="153"/>
      <c r="AC630" s="153"/>
    </row>
    <row r="631">
      <c r="A631" s="152" t="s">
        <v>350</v>
      </c>
      <c r="B631" s="133" t="str">
        <f>IFERROR(__xludf.DUMMYFUNCTION("FILTER ('Research Papers'!D:D,'Research Papers'!A:A=C631)"),"Is Misinformation More Open? A Study of robots.txt Gatekeeping on the Web")</f>
        <v>Is Misinformation More Open? A Study of robots.txt Gatekeeping on the Web</v>
      </c>
      <c r="C631" s="133" t="s">
        <v>992</v>
      </c>
      <c r="D631" s="153" t="str">
        <f t="shared" si="1"/>
        <v>Is Misinformation More Open? A Study of robots.txt Gatekeeping on the Web
Nicolas Steinacker-Olsztyn, Devashish Gosain and Ha Dao
</v>
      </c>
      <c r="E631" s="153" t="str">
        <f>IFERROR(__xludf.DUMMYFUNCTION("TEXTJOIN(CHAR(10), TRUE,FILTER('Research Papers'!$C:$C,'Research Papers'!$A:$A=C631))"),"Nicolas Steinacker-Olsztyn, Devashish Gosain and Ha Dao")</f>
        <v>Nicolas Steinacker-Olsztyn, Devashish Gosain and Ha Dao</v>
      </c>
      <c r="F631" s="133" t="s">
        <v>134</v>
      </c>
      <c r="G631" s="153"/>
      <c r="H631" s="153"/>
      <c r="I631" s="120"/>
      <c r="J631" s="120"/>
      <c r="K631" s="153"/>
      <c r="L631" s="153"/>
      <c r="M631" s="153"/>
      <c r="N631" s="153"/>
      <c r="O631" s="153"/>
      <c r="P631" s="153"/>
      <c r="Q631" s="153"/>
      <c r="R631" s="153"/>
      <c r="S631" s="153"/>
      <c r="T631" s="153"/>
      <c r="U631" s="153"/>
      <c r="V631" s="153"/>
      <c r="W631" s="153"/>
      <c r="X631" s="153"/>
      <c r="Y631" s="153"/>
      <c r="Z631" s="153"/>
      <c r="AA631" s="153"/>
      <c r="AB631" s="153"/>
      <c r="AC631" s="153"/>
    </row>
    <row r="632">
      <c r="A632" s="152" t="s">
        <v>350</v>
      </c>
      <c r="B632" s="133" t="str">
        <f>IFERROR(__xludf.DUMMYFUNCTION("FILTER ('Research Papers'!D:D,'Research Papers'!A:A=C632)"),"From Manipulation to Mistrust: Explaining Diverse Micro-Video Misinformation for Robust Debunking in the Wild")</f>
        <v>From Manipulation to Mistrust: Explaining Diverse Micro-Video Misinformation for Robust Debunking in the Wild</v>
      </c>
      <c r="C632" s="133" t="s">
        <v>993</v>
      </c>
      <c r="D632" s="153" t="str">
        <f t="shared" si="1"/>
        <v>From Manipulation to Mistrust: Explaining Diverse Micro-Video Misinformation for Robust Debunking in the Wild
Zhi Zeng, Yifei Yang, Jiaying Wu, Xulang Zhang, Xiangzheng
Kong, Herun Wan, Zihan Ma and Minnan Luo
</v>
      </c>
      <c r="E632" s="153" t="str">
        <f>IFERROR(__xludf.DUMMYFUNCTION("TEXTJOIN(CHAR(10), TRUE,FILTER('Research Papers'!$C:$C,'Research Papers'!$A:$A=C632))"),"Zhi Zeng, Yifei Yang, Jiaying Wu, Xulang Zhang, Xiangzheng
Kong, Herun Wan, Zihan Ma and Minnan Luo")</f>
        <v>Zhi Zeng, Yifei Yang, Jiaying Wu, Xulang Zhang, Xiangzheng
Kong, Herun Wan, Zihan Ma and Minnan Luo</v>
      </c>
      <c r="F632" s="133" t="s">
        <v>134</v>
      </c>
      <c r="G632" s="153"/>
      <c r="H632" s="153"/>
      <c r="I632" s="120"/>
      <c r="J632" s="120"/>
      <c r="K632" s="153"/>
      <c r="L632" s="153"/>
      <c r="M632" s="153"/>
      <c r="N632" s="153"/>
      <c r="O632" s="153"/>
      <c r="P632" s="153"/>
      <c r="Q632" s="153"/>
      <c r="R632" s="153"/>
      <c r="S632" s="153"/>
      <c r="T632" s="153"/>
      <c r="U632" s="153"/>
      <c r="V632" s="153"/>
      <c r="W632" s="153"/>
      <c r="X632" s="153"/>
      <c r="Y632" s="153"/>
      <c r="Z632" s="153"/>
      <c r="AA632" s="153"/>
      <c r="AB632" s="153"/>
      <c r="AC632" s="153"/>
    </row>
    <row r="633">
      <c r="A633" s="152" t="s">
        <v>350</v>
      </c>
      <c r="B633" s="133" t="str">
        <f>IFERROR(__xludf.DUMMYFUNCTION("FILTER ('Research Papers'!D:D,'Research Papers'!A:A=C633)"),"DOMAIN: Explainable Credibility Assessment Tools for Empowering Online Readers Coping with Misinformation ")</f>
        <v>DOMAIN: Explainable Credibility Assessment Tools for Empowering Online Readers Coping with Misinformation </v>
      </c>
      <c r="C633" s="155" t="s">
        <v>994</v>
      </c>
      <c r="D633" s="153" t="str">
        <f t="shared" si="1"/>
        <v>DOMAIN: Explainable Credibility Assessment Tools for Empowering Online Readers Coping with Misinformation 
Danielle Caled, Paula Carvalho, Francisco Sousa and Mário Silva
</v>
      </c>
      <c r="E633" s="153" t="str">
        <f>IFERROR(__xludf.DUMMYFUNCTION("TEXTJOIN(CHAR(10), TRUE,FILTER('Research Papers'!$C:$C,'Research Papers'!$A:$A=C633))"),"Danielle Caled, Paula Carvalho, Francisco Sousa and Mário Silva")</f>
        <v>Danielle Caled, Paula Carvalho, Francisco Sousa and Mário Silva</v>
      </c>
      <c r="F633" s="133" t="s">
        <v>995</v>
      </c>
      <c r="G633" s="153"/>
      <c r="H633" s="153"/>
      <c r="I633" s="120"/>
      <c r="J633" s="120"/>
      <c r="K633" s="153"/>
      <c r="L633" s="153"/>
      <c r="M633" s="153"/>
      <c r="N633" s="153"/>
      <c r="O633" s="153"/>
      <c r="P633" s="153"/>
      <c r="Q633" s="153"/>
      <c r="R633" s="153"/>
      <c r="S633" s="153"/>
      <c r="T633" s="153"/>
      <c r="U633" s="153"/>
      <c r="V633" s="153"/>
      <c r="W633" s="153"/>
      <c r="X633" s="153"/>
      <c r="Y633" s="153"/>
      <c r="Z633" s="153"/>
      <c r="AA633" s="153"/>
      <c r="AB633" s="153"/>
      <c r="AC633" s="153"/>
    </row>
    <row r="634">
      <c r="A634" s="152" t="s">
        <v>350</v>
      </c>
      <c r="B634" s="133" t="str">
        <f>IFERROR(__xludf.DUMMYFUNCTION("FILTER ('Research Papers'!D:D,'Research Papers'!A:A=C634)"),"Multi-Aspect Mining and Anomaly Detection for Heterogeneous Tensor Streams")</f>
        <v>Multi-Aspect Mining and Anomaly Detection for Heterogeneous Tensor Streams</v>
      </c>
      <c r="C634" s="133" t="s">
        <v>996</v>
      </c>
      <c r="D634" s="153" t="str">
        <f t="shared" si="1"/>
        <v>Multi-Aspect Mining and Anomaly Detection for Heterogeneous Tensor Streams
Soshi Kakio, Yasuko Matsubara, Ren Fujiwara and Yasushi
Sakurai
</v>
      </c>
      <c r="E634" s="153" t="str">
        <f>IFERROR(__xludf.DUMMYFUNCTION("TEXTJOIN(CHAR(10), TRUE,FILTER('Research Papers'!$C:$C,'Research Papers'!$A:$A=C634))"),"Soshi Kakio, Yasuko Matsubara, Ren Fujiwara and Yasushi
Sakurai")</f>
        <v>Soshi Kakio, Yasuko Matsubara, Ren Fujiwara and Yasushi
Sakurai</v>
      </c>
      <c r="F634" s="133" t="s">
        <v>154</v>
      </c>
      <c r="G634" s="153"/>
      <c r="H634" s="153"/>
      <c r="I634" s="120"/>
      <c r="J634" s="120"/>
      <c r="K634" s="153"/>
      <c r="L634" s="153"/>
      <c r="M634" s="153"/>
      <c r="N634" s="153"/>
      <c r="O634" s="153"/>
      <c r="P634" s="153"/>
      <c r="Q634" s="153"/>
      <c r="R634" s="153"/>
      <c r="S634" s="153"/>
      <c r="T634" s="153"/>
      <c r="U634" s="153"/>
      <c r="V634" s="153"/>
      <c r="W634" s="153"/>
      <c r="X634" s="153"/>
      <c r="Y634" s="153"/>
      <c r="Z634" s="153"/>
      <c r="AA634" s="153"/>
      <c r="AB634" s="153"/>
      <c r="AC634" s="153"/>
    </row>
    <row r="635">
      <c r="A635" s="152" t="s">
        <v>350</v>
      </c>
      <c r="B635" s="133" t="str">
        <f>IFERROR(__xludf.DUMMYFUNCTION("FILTER ('Research Papers'!D:D,'Research Papers'!A:A=C635)"),"EIAN: Explicit Interaction-aware Attention Network for Interpretable Event Modeling")</f>
        <v>EIAN: Explicit Interaction-aware Attention Network for Interpretable Event Modeling</v>
      </c>
      <c r="C635" s="133" t="s">
        <v>997</v>
      </c>
      <c r="D635" s="153" t="str">
        <f t="shared" si="1"/>
        <v>EIAN: Explicit Interaction-aware Attention Network for Interpretable Event Modeling
Jiping Zhang, Hua Zhu, Hong Huang, Yongkang Zhou, Kehan Yin
and Bang Liu
</v>
      </c>
      <c r="E635" s="153" t="str">
        <f>IFERROR(__xludf.DUMMYFUNCTION("TEXTJOIN(CHAR(10), TRUE,FILTER('Research Papers'!$C:$C,'Research Papers'!$A:$A=C635))"),"Jiping Zhang, Hua Zhu, Hong Huang, Yongkang Zhou, Kehan Yin
and Bang Liu")</f>
        <v>Jiping Zhang, Hua Zhu, Hong Huang, Yongkang Zhou, Kehan Yin
and Bang Liu</v>
      </c>
      <c r="F635" s="133" t="s">
        <v>154</v>
      </c>
      <c r="G635" s="153"/>
      <c r="H635" s="153"/>
      <c r="I635" s="120"/>
      <c r="J635" s="120"/>
      <c r="K635" s="153"/>
      <c r="L635" s="153"/>
      <c r="M635" s="153"/>
      <c r="N635" s="153"/>
      <c r="O635" s="153"/>
      <c r="P635" s="153"/>
      <c r="Q635" s="153"/>
      <c r="R635" s="153"/>
      <c r="S635" s="153"/>
      <c r="T635" s="153"/>
      <c r="U635" s="153"/>
      <c r="V635" s="153"/>
      <c r="W635" s="153"/>
      <c r="X635" s="153"/>
      <c r="Y635" s="153"/>
      <c r="Z635" s="153"/>
      <c r="AA635" s="153"/>
      <c r="AB635" s="153"/>
      <c r="AC635" s="153"/>
    </row>
    <row r="636">
      <c r="A636" s="152" t="s">
        <v>350</v>
      </c>
      <c r="B636" s="133" t="str">
        <f>IFERROR(__xludf.DUMMYFUNCTION("FILTER ('Research Papers'!D:D,'Research Papers'!A:A=C636)"),"JitterSketch: Finding Jittery Flows in Network Streams")</f>
        <v>JitterSketch: Finding Jittery Flows in Network Streams</v>
      </c>
      <c r="C636" s="133" t="s">
        <v>998</v>
      </c>
      <c r="D636" s="153" t="str">
        <f t="shared" si="1"/>
        <v>JitterSketch: Finding Jittery Flows in Network Streams
Zhongxian Liang, Qilong Shi, Xiyan Liang, Zihan Li, Wenjun
Li, Tong Yang, Yangyang Wang, Mingwei Xu and Weizhe Zhang
</v>
      </c>
      <c r="E636" s="153" t="str">
        <f>IFERROR(__xludf.DUMMYFUNCTION("TEXTJOIN(CHAR(10), TRUE,FILTER('Research Papers'!$C:$C,'Research Papers'!$A:$A=C636))"),"Zhongxian Liang, Qilong Shi, Xiyan Liang, Zihan Li, Wenjun
Li, Tong Yang, Yangyang Wang, Mingwei Xu and Weizhe Zhang")</f>
        <v>Zhongxian Liang, Qilong Shi, Xiyan Liang, Zihan Li, Wenjun
Li, Tong Yang, Yangyang Wang, Mingwei Xu and Weizhe Zhang</v>
      </c>
      <c r="F636" s="133" t="s">
        <v>154</v>
      </c>
      <c r="G636" s="153"/>
      <c r="H636" s="153"/>
      <c r="I636" s="120"/>
      <c r="J636" s="120"/>
      <c r="K636" s="153"/>
      <c r="L636" s="153"/>
      <c r="M636" s="153"/>
      <c r="N636" s="153"/>
      <c r="O636" s="153"/>
      <c r="P636" s="153"/>
      <c r="Q636" s="153"/>
      <c r="R636" s="153"/>
      <c r="S636" s="153"/>
      <c r="T636" s="153"/>
      <c r="U636" s="153"/>
      <c r="V636" s="153"/>
      <c r="W636" s="153"/>
      <c r="X636" s="153"/>
      <c r="Y636" s="153"/>
      <c r="Z636" s="153"/>
      <c r="AA636" s="153"/>
      <c r="AB636" s="153"/>
      <c r="AC636" s="153"/>
    </row>
    <row r="637">
      <c r="A637" s="152" t="s">
        <v>350</v>
      </c>
      <c r="B637" s="133" t="str">
        <f>IFERROR(__xludf.DUMMYFUNCTION("FILTER ('Research Papers'!D:D,'Research Papers'!A:A=C637)"),"We Need a More Robust Classifier: Dual Causal Learning Empowers Domain-Incremental Time Series Classification")</f>
        <v>We Need a More Robust Classifier: Dual Causal Learning Empowers Domain-Incremental Time Series Classification</v>
      </c>
      <c r="C637" s="133" t="s">
        <v>999</v>
      </c>
      <c r="D637" s="153" t="str">
        <f t="shared" si="1"/>
        <v>We Need a More Robust Classifier: Dual Causal Learning Empowers Domain-Incremental Time Series Classification
Zhipeng Liu, Peibo Duan, Xuan Tang, Haodong Jing, Mingyang
Geng, Yongsheng Huang, Jialu Xu, Bin Zhang and Binwu Wang
</v>
      </c>
      <c r="E637" s="153" t="str">
        <f>IFERROR(__xludf.DUMMYFUNCTION("TEXTJOIN(CHAR(10), TRUE,FILTER('Research Papers'!$C:$C,'Research Papers'!$A:$A=C637))"),"Zhipeng Liu, Peibo Duan, Xuan Tang, Haodong Jing, Mingyang
Geng, Yongsheng Huang, Jialu Xu, Bin Zhang and Binwu Wang")</f>
        <v>Zhipeng Liu, Peibo Duan, Xuan Tang, Haodong Jing, Mingyang
Geng, Yongsheng Huang, Jialu Xu, Bin Zhang and Binwu Wang</v>
      </c>
      <c r="F637" s="133" t="s">
        <v>154</v>
      </c>
      <c r="G637" s="153"/>
      <c r="H637" s="153"/>
      <c r="I637" s="120"/>
      <c r="J637" s="120"/>
      <c r="K637" s="153"/>
      <c r="L637" s="153"/>
      <c r="M637" s="153"/>
      <c r="N637" s="153"/>
      <c r="O637" s="153"/>
      <c r="P637" s="153"/>
      <c r="Q637" s="153"/>
      <c r="R637" s="153"/>
      <c r="S637" s="153"/>
      <c r="T637" s="153"/>
      <c r="U637" s="153"/>
      <c r="V637" s="153"/>
      <c r="W637" s="153"/>
      <c r="X637" s="153"/>
      <c r="Y637" s="153"/>
      <c r="Z637" s="153"/>
      <c r="AA637" s="153"/>
      <c r="AB637" s="153"/>
      <c r="AC637" s="153"/>
    </row>
    <row r="638">
      <c r="A638" s="152" t="s">
        <v>350</v>
      </c>
      <c r="B638" s="133" t="str">
        <f>IFERROR(__xludf.DUMMYFUNCTION("FILTER ('Research Papers'!D:D,'Research Papers'!A:A=C638)"),"An In-depth Analysis of the Linguistic Characteristics of Science Claims on the Web and their Impact on Fact-checking ")</f>
        <v>An In-depth Analysis of the Linguistic Characteristics of Science Claims on the Web and their Impact on Fact-checking </v>
      </c>
      <c r="C638" s="155" t="s">
        <v>1000</v>
      </c>
      <c r="D638" s="153" t="str">
        <f t="shared" si="1"/>
        <v>An In-depth Analysis of the Linguistic Characteristics of Science Claims on the Web and their Impact on Fact-checking 
Salim Hafid, Sebastian Schellhammer, Yavuz Selim Kartal, Thomas Papastergiou, Stefan Dietze, Sandra Bringay and Konstantin Todorov
</v>
      </c>
      <c r="E638" s="153" t="str">
        <f>IFERROR(__xludf.DUMMYFUNCTION("TEXTJOIN(CHAR(10), TRUE,FILTER('Research Papers'!$C:$C,'Research Papers'!$A:$A=C638))"),"Salim Hafid, Sebastian Schellhammer, Yavuz Selim Kartal, Thomas Papastergiou, Stefan Dietze, Sandra Bringay and Konstantin Todorov")</f>
        <v>Salim Hafid, Sebastian Schellhammer, Yavuz Selim Kartal, Thomas Papastergiou, Stefan Dietze, Sandra Bringay and Konstantin Todorov</v>
      </c>
      <c r="F638" s="133" t="s">
        <v>154</v>
      </c>
      <c r="G638" s="153"/>
      <c r="H638" s="153"/>
      <c r="I638" s="120"/>
      <c r="J638" s="120"/>
      <c r="K638" s="153"/>
      <c r="L638" s="153"/>
      <c r="M638" s="153"/>
      <c r="N638" s="153"/>
      <c r="O638" s="153"/>
      <c r="P638" s="153"/>
      <c r="Q638" s="153"/>
      <c r="R638" s="153"/>
      <c r="S638" s="153"/>
      <c r="T638" s="153"/>
      <c r="U638" s="153"/>
      <c r="V638" s="153"/>
      <c r="W638" s="153"/>
      <c r="X638" s="153"/>
      <c r="Y638" s="153"/>
      <c r="Z638" s="153"/>
      <c r="AA638" s="153"/>
      <c r="AB638" s="153"/>
      <c r="AC638" s="153"/>
    </row>
    <row r="639">
      <c r="A639" s="152" t="s">
        <v>350</v>
      </c>
      <c r="B639" s="133" t="str">
        <f>IFERROR(__xludf.DUMMYFUNCTION("FILTER ('Research Papers'!D:D,'Research Papers'!A:A=C639)"),"Anchor Drift No More: Hierarchical Consistency-Guided Prompt Distillation for Incomplete Multimodal Learning")</f>
        <v>Anchor Drift No More: Hierarchical Consistency-Guided Prompt Distillation for Incomplete Multimodal Learning</v>
      </c>
      <c r="C639" s="133" t="s">
        <v>1001</v>
      </c>
      <c r="D639" s="153" t="str">
        <f t="shared" si="1"/>
        <v>Anchor Drift No More: Hierarchical Consistency-Guided Prompt Distillation for Incomplete Multimodal Learning
Ruiting Dai, Zesen Cai, Lisi Mo, Guiduo Duan, Keren Shi and
Tao He
</v>
      </c>
      <c r="E639" s="153" t="str">
        <f>IFERROR(__xludf.DUMMYFUNCTION("TEXTJOIN(CHAR(10), TRUE,FILTER('Research Papers'!$C:$C,'Research Papers'!$A:$A=C639))"),"Ruiting Dai, Zesen Cai, Lisi Mo, Guiduo Duan, Keren Shi and
Tao He")</f>
        <v>Ruiting Dai, Zesen Cai, Lisi Mo, Guiduo Duan, Keren Shi and
Tao He</v>
      </c>
      <c r="F639" s="133" t="s">
        <v>172</v>
      </c>
      <c r="G639" s="153"/>
      <c r="H639" s="153"/>
      <c r="I639" s="120"/>
      <c r="J639" s="120"/>
      <c r="K639" s="153"/>
      <c r="L639" s="153"/>
      <c r="M639" s="153"/>
      <c r="N639" s="153"/>
      <c r="O639" s="153"/>
      <c r="P639" s="153"/>
      <c r="Q639" s="153"/>
      <c r="R639" s="153"/>
      <c r="S639" s="153"/>
      <c r="T639" s="153"/>
      <c r="U639" s="153"/>
      <c r="V639" s="153"/>
      <c r="W639" s="153"/>
      <c r="X639" s="153"/>
      <c r="Y639" s="153"/>
      <c r="Z639" s="153"/>
      <c r="AA639" s="153"/>
      <c r="AB639" s="153"/>
      <c r="AC639" s="153"/>
    </row>
    <row r="640">
      <c r="A640" s="152" t="s">
        <v>350</v>
      </c>
      <c r="B640" s="133" t="str">
        <f>IFERROR(__xludf.DUMMYFUNCTION("FILTER ('Research Papers'!D:D,'Research Papers'!A:A=C640)"),"LoRA-E^2: Effective and Efficient Low-rank Adaptation")</f>
        <v>LoRA-E^2: Effective and Efficient Low-rank Adaptation</v>
      </c>
      <c r="C640" s="133" t="s">
        <v>1002</v>
      </c>
      <c r="D640" s="153" t="str">
        <f t="shared" si="1"/>
        <v>LoRA-E^2: Effective and Efficient Low-rank Adaptation
Shengkun Zhu, Jinshan Zeng, Yiming Wang, Sheng Wang, Yuan
Sun, Shangfeng Chen, Yuan Yao and Qiang Yang
</v>
      </c>
      <c r="E640" s="153" t="str">
        <f>IFERROR(__xludf.DUMMYFUNCTION("TEXTJOIN(CHAR(10), TRUE,FILTER('Research Papers'!$C:$C,'Research Papers'!$A:$A=C640))"),"Shengkun Zhu, Jinshan Zeng, Yiming Wang, Sheng Wang, Yuan
Sun, Shangfeng Chen, Yuan Yao and Qiang Yang")</f>
        <v>Shengkun Zhu, Jinshan Zeng, Yiming Wang, Sheng Wang, Yuan
Sun, Shangfeng Chen, Yuan Yao and Qiang Yang</v>
      </c>
      <c r="F640" s="133" t="s">
        <v>172</v>
      </c>
      <c r="G640" s="153"/>
      <c r="H640" s="153"/>
      <c r="I640" s="120"/>
      <c r="J640" s="120"/>
      <c r="K640" s="153"/>
      <c r="L640" s="153"/>
      <c r="M640" s="153"/>
      <c r="N640" s="153"/>
      <c r="O640" s="153"/>
      <c r="P640" s="153"/>
      <c r="Q640" s="153"/>
      <c r="R640" s="153"/>
      <c r="S640" s="153"/>
      <c r="T640" s="153"/>
      <c r="U640" s="153"/>
      <c r="V640" s="153"/>
      <c r="W640" s="153"/>
      <c r="X640" s="153"/>
      <c r="Y640" s="153"/>
      <c r="Z640" s="153"/>
      <c r="AA640" s="153"/>
      <c r="AB640" s="153"/>
      <c r="AC640" s="153"/>
    </row>
    <row r="641">
      <c r="A641" s="152" t="s">
        <v>350</v>
      </c>
      <c r="B641" s="133" t="str">
        <f>IFERROR(__xludf.DUMMYFUNCTION("FILTER ('Research Papers'!D:D,'Research Papers'!A:A=C641)"),"Reinforcement Learning with Verbalized Probabilities for LLM Classification")</f>
        <v>Reinforcement Learning with Verbalized Probabilities for LLM Classification</v>
      </c>
      <c r="C641" s="133" t="s">
        <v>1003</v>
      </c>
      <c r="D641" s="153" t="str">
        <f t="shared" si="1"/>
        <v>Reinforcement Learning with Verbalized Probabilities for LLM Classification
Liyao Li, Hao Chen, Jiaming Tian, Wentao Ye, Lirong Gao,
Chao Ye, Ningtao Wang, Xing Fu, Yu Cheng, Haobo Wang, Gang
Chen and Junbo Zhao
</v>
      </c>
      <c r="E641" s="153" t="str">
        <f>IFERROR(__xludf.DUMMYFUNCTION("TEXTJOIN(CHAR(10), TRUE,FILTER('Research Papers'!$C:$C,'Research Papers'!$A:$A=C641))"),"Liyao Li, Hao Chen, Jiaming Tian, Wentao Ye, Lirong Gao,
Chao Ye, Ningtao Wang, Xing Fu, Yu Cheng, Haobo Wang, Gang
Chen and Junbo Zhao")</f>
        <v>Liyao Li, Hao Chen, Jiaming Tian, Wentao Ye, Lirong Gao,
Chao Ye, Ningtao Wang, Xing Fu, Yu Cheng, Haobo Wang, Gang
Chen and Junbo Zhao</v>
      </c>
      <c r="F641" s="133" t="s">
        <v>172</v>
      </c>
      <c r="G641" s="153"/>
      <c r="H641" s="153"/>
      <c r="I641" s="120"/>
      <c r="J641" s="120"/>
      <c r="K641" s="153"/>
      <c r="L641" s="153"/>
      <c r="M641" s="153"/>
      <c r="N641" s="153"/>
      <c r="O641" s="153"/>
      <c r="P641" s="153"/>
      <c r="Q641" s="153"/>
      <c r="R641" s="153"/>
      <c r="S641" s="153"/>
      <c r="T641" s="153"/>
      <c r="U641" s="153"/>
      <c r="V641" s="153"/>
      <c r="W641" s="153"/>
      <c r="X641" s="153"/>
      <c r="Y641" s="153"/>
      <c r="Z641" s="153"/>
      <c r="AA641" s="153"/>
      <c r="AB641" s="153"/>
      <c r="AC641" s="153"/>
    </row>
    <row r="642">
      <c r="A642" s="152" t="s">
        <v>350</v>
      </c>
      <c r="B642" s="133" t="str">
        <f>IFERROR(__xludf.DUMMYFUNCTION("FILTER ('Research Papers'!D:D,'Research Papers'!A:A=C642)"),"Multistage Feedback-Driven Causal Discovery from Textual Data with Large Language Models")</f>
        <v>Multistage Feedback-Driven Causal Discovery from Textual Data with Large Language Models</v>
      </c>
      <c r="C642" s="133" t="s">
        <v>1004</v>
      </c>
      <c r="D642" s="153" t="str">
        <f t="shared" si="1"/>
        <v>Multistage Feedback-Driven Causal Discovery from Textual Data with Large Language Models
Juntao Yang, Dayuan Cao, Kui Yu, Xiang Wang, Jing Yang, Lin
Liu and Jiuyong Li
</v>
      </c>
      <c r="E642" s="153" t="str">
        <f>IFERROR(__xludf.DUMMYFUNCTION("TEXTJOIN(CHAR(10), TRUE,FILTER('Research Papers'!$C:$C,'Research Papers'!$A:$A=C642))"),"Juntao Yang, Dayuan Cao, Kui Yu, Xiang Wang, Jing Yang, Lin
Liu and Jiuyong Li")</f>
        <v>Juntao Yang, Dayuan Cao, Kui Yu, Xiang Wang, Jing Yang, Lin
Liu and Jiuyong Li</v>
      </c>
      <c r="F642" s="133" t="s">
        <v>172</v>
      </c>
      <c r="G642" s="153"/>
      <c r="H642" s="153"/>
      <c r="I642" s="120"/>
      <c r="J642" s="120"/>
      <c r="K642" s="153"/>
      <c r="L642" s="153"/>
      <c r="M642" s="153"/>
      <c r="N642" s="153"/>
      <c r="O642" s="153"/>
      <c r="P642" s="153"/>
      <c r="Q642" s="153"/>
      <c r="R642" s="153"/>
      <c r="S642" s="153"/>
      <c r="T642" s="153"/>
      <c r="U642" s="153"/>
      <c r="V642" s="153"/>
      <c r="W642" s="153"/>
      <c r="X642" s="153"/>
      <c r="Y642" s="153"/>
      <c r="Z642" s="153"/>
      <c r="AA642" s="153"/>
      <c r="AB642" s="153"/>
      <c r="AC642" s="153"/>
    </row>
    <row r="643">
      <c r="A643" s="152" t="s">
        <v>350</v>
      </c>
      <c r="B643" s="133" t="str">
        <f>IFERROR(__xludf.DUMMYFUNCTION("FILTER ('Research Papers'!D:D,'Research Papers'!A:A=C643)"),"Inference Cost Attacks for Retrieval-Augmented Large Language Models")</f>
        <v>Inference Cost Attacks for Retrieval-Augmented Large Language Models</v>
      </c>
      <c r="C643" s="133" t="s">
        <v>1005</v>
      </c>
      <c r="D643" s="153" t="str">
        <f t="shared" si="1"/>
        <v>Inference Cost Attacks for Retrieval-Augmented Large Language Models
Chengliang Liu, Liangbo Ning, Yujuan Ding and Wenqi Fan
</v>
      </c>
      <c r="E643" s="153" t="str">
        <f>IFERROR(__xludf.DUMMYFUNCTION("TEXTJOIN(CHAR(10), TRUE,FILTER('Research Papers'!$C:$C,'Research Papers'!$A:$A=C643))"),"Chengliang Liu, Liangbo Ning, Yujuan Ding and Wenqi Fan")</f>
        <v>Chengliang Liu, Liangbo Ning, Yujuan Ding and Wenqi Fan</v>
      </c>
      <c r="F643" s="133" t="s">
        <v>172</v>
      </c>
      <c r="G643" s="153"/>
      <c r="H643" s="153"/>
      <c r="I643" s="120"/>
      <c r="J643" s="120"/>
      <c r="K643" s="153"/>
      <c r="L643" s="153"/>
      <c r="M643" s="153"/>
      <c r="N643" s="153"/>
      <c r="O643" s="153"/>
      <c r="P643" s="153"/>
      <c r="Q643" s="153"/>
      <c r="R643" s="153"/>
      <c r="S643" s="153"/>
      <c r="T643" s="153"/>
      <c r="U643" s="153"/>
      <c r="V643" s="153"/>
      <c r="W643" s="153"/>
      <c r="X643" s="153"/>
      <c r="Y643" s="153"/>
      <c r="Z643" s="153"/>
      <c r="AA643" s="153"/>
      <c r="AB643" s="153"/>
      <c r="AC643" s="153"/>
    </row>
    <row r="644">
      <c r="A644" s="152" t="s">
        <v>350</v>
      </c>
      <c r="B644" s="133" t="str">
        <f>IFERROR(__xludf.DUMMYFUNCTION("FILTER ('Research Papers'!D:D,'Research Papers'!A:A=C644)"),"Beyond Patches: Superpixel Token-based Transformers for Attribute-Specific Fashion Retrieval")</f>
        <v>Beyond Patches: Superpixel Token-based Transformers for Attribute-Specific Fashion Retrieval</v>
      </c>
      <c r="C644" s="133" t="s">
        <v>1006</v>
      </c>
      <c r="D644" s="153" t="str">
        <f t="shared" si="1"/>
        <v>Beyond Patches: Superpixel Token-based Transformers for Attribute-Specific Fashion Retrieval
Shuili Zhang, Hongzhang Mu, Wenyuan Zhang, Duohe Ma and
Tingwen Liu
</v>
      </c>
      <c r="E644" s="153" t="str">
        <f>IFERROR(__xludf.DUMMYFUNCTION("TEXTJOIN(CHAR(10), TRUE,FILTER('Research Papers'!$C:$C,'Research Papers'!$A:$A=C644))"),"Shuili Zhang, Hongzhang Mu, Wenyuan Zhang, Duohe Ma and
Tingwen Liu")</f>
        <v>Shuili Zhang, Hongzhang Mu, Wenyuan Zhang, Duohe Ma and
Tingwen Liu</v>
      </c>
      <c r="F644" s="133" t="s">
        <v>199</v>
      </c>
      <c r="G644" s="153"/>
      <c r="H644" s="153"/>
      <c r="I644" s="120"/>
      <c r="J644" s="120"/>
      <c r="K644" s="153"/>
      <c r="L644" s="153"/>
      <c r="M644" s="153"/>
      <c r="N644" s="153"/>
      <c r="O644" s="153"/>
      <c r="P644" s="153"/>
      <c r="Q644" s="153"/>
      <c r="R644" s="153"/>
      <c r="S644" s="153"/>
      <c r="T644" s="153"/>
      <c r="U644" s="153"/>
      <c r="V644" s="153"/>
      <c r="W644" s="153"/>
      <c r="X644" s="153"/>
      <c r="Y644" s="153"/>
      <c r="Z644" s="153"/>
      <c r="AA644" s="153"/>
      <c r="AB644" s="153"/>
      <c r="AC644" s="153"/>
    </row>
    <row r="645">
      <c r="A645" s="152" t="s">
        <v>350</v>
      </c>
      <c r="B645" s="133" t="str">
        <f>IFERROR(__xludf.DUMMYFUNCTION("FILTER ('Research Papers'!D:D,'Research Papers'!A:A=C645)"),"VarParser: Unleashing the Neglected Power of Variables for LLM-based Log Parsing")</f>
        <v>VarParser: Unleashing the Neglected Power of Variables for LLM-based Log Parsing</v>
      </c>
      <c r="C645" s="133" t="s">
        <v>1007</v>
      </c>
      <c r="D645" s="153" t="str">
        <f t="shared" si="1"/>
        <v>VarParser: Unleashing the Neglected Power of Variables for LLM-based Log Parsing
Jinrui Sun, Tong Jia, Minghua He and Ying Li
</v>
      </c>
      <c r="E645" s="153" t="str">
        <f>IFERROR(__xludf.DUMMYFUNCTION("TEXTJOIN(CHAR(10), TRUE,FILTER('Research Papers'!$C:$C,'Research Papers'!$A:$A=C645))"),"Jinrui Sun, Tong Jia, Minghua He and Ying Li")</f>
        <v>Jinrui Sun, Tong Jia, Minghua He and Ying Li</v>
      </c>
      <c r="F645" s="133" t="s">
        <v>199</v>
      </c>
      <c r="G645" s="153"/>
      <c r="H645" s="153"/>
      <c r="I645" s="120"/>
      <c r="J645" s="120"/>
      <c r="K645" s="153"/>
      <c r="L645" s="153"/>
      <c r="M645" s="153"/>
      <c r="N645" s="153"/>
      <c r="O645" s="153"/>
      <c r="P645" s="153"/>
      <c r="Q645" s="153"/>
      <c r="R645" s="153"/>
      <c r="S645" s="153"/>
      <c r="T645" s="153"/>
      <c r="U645" s="153"/>
      <c r="V645" s="153"/>
      <c r="W645" s="153"/>
      <c r="X645" s="153"/>
      <c r="Y645" s="153"/>
      <c r="Z645" s="153"/>
      <c r="AA645" s="153"/>
      <c r="AB645" s="153"/>
      <c r="AC645" s="153"/>
    </row>
    <row r="646">
      <c r="A646" s="152" t="s">
        <v>350</v>
      </c>
      <c r="B646" s="133" t="str">
        <f>IFERROR(__xludf.DUMMYFUNCTION("FILTER ('Research Papers'!D:D,'Research Papers'!A:A=C646)"),"ColorBench: Benchmarking Mobile Agents with Graph-Structured Framework for Complex Long-Horizon Tasks")</f>
        <v>ColorBench: Benchmarking Mobile Agents with Graph-Structured Framework for Complex Long-Horizon Tasks</v>
      </c>
      <c r="C646" s="133" t="s">
        <v>1008</v>
      </c>
      <c r="D646" s="153" t="str">
        <f t="shared" si="1"/>
        <v>ColorBench: Benchmarking Mobile Agents with Graph-Structured Framework for Complex Long-Horizon Tasks
Yuanyi Song, Heyuan Huang, Qiqiang Lin, Yin Zhao, Xiangmou
Qu, Jun Wang, Xingyu Lou, Weiwen Liu, Zhuosheng Zhang, Jun
Wang, Zhaoxiang Wang, Yong Yu and Weinan Zhang
</v>
      </c>
      <c r="E646" s="153" t="str">
        <f>IFERROR(__xludf.DUMMYFUNCTION("TEXTJOIN(CHAR(10), TRUE,FILTER('Research Papers'!$C:$C,'Research Papers'!$A:$A=C646))"),"Yuanyi Song, Heyuan Huang, Qiqiang Lin, Yin Zhao, Xiangmou
Qu, Jun Wang, Xingyu Lou, Weiwen Liu, Zhuosheng Zhang, Jun
Wang, Zhaoxiang Wang, Yong Yu and Weinan Zhang")</f>
        <v>Yuanyi Song, Heyuan Huang, Qiqiang Lin, Yin Zhao, Xiangmou
Qu, Jun Wang, Xingyu Lou, Weiwen Liu, Zhuosheng Zhang, Jun
Wang, Zhaoxiang Wang, Yong Yu and Weinan Zhang</v>
      </c>
      <c r="F646" s="133" t="s">
        <v>199</v>
      </c>
      <c r="G646" s="153"/>
      <c r="H646" s="153"/>
      <c r="I646" s="120"/>
      <c r="J646" s="120"/>
      <c r="K646" s="153"/>
      <c r="L646" s="153"/>
      <c r="M646" s="153"/>
      <c r="N646" s="153"/>
      <c r="O646" s="153"/>
      <c r="P646" s="153"/>
      <c r="Q646" s="153"/>
      <c r="R646" s="153"/>
      <c r="S646" s="153"/>
      <c r="T646" s="153"/>
      <c r="U646" s="153"/>
      <c r="V646" s="153"/>
      <c r="W646" s="153"/>
      <c r="X646" s="153"/>
      <c r="Y646" s="153"/>
      <c r="Z646" s="153"/>
      <c r="AA646" s="153"/>
      <c r="AB646" s="153"/>
      <c r="AC646" s="153"/>
    </row>
    <row r="647">
      <c r="A647" s="152" t="s">
        <v>350</v>
      </c>
      <c r="B647" s="133" t="str">
        <f>IFERROR(__xludf.DUMMYFUNCTION("FILTER ('Research Papers'!D:D,'Research Papers'!A:A=C647)"),"VisionST: Coordinating Cross-modal Traffic Prediction with Interactive Geo-image Encoding")</f>
        <v>VisionST: Coordinating Cross-modal Traffic Prediction with Interactive Geo-image Encoding</v>
      </c>
      <c r="C647" s="133" t="s">
        <v>1009</v>
      </c>
      <c r="D647" s="153" t="str">
        <f t="shared" si="1"/>
        <v>VisionST: Coordinating Cross-modal Traffic Prediction with Interactive Geo-image Encoding
Jinwen Chen, Hao Miao, Chenxi Liu, Yan Zhao and Kai Zheng
</v>
      </c>
      <c r="E647" s="153" t="str">
        <f>IFERROR(__xludf.DUMMYFUNCTION("TEXTJOIN(CHAR(10), TRUE,FILTER('Research Papers'!$C:$C,'Research Papers'!$A:$A=C647))"),"Jinwen Chen, Hao Miao, Chenxi Liu, Yan Zhao and Kai Zheng")</f>
        <v>Jinwen Chen, Hao Miao, Chenxi Liu, Yan Zhao and Kai Zheng</v>
      </c>
      <c r="F647" s="133" t="s">
        <v>199</v>
      </c>
      <c r="G647" s="153"/>
      <c r="H647" s="153"/>
      <c r="I647" s="120"/>
      <c r="J647" s="120"/>
      <c r="K647" s="153"/>
      <c r="L647" s="153"/>
      <c r="M647" s="153"/>
      <c r="N647" s="153"/>
      <c r="O647" s="153"/>
      <c r="P647" s="153"/>
      <c r="Q647" s="153"/>
      <c r="R647" s="153"/>
      <c r="S647" s="153"/>
      <c r="T647" s="153"/>
      <c r="U647" s="153"/>
      <c r="V647" s="153"/>
      <c r="W647" s="153"/>
      <c r="X647" s="153"/>
      <c r="Y647" s="153"/>
      <c r="Z647" s="153"/>
      <c r="AA647" s="153"/>
      <c r="AB647" s="153"/>
      <c r="AC647" s="153"/>
    </row>
    <row r="648">
      <c r="A648" s="152" t="s">
        <v>350</v>
      </c>
      <c r="B648" s="133" t="str">
        <f>IFERROR(__xludf.DUMMYFUNCTION("FILTER ('Research Papers'!D:D,'Research Papers'!A:A=C648)"),"UrbanMoE: A Sparse Multi-Modal Mixture-of-Experts Framework for Multi-Task Urban Region Profiling")</f>
        <v>UrbanMoE: A Sparse Multi-Modal Mixture-of-Experts Framework for Multi-Task Urban Region Profiling</v>
      </c>
      <c r="C648" s="133" t="s">
        <v>1010</v>
      </c>
      <c r="D648" s="153" t="str">
        <f t="shared" si="1"/>
        <v>UrbanMoE: A Sparse Multi-Modal Mixture-of-Experts Framework for Multi-Task Urban Region Profiling
Pingping Liu, Jiamiao Liu, Zijian Zhang, Hao Miao, Qi
Jiang, Qingliang Li, Qiuzhan Zhou and Irwin King
</v>
      </c>
      <c r="E648" s="153" t="str">
        <f>IFERROR(__xludf.DUMMYFUNCTION("TEXTJOIN(CHAR(10), TRUE,FILTER('Research Papers'!$C:$C,'Research Papers'!$A:$A=C648))"),"Pingping Liu, Jiamiao Liu, Zijian Zhang, Hao Miao, Qi
Jiang, Qingliang Li, Qiuzhan Zhou and Irwin King")</f>
        <v>Pingping Liu, Jiamiao Liu, Zijian Zhang, Hao Miao, Qi
Jiang, Qingliang Li, Qiuzhan Zhou and Irwin King</v>
      </c>
      <c r="F648" s="133" t="s">
        <v>199</v>
      </c>
      <c r="G648" s="153"/>
      <c r="H648" s="153"/>
      <c r="I648" s="120"/>
      <c r="J648" s="120"/>
      <c r="K648" s="153"/>
      <c r="L648" s="153"/>
      <c r="M648" s="153"/>
      <c r="N648" s="153"/>
      <c r="O648" s="153"/>
      <c r="P648" s="153"/>
      <c r="Q648" s="153"/>
      <c r="R648" s="153"/>
      <c r="S648" s="153"/>
      <c r="T648" s="153"/>
      <c r="U648" s="153"/>
      <c r="V648" s="153"/>
      <c r="W648" s="153"/>
      <c r="X648" s="153"/>
      <c r="Y648" s="153"/>
      <c r="Z648" s="153"/>
      <c r="AA648" s="153"/>
      <c r="AB648" s="153"/>
      <c r="AC648" s="153"/>
    </row>
    <row r="649">
      <c r="A649" s="152" t="s">
        <v>350</v>
      </c>
      <c r="B649" s="133" t="str">
        <f>IFERROR(__xludf.DUMMYFUNCTION("FILTER ('Research Papers'!D:D,'Research Papers'!A:A=C649)"),"Cardinality is Not Enough: Super Host Detection via Segmented Cardinality Estimation")</f>
        <v>Cardinality is Not Enough: Super Host Detection via Segmented Cardinality Estimation</v>
      </c>
      <c r="C649" s="133" t="s">
        <v>1011</v>
      </c>
      <c r="D649" s="153" t="str">
        <f t="shared" si="1"/>
        <v>Cardinality is Not Enough: Super Host Detection via Segmented Cardinality Estimation
Yilin Zhao, Jiawei Huang, Xianshi Su, Weihe Li, Xin Li, Yan
Liu, Jiacheng Xie, Qichen Su, Jin Ye, Wanchun Jiang and
Jianxin Wang
</v>
      </c>
      <c r="E649" s="153" t="str">
        <f>IFERROR(__xludf.DUMMYFUNCTION("TEXTJOIN(CHAR(10), TRUE,FILTER('Research Papers'!$C:$C,'Research Papers'!$A:$A=C649))"),"Yilin Zhao, Jiawei Huang, Xianshi Su, Weihe Li, Xin Li, Yan
Liu, Jiacheng Xie, Qichen Su, Jin Ye, Wanchun Jiang and
Jianxin Wang")</f>
        <v>Yilin Zhao, Jiawei Huang, Xianshi Su, Weihe Li, Xin Li, Yan
Liu, Jiacheng Xie, Qichen Su, Jin Ye, Wanchun Jiang and
Jianxin Wang</v>
      </c>
      <c r="F649" s="133" t="s">
        <v>227</v>
      </c>
      <c r="G649" s="133" t="s">
        <v>351</v>
      </c>
      <c r="H649" s="153"/>
      <c r="I649" s="149" t="s">
        <v>367</v>
      </c>
      <c r="J649" s="114">
        <f>COUNTIF(F:F,F649)</f>
        <v>38</v>
      </c>
      <c r="K649" s="153"/>
      <c r="L649" s="153"/>
      <c r="M649" s="153"/>
      <c r="N649" s="153"/>
      <c r="O649" s="153"/>
      <c r="P649" s="153"/>
      <c r="Q649" s="153"/>
      <c r="R649" s="153"/>
      <c r="S649" s="153"/>
      <c r="T649" s="153"/>
      <c r="U649" s="153"/>
      <c r="V649" s="153"/>
      <c r="W649" s="153"/>
      <c r="X649" s="153"/>
      <c r="Y649" s="153"/>
      <c r="Z649" s="153"/>
      <c r="AA649" s="153"/>
      <c r="AB649" s="153"/>
      <c r="AC649" s="153"/>
    </row>
    <row r="650">
      <c r="A650" s="152" t="s">
        <v>350</v>
      </c>
      <c r="B650" s="133" t="str">
        <f>IFERROR(__xludf.DUMMYFUNCTION("FILTER ('Research Papers'!D:D,'Research Papers'!A:A=C650)"),"Byte-token Enhanced Language Models for Temporal Point Processes Analysis")</f>
        <v>Byte-token Enhanced Language Models for Temporal Point Processes Analysis</v>
      </c>
      <c r="C650" s="133" t="s">
        <v>1012</v>
      </c>
      <c r="D650" s="153" t="str">
        <f t="shared" si="1"/>
        <v>Byte-token Enhanced Language Models for Temporal Point Processes Analysis
Quyu Kong, Yixuan Zhang, Yang Liu, Panrong Tong, Enqi Liu
and Feng Zhou
</v>
      </c>
      <c r="E650" s="153" t="str">
        <f>IFERROR(__xludf.DUMMYFUNCTION("TEXTJOIN(CHAR(10), TRUE,FILTER('Research Papers'!$C:$C,'Research Papers'!$A:$A=C650))"),"Quyu Kong, Yixuan Zhang, Yang Liu, Panrong Tong, Enqi Liu
and Feng Zhou")</f>
        <v>Quyu Kong, Yixuan Zhang, Yang Liu, Panrong Tong, Enqi Liu
and Feng Zhou</v>
      </c>
      <c r="F650" s="133" t="s">
        <v>227</v>
      </c>
      <c r="G650" s="133" t="s">
        <v>351</v>
      </c>
      <c r="H650" s="153"/>
      <c r="I650" s="120"/>
      <c r="J650" s="120"/>
      <c r="K650" s="153"/>
      <c r="L650" s="153"/>
      <c r="M650" s="153"/>
      <c r="N650" s="153"/>
      <c r="O650" s="153"/>
      <c r="P650" s="153"/>
      <c r="Q650" s="153"/>
      <c r="R650" s="153"/>
      <c r="S650" s="153"/>
      <c r="T650" s="153"/>
      <c r="U650" s="153"/>
      <c r="V650" s="153"/>
      <c r="W650" s="153"/>
      <c r="X650" s="153"/>
      <c r="Y650" s="153"/>
      <c r="Z650" s="153"/>
      <c r="AA650" s="153"/>
      <c r="AB650" s="153"/>
      <c r="AC650" s="153"/>
    </row>
    <row r="651">
      <c r="A651" s="152" t="s">
        <v>350</v>
      </c>
      <c r="B651" s="133" t="str">
        <f>IFERROR(__xludf.DUMMYFUNCTION("FILTER ('Research Papers'!D:D,'Research Papers'!A:A=C651)"),"Dynamic Prototype-Augmented Stance Detection: Learning from the Seen to Reason about the Unseen")</f>
        <v>Dynamic Prototype-Augmented Stance Detection: Learning from the Seen to Reason about the Unseen</v>
      </c>
      <c r="C651" s="133" t="s">
        <v>1013</v>
      </c>
      <c r="D651" s="153" t="str">
        <f t="shared" si="1"/>
        <v>Dynamic Prototype-Augmented Stance Detection: Learning from the Seen to Reason about the Unseen
Zhaodan Zhang, Jin Zhang and Jiafeng Guo
</v>
      </c>
      <c r="E651" s="153" t="str">
        <f>IFERROR(__xludf.DUMMYFUNCTION("TEXTJOIN(CHAR(10), TRUE,FILTER('Research Papers'!$C:$C,'Research Papers'!$A:$A=C651))"),"Zhaodan Zhang, Jin Zhang and Jiafeng Guo")</f>
        <v>Zhaodan Zhang, Jin Zhang and Jiafeng Guo</v>
      </c>
      <c r="F651" s="133" t="s">
        <v>227</v>
      </c>
      <c r="G651" s="133" t="s">
        <v>351</v>
      </c>
      <c r="H651" s="153"/>
      <c r="I651" s="120"/>
      <c r="J651" s="120"/>
      <c r="K651" s="153"/>
      <c r="L651" s="153"/>
      <c r="M651" s="153"/>
      <c r="N651" s="153"/>
      <c r="O651" s="153"/>
      <c r="P651" s="153"/>
      <c r="Q651" s="153"/>
      <c r="R651" s="153"/>
      <c r="S651" s="153"/>
      <c r="T651" s="153"/>
      <c r="U651" s="153"/>
      <c r="V651" s="153"/>
      <c r="W651" s="153"/>
      <c r="X651" s="153"/>
      <c r="Y651" s="153"/>
      <c r="Z651" s="153"/>
      <c r="AA651" s="153"/>
      <c r="AB651" s="153"/>
      <c r="AC651" s="153"/>
    </row>
    <row r="652">
      <c r="A652" s="152" t="s">
        <v>350</v>
      </c>
      <c r="B652" s="133" t="str">
        <f>IFERROR(__xludf.DUMMYFUNCTION("FILTER ('Research Papers'!D:D,'Research Papers'!A:A=C652)"),"Triple-R: Iterative Query Rewriting and Refinement for Retrieval-Augmented Fake News Detection")</f>
        <v>Triple-R: Iterative Query Rewriting and Refinement for Retrieval-Augmented Fake News Detection</v>
      </c>
      <c r="C652" s="133" t="s">
        <v>1014</v>
      </c>
      <c r="D652" s="153" t="str">
        <f t="shared" si="1"/>
        <v>Triple-R: Iterative Query Rewriting and Refinement for Retrieval-Augmented Fake News Detection
Jie Li, Jinrui Wang, Linmei Hu and Yuqiu Deng
</v>
      </c>
      <c r="E652" s="153" t="str">
        <f>IFERROR(__xludf.DUMMYFUNCTION("TEXTJOIN(CHAR(10), TRUE,FILTER('Research Papers'!$C:$C,'Research Papers'!$A:$A=C652))"),"Jie Li, Jinrui Wang, Linmei Hu and Yuqiu Deng")</f>
        <v>Jie Li, Jinrui Wang, Linmei Hu and Yuqiu Deng</v>
      </c>
      <c r="F652" s="133" t="s">
        <v>227</v>
      </c>
      <c r="G652" s="133" t="s">
        <v>351</v>
      </c>
      <c r="H652" s="153"/>
      <c r="I652" s="120"/>
      <c r="J652" s="120"/>
      <c r="K652" s="153"/>
      <c r="L652" s="153"/>
      <c r="M652" s="153"/>
      <c r="N652" s="153"/>
      <c r="O652" s="153"/>
      <c r="P652" s="153"/>
      <c r="Q652" s="153"/>
      <c r="R652" s="153"/>
      <c r="S652" s="153"/>
      <c r="T652" s="153"/>
      <c r="U652" s="153"/>
      <c r="V652" s="153"/>
      <c r="W652" s="153"/>
      <c r="X652" s="153"/>
      <c r="Y652" s="153"/>
      <c r="Z652" s="153"/>
      <c r="AA652" s="153"/>
      <c r="AB652" s="153"/>
      <c r="AC652" s="153"/>
    </row>
    <row r="653">
      <c r="A653" s="152" t="s">
        <v>350</v>
      </c>
      <c r="B653" s="133" t="str">
        <f>IFERROR(__xludf.DUMMYFUNCTION("FILTER ('Research Papers'!D:D,'Research Papers'!A:A=C653)"),"Expectation-Maximization Driven Contrastive Disentanglement for Generalized Category Discovery")</f>
        <v>Expectation-Maximization Driven Contrastive Disentanglement for Generalized Category Discovery</v>
      </c>
      <c r="C653" s="133" t="s">
        <v>1015</v>
      </c>
      <c r="D653" s="153" t="str">
        <f t="shared" si="1"/>
        <v>Expectation-Maximization Driven Contrastive Disentanglement for Generalized Category Discovery
Weiyi Yang, Richong Zhang, Junfan Chen, Jiawei Sheng and
Lihong Wang
</v>
      </c>
      <c r="E653" s="153" t="str">
        <f>IFERROR(__xludf.DUMMYFUNCTION("TEXTJOIN(CHAR(10), TRUE,FILTER('Research Papers'!$C:$C,'Research Papers'!$A:$A=C653))"),"Weiyi Yang, Richong Zhang, Junfan Chen, Jiawei Sheng and
Lihong Wang")</f>
        <v>Weiyi Yang, Richong Zhang, Junfan Chen, Jiawei Sheng and
Lihong Wang</v>
      </c>
      <c r="F653" s="133" t="s">
        <v>227</v>
      </c>
      <c r="G653" s="133" t="s">
        <v>351</v>
      </c>
      <c r="H653" s="153"/>
      <c r="I653" s="120"/>
      <c r="J653" s="120"/>
      <c r="K653" s="153"/>
      <c r="L653" s="153"/>
      <c r="M653" s="153"/>
      <c r="N653" s="153"/>
      <c r="O653" s="153"/>
      <c r="P653" s="153"/>
      <c r="Q653" s="153"/>
      <c r="R653" s="153"/>
      <c r="S653" s="153"/>
      <c r="T653" s="153"/>
      <c r="U653" s="153"/>
      <c r="V653" s="153"/>
      <c r="W653" s="153"/>
      <c r="X653" s="153"/>
      <c r="Y653" s="153"/>
      <c r="Z653" s="153"/>
      <c r="AA653" s="153"/>
      <c r="AB653" s="153"/>
      <c r="AC653" s="153"/>
    </row>
    <row r="654">
      <c r="A654" s="152" t="s">
        <v>350</v>
      </c>
      <c r="B654" s="133" t="str">
        <f>IFERROR(__xludf.DUMMYFUNCTION("FILTER ('Research Papers'!D:D,'Research Papers'!A:A=C654)"),"KMLP: A Scalable Hybrid Architecture for Web-Scale Tabular Data Modeling")</f>
        <v>KMLP: A Scalable Hybrid Architecture for Web-Scale Tabular Data Modeling</v>
      </c>
      <c r="C654" s="133" t="s">
        <v>1016</v>
      </c>
      <c r="D654" s="153" t="str">
        <f t="shared" si="1"/>
        <v>KMLP: A Scalable Hybrid Architecture for Web-Scale Tabular Data Modeling
Mingming Zhang, Pengfei Shi, Junbo Zhao, Ningtao Wang, Feng
Zhao, Guandong Sun, Yulin Kang, Xing Fu, Zhiqing Xiao,
Weiqiang Wang and Ruizhe Gao
</v>
      </c>
      <c r="E654" s="153" t="str">
        <f>IFERROR(__xludf.DUMMYFUNCTION("TEXTJOIN(CHAR(10), TRUE,FILTER('Research Papers'!$C:$C,'Research Papers'!$A:$A=C654))"),"Mingming Zhang, Pengfei Shi, Junbo Zhao, Ningtao Wang, Feng
Zhao, Guandong Sun, Yulin Kang, Xing Fu, Zhiqing Xiao,
Weiqiang Wang and Ruizhe Gao")</f>
        <v>Mingming Zhang, Pengfei Shi, Junbo Zhao, Ningtao Wang, Feng
Zhao, Guandong Sun, Yulin Kang, Xing Fu, Zhiqing Xiao,
Weiqiang Wang and Ruizhe Gao</v>
      </c>
      <c r="F654" s="133" t="s">
        <v>227</v>
      </c>
      <c r="G654" s="133" t="s">
        <v>351</v>
      </c>
      <c r="H654" s="153"/>
      <c r="I654" s="120"/>
      <c r="J654" s="120"/>
      <c r="K654" s="153"/>
      <c r="L654" s="153"/>
      <c r="M654" s="153"/>
      <c r="N654" s="153"/>
      <c r="O654" s="153"/>
      <c r="P654" s="153"/>
      <c r="Q654" s="153"/>
      <c r="R654" s="153"/>
      <c r="S654" s="153"/>
      <c r="T654" s="153"/>
      <c r="U654" s="153"/>
      <c r="V654" s="153"/>
      <c r="W654" s="153"/>
      <c r="X654" s="153"/>
      <c r="Y654" s="153"/>
      <c r="Z654" s="153"/>
      <c r="AA654" s="153"/>
      <c r="AB654" s="153"/>
      <c r="AC654" s="153"/>
    </row>
    <row r="655">
      <c r="A655" s="152" t="s">
        <v>350</v>
      </c>
      <c r="B655" s="133" t="str">
        <f>IFERROR(__xludf.DUMMYFUNCTION("FILTER ('Research Papers'!D:D,'Research Papers'!A:A=C655)"),"Measuring and Enhancing Human Value Alignment in Zero-Shot Document-Level Claim Extraction")</f>
        <v>Measuring and Enhancing Human Value Alignment in Zero-Shot Document-Level Claim Extraction</v>
      </c>
      <c r="C655" s="133" t="s">
        <v>1017</v>
      </c>
      <c r="D655" s="153" t="str">
        <f t="shared" si="1"/>
        <v>Measuring and Enhancing Human Value Alignment in Zero-Shot Document-Level Claim Extraction
Yuanzhen Hao and Desheng Wu
</v>
      </c>
      <c r="E655" s="153" t="str">
        <f>IFERROR(__xludf.DUMMYFUNCTION("TEXTJOIN(CHAR(10), TRUE,FILTER('Research Papers'!$C:$C,'Research Papers'!$A:$A=C655))"),"Yuanzhen Hao and Desheng Wu")</f>
        <v>Yuanzhen Hao and Desheng Wu</v>
      </c>
      <c r="F655" s="133" t="s">
        <v>227</v>
      </c>
      <c r="G655" s="133" t="s">
        <v>351</v>
      </c>
      <c r="H655" s="153"/>
      <c r="I655" s="120"/>
      <c r="J655" s="120"/>
      <c r="K655" s="153"/>
      <c r="L655" s="153"/>
      <c r="M655" s="153"/>
      <c r="N655" s="153"/>
      <c r="O655" s="153"/>
      <c r="P655" s="153"/>
      <c r="Q655" s="153"/>
      <c r="R655" s="153"/>
      <c r="S655" s="153"/>
      <c r="T655" s="153"/>
      <c r="U655" s="153"/>
      <c r="V655" s="153"/>
      <c r="W655" s="153"/>
      <c r="X655" s="153"/>
      <c r="Y655" s="153"/>
      <c r="Z655" s="153"/>
      <c r="AA655" s="153"/>
      <c r="AB655" s="153"/>
      <c r="AC655" s="153"/>
    </row>
    <row r="656">
      <c r="A656" s="152" t="s">
        <v>350</v>
      </c>
      <c r="B656" s="133" t="str">
        <f>IFERROR(__xludf.DUMMYFUNCTION("FILTER ('Research Papers'!D:D,'Research Papers'!A:A=C656)"),"Thinking Bidirectionally: A Reasoning and Self-Correction Approach for Text-Based Event Prediction with Large Language Models")</f>
        <v>Thinking Bidirectionally: A Reasoning and Self-Correction Approach for Text-Based Event Prediction with Large Language Models</v>
      </c>
      <c r="C656" s="133" t="s">
        <v>1018</v>
      </c>
      <c r="D656" s="153" t="str">
        <f t="shared" si="1"/>
        <v>Thinking Bidirectionally: A Reasoning and Self-Correction Approach for Text-Based Event Prediction with Large Language Models
Liwei Qian, Hang Zhang, Yiheng Wu, Yanmin Li, Mengna Zhu,
Lihua Liu and Jibing Wu
</v>
      </c>
      <c r="E656" s="153" t="str">
        <f>IFERROR(__xludf.DUMMYFUNCTION("TEXTJOIN(CHAR(10), TRUE,FILTER('Research Papers'!$C:$C,'Research Papers'!$A:$A=C656))"),"Liwei Qian, Hang Zhang, Yiheng Wu, Yanmin Li, Mengna Zhu,
Lihua Liu and Jibing Wu")</f>
        <v>Liwei Qian, Hang Zhang, Yiheng Wu, Yanmin Li, Mengna Zhu,
Lihua Liu and Jibing Wu</v>
      </c>
      <c r="F656" s="133" t="s">
        <v>227</v>
      </c>
      <c r="G656" s="133" t="s">
        <v>119</v>
      </c>
      <c r="H656" s="153"/>
      <c r="I656" s="120"/>
      <c r="J656" s="120"/>
      <c r="K656" s="153"/>
      <c r="L656" s="153"/>
      <c r="M656" s="153"/>
      <c r="N656" s="153"/>
      <c r="O656" s="153"/>
      <c r="P656" s="153"/>
      <c r="Q656" s="153"/>
      <c r="R656" s="153"/>
      <c r="S656" s="153"/>
      <c r="T656" s="153"/>
      <c r="U656" s="153"/>
      <c r="V656" s="153"/>
      <c r="W656" s="153"/>
      <c r="X656" s="153"/>
      <c r="Y656" s="153"/>
      <c r="Z656" s="153"/>
      <c r="AA656" s="153"/>
      <c r="AB656" s="153"/>
      <c r="AC656" s="153"/>
    </row>
    <row r="657">
      <c r="A657" s="152" t="s">
        <v>350</v>
      </c>
      <c r="B657" s="133" t="str">
        <f>IFERROR(__xludf.DUMMYFUNCTION("FILTER ('Research Papers'!D:D,'Research Papers'!A:A=C657)"),"Hyperbolic Multimodal Generative Representation Learning for Generalized Zero-Shot Multimodal Information Extraction")</f>
        <v>Hyperbolic Multimodal Generative Representation Learning for Generalized Zero-Shot Multimodal Information Extraction</v>
      </c>
      <c r="C657" s="133" t="s">
        <v>1019</v>
      </c>
      <c r="D657" s="153" t="str">
        <f t="shared" si="1"/>
        <v>Hyperbolic Multimodal Generative Representation Learning for Generalized Zero-Shot Multimodal Information Extraction
Baohang Zhou, Kehui Song, Rize Jin, Yu Zhao, Xuhui Sui,
Xinying Qian, Xingyue Guo and Ying Zhang
</v>
      </c>
      <c r="E657" s="153" t="str">
        <f>IFERROR(__xludf.DUMMYFUNCTION("TEXTJOIN(CHAR(10), TRUE,FILTER('Research Papers'!$C:$C,'Research Papers'!$A:$A=C657))"),"Baohang Zhou, Kehui Song, Rize Jin, Yu Zhao, Xuhui Sui,
Xinying Qian, Xingyue Guo and Ying Zhang")</f>
        <v>Baohang Zhou, Kehui Song, Rize Jin, Yu Zhao, Xuhui Sui,
Xinying Qian, Xingyue Guo and Ying Zhang</v>
      </c>
      <c r="F657" s="133" t="s">
        <v>227</v>
      </c>
      <c r="G657" s="133" t="s">
        <v>119</v>
      </c>
      <c r="H657" s="153"/>
      <c r="I657" s="120"/>
      <c r="J657" s="120"/>
      <c r="K657" s="153"/>
      <c r="L657" s="153"/>
      <c r="M657" s="153"/>
      <c r="N657" s="153"/>
      <c r="O657" s="153"/>
      <c r="P657" s="153"/>
      <c r="Q657" s="153"/>
      <c r="R657" s="153"/>
      <c r="S657" s="153"/>
      <c r="T657" s="153"/>
      <c r="U657" s="153"/>
      <c r="V657" s="153"/>
      <c r="W657" s="153"/>
      <c r="X657" s="153"/>
      <c r="Y657" s="153"/>
      <c r="Z657" s="153"/>
      <c r="AA657" s="153"/>
      <c r="AB657" s="153"/>
      <c r="AC657" s="153"/>
    </row>
    <row r="658">
      <c r="A658" s="152" t="s">
        <v>350</v>
      </c>
      <c r="B658" s="133" t="str">
        <f>IFERROR(__xludf.DUMMYFUNCTION("FILTER ('Research Papers'!D:D,'Research Papers'!A:A=C658)"),"MIDE: Multimodal Dialogue Emotion Recognition via Mutual Information Enhancement and Dynamic Modality Selection")</f>
        <v>MIDE: Multimodal Dialogue Emotion Recognition via Mutual Information Enhancement and Dynamic Modality Selection</v>
      </c>
      <c r="C658" s="133" t="s">
        <v>1020</v>
      </c>
      <c r="D658" s="153" t="str">
        <f t="shared" si="1"/>
        <v>MIDE: Multimodal Dialogue Emotion Recognition via Mutual Information Enhancement and Dynamic Modality Selection
Zhibo Zhang, Jianjun Li and Zhiyuan Ma
</v>
      </c>
      <c r="E658" s="153" t="str">
        <f>IFERROR(__xludf.DUMMYFUNCTION("TEXTJOIN(CHAR(10), TRUE,FILTER('Research Papers'!$C:$C,'Research Papers'!$A:$A=C658))"),"Zhibo Zhang, Jianjun Li and Zhiyuan Ma")</f>
        <v>Zhibo Zhang, Jianjun Li and Zhiyuan Ma</v>
      </c>
      <c r="F658" s="133" t="s">
        <v>227</v>
      </c>
      <c r="G658" s="133" t="s">
        <v>119</v>
      </c>
      <c r="H658" s="153"/>
      <c r="I658" s="120"/>
      <c r="J658" s="120"/>
      <c r="K658" s="153"/>
      <c r="L658" s="153"/>
      <c r="M658" s="153"/>
      <c r="N658" s="153"/>
      <c r="O658" s="153"/>
      <c r="P658" s="153"/>
      <c r="Q658" s="153"/>
      <c r="R658" s="153"/>
      <c r="S658" s="153"/>
      <c r="T658" s="153"/>
      <c r="U658" s="153"/>
      <c r="V658" s="153"/>
      <c r="W658" s="153"/>
      <c r="X658" s="153"/>
      <c r="Y658" s="153"/>
      <c r="Z658" s="153"/>
      <c r="AA658" s="153"/>
      <c r="AB658" s="153"/>
      <c r="AC658" s="153"/>
    </row>
    <row r="659">
      <c r="A659" s="152" t="s">
        <v>350</v>
      </c>
      <c r="B659" s="133" t="str">
        <f>IFERROR(__xludf.DUMMYFUNCTION("FILTER ('Research Papers'!D:D,'Research Papers'!A:A=C659)"),"GFMixer: Decoupled Temporal Gradient and Fourier-Aware Attention for Time Series Forecasting")</f>
        <v>GFMixer: Decoupled Temporal Gradient and Fourier-Aware Attention for Time Series Forecasting</v>
      </c>
      <c r="C659" s="133" t="s">
        <v>1021</v>
      </c>
      <c r="D659" s="153" t="str">
        <f t="shared" si="1"/>
        <v>GFMixer: Decoupled Temporal Gradient and Fourier-Aware Attention for Time Series Forecasting
Lin Zhang, Qing Li and Jingmei Zhao
</v>
      </c>
      <c r="E659" s="153" t="str">
        <f>IFERROR(__xludf.DUMMYFUNCTION("TEXTJOIN(CHAR(10), TRUE,FILTER('Research Papers'!$C:$C,'Research Papers'!$A:$A=C659))"),"Lin Zhang, Qing Li and Jingmei Zhao")</f>
        <v>Lin Zhang, Qing Li and Jingmei Zhao</v>
      </c>
      <c r="F659" s="133" t="s">
        <v>227</v>
      </c>
      <c r="G659" s="133" t="s">
        <v>119</v>
      </c>
      <c r="H659" s="153"/>
      <c r="I659" s="120"/>
      <c r="J659" s="120"/>
      <c r="K659" s="153"/>
      <c r="L659" s="153"/>
      <c r="M659" s="153"/>
      <c r="N659" s="153"/>
      <c r="O659" s="153"/>
      <c r="P659" s="153"/>
      <c r="Q659" s="153"/>
      <c r="R659" s="153"/>
      <c r="S659" s="153"/>
      <c r="T659" s="153"/>
      <c r="U659" s="153"/>
      <c r="V659" s="153"/>
      <c r="W659" s="153"/>
      <c r="X659" s="153"/>
      <c r="Y659" s="153"/>
      <c r="Z659" s="153"/>
      <c r="AA659" s="153"/>
      <c r="AB659" s="153"/>
      <c r="AC659" s="153"/>
    </row>
    <row r="660">
      <c r="A660" s="152" t="s">
        <v>350</v>
      </c>
      <c r="B660" s="133" t="str">
        <f>IFERROR(__xludf.DUMMYFUNCTION("FILTER ('Research Papers'!D:D,'Research Papers'!A:A=C660)"),"MIGC-CMamba: Cross-Domain Mamba with Multi-Scale Imaging and Granular-Ball Computing for Traffic Flow Prediction")</f>
        <v>MIGC-CMamba: Cross-Domain Mamba with Multi-Scale Imaging and Granular-Ball Computing for Traffic Flow Prediction</v>
      </c>
      <c r="C660" s="133" t="s">
        <v>1022</v>
      </c>
      <c r="D660" s="153" t="str">
        <f t="shared" si="1"/>
        <v>MIGC-CMamba: Cross-Domain Mamba with Multi-Scale Imaging and Granular-Ball Computing for Traffic Flow Prediction
Wenxia Chang, Chao Zhang, Wentao Li and Deyu Li
</v>
      </c>
      <c r="E660" s="153" t="str">
        <f>IFERROR(__xludf.DUMMYFUNCTION("TEXTJOIN(CHAR(10), TRUE,FILTER('Research Papers'!$C:$C,'Research Papers'!$A:$A=C660))"),"Wenxia Chang, Chao Zhang, Wentao Li and Deyu Li")</f>
        <v>Wenxia Chang, Chao Zhang, Wentao Li and Deyu Li</v>
      </c>
      <c r="F660" s="133" t="s">
        <v>227</v>
      </c>
      <c r="G660" s="133" t="s">
        <v>119</v>
      </c>
      <c r="H660" s="153"/>
      <c r="I660" s="120"/>
      <c r="J660" s="120"/>
      <c r="K660" s="153"/>
      <c r="L660" s="153"/>
      <c r="M660" s="153"/>
      <c r="N660" s="153"/>
      <c r="O660" s="153"/>
      <c r="P660" s="153"/>
      <c r="Q660" s="153"/>
      <c r="R660" s="153"/>
      <c r="S660" s="153"/>
      <c r="T660" s="153"/>
      <c r="U660" s="153"/>
      <c r="V660" s="153"/>
      <c r="W660" s="153"/>
      <c r="X660" s="153"/>
      <c r="Y660" s="153"/>
      <c r="Z660" s="153"/>
      <c r="AA660" s="153"/>
      <c r="AB660" s="153"/>
      <c r="AC660" s="153"/>
    </row>
    <row r="661">
      <c r="A661" s="152" t="s">
        <v>350</v>
      </c>
      <c r="B661" s="133" t="str">
        <f>IFERROR(__xludf.DUMMYFUNCTION("FILTER ('Research Papers'!D:D,'Research Papers'!A:A=C661)"),"STaR: Towards Effective and Stable Table Reasoning via Slow-Thinking Large Language Models")</f>
        <v>STaR: Towards Effective and Stable Table Reasoning via Slow-Thinking Large Language Models</v>
      </c>
      <c r="C661" s="133" t="s">
        <v>1023</v>
      </c>
      <c r="D661" s="153" t="str">
        <f t="shared" si="1"/>
        <v>STaR: Towards Effective and Stable Table Reasoning via Slow-Thinking Large Language Models
Huajian Zhang, Mingyue Cheng, Yucong Luo and Xiaoyu Tao
</v>
      </c>
      <c r="E661" s="153" t="str">
        <f>IFERROR(__xludf.DUMMYFUNCTION("TEXTJOIN(CHAR(10), TRUE,FILTER('Research Papers'!$C:$C,'Research Papers'!$A:$A=C661))"),"Huajian Zhang, Mingyue Cheng, Yucong Luo and Xiaoyu Tao")</f>
        <v>Huajian Zhang, Mingyue Cheng, Yucong Luo and Xiaoyu Tao</v>
      </c>
      <c r="F661" s="133" t="s">
        <v>227</v>
      </c>
      <c r="G661" s="133" t="s">
        <v>119</v>
      </c>
      <c r="H661" s="153"/>
      <c r="I661" s="120"/>
      <c r="J661" s="120"/>
      <c r="K661" s="153"/>
      <c r="L661" s="153"/>
      <c r="M661" s="153"/>
      <c r="N661" s="153"/>
      <c r="O661" s="153"/>
      <c r="P661" s="153"/>
      <c r="Q661" s="153"/>
      <c r="R661" s="153"/>
      <c r="S661" s="153"/>
      <c r="T661" s="153"/>
      <c r="U661" s="153"/>
      <c r="V661" s="153"/>
      <c r="W661" s="153"/>
      <c r="X661" s="153"/>
      <c r="Y661" s="153"/>
      <c r="Z661" s="153"/>
      <c r="AA661" s="153"/>
      <c r="AB661" s="153"/>
      <c r="AC661" s="153"/>
    </row>
    <row r="662">
      <c r="A662" s="152" t="s">
        <v>350</v>
      </c>
      <c r="B662" s="133" t="str">
        <f>IFERROR(__xludf.DUMMYFUNCTION("FILTER ('Research Papers'!D:D,'Research Papers'!A:A=C662)"),"Enhancing Large Language Models for Time-Series Forecasting via Vector-Injected In-Context Learning")</f>
        <v>Enhancing Large Language Models for Time-Series Forecasting via Vector-Injected In-Context Learning</v>
      </c>
      <c r="C662" s="133" t="s">
        <v>1024</v>
      </c>
      <c r="D662" s="153" t="str">
        <f t="shared" si="1"/>
        <v>Enhancing Large Language Models for Time-Series Forecasting via Vector-Injected In-Context Learning
Jianqi Zhang, Jingyao Wang, Wenwen Qiang, Fanjiang Xu and
Changwen Zheng
</v>
      </c>
      <c r="E662" s="153" t="str">
        <f>IFERROR(__xludf.DUMMYFUNCTION("TEXTJOIN(CHAR(10), TRUE,FILTER('Research Papers'!$C:$C,'Research Papers'!$A:$A=C662))"),"Jianqi Zhang, Jingyao Wang, Wenwen Qiang, Fanjiang Xu and
Changwen Zheng")</f>
        <v>Jianqi Zhang, Jingyao Wang, Wenwen Qiang, Fanjiang Xu and
Changwen Zheng</v>
      </c>
      <c r="F662" s="133" t="s">
        <v>227</v>
      </c>
      <c r="G662" s="133" t="s">
        <v>119</v>
      </c>
      <c r="H662" s="153"/>
      <c r="I662" s="120"/>
      <c r="J662" s="120"/>
      <c r="K662" s="153"/>
      <c r="L662" s="153"/>
      <c r="M662" s="153"/>
      <c r="N662" s="153"/>
      <c r="O662" s="153"/>
      <c r="P662" s="153"/>
      <c r="Q662" s="153"/>
      <c r="R662" s="153"/>
      <c r="S662" s="153"/>
      <c r="T662" s="153"/>
      <c r="U662" s="153"/>
      <c r="V662" s="153"/>
      <c r="W662" s="153"/>
      <c r="X662" s="153"/>
      <c r="Y662" s="153"/>
      <c r="Z662" s="153"/>
      <c r="AA662" s="153"/>
      <c r="AB662" s="153"/>
      <c r="AC662" s="153"/>
    </row>
    <row r="663">
      <c r="A663" s="152" t="s">
        <v>350</v>
      </c>
      <c r="B663" s="133" t="str">
        <f>IFERROR(__xludf.DUMMYFUNCTION("FILTER ('Research Papers'!D:D,'Research Papers'!A:A=C663)"),"Fusion Is Not A Simple Ensemble! Towards The Evolving Views in Insider Threat Detection")</f>
        <v>Fusion Is Not A Simple Ensemble! Towards The Evolving Views in Insider Threat Detection</v>
      </c>
      <c r="C663" s="133" t="s">
        <v>1025</v>
      </c>
      <c r="D663" s="153" t="str">
        <f t="shared" si="1"/>
        <v>Fusion Is Not A Simple Ensemble! Towards The Evolving Views in Insider Threat Detection
Chengyu Song, Lin Yang, Jianming Zheng, Jingjing Zhang,
Hongyu Kuang, Jinzhi Liao and Mengchun Zhao
</v>
      </c>
      <c r="E663" s="153" t="str">
        <f>IFERROR(__xludf.DUMMYFUNCTION("TEXTJOIN(CHAR(10), TRUE,FILTER('Research Papers'!$C:$C,'Research Papers'!$A:$A=C663))"),"Chengyu Song, Lin Yang, Jianming Zheng, Jingjing Zhang,
Hongyu Kuang, Jinzhi Liao and Mengchun Zhao")</f>
        <v>Chengyu Song, Lin Yang, Jianming Zheng, Jingjing Zhang,
Hongyu Kuang, Jinzhi Liao and Mengchun Zhao</v>
      </c>
      <c r="F663" s="133" t="s">
        <v>227</v>
      </c>
      <c r="G663" s="133" t="s">
        <v>352</v>
      </c>
      <c r="H663" s="153"/>
      <c r="I663" s="120"/>
      <c r="J663" s="120"/>
      <c r="K663" s="153"/>
      <c r="L663" s="153"/>
      <c r="M663" s="153"/>
      <c r="N663" s="153"/>
      <c r="O663" s="153"/>
      <c r="P663" s="153"/>
      <c r="Q663" s="153"/>
      <c r="R663" s="153"/>
      <c r="S663" s="153"/>
      <c r="T663" s="153"/>
      <c r="U663" s="153"/>
      <c r="V663" s="153"/>
      <c r="W663" s="153"/>
      <c r="X663" s="153"/>
      <c r="Y663" s="153"/>
      <c r="Z663" s="153"/>
      <c r="AA663" s="153"/>
      <c r="AB663" s="153"/>
      <c r="AC663" s="153"/>
    </row>
    <row r="664">
      <c r="A664" s="152" t="s">
        <v>350</v>
      </c>
      <c r="B664" s="133" t="str">
        <f>IFERROR(__xludf.DUMMYFUNCTION("FILTER ('Research Papers'!D:D,'Research Papers'!A:A=C664)"),"Diffusion Generative Recommendation with Continuous Tokens")</f>
        <v>Diffusion Generative Recommendation with Continuous Tokens</v>
      </c>
      <c r="C664" s="133" t="s">
        <v>1026</v>
      </c>
      <c r="D664" s="153" t="str">
        <f t="shared" si="1"/>
        <v>Diffusion Generative Recommendation with Continuous Tokens
Haohao Qu, Shanru Lin, Yujuan Ding, Yiqi Wang and Wenqi Fan
</v>
      </c>
      <c r="E664" s="153" t="str">
        <f>IFERROR(__xludf.DUMMYFUNCTION("TEXTJOIN(CHAR(10), TRUE,FILTER('Research Papers'!$C:$C,'Research Papers'!$A:$A=C664))"),"Haohao Qu, Shanru Lin, Yujuan Ding, Yiqi Wang and Wenqi Fan")</f>
        <v>Haohao Qu, Shanru Lin, Yujuan Ding, Yiqi Wang and Wenqi Fan</v>
      </c>
      <c r="F664" s="133" t="s">
        <v>227</v>
      </c>
      <c r="G664" s="133" t="s">
        <v>352</v>
      </c>
      <c r="H664" s="153"/>
      <c r="I664" s="120"/>
      <c r="J664" s="120"/>
      <c r="K664" s="153"/>
      <c r="L664" s="153"/>
      <c r="M664" s="153"/>
      <c r="N664" s="153"/>
      <c r="O664" s="153"/>
      <c r="P664" s="153"/>
      <c r="Q664" s="153"/>
      <c r="R664" s="153"/>
      <c r="S664" s="153"/>
      <c r="T664" s="153"/>
      <c r="U664" s="153"/>
      <c r="V664" s="153"/>
      <c r="W664" s="153"/>
      <c r="X664" s="153"/>
      <c r="Y664" s="153"/>
      <c r="Z664" s="153"/>
      <c r="AA664" s="153"/>
      <c r="AB664" s="153"/>
      <c r="AC664" s="153"/>
    </row>
    <row r="665">
      <c r="A665" s="152" t="s">
        <v>350</v>
      </c>
      <c r="B665" s="133" t="str">
        <f>IFERROR(__xludf.DUMMYFUNCTION("FILTER ('Research Papers'!D:D,'Research Papers'!A:A=C665)"),"EEO-TFV: Escape-Explore Optimizer for Web-Scale Time-Series Forecasting and Vision Analysis")</f>
        <v>EEO-TFV: Escape-Explore Optimizer for Web-Scale Time-Series Forecasting and Vision Analysis</v>
      </c>
      <c r="C665" s="133" t="s">
        <v>1027</v>
      </c>
      <c r="D665" s="153" t="str">
        <f t="shared" si="1"/>
        <v>EEO-TFV: Escape-Explore Optimizer for Web-Scale Time-Series Forecasting and Vision Analysis
Hua Wang, Jinghao Lu and Fan Zhang
</v>
      </c>
      <c r="E665" s="153" t="str">
        <f>IFERROR(__xludf.DUMMYFUNCTION("TEXTJOIN(CHAR(10), TRUE,FILTER('Research Papers'!$C:$C,'Research Papers'!$A:$A=C665))"),"Hua Wang, Jinghao Lu and Fan Zhang")</f>
        <v>Hua Wang, Jinghao Lu and Fan Zhang</v>
      </c>
      <c r="F665" s="133" t="s">
        <v>227</v>
      </c>
      <c r="G665" s="133" t="s">
        <v>352</v>
      </c>
      <c r="H665" s="153"/>
      <c r="I665" s="120"/>
      <c r="J665" s="120"/>
      <c r="K665" s="153"/>
      <c r="L665" s="153"/>
      <c r="M665" s="153"/>
      <c r="N665" s="153"/>
      <c r="O665" s="153"/>
      <c r="P665" s="153"/>
      <c r="Q665" s="153"/>
      <c r="R665" s="153"/>
      <c r="S665" s="153"/>
      <c r="T665" s="153"/>
      <c r="U665" s="153"/>
      <c r="V665" s="153"/>
      <c r="W665" s="153"/>
      <c r="X665" s="153"/>
      <c r="Y665" s="153"/>
      <c r="Z665" s="153"/>
      <c r="AA665" s="153"/>
      <c r="AB665" s="153"/>
      <c r="AC665" s="153"/>
    </row>
    <row r="666">
      <c r="A666" s="152" t="s">
        <v>350</v>
      </c>
      <c r="B666" s="133" t="str">
        <f>IFERROR(__xludf.DUMMYFUNCTION("FILTER ('Research Papers'!D:D,'Research Papers'!A:A=C666)"),"Towards Multi-Label Text Interpretation with Chain-of-Thought Prompting and Contextualized Knowledge")</f>
        <v>Towards Multi-Label Text Interpretation with Chain-of-Thought Prompting and Contextualized Knowledge</v>
      </c>
      <c r="C666" s="133" t="s">
        <v>1028</v>
      </c>
      <c r="D666" s="153" t="str">
        <f t="shared" si="1"/>
        <v>Towards Multi-Label Text Interpretation with Chain-of-Thought Prompting and Contextualized Knowledge
Rui Wang, Ziang Li, Haiping Huang, Jialin Yu, Yuxiang Zhou
and Guozi Sun
</v>
      </c>
      <c r="E666" s="153" t="str">
        <f>IFERROR(__xludf.DUMMYFUNCTION("TEXTJOIN(CHAR(10), TRUE,FILTER('Research Papers'!$C:$C,'Research Papers'!$A:$A=C666))"),"Rui Wang, Ziang Li, Haiping Huang, Jialin Yu, Yuxiang Zhou
and Guozi Sun")</f>
        <v>Rui Wang, Ziang Li, Haiping Huang, Jialin Yu, Yuxiang Zhou
and Guozi Sun</v>
      </c>
      <c r="F666" s="133" t="s">
        <v>227</v>
      </c>
      <c r="G666" s="133" t="s">
        <v>352</v>
      </c>
      <c r="H666" s="153"/>
      <c r="I666" s="120"/>
      <c r="J666" s="120"/>
      <c r="K666" s="153"/>
      <c r="L666" s="153"/>
      <c r="M666" s="153"/>
      <c r="N666" s="153"/>
      <c r="O666" s="153"/>
      <c r="P666" s="153"/>
      <c r="Q666" s="153"/>
      <c r="R666" s="153"/>
      <c r="S666" s="153"/>
      <c r="T666" s="153"/>
      <c r="U666" s="153"/>
      <c r="V666" s="153"/>
      <c r="W666" s="153"/>
      <c r="X666" s="153"/>
      <c r="Y666" s="153"/>
      <c r="Z666" s="153"/>
      <c r="AA666" s="153"/>
      <c r="AB666" s="153"/>
      <c r="AC666" s="153"/>
    </row>
    <row r="667">
      <c r="A667" s="152" t="s">
        <v>350</v>
      </c>
      <c r="B667" s="133" t="str">
        <f>IFERROR(__xludf.DUMMYFUNCTION("FILTER ('Research Papers'!D:D,'Research Papers'!A:A=C667)"),"Evolving Proxy Kills Drift: Data-Efficient Streaming Time Series Anomaly Detection")</f>
        <v>Evolving Proxy Kills Drift: Data-Efficient Streaming Time Series Anomaly Detection</v>
      </c>
      <c r="C667" s="133" t="s">
        <v>1029</v>
      </c>
      <c r="D667" s="153" t="str">
        <f t="shared" si="1"/>
        <v>Evolving Proxy Kills Drift: Data-Efficient Streaming Time Series Anomaly Detection
Qing Wei, Hao Miao, Yan Zhao, Kai Zheng, Bin Yang, Volker
Markl and Christian S. Jensen
</v>
      </c>
      <c r="E667" s="153" t="str">
        <f>IFERROR(__xludf.DUMMYFUNCTION("TEXTJOIN(CHAR(10), TRUE,FILTER('Research Papers'!$C:$C,'Research Papers'!$A:$A=C667))"),"Qing Wei, Hao Miao, Yan Zhao, Kai Zheng, Bin Yang, Volker
Markl and Christian S. Jensen")</f>
        <v>Qing Wei, Hao Miao, Yan Zhao, Kai Zheng, Bin Yang, Volker
Markl and Christian S. Jensen</v>
      </c>
      <c r="F667" s="133" t="s">
        <v>227</v>
      </c>
      <c r="G667" s="133" t="s">
        <v>352</v>
      </c>
      <c r="H667" s="153"/>
      <c r="I667" s="120"/>
      <c r="J667" s="120"/>
      <c r="K667" s="153"/>
      <c r="L667" s="153"/>
      <c r="M667" s="153"/>
      <c r="N667" s="153"/>
      <c r="O667" s="153"/>
      <c r="P667" s="153"/>
      <c r="Q667" s="153"/>
      <c r="R667" s="153"/>
      <c r="S667" s="153"/>
      <c r="T667" s="153"/>
      <c r="U667" s="153"/>
      <c r="V667" s="153"/>
      <c r="W667" s="153"/>
      <c r="X667" s="153"/>
      <c r="Y667" s="153"/>
      <c r="Z667" s="153"/>
      <c r="AA667" s="153"/>
      <c r="AB667" s="153"/>
      <c r="AC667" s="153"/>
    </row>
    <row r="668">
      <c r="A668" s="152" t="s">
        <v>350</v>
      </c>
      <c r="B668" s="133" t="str">
        <f>IFERROR(__xludf.DUMMYFUNCTION("FILTER ('Research Papers'!D:D,'Research Papers'!A:A=C668)"),"Shift-Resilient Diffusive Imputation for Variable Subset Forecasting")</f>
        <v>Shift-Resilient Diffusive Imputation for Variable Subset Forecasting</v>
      </c>
      <c r="C668" s="133" t="s">
        <v>1030</v>
      </c>
      <c r="D668" s="153" t="str">
        <f t="shared" si="1"/>
        <v>Shift-Resilient Diffusive Imputation for Variable Subset Forecasting
Haihua Xu, Qi Hao, He Zhang, Jianpeng Zhao, Ziyue Qiao, Lu
Jiang, Pengfei Wang, Yingjie Zhou and Pengyang Wang
</v>
      </c>
      <c r="E668" s="153" t="str">
        <f>IFERROR(__xludf.DUMMYFUNCTION("TEXTJOIN(CHAR(10), TRUE,FILTER('Research Papers'!$C:$C,'Research Papers'!$A:$A=C668))"),"Haihua Xu, Qi Hao, He Zhang, Jianpeng Zhao, Ziyue Qiao, Lu
Jiang, Pengfei Wang, Yingjie Zhou and Pengyang Wang")</f>
        <v>Haihua Xu, Qi Hao, He Zhang, Jianpeng Zhao, Ziyue Qiao, Lu
Jiang, Pengfei Wang, Yingjie Zhou and Pengyang Wang</v>
      </c>
      <c r="F668" s="133" t="s">
        <v>227</v>
      </c>
      <c r="G668" s="133" t="s">
        <v>352</v>
      </c>
      <c r="H668" s="153"/>
      <c r="I668" s="120"/>
      <c r="J668" s="120"/>
      <c r="K668" s="153"/>
      <c r="L668" s="153"/>
      <c r="M668" s="153"/>
      <c r="N668" s="153"/>
      <c r="O668" s="153"/>
      <c r="P668" s="153"/>
      <c r="Q668" s="153"/>
      <c r="R668" s="153"/>
      <c r="S668" s="153"/>
      <c r="T668" s="153"/>
      <c r="U668" s="153"/>
      <c r="V668" s="153"/>
      <c r="W668" s="153"/>
      <c r="X668" s="153"/>
      <c r="Y668" s="153"/>
      <c r="Z668" s="153"/>
      <c r="AA668" s="153"/>
      <c r="AB668" s="153"/>
      <c r="AC668" s="153"/>
    </row>
    <row r="669">
      <c r="A669" s="152" t="s">
        <v>350</v>
      </c>
      <c r="B669" s="133" t="str">
        <f>IFERROR(__xludf.DUMMYFUNCTION("FILTER ('Research Papers'!D:D,'Research Papers'!A:A=C669)"),"Leveraging LLM and Multiscale Knowledge States to Improve Knowledge Tracing in Programming Tasks")</f>
        <v>Leveraging LLM and Multiscale Knowledge States to Improve Knowledge Tracing in Programming Tasks</v>
      </c>
      <c r="C669" s="133" t="s">
        <v>1031</v>
      </c>
      <c r="D669" s="153" t="str">
        <f t="shared" si="1"/>
        <v>Leveraging LLM and Multiscale Knowledge States to Improve Knowledge Tracing in Programming Tasks
Mingxing Shao, Tiancheng Zhang, Yifang Yin, Wenhui Wu,
Zikai Li, Minghe Yu, Fangling Leng and Ge Yu
</v>
      </c>
      <c r="E669" s="153" t="str">
        <f>IFERROR(__xludf.DUMMYFUNCTION("TEXTJOIN(CHAR(10), TRUE,FILTER('Research Papers'!$C:$C,'Research Papers'!$A:$A=C669))"),"Mingxing Shao, Tiancheng Zhang, Yifang Yin, Wenhui Wu,
Zikai Li, Minghe Yu, Fangling Leng and Ge Yu")</f>
        <v>Mingxing Shao, Tiancheng Zhang, Yifang Yin, Wenhui Wu,
Zikai Li, Minghe Yu, Fangling Leng and Ge Yu</v>
      </c>
      <c r="F669" s="133" t="s">
        <v>227</v>
      </c>
      <c r="G669" s="133" t="s">
        <v>352</v>
      </c>
      <c r="H669" s="153"/>
      <c r="I669" s="120"/>
      <c r="J669" s="120"/>
      <c r="K669" s="153"/>
      <c r="L669" s="153"/>
      <c r="M669" s="153"/>
      <c r="N669" s="153"/>
      <c r="O669" s="153"/>
      <c r="P669" s="153"/>
      <c r="Q669" s="153"/>
      <c r="R669" s="153"/>
      <c r="S669" s="153"/>
      <c r="T669" s="153"/>
      <c r="U669" s="153"/>
      <c r="V669" s="153"/>
      <c r="W669" s="153"/>
      <c r="X669" s="153"/>
      <c r="Y669" s="153"/>
      <c r="Z669" s="153"/>
      <c r="AA669" s="153"/>
      <c r="AB669" s="153"/>
      <c r="AC669" s="153"/>
    </row>
    <row r="670">
      <c r="A670" s="152" t="s">
        <v>350</v>
      </c>
      <c r="B670" s="133" t="str">
        <f>IFERROR(__xludf.DUMMYFUNCTION("FILTER ('Research Papers'!D:D,'Research Papers'!A:A=C670)"),"Re-Diffusion: Modeling Latent Residuals with Diffusion for Time-Series Forecasting")</f>
        <v>Re-Diffusion: Modeling Latent Residuals with Diffusion for Time-Series Forecasting</v>
      </c>
      <c r="C670" s="133" t="s">
        <v>1032</v>
      </c>
      <c r="D670" s="153" t="str">
        <f t="shared" si="1"/>
        <v>Re-Diffusion: Modeling Latent Residuals with Diffusion for Time-Series Forecasting
Boning Zhang, Haishuai Wang, Zehong Hu, Jiajun Wang, Hongyi
Zhang and Jia Jia
</v>
      </c>
      <c r="E670" s="153" t="str">
        <f>IFERROR(__xludf.DUMMYFUNCTION("TEXTJOIN(CHAR(10), TRUE,FILTER('Research Papers'!$C:$C,'Research Papers'!$A:$A=C670))"),"Boning Zhang, Haishuai Wang, Zehong Hu, Jiajun Wang, Hongyi
Zhang and Jia Jia")</f>
        <v>Boning Zhang, Haishuai Wang, Zehong Hu, Jiajun Wang, Hongyi
Zhang and Jia Jia</v>
      </c>
      <c r="F670" s="133" t="s">
        <v>227</v>
      </c>
      <c r="G670" s="133" t="s">
        <v>352</v>
      </c>
      <c r="H670" s="153"/>
      <c r="I670" s="120"/>
      <c r="J670" s="120"/>
      <c r="K670" s="153"/>
      <c r="L670" s="153"/>
      <c r="M670" s="153"/>
      <c r="N670" s="153"/>
      <c r="O670" s="153"/>
      <c r="P670" s="153"/>
      <c r="Q670" s="153"/>
      <c r="R670" s="153"/>
      <c r="S670" s="153"/>
      <c r="T670" s="153"/>
      <c r="U670" s="153"/>
      <c r="V670" s="153"/>
      <c r="W670" s="153"/>
      <c r="X670" s="153"/>
      <c r="Y670" s="153"/>
      <c r="Z670" s="153"/>
      <c r="AA670" s="153"/>
      <c r="AB670" s="153"/>
      <c r="AC670" s="153"/>
    </row>
    <row r="671">
      <c r="A671" s="152" t="s">
        <v>350</v>
      </c>
      <c r="B671" s="133" t="str">
        <f>IFERROR(__xludf.DUMMYFUNCTION("FILTER ('Research Papers'!D:D,'Research Papers'!A:A=C671)"),"Mitigating Cognitive Vulnerabilities in Code Generation via Multi-Agent Adversarial Debate")</f>
        <v>Mitigating Cognitive Vulnerabilities in Code Generation via Multi-Agent Adversarial Debate</v>
      </c>
      <c r="C671" s="133" t="s">
        <v>1033</v>
      </c>
      <c r="D671" s="153" t="str">
        <f t="shared" si="1"/>
        <v>Mitigating Cognitive Vulnerabilities in Code Generation via Multi-Agent Adversarial Debate
Shuofu Liu, Quanjiang Guo, Xiao Liu and Ying Liu
</v>
      </c>
      <c r="E671" s="153" t="str">
        <f>IFERROR(__xludf.DUMMYFUNCTION("TEXTJOIN(CHAR(10), TRUE,FILTER('Research Papers'!$C:$C,'Research Papers'!$A:$A=C671))"),"Shuofu Liu, Quanjiang Guo, Xiao Liu and Ying Liu")</f>
        <v>Shuofu Liu, Quanjiang Guo, Xiao Liu and Ying Liu</v>
      </c>
      <c r="F671" s="133" t="s">
        <v>227</v>
      </c>
      <c r="G671" s="133" t="s">
        <v>353</v>
      </c>
      <c r="H671" s="153"/>
      <c r="I671" s="120"/>
      <c r="J671" s="120"/>
      <c r="K671" s="153"/>
      <c r="L671" s="153"/>
      <c r="M671" s="153"/>
      <c r="N671" s="153"/>
      <c r="O671" s="153"/>
      <c r="P671" s="153"/>
      <c r="Q671" s="153"/>
      <c r="R671" s="153"/>
      <c r="S671" s="153"/>
      <c r="T671" s="153"/>
      <c r="U671" s="153"/>
      <c r="V671" s="153"/>
      <c r="W671" s="153"/>
      <c r="X671" s="153"/>
      <c r="Y671" s="153"/>
      <c r="Z671" s="153"/>
      <c r="AA671" s="153"/>
      <c r="AB671" s="153"/>
      <c r="AC671" s="153"/>
    </row>
    <row r="672">
      <c r="A672" s="152" t="s">
        <v>350</v>
      </c>
      <c r="B672" s="133" t="str">
        <f>IFERROR(__xludf.DUMMYFUNCTION("FILTER ('Research Papers'!D:D,'Research Papers'!A:A=C672)"),"E2PL: Effective and Efficient Prompt Learning for Incomplete Multi-view Multi-Label Class Incremental Learning")</f>
        <v>E2PL: Effective and Efficient Prompt Learning for Incomplete Multi-view Multi-Label Class Incremental Learning</v>
      </c>
      <c r="C672" s="133" t="s">
        <v>1034</v>
      </c>
      <c r="D672" s="153" t="str">
        <f t="shared" si="1"/>
        <v>E2PL: Effective and Efficient Prompt Learning for Incomplete Multi-view Multi-Label Class Incremental Learning
Jiajun Chen, Yue Wu, Kai Huang, Wenxi Zhao, Wu Yangyang,
Xiaoye Miao, Mengying Zhu, Meng Xi and Guanjie Cheng
</v>
      </c>
      <c r="E672" s="153" t="str">
        <f>IFERROR(__xludf.DUMMYFUNCTION("TEXTJOIN(CHAR(10), TRUE,FILTER('Research Papers'!$C:$C,'Research Papers'!$A:$A=C672))"),"Jiajun Chen, Yue Wu, Kai Huang, Wenxi Zhao, Wu Yangyang,
Xiaoye Miao, Mengying Zhu, Meng Xi and Guanjie Cheng")</f>
        <v>Jiajun Chen, Yue Wu, Kai Huang, Wenxi Zhao, Wu Yangyang,
Xiaoye Miao, Mengying Zhu, Meng Xi and Guanjie Cheng</v>
      </c>
      <c r="F672" s="133" t="s">
        <v>227</v>
      </c>
      <c r="G672" s="133" t="s">
        <v>353</v>
      </c>
      <c r="H672" s="153"/>
      <c r="I672" s="120"/>
      <c r="J672" s="120"/>
      <c r="K672" s="153"/>
      <c r="L672" s="153"/>
      <c r="M672" s="153"/>
      <c r="N672" s="153"/>
      <c r="O672" s="153"/>
      <c r="P672" s="153"/>
      <c r="Q672" s="153"/>
      <c r="R672" s="153"/>
      <c r="S672" s="153"/>
      <c r="T672" s="153"/>
      <c r="U672" s="153"/>
      <c r="V672" s="153"/>
      <c r="W672" s="153"/>
      <c r="X672" s="153"/>
      <c r="Y672" s="153"/>
      <c r="Z672" s="153"/>
      <c r="AA672" s="153"/>
      <c r="AB672" s="153"/>
      <c r="AC672" s="153"/>
    </row>
    <row r="673">
      <c r="A673" s="152" t="s">
        <v>350</v>
      </c>
      <c r="B673" s="133" t="str">
        <f>IFERROR(__xludf.DUMMYFUNCTION("FILTER ('Research Papers'!D:D,'Research Papers'!A:A=C673)"),"CIDC: Cluster Identification-Guided Dual Correction for Robust Short Text Clustering")</f>
        <v>CIDC: Cluster Identification-Guided Dual Correction for Robust Short Text Clustering</v>
      </c>
      <c r="C673" s="133" t="s">
        <v>1035</v>
      </c>
      <c r="D673" s="153" t="str">
        <f t="shared" si="1"/>
        <v>CIDC: Cluster Identification-Guided Dual Correction for Robust Short Text Clustering
Yuhua Zhao, Zhixin Han, Xuan Li, Peiyu Xu, Hang Gao,
Mengting Hu and Tiegang Gao
</v>
      </c>
      <c r="E673" s="153" t="str">
        <f>IFERROR(__xludf.DUMMYFUNCTION("TEXTJOIN(CHAR(10), TRUE,FILTER('Research Papers'!$C:$C,'Research Papers'!$A:$A=C673))"),"Yuhua Zhao, Zhixin Han, Xuan Li, Peiyu Xu, Hang Gao,
Mengting Hu and Tiegang Gao")</f>
        <v>Yuhua Zhao, Zhixin Han, Xuan Li, Peiyu Xu, Hang Gao,
Mengting Hu and Tiegang Gao</v>
      </c>
      <c r="F673" s="133" t="s">
        <v>227</v>
      </c>
      <c r="G673" s="133" t="s">
        <v>353</v>
      </c>
      <c r="H673" s="153"/>
      <c r="I673" s="120"/>
      <c r="J673" s="120"/>
      <c r="K673" s="153"/>
      <c r="L673" s="153"/>
      <c r="M673" s="153"/>
      <c r="N673" s="153"/>
      <c r="O673" s="153"/>
      <c r="P673" s="153"/>
      <c r="Q673" s="153"/>
      <c r="R673" s="153"/>
      <c r="S673" s="153"/>
      <c r="T673" s="153"/>
      <c r="U673" s="153"/>
      <c r="V673" s="153"/>
      <c r="W673" s="153"/>
      <c r="X673" s="153"/>
      <c r="Y673" s="153"/>
      <c r="Z673" s="153"/>
      <c r="AA673" s="153"/>
      <c r="AB673" s="153"/>
      <c r="AC673" s="153"/>
    </row>
    <row r="674">
      <c r="A674" s="152" t="s">
        <v>350</v>
      </c>
      <c r="B674" s="133" t="str">
        <f>IFERROR(__xludf.DUMMYFUNCTION("FILTER ('Research Papers'!D:D,'Research Papers'!A:A=C674)"),"Mamba Hawkes Process for Event Sequence Modeling")</f>
        <v>Mamba Hawkes Process for Event Sequence Modeling</v>
      </c>
      <c r="C674" s="133" t="s">
        <v>1036</v>
      </c>
      <c r="D674" s="153" t="str">
        <f t="shared" si="1"/>
        <v>Mamba Hawkes Process for Event Sequence Modeling
Shan Dai, Yuyang Shen, Yuyang Liang, Chenhao Ma and
Anningzhe Gao
</v>
      </c>
      <c r="E674" s="153" t="str">
        <f>IFERROR(__xludf.DUMMYFUNCTION("TEXTJOIN(CHAR(10), TRUE,FILTER('Research Papers'!$C:$C,'Research Papers'!$A:$A=C674))"),"Shan Dai, Yuyang Shen, Yuyang Liang, Chenhao Ma and
Anningzhe Gao")</f>
        <v>Shan Dai, Yuyang Shen, Yuyang Liang, Chenhao Ma and
Anningzhe Gao</v>
      </c>
      <c r="F674" s="133" t="s">
        <v>227</v>
      </c>
      <c r="G674" s="133" t="s">
        <v>353</v>
      </c>
      <c r="H674" s="153"/>
      <c r="I674" s="120"/>
      <c r="J674" s="120"/>
      <c r="K674" s="153"/>
      <c r="L674" s="153"/>
      <c r="M674" s="153"/>
      <c r="N674" s="153"/>
      <c r="O674" s="153"/>
      <c r="P674" s="153"/>
      <c r="Q674" s="153"/>
      <c r="R674" s="153"/>
      <c r="S674" s="153"/>
      <c r="T674" s="153"/>
      <c r="U674" s="153"/>
      <c r="V674" s="153"/>
      <c r="W674" s="153"/>
      <c r="X674" s="153"/>
      <c r="Y674" s="153"/>
      <c r="Z674" s="153"/>
      <c r="AA674" s="153"/>
      <c r="AB674" s="153"/>
      <c r="AC674" s="153"/>
    </row>
    <row r="675">
      <c r="A675" s="152" t="s">
        <v>350</v>
      </c>
      <c r="B675" s="133" t="str">
        <f>IFERROR(__xludf.DUMMYFUNCTION("FILTER ('Research Papers'!D:D,'Research Papers'!A:A=C675)"),"StreamFP: Fingerprint-guided Data Selection for Efficient Stream Learning")</f>
        <v>StreamFP: Fingerprint-guided Data Selection for Efficient Stream Learning</v>
      </c>
      <c r="C675" s="133" t="s">
        <v>1037</v>
      </c>
      <c r="D675" s="153" t="str">
        <f t="shared" si="1"/>
        <v>StreamFP: Fingerprint-guided Data Selection for Efficient Stream Learning
Changwu Li, Tongjun Shi, Shuhao Zhang, Binbin Chen,
Bingsheng He, Xiaofei Liao and Hai Jin
</v>
      </c>
      <c r="E675" s="153" t="str">
        <f>IFERROR(__xludf.DUMMYFUNCTION("TEXTJOIN(CHAR(10), TRUE,FILTER('Research Papers'!$C:$C,'Research Papers'!$A:$A=C675))"),"Changwu Li, Tongjun Shi, Shuhao Zhang, Binbin Chen,
Bingsheng He, Xiaofei Liao and Hai Jin")</f>
        <v>Changwu Li, Tongjun Shi, Shuhao Zhang, Binbin Chen,
Bingsheng He, Xiaofei Liao and Hai Jin</v>
      </c>
      <c r="F675" s="133" t="s">
        <v>227</v>
      </c>
      <c r="G675" s="133" t="s">
        <v>353</v>
      </c>
      <c r="H675" s="153"/>
      <c r="I675" s="120"/>
      <c r="J675" s="120"/>
      <c r="K675" s="153"/>
      <c r="L675" s="153"/>
      <c r="M675" s="153"/>
      <c r="N675" s="153"/>
      <c r="O675" s="153"/>
      <c r="P675" s="153"/>
      <c r="Q675" s="153"/>
      <c r="R675" s="153"/>
      <c r="S675" s="153"/>
      <c r="T675" s="153"/>
      <c r="U675" s="153"/>
      <c r="V675" s="153"/>
      <c r="W675" s="153"/>
      <c r="X675" s="153"/>
      <c r="Y675" s="153"/>
      <c r="Z675" s="153"/>
      <c r="AA675" s="153"/>
      <c r="AB675" s="153"/>
      <c r="AC675" s="153"/>
    </row>
    <row r="676">
      <c r="A676" s="152" t="s">
        <v>350</v>
      </c>
      <c r="B676" s="133" t="str">
        <f>IFERROR(__xludf.DUMMYFUNCTION("FILTER ('Research Papers'!D:D,'Research Papers'!A:A=C676)"),"Interpretable Dynamic Network Modeling of Tensor Time Series via Kronecker Time-Varying Graphical Lasso")</f>
        <v>Interpretable Dynamic Network Modeling of Tensor Time Series via Kronecker Time-Varying Graphical Lasso</v>
      </c>
      <c r="C676" s="133" t="s">
        <v>1038</v>
      </c>
      <c r="D676" s="153" t="str">
        <f t="shared" si="1"/>
        <v>Interpretable Dynamic Network Modeling of Tensor Time Series via Kronecker Time-Varying Graphical Lasso
Shingo Higashiguchi, Koki Kawabata, Yasuko Matsubara and
Yasushi Sakurai
</v>
      </c>
      <c r="E676" s="153" t="str">
        <f>IFERROR(__xludf.DUMMYFUNCTION("TEXTJOIN(CHAR(10), TRUE,FILTER('Research Papers'!$C:$C,'Research Papers'!$A:$A=C676))"),"Shingo Higashiguchi, Koki Kawabata, Yasuko Matsubara and
Yasushi Sakurai")</f>
        <v>Shingo Higashiguchi, Koki Kawabata, Yasuko Matsubara and
Yasushi Sakurai</v>
      </c>
      <c r="F676" s="133" t="s">
        <v>227</v>
      </c>
      <c r="G676" s="133" t="s">
        <v>353</v>
      </c>
      <c r="H676" s="153"/>
      <c r="I676" s="120"/>
      <c r="J676" s="120"/>
      <c r="K676" s="153"/>
      <c r="L676" s="153"/>
      <c r="M676" s="153"/>
      <c r="N676" s="153"/>
      <c r="O676" s="153"/>
      <c r="P676" s="153"/>
      <c r="Q676" s="153"/>
      <c r="R676" s="153"/>
      <c r="S676" s="153"/>
      <c r="T676" s="153"/>
      <c r="U676" s="153"/>
      <c r="V676" s="153"/>
      <c r="W676" s="153"/>
      <c r="X676" s="153"/>
      <c r="Y676" s="153"/>
      <c r="Z676" s="153"/>
      <c r="AA676" s="153"/>
      <c r="AB676" s="153"/>
      <c r="AC676" s="153"/>
    </row>
    <row r="677">
      <c r="A677" s="152" t="s">
        <v>350</v>
      </c>
      <c r="B677" s="133" t="str">
        <f>IFERROR(__xludf.DUMMYFUNCTION("FILTER ('Research Papers'!D:D,'Research Papers'!A:A=C677)"),"Bias Mitigation for Harmful Meme Detection using Front-door Adjustment")</f>
        <v>Bias Mitigation for Harmful Meme Detection using Front-door Adjustment</v>
      </c>
      <c r="C677" s="133" t="s">
        <v>1039</v>
      </c>
      <c r="D677" s="153" t="str">
        <f t="shared" si="1"/>
        <v>Bias Mitigation for Harmful Meme Detection using Front-door Adjustment
Jiangfeng Zeng, Cheng Xiong, Xiao Ma and Jialin Qin
</v>
      </c>
      <c r="E677" s="153" t="str">
        <f>IFERROR(__xludf.DUMMYFUNCTION("TEXTJOIN(CHAR(10), TRUE,FILTER('Research Papers'!$C:$C,'Research Papers'!$A:$A=C677))"),"Jiangfeng Zeng, Cheng Xiong, Xiao Ma and Jialin Qin")</f>
        <v>Jiangfeng Zeng, Cheng Xiong, Xiao Ma and Jialin Qin</v>
      </c>
      <c r="F677" s="133" t="s">
        <v>227</v>
      </c>
      <c r="G677" s="133" t="s">
        <v>353</v>
      </c>
      <c r="H677" s="153"/>
      <c r="I677" s="120"/>
      <c r="J677" s="120"/>
      <c r="K677" s="153"/>
      <c r="L677" s="153"/>
      <c r="M677" s="153"/>
      <c r="N677" s="153"/>
      <c r="O677" s="153"/>
      <c r="P677" s="153"/>
      <c r="Q677" s="153"/>
      <c r="R677" s="153"/>
      <c r="S677" s="153"/>
      <c r="T677" s="153"/>
      <c r="U677" s="153"/>
      <c r="V677" s="153"/>
      <c r="W677" s="153"/>
      <c r="X677" s="153"/>
      <c r="Y677" s="153"/>
      <c r="Z677" s="153"/>
      <c r="AA677" s="153"/>
      <c r="AB677" s="153"/>
      <c r="AC677" s="153"/>
    </row>
    <row r="678">
      <c r="A678" s="152" t="s">
        <v>350</v>
      </c>
      <c r="B678" s="133" t="str">
        <f>IFERROR(__xludf.DUMMYFUNCTION("FILTER ('Research Papers'!D:D,'Research Papers'!A:A=C678)"),"VL-KGE: Vision–Language Models Meet Knowledge Graph Embeddings")</f>
        <v>VL-KGE: Vision–Language Models Meet Knowledge Graph Embeddings</v>
      </c>
      <c r="C678" s="133" t="s">
        <v>1040</v>
      </c>
      <c r="D678" s="153" t="str">
        <f t="shared" si="1"/>
        <v>VL-KGE: Vision–Language Models Meet Knowledge Graph Embeddings
Athanasios Efthymiou, Stevan Rudinac, Monika Kackovic,
Nachoem Wijnberg and Marcel Worring
</v>
      </c>
      <c r="E678" s="153" t="str">
        <f>IFERROR(__xludf.DUMMYFUNCTION("TEXTJOIN(CHAR(10), TRUE,FILTER('Research Papers'!$C:$C,'Research Papers'!$A:$A=C678))"),"Athanasios Efthymiou, Stevan Rudinac, Monika Kackovic,
Nachoem Wijnberg and Marcel Worring")</f>
        <v>Athanasios Efthymiou, Stevan Rudinac, Monika Kackovic,
Nachoem Wijnberg and Marcel Worring</v>
      </c>
      <c r="F678" s="133" t="s">
        <v>227</v>
      </c>
      <c r="G678" s="133" t="s">
        <v>353</v>
      </c>
      <c r="H678" s="153"/>
      <c r="I678" s="120"/>
      <c r="J678" s="120"/>
      <c r="K678" s="153"/>
      <c r="L678" s="153"/>
      <c r="M678" s="153"/>
      <c r="N678" s="153"/>
      <c r="O678" s="153"/>
      <c r="P678" s="153"/>
      <c r="Q678" s="153"/>
      <c r="R678" s="153"/>
      <c r="S678" s="153"/>
      <c r="T678" s="153"/>
      <c r="U678" s="153"/>
      <c r="V678" s="153"/>
      <c r="W678" s="153"/>
      <c r="X678" s="153"/>
      <c r="Y678" s="153"/>
      <c r="Z678" s="153"/>
      <c r="AA678" s="153"/>
      <c r="AB678" s="153"/>
      <c r="AC678" s="153"/>
    </row>
    <row r="679">
      <c r="A679" s="152" t="s">
        <v>350</v>
      </c>
      <c r="B679" s="133" t="str">
        <f>IFERROR(__xludf.DUMMYFUNCTION("FILTER ('Research Papers'!D:D,'Research Papers'!A:A=C679)"),"GlassMiner: Mining Looking Glass Services via Structure-Semantics Fusion for Web Observability")</f>
        <v>GlassMiner: Mining Looking Glass Services via Structure-Semantics Fusion for Web Observability</v>
      </c>
      <c r="C679" s="133" t="s">
        <v>1041</v>
      </c>
      <c r="D679" s="153" t="str">
        <f t="shared" si="1"/>
        <v>GlassMiner: Mining Looking Glass Services via Structure-Semantics Fusion for Web Observability
Yunze Wei, Xingang Shi, Han Zhang, Tianyu Zhang, Yahui Li
and Xia Yin
</v>
      </c>
      <c r="E679" s="153" t="str">
        <f>IFERROR(__xludf.DUMMYFUNCTION("TEXTJOIN(CHAR(10), TRUE,FILTER('Research Papers'!$C:$C,'Research Papers'!$A:$A=C679))"),"Yunze Wei, Xingang Shi, Han Zhang, Tianyu Zhang, Yahui Li
and Xia Yin")</f>
        <v>Yunze Wei, Xingang Shi, Han Zhang, Tianyu Zhang, Yahui Li
and Xia Yin</v>
      </c>
      <c r="F679" s="133" t="s">
        <v>227</v>
      </c>
      <c r="G679" s="133" t="s">
        <v>187</v>
      </c>
      <c r="H679" s="153"/>
      <c r="I679" s="120"/>
      <c r="J679" s="120"/>
      <c r="K679" s="153"/>
      <c r="L679" s="153"/>
      <c r="M679" s="153"/>
      <c r="N679" s="153"/>
      <c r="O679" s="153"/>
      <c r="P679" s="153"/>
      <c r="Q679" s="153"/>
      <c r="R679" s="153"/>
      <c r="S679" s="153"/>
      <c r="T679" s="153"/>
      <c r="U679" s="153"/>
      <c r="V679" s="153"/>
      <c r="W679" s="153"/>
      <c r="X679" s="153"/>
      <c r="Y679" s="153"/>
      <c r="Z679" s="153"/>
      <c r="AA679" s="153"/>
      <c r="AB679" s="153"/>
      <c r="AC679" s="153"/>
    </row>
    <row r="680">
      <c r="A680" s="152" t="s">
        <v>350</v>
      </c>
      <c r="B680" s="133" t="str">
        <f>IFERROR(__xludf.DUMMYFUNCTION("FILTER ('Research Papers'!D:D,'Research Papers'!A:A=C680)"),"From Newborn to Impact: Bias-Aware Citation Prediction")</f>
        <v>From Newborn to Impact: Bias-Aware Citation Prediction</v>
      </c>
      <c r="C680" s="133" t="s">
        <v>1042</v>
      </c>
      <c r="D680" s="153" t="str">
        <f t="shared" si="1"/>
        <v>From Newborn to Impact: Bias-Aware Citation Prediction
Mingfei Lu, Mengjia Wu, Jiawei Xu, Weikai Li, Feng Liu,
Ying Ding, Yizhou Sun, Jie Lu and Yi Zhang
</v>
      </c>
      <c r="E680" s="153" t="str">
        <f>IFERROR(__xludf.DUMMYFUNCTION("TEXTJOIN(CHAR(10), TRUE,FILTER('Research Papers'!$C:$C,'Research Papers'!$A:$A=C680))"),"Mingfei Lu, Mengjia Wu, Jiawei Xu, Weikai Li, Feng Liu,
Ying Ding, Yizhou Sun, Jie Lu and Yi Zhang")</f>
        <v>Mingfei Lu, Mengjia Wu, Jiawei Xu, Weikai Li, Feng Liu,
Ying Ding, Yizhou Sun, Jie Lu and Yi Zhang</v>
      </c>
      <c r="F680" s="133" t="s">
        <v>227</v>
      </c>
      <c r="G680" s="133" t="s">
        <v>187</v>
      </c>
      <c r="H680" s="153"/>
      <c r="I680" s="120"/>
      <c r="J680" s="120"/>
      <c r="K680" s="153"/>
      <c r="L680" s="153"/>
      <c r="M680" s="153"/>
      <c r="N680" s="153"/>
      <c r="O680" s="153"/>
      <c r="P680" s="153"/>
      <c r="Q680" s="153"/>
      <c r="R680" s="153"/>
      <c r="S680" s="153"/>
      <c r="T680" s="153"/>
      <c r="U680" s="153"/>
      <c r="V680" s="153"/>
      <c r="W680" s="153"/>
      <c r="X680" s="153"/>
      <c r="Y680" s="153"/>
      <c r="Z680" s="153"/>
      <c r="AA680" s="153"/>
      <c r="AB680" s="153"/>
      <c r="AC680" s="153"/>
    </row>
    <row r="681">
      <c r="A681" s="152" t="s">
        <v>350</v>
      </c>
      <c r="B681" s="133" t="str">
        <f>IFERROR(__xludf.DUMMYFUNCTION("FILTER ('Research Papers'!D:D,'Research Papers'!A:A=C681)"),"FedRMamba: Federated Residual Mamba for Multivariate Time-Series Forecasting")</f>
        <v>FedRMamba: Federated Residual Mamba for Multivariate Time-Series Forecasting</v>
      </c>
      <c r="C681" s="133" t="s">
        <v>1043</v>
      </c>
      <c r="D681" s="153" t="str">
        <f t="shared" si="1"/>
        <v>FedRMamba: Federated Residual Mamba for Multivariate Time-Series Forecasting
Zhiwei Hu, Liang Zhang and Guangxu Zhu
</v>
      </c>
      <c r="E681" s="153" t="str">
        <f>IFERROR(__xludf.DUMMYFUNCTION("TEXTJOIN(CHAR(10), TRUE,FILTER('Research Papers'!$C:$C,'Research Papers'!$A:$A=C681))"),"Zhiwei Hu, Liang Zhang and Guangxu Zhu")</f>
        <v>Zhiwei Hu, Liang Zhang and Guangxu Zhu</v>
      </c>
      <c r="F681" s="133" t="s">
        <v>227</v>
      </c>
      <c r="G681" s="133" t="s">
        <v>187</v>
      </c>
      <c r="H681" s="153"/>
      <c r="I681" s="120"/>
      <c r="J681" s="120"/>
      <c r="K681" s="153"/>
      <c r="L681" s="153"/>
      <c r="M681" s="153"/>
      <c r="N681" s="153"/>
      <c r="O681" s="153"/>
      <c r="P681" s="153"/>
      <c r="Q681" s="153"/>
      <c r="R681" s="153"/>
      <c r="S681" s="153"/>
      <c r="T681" s="153"/>
      <c r="U681" s="153"/>
      <c r="V681" s="153"/>
      <c r="W681" s="153"/>
      <c r="X681" s="153"/>
      <c r="Y681" s="153"/>
      <c r="Z681" s="153"/>
      <c r="AA681" s="153"/>
      <c r="AB681" s="153"/>
      <c r="AC681" s="153"/>
    </row>
    <row r="682">
      <c r="A682" s="152" t="s">
        <v>350</v>
      </c>
      <c r="B682" s="133" t="str">
        <f>IFERROR(__xludf.DUMMYFUNCTION("FILTER ('Research Papers'!D:D,'Research Papers'!A:A=C682)"),"Prompt-Induced Linguistic Fingerprints for LLM-Generated Fake News Detection")</f>
        <v>Prompt-Induced Linguistic Fingerprints for LLM-Generated Fake News Detection</v>
      </c>
      <c r="C682" s="133" t="s">
        <v>1044</v>
      </c>
      <c r="D682" s="153" t="str">
        <f t="shared" si="1"/>
        <v>Prompt-Induced Linguistic Fingerprints for LLM-Generated Fake News Detection
Chi Wang, Min Gao, Zongwei Wang, Junwei Yin, Kai Shu and
Chenghua Lin
</v>
      </c>
      <c r="E682" s="153" t="str">
        <f>IFERROR(__xludf.DUMMYFUNCTION("TEXTJOIN(CHAR(10), TRUE,FILTER('Research Papers'!$C:$C,'Research Papers'!$A:$A=C682))"),"Chi Wang, Min Gao, Zongwei Wang, Junwei Yin, Kai Shu and
Chenghua Lin")</f>
        <v>Chi Wang, Min Gao, Zongwei Wang, Junwei Yin, Kai Shu and
Chenghua Lin</v>
      </c>
      <c r="F682" s="133" t="s">
        <v>227</v>
      </c>
      <c r="G682" s="133" t="s">
        <v>187</v>
      </c>
      <c r="H682" s="153"/>
      <c r="I682" s="120"/>
      <c r="J682" s="120"/>
      <c r="K682" s="153"/>
      <c r="L682" s="153"/>
      <c r="M682" s="153"/>
      <c r="N682" s="153"/>
      <c r="O682" s="153"/>
      <c r="P682" s="153"/>
      <c r="Q682" s="153"/>
      <c r="R682" s="153"/>
      <c r="S682" s="153"/>
      <c r="T682" s="153"/>
      <c r="U682" s="153"/>
      <c r="V682" s="153"/>
      <c r="W682" s="153"/>
      <c r="X682" s="153"/>
      <c r="Y682" s="153"/>
      <c r="Z682" s="153"/>
      <c r="AA682" s="153"/>
      <c r="AB682" s="153"/>
      <c r="AC682" s="153"/>
    </row>
    <row r="683">
      <c r="A683" s="152" t="s">
        <v>350</v>
      </c>
      <c r="B683" s="133" t="str">
        <f>IFERROR(__xludf.DUMMYFUNCTION("FILTER ('Research Papers'!D:D,'Research Papers'!A:A=C683)"),"BARouter: A Budget-adaptive Online Large Language Model Router Framework")</f>
        <v>BARouter: A Budget-adaptive Online Large Language Model Router Framework</v>
      </c>
      <c r="C683" s="133" t="s">
        <v>1045</v>
      </c>
      <c r="D683" s="153" t="str">
        <f t="shared" si="1"/>
        <v>BARouter: A Budget-adaptive Online Large Language Model Router Framework
Lingkai Zu, Xiyue Peng and Xin Liu
</v>
      </c>
      <c r="E683" s="153" t="str">
        <f>IFERROR(__xludf.DUMMYFUNCTION("TEXTJOIN(CHAR(10), TRUE,FILTER('Research Papers'!$C:$C,'Research Papers'!$A:$A=C683))"),"Lingkai Zu, Xiyue Peng and Xin Liu")</f>
        <v>Lingkai Zu, Xiyue Peng and Xin Liu</v>
      </c>
      <c r="F683" s="133" t="s">
        <v>227</v>
      </c>
      <c r="G683" s="133" t="s">
        <v>187</v>
      </c>
      <c r="H683" s="153"/>
      <c r="I683" s="120"/>
      <c r="J683" s="120"/>
      <c r="K683" s="153"/>
      <c r="L683" s="153"/>
      <c r="M683" s="153"/>
      <c r="N683" s="153"/>
      <c r="O683" s="153"/>
      <c r="P683" s="153"/>
      <c r="Q683" s="153"/>
      <c r="R683" s="153"/>
      <c r="S683" s="153"/>
      <c r="T683" s="153"/>
      <c r="U683" s="153"/>
      <c r="V683" s="153"/>
      <c r="W683" s="153"/>
      <c r="X683" s="153"/>
      <c r="Y683" s="153"/>
      <c r="Z683" s="153"/>
      <c r="AA683" s="153"/>
      <c r="AB683" s="153"/>
      <c r="AC683" s="153"/>
    </row>
    <row r="684">
      <c r="A684" s="152" t="s">
        <v>350</v>
      </c>
      <c r="B684" s="133" t="str">
        <f>IFERROR(__xludf.DUMMYFUNCTION("FILTER ('Research Papers'!D:D,'Research Papers'!A:A=C684)"),"Moral Outrage Shapes Commitments Beyond Attention: Multimodal Moral Emotions on YouTube in Korea and the US")</f>
        <v>Moral Outrage Shapes Commitments Beyond Attention: Multimodal Moral Emotions on YouTube in Korea and the US</v>
      </c>
      <c r="C684" s="133" t="s">
        <v>1046</v>
      </c>
      <c r="D684" s="153" t="str">
        <f t="shared" si="1"/>
        <v>Moral Outrage Shapes Commitments Beyond Attention: Multimodal Moral Emotions on YouTube in Korea and the US
Seongchan Park, Jaehong Kim, Hyeonseung Kim, Heejin Bin,
Sue Moon and Wonjae Lee
</v>
      </c>
      <c r="E684" s="153" t="str">
        <f>IFERROR(__xludf.DUMMYFUNCTION("TEXTJOIN(CHAR(10), TRUE,FILTER('Research Papers'!$C:$C,'Research Papers'!$A:$A=C684))"),"Seongchan Park, Jaehong Kim, Hyeonseung Kim, Heejin Bin,
Sue Moon and Wonjae Lee")</f>
        <v>Seongchan Park, Jaehong Kim, Hyeonseung Kim, Heejin Bin,
Sue Moon and Wonjae Lee</v>
      </c>
      <c r="F684" s="133" t="s">
        <v>227</v>
      </c>
      <c r="G684" s="133" t="s">
        <v>187</v>
      </c>
      <c r="H684" s="153"/>
      <c r="I684" s="120"/>
      <c r="J684" s="120"/>
      <c r="K684" s="153"/>
      <c r="L684" s="153"/>
      <c r="M684" s="153"/>
      <c r="N684" s="153"/>
      <c r="O684" s="153"/>
      <c r="P684" s="153"/>
      <c r="Q684" s="153"/>
      <c r="R684" s="153"/>
      <c r="S684" s="153"/>
      <c r="T684" s="153"/>
      <c r="U684" s="153"/>
      <c r="V684" s="153"/>
      <c r="W684" s="153"/>
      <c r="X684" s="153"/>
      <c r="Y684" s="153"/>
      <c r="Z684" s="153"/>
      <c r="AA684" s="153"/>
      <c r="AB684" s="153"/>
      <c r="AC684" s="153"/>
    </row>
    <row r="685">
      <c r="A685" s="152" t="s">
        <v>350</v>
      </c>
      <c r="B685" s="133" t="str">
        <f>IFERROR(__xludf.DUMMYFUNCTION("FILTER ('Research Papers'!D:D,'Research Papers'!A:A=C685)"),"Dynamic Multi-period Experts for Online Time Series Forecasting")</f>
        <v>Dynamic Multi-period Experts for Online Time Series Forecasting</v>
      </c>
      <c r="C685" s="133" t="s">
        <v>1047</v>
      </c>
      <c r="D685" s="153" t="str">
        <f t="shared" si="1"/>
        <v>Dynamic Multi-period Experts for Online Time Series Forecasting
Seungha Hong, Sukang Chae, Suyeon Kim, Sanghwan Jang and
Hwanjo Yu
</v>
      </c>
      <c r="E685" s="153" t="str">
        <f>IFERROR(__xludf.DUMMYFUNCTION("TEXTJOIN(CHAR(10), TRUE,FILTER('Research Papers'!$C:$C,'Research Papers'!$A:$A=C685))"),"Seungha Hong, Sukang Chae, Suyeon Kim, Sanghwan Jang and
Hwanjo Yu")</f>
        <v>Seungha Hong, Sukang Chae, Suyeon Kim, Sanghwan Jang and
Hwanjo Yu</v>
      </c>
      <c r="F685" s="133" t="s">
        <v>227</v>
      </c>
      <c r="G685" s="133" t="s">
        <v>187</v>
      </c>
      <c r="H685" s="153"/>
      <c r="I685" s="120"/>
      <c r="J685" s="120"/>
      <c r="K685" s="153"/>
      <c r="L685" s="153"/>
      <c r="M685" s="153"/>
      <c r="N685" s="153"/>
      <c r="O685" s="153"/>
      <c r="P685" s="153"/>
      <c r="Q685" s="153"/>
      <c r="R685" s="153"/>
      <c r="S685" s="153"/>
      <c r="T685" s="153"/>
      <c r="U685" s="153"/>
      <c r="V685" s="153"/>
      <c r="W685" s="153"/>
      <c r="X685" s="153"/>
      <c r="Y685" s="153"/>
      <c r="Z685" s="153"/>
      <c r="AA685" s="153"/>
      <c r="AB685" s="153"/>
      <c r="AC685" s="153"/>
    </row>
    <row r="686">
      <c r="A686" s="152" t="s">
        <v>350</v>
      </c>
      <c r="B686" s="133" t="str">
        <f>IFERROR(__xludf.DUMMYFUNCTION("FILTER ('Research Papers'!D:D,'Research Papers'!A:A=C686)"),"Unlocking the Multilingual Long-Tail Web: A Fused Macro-Micro Framework for Scalable Content Analysis")</f>
        <v>Unlocking the Multilingual Long-Tail Web: A Fused Macro-Micro Framework for Scalable Content Analysis</v>
      </c>
      <c r="C686" s="133" t="s">
        <v>1048</v>
      </c>
      <c r="D686" s="153" t="str">
        <f t="shared" si="1"/>
        <v>Unlocking the Multilingual Long-Tail Web: A Fused Macro-Micro Framework for Scalable Content Analysis
Jiarui Zhang, Yifan Deng and Qihao Wang
</v>
      </c>
      <c r="E686" s="153" t="str">
        <f>IFERROR(__xludf.DUMMYFUNCTION("TEXTJOIN(CHAR(10), TRUE,FILTER('Research Papers'!$C:$C,'Research Papers'!$A:$A=C686))"),"Jiarui Zhang, Yifan Deng and Qihao Wang")</f>
        <v>Jiarui Zhang, Yifan Deng and Qihao Wang</v>
      </c>
      <c r="F686" s="133" t="s">
        <v>227</v>
      </c>
      <c r="G686" s="133" t="s">
        <v>187</v>
      </c>
      <c r="H686" s="153"/>
      <c r="I686" s="120"/>
      <c r="J686" s="120"/>
      <c r="K686" s="153"/>
      <c r="L686" s="153"/>
      <c r="M686" s="153"/>
      <c r="N686" s="153"/>
      <c r="O686" s="153"/>
      <c r="P686" s="153"/>
      <c r="Q686" s="153"/>
      <c r="R686" s="153"/>
      <c r="S686" s="153"/>
      <c r="T686" s="153"/>
      <c r="U686" s="153"/>
      <c r="V686" s="153"/>
      <c r="W686" s="153"/>
      <c r="X686" s="153"/>
      <c r="Y686" s="153"/>
      <c r="Z686" s="153"/>
      <c r="AA686" s="153"/>
      <c r="AB686" s="153"/>
      <c r="AC686" s="153"/>
    </row>
    <row r="687">
      <c r="A687" s="153"/>
      <c r="B687" s="153"/>
      <c r="C687" s="153"/>
      <c r="D687" s="153" t="str">
        <f t="shared" si="1"/>
        <v>
</v>
      </c>
      <c r="E687" s="153" t="str">
        <f>IFERROR(__xludf.DUMMYFUNCTION("TEXTJOIN(CHAR(10), TRUE,FILTER('Research Papers'!$C:$C,'Research Papers'!$A:$A=C687))"),"")</f>
        <v/>
      </c>
      <c r="F687" s="153"/>
      <c r="G687" s="153"/>
      <c r="H687" s="153"/>
      <c r="I687" s="120"/>
      <c r="J687" s="120"/>
      <c r="K687" s="153"/>
      <c r="L687" s="153"/>
      <c r="M687" s="153"/>
      <c r="N687" s="153"/>
      <c r="O687" s="153"/>
      <c r="P687" s="153"/>
      <c r="Q687" s="153"/>
      <c r="R687" s="153"/>
      <c r="S687" s="153"/>
      <c r="T687" s="153"/>
      <c r="U687" s="153"/>
      <c r="V687" s="153"/>
      <c r="W687" s="153"/>
      <c r="X687" s="153"/>
      <c r="Y687" s="153"/>
      <c r="Z687" s="153"/>
      <c r="AA687" s="153"/>
      <c r="AB687" s="153"/>
      <c r="AC687" s="153"/>
    </row>
    <row r="688">
      <c r="A688" s="153"/>
      <c r="B688" s="153"/>
      <c r="C688" s="153"/>
      <c r="D688" s="153" t="str">
        <f t="shared" si="1"/>
        <v>
</v>
      </c>
      <c r="E688" s="153"/>
      <c r="F688" s="153"/>
      <c r="G688" s="153"/>
      <c r="H688" s="153"/>
      <c r="I688" s="120"/>
      <c r="J688" s="120"/>
      <c r="K688" s="153"/>
      <c r="L688" s="153"/>
      <c r="M688" s="153"/>
      <c r="N688" s="153"/>
      <c r="O688" s="153"/>
      <c r="P688" s="153"/>
      <c r="Q688" s="153"/>
      <c r="R688" s="153"/>
      <c r="S688" s="153"/>
      <c r="T688" s="153"/>
      <c r="U688" s="153"/>
      <c r="V688" s="153"/>
      <c r="W688" s="153"/>
      <c r="X688" s="153"/>
      <c r="Y688" s="153"/>
      <c r="Z688" s="153"/>
      <c r="AA688" s="153"/>
      <c r="AB688" s="153"/>
      <c r="AC688" s="153"/>
    </row>
    <row r="689">
      <c r="A689" s="153"/>
      <c r="B689" s="153"/>
      <c r="C689" s="153"/>
      <c r="D689" s="153" t="str">
        <f t="shared" si="1"/>
        <v>
</v>
      </c>
      <c r="E689" s="153"/>
      <c r="F689" s="153"/>
      <c r="G689" s="153"/>
      <c r="H689" s="153"/>
      <c r="I689" s="120"/>
      <c r="J689" s="120"/>
      <c r="K689" s="153"/>
      <c r="L689" s="153"/>
      <c r="M689" s="153"/>
      <c r="N689" s="153"/>
      <c r="O689" s="153"/>
      <c r="P689" s="153"/>
      <c r="Q689" s="153"/>
      <c r="R689" s="153"/>
      <c r="S689" s="153"/>
      <c r="T689" s="153"/>
      <c r="U689" s="153"/>
      <c r="V689" s="153"/>
      <c r="W689" s="153"/>
      <c r="X689" s="153"/>
      <c r="Y689" s="153"/>
      <c r="Z689" s="153"/>
      <c r="AA689" s="153"/>
      <c r="AB689" s="153"/>
      <c r="AC689" s="153"/>
    </row>
    <row r="690">
      <c r="A690" s="153"/>
      <c r="B690" s="153"/>
      <c r="C690" s="153"/>
      <c r="D690" s="153" t="str">
        <f t="shared" si="1"/>
        <v>
</v>
      </c>
      <c r="E690" s="153"/>
      <c r="F690" s="153"/>
      <c r="G690" s="153"/>
      <c r="H690" s="153"/>
      <c r="I690" s="120"/>
      <c r="J690" s="120"/>
      <c r="K690" s="153"/>
      <c r="L690" s="153"/>
      <c r="M690" s="153"/>
      <c r="N690" s="153"/>
      <c r="O690" s="153"/>
      <c r="P690" s="153"/>
      <c r="Q690" s="153"/>
      <c r="R690" s="153"/>
      <c r="S690" s="153"/>
      <c r="T690" s="153"/>
      <c r="U690" s="153"/>
      <c r="V690" s="153"/>
      <c r="W690" s="153"/>
      <c r="X690" s="153"/>
      <c r="Y690" s="153"/>
      <c r="Z690" s="153"/>
      <c r="AA690" s="153"/>
      <c r="AB690" s="153"/>
      <c r="AC690" s="153"/>
    </row>
    <row r="691">
      <c r="A691" s="153"/>
      <c r="B691" s="153"/>
      <c r="C691" s="153"/>
      <c r="D691" s="153" t="str">
        <f t="shared" si="1"/>
        <v>
</v>
      </c>
      <c r="E691" s="153"/>
      <c r="F691" s="153"/>
      <c r="G691" s="153"/>
      <c r="H691" s="153"/>
      <c r="I691" s="120"/>
      <c r="J691" s="120"/>
      <c r="K691" s="153"/>
      <c r="L691" s="153"/>
      <c r="M691" s="153"/>
      <c r="N691" s="153"/>
      <c r="O691" s="153"/>
      <c r="P691" s="153"/>
      <c r="Q691" s="153"/>
      <c r="R691" s="153"/>
      <c r="S691" s="153"/>
      <c r="T691" s="153"/>
      <c r="U691" s="153"/>
      <c r="V691" s="153"/>
      <c r="W691" s="153"/>
      <c r="X691" s="153"/>
      <c r="Y691" s="153"/>
      <c r="Z691" s="153"/>
      <c r="AA691" s="153"/>
      <c r="AB691" s="153"/>
      <c r="AC691" s="153"/>
    </row>
    <row r="692">
      <c r="A692" s="153"/>
      <c r="B692" s="153"/>
      <c r="C692" s="153"/>
      <c r="D692" s="153" t="str">
        <f t="shared" si="1"/>
        <v>
</v>
      </c>
      <c r="E692" s="153"/>
      <c r="F692" s="153"/>
      <c r="G692" s="153"/>
      <c r="H692" s="153"/>
      <c r="I692" s="120"/>
      <c r="J692" s="120"/>
      <c r="K692" s="153"/>
      <c r="L692" s="153"/>
      <c r="M692" s="153"/>
      <c r="N692" s="153"/>
      <c r="O692" s="153"/>
      <c r="P692" s="153"/>
      <c r="Q692" s="153"/>
      <c r="R692" s="153"/>
      <c r="S692" s="153"/>
      <c r="T692" s="153"/>
      <c r="U692" s="153"/>
      <c r="V692" s="153"/>
      <c r="W692" s="153"/>
      <c r="X692" s="153"/>
      <c r="Y692" s="153"/>
      <c r="Z692" s="153"/>
      <c r="AA692" s="153"/>
      <c r="AB692" s="153"/>
      <c r="AC692" s="153"/>
    </row>
    <row r="693">
      <c r="A693" s="153"/>
      <c r="B693" s="153"/>
      <c r="C693" s="153"/>
      <c r="D693" s="153" t="str">
        <f t="shared" si="1"/>
        <v>
</v>
      </c>
      <c r="E693" s="153"/>
      <c r="F693" s="153"/>
      <c r="G693" s="153"/>
      <c r="H693" s="153"/>
      <c r="I693" s="120"/>
      <c r="J693" s="120"/>
      <c r="K693" s="153"/>
      <c r="L693" s="153"/>
      <c r="M693" s="153"/>
      <c r="N693" s="153"/>
      <c r="O693" s="153"/>
      <c r="P693" s="153"/>
      <c r="Q693" s="153"/>
      <c r="R693" s="153"/>
      <c r="S693" s="153"/>
      <c r="T693" s="153"/>
      <c r="U693" s="153"/>
      <c r="V693" s="153"/>
      <c r="W693" s="153"/>
      <c r="X693" s="153"/>
      <c r="Y693" s="153"/>
      <c r="Z693" s="153"/>
      <c r="AA693" s="153"/>
      <c r="AB693" s="153"/>
      <c r="AC693" s="153"/>
    </row>
    <row r="694">
      <c r="A694" s="153"/>
      <c r="B694" s="153"/>
      <c r="C694" s="153"/>
      <c r="D694" s="153" t="str">
        <f t="shared" si="1"/>
        <v>
</v>
      </c>
      <c r="E694" s="153"/>
      <c r="F694" s="153"/>
      <c r="G694" s="153"/>
      <c r="H694" s="153"/>
      <c r="I694" s="120"/>
      <c r="J694" s="120"/>
      <c r="K694" s="153"/>
      <c r="L694" s="153"/>
      <c r="M694" s="153"/>
      <c r="N694" s="153"/>
      <c r="O694" s="153"/>
      <c r="P694" s="153"/>
      <c r="Q694" s="153"/>
      <c r="R694" s="153"/>
      <c r="S694" s="153"/>
      <c r="T694" s="153"/>
      <c r="U694" s="153"/>
      <c r="V694" s="153"/>
      <c r="W694" s="153"/>
      <c r="X694" s="153"/>
      <c r="Y694" s="153"/>
      <c r="Z694" s="153"/>
      <c r="AA694" s="153"/>
      <c r="AB694" s="153"/>
      <c r="AC694" s="153"/>
    </row>
    <row r="695">
      <c r="A695" s="153"/>
      <c r="B695" s="153"/>
      <c r="C695" s="153"/>
      <c r="D695" s="153" t="str">
        <f t="shared" si="1"/>
        <v>
</v>
      </c>
      <c r="E695" s="153"/>
      <c r="F695" s="153"/>
      <c r="G695" s="153"/>
      <c r="H695" s="153"/>
      <c r="I695" s="120"/>
      <c r="J695" s="120"/>
      <c r="K695" s="153"/>
      <c r="L695" s="153"/>
      <c r="M695" s="153"/>
      <c r="N695" s="153"/>
      <c r="O695" s="153"/>
      <c r="P695" s="153"/>
      <c r="Q695" s="153"/>
      <c r="R695" s="153"/>
      <c r="S695" s="153"/>
      <c r="T695" s="153"/>
      <c r="U695" s="153"/>
      <c r="V695" s="153"/>
      <c r="W695" s="153"/>
      <c r="X695" s="153"/>
      <c r="Y695" s="153"/>
      <c r="Z695" s="153"/>
      <c r="AA695" s="153"/>
      <c r="AB695" s="153"/>
      <c r="AC695" s="153"/>
    </row>
    <row r="696">
      <c r="A696" s="153"/>
      <c r="B696" s="153"/>
      <c r="C696" s="153"/>
      <c r="D696" s="153" t="str">
        <f t="shared" si="1"/>
        <v>
</v>
      </c>
      <c r="E696" s="153"/>
      <c r="F696" s="153"/>
      <c r="G696" s="153"/>
      <c r="H696" s="153"/>
      <c r="I696" s="120"/>
      <c r="J696" s="120"/>
      <c r="K696" s="153"/>
      <c r="L696" s="153"/>
      <c r="M696" s="153"/>
      <c r="N696" s="153"/>
      <c r="O696" s="153"/>
      <c r="P696" s="153"/>
      <c r="Q696" s="153"/>
      <c r="R696" s="153"/>
      <c r="S696" s="153"/>
      <c r="T696" s="153"/>
      <c r="U696" s="153"/>
      <c r="V696" s="153"/>
      <c r="W696" s="153"/>
      <c r="X696" s="153"/>
      <c r="Y696" s="153"/>
      <c r="Z696" s="153"/>
      <c r="AA696" s="153"/>
      <c r="AB696" s="153"/>
      <c r="AC696" s="153"/>
    </row>
    <row r="697">
      <c r="A697" s="153"/>
      <c r="B697" s="153"/>
      <c r="C697" s="153"/>
      <c r="D697" s="153" t="str">
        <f t="shared" si="1"/>
        <v>
</v>
      </c>
      <c r="E697" s="153"/>
      <c r="F697" s="153"/>
      <c r="G697" s="153"/>
      <c r="H697" s="153"/>
      <c r="I697" s="120"/>
      <c r="J697" s="120"/>
      <c r="K697" s="153"/>
      <c r="L697" s="153"/>
      <c r="M697" s="153"/>
      <c r="N697" s="153"/>
      <c r="O697" s="153"/>
      <c r="P697" s="153"/>
      <c r="Q697" s="153"/>
      <c r="R697" s="153"/>
      <c r="S697" s="153"/>
      <c r="T697" s="153"/>
      <c r="U697" s="153"/>
      <c r="V697" s="153"/>
      <c r="W697" s="153"/>
      <c r="X697" s="153"/>
      <c r="Y697" s="153"/>
      <c r="Z697" s="153"/>
      <c r="AA697" s="153"/>
      <c r="AB697" s="153"/>
      <c r="AC697" s="153"/>
    </row>
    <row r="698">
      <c r="A698" s="153"/>
      <c r="B698" s="153"/>
      <c r="C698" s="153"/>
      <c r="D698" s="153" t="str">
        <f t="shared" si="1"/>
        <v>
</v>
      </c>
      <c r="E698" s="153"/>
      <c r="F698" s="153"/>
      <c r="G698" s="153"/>
      <c r="H698" s="153"/>
      <c r="I698" s="120"/>
      <c r="J698" s="120"/>
      <c r="K698" s="153"/>
      <c r="L698" s="153"/>
      <c r="M698" s="153"/>
      <c r="N698" s="153"/>
      <c r="O698" s="153"/>
      <c r="P698" s="153"/>
      <c r="Q698" s="153"/>
      <c r="R698" s="153"/>
      <c r="S698" s="153"/>
      <c r="T698" s="153"/>
      <c r="U698" s="153"/>
      <c r="V698" s="153"/>
      <c r="W698" s="153"/>
      <c r="X698" s="153"/>
      <c r="Y698" s="153"/>
      <c r="Z698" s="153"/>
      <c r="AA698" s="153"/>
      <c r="AB698" s="153"/>
      <c r="AC698" s="153"/>
    </row>
    <row r="699">
      <c r="A699" s="153"/>
      <c r="B699" s="153"/>
      <c r="C699" s="153"/>
      <c r="D699" s="153" t="str">
        <f t="shared" si="1"/>
        <v>
</v>
      </c>
      <c r="E699" s="153"/>
      <c r="F699" s="153"/>
      <c r="G699" s="153"/>
      <c r="H699" s="153"/>
      <c r="I699" s="120"/>
      <c r="J699" s="120"/>
      <c r="K699" s="153"/>
      <c r="L699" s="153"/>
      <c r="M699" s="153"/>
      <c r="N699" s="153"/>
      <c r="O699" s="153"/>
      <c r="P699" s="153"/>
      <c r="Q699" s="153"/>
      <c r="R699" s="153"/>
      <c r="S699" s="153"/>
      <c r="T699" s="153"/>
      <c r="U699" s="153"/>
      <c r="V699" s="153"/>
      <c r="W699" s="153"/>
      <c r="X699" s="153"/>
      <c r="Y699" s="153"/>
      <c r="Z699" s="153"/>
      <c r="AA699" s="153"/>
      <c r="AB699" s="153"/>
      <c r="AC699" s="153"/>
    </row>
    <row r="700">
      <c r="A700" s="153"/>
      <c r="B700" s="153"/>
      <c r="C700" s="153"/>
      <c r="D700" s="153" t="str">
        <f t="shared" si="1"/>
        <v>
</v>
      </c>
      <c r="E700" s="153"/>
      <c r="F700" s="153"/>
      <c r="G700" s="153"/>
      <c r="H700" s="153"/>
      <c r="I700" s="120"/>
      <c r="J700" s="120"/>
      <c r="K700" s="153"/>
      <c r="L700" s="153"/>
      <c r="M700" s="153"/>
      <c r="N700" s="153"/>
      <c r="O700" s="153"/>
      <c r="P700" s="153"/>
      <c r="Q700" s="153"/>
      <c r="R700" s="153"/>
      <c r="S700" s="153"/>
      <c r="T700" s="153"/>
      <c r="U700" s="153"/>
      <c r="V700" s="153"/>
      <c r="W700" s="153"/>
      <c r="X700" s="153"/>
      <c r="Y700" s="153"/>
      <c r="Z700" s="153"/>
      <c r="AA700" s="153"/>
      <c r="AB700" s="153"/>
      <c r="AC700" s="153"/>
    </row>
    <row r="701">
      <c r="A701" s="153"/>
      <c r="B701" s="153"/>
      <c r="C701" s="153"/>
      <c r="D701" s="153" t="str">
        <f t="shared" si="1"/>
        <v>
</v>
      </c>
      <c r="E701" s="153"/>
      <c r="F701" s="153"/>
      <c r="G701" s="153"/>
      <c r="H701" s="153"/>
      <c r="I701" s="120"/>
      <c r="J701" s="120"/>
      <c r="K701" s="153"/>
      <c r="L701" s="153"/>
      <c r="M701" s="153"/>
      <c r="N701" s="153"/>
      <c r="O701" s="153"/>
      <c r="P701" s="153"/>
      <c r="Q701" s="153"/>
      <c r="R701" s="153"/>
      <c r="S701" s="153"/>
      <c r="T701" s="153"/>
      <c r="U701" s="153"/>
      <c r="V701" s="153"/>
      <c r="W701" s="153"/>
      <c r="X701" s="153"/>
      <c r="Y701" s="153"/>
      <c r="Z701" s="153"/>
      <c r="AA701" s="153"/>
      <c r="AB701" s="153"/>
      <c r="AC701" s="153"/>
    </row>
    <row r="702">
      <c r="A702" s="153"/>
      <c r="B702" s="153"/>
      <c r="C702" s="153"/>
      <c r="D702" s="153" t="str">
        <f t="shared" si="1"/>
        <v>
</v>
      </c>
      <c r="E702" s="153"/>
      <c r="F702" s="153"/>
      <c r="G702" s="153"/>
      <c r="H702" s="153"/>
      <c r="I702" s="120"/>
      <c r="J702" s="120"/>
      <c r="K702" s="153"/>
      <c r="L702" s="153"/>
      <c r="M702" s="153"/>
      <c r="N702" s="153"/>
      <c r="O702" s="153"/>
      <c r="P702" s="153"/>
      <c r="Q702" s="153"/>
      <c r="R702" s="153"/>
      <c r="S702" s="153"/>
      <c r="T702" s="153"/>
      <c r="U702" s="153"/>
      <c r="V702" s="153"/>
      <c r="W702" s="153"/>
      <c r="X702" s="153"/>
      <c r="Y702" s="153"/>
      <c r="Z702" s="153"/>
      <c r="AA702" s="153"/>
      <c r="AB702" s="153"/>
      <c r="AC702" s="153"/>
    </row>
    <row r="703">
      <c r="A703" s="153"/>
      <c r="B703" s="153"/>
      <c r="C703" s="153"/>
      <c r="D703" s="153" t="str">
        <f t="shared" si="1"/>
        <v>
</v>
      </c>
      <c r="E703" s="153"/>
      <c r="F703" s="153"/>
      <c r="G703" s="153"/>
      <c r="H703" s="153"/>
      <c r="I703" s="120"/>
      <c r="J703" s="120"/>
      <c r="K703" s="153"/>
      <c r="L703" s="153"/>
      <c r="M703" s="153"/>
      <c r="N703" s="153"/>
      <c r="O703" s="153"/>
      <c r="P703" s="153"/>
      <c r="Q703" s="153"/>
      <c r="R703" s="153"/>
      <c r="S703" s="153"/>
      <c r="T703" s="153"/>
      <c r="U703" s="153"/>
      <c r="V703" s="153"/>
      <c r="W703" s="153"/>
      <c r="X703" s="153"/>
      <c r="Y703" s="153"/>
      <c r="Z703" s="153"/>
      <c r="AA703" s="153"/>
      <c r="AB703" s="153"/>
      <c r="AC703" s="153"/>
    </row>
    <row r="704">
      <c r="A704" s="153"/>
      <c r="B704" s="153"/>
      <c r="C704" s="153"/>
      <c r="D704" s="153" t="str">
        <f t="shared" si="1"/>
        <v>
</v>
      </c>
      <c r="E704" s="153"/>
      <c r="F704" s="153"/>
      <c r="G704" s="153"/>
      <c r="H704" s="153"/>
      <c r="I704" s="120"/>
      <c r="J704" s="120"/>
      <c r="K704" s="153"/>
      <c r="L704" s="153"/>
      <c r="M704" s="153"/>
      <c r="N704" s="153"/>
      <c r="O704" s="153"/>
      <c r="P704" s="153"/>
      <c r="Q704" s="153"/>
      <c r="R704" s="153"/>
      <c r="S704" s="153"/>
      <c r="T704" s="153"/>
      <c r="U704" s="153"/>
      <c r="V704" s="153"/>
      <c r="W704" s="153"/>
      <c r="X704" s="153"/>
      <c r="Y704" s="153"/>
      <c r="Z704" s="153"/>
      <c r="AA704" s="153"/>
      <c r="AB704" s="153"/>
      <c r="AC704" s="153"/>
    </row>
    <row r="705">
      <c r="A705" s="153"/>
      <c r="B705" s="153"/>
      <c r="C705" s="153"/>
      <c r="D705" s="153" t="str">
        <f t="shared" si="1"/>
        <v>
</v>
      </c>
      <c r="E705" s="153"/>
      <c r="F705" s="153"/>
      <c r="G705" s="153"/>
      <c r="H705" s="153"/>
      <c r="I705" s="120"/>
      <c r="J705" s="120"/>
      <c r="K705" s="153"/>
      <c r="L705" s="153"/>
      <c r="M705" s="153"/>
      <c r="N705" s="153"/>
      <c r="O705" s="153"/>
      <c r="P705" s="153"/>
      <c r="Q705" s="153"/>
      <c r="R705" s="153"/>
      <c r="S705" s="153"/>
      <c r="T705" s="153"/>
      <c r="U705" s="153"/>
      <c r="V705" s="153"/>
      <c r="W705" s="153"/>
      <c r="X705" s="153"/>
      <c r="Y705" s="153"/>
      <c r="Z705" s="153"/>
      <c r="AA705" s="153"/>
      <c r="AB705" s="153"/>
      <c r="AC705" s="153"/>
    </row>
    <row r="706">
      <c r="A706" s="153"/>
      <c r="B706" s="153"/>
      <c r="C706" s="153"/>
      <c r="D706" s="153" t="str">
        <f t="shared" si="1"/>
        <v>
</v>
      </c>
      <c r="E706" s="153"/>
      <c r="F706" s="153"/>
      <c r="G706" s="153"/>
      <c r="H706" s="153"/>
      <c r="I706" s="120"/>
      <c r="J706" s="120"/>
      <c r="K706" s="153"/>
      <c r="L706" s="153"/>
      <c r="M706" s="153"/>
      <c r="N706" s="153"/>
      <c r="O706" s="153"/>
      <c r="P706" s="153"/>
      <c r="Q706" s="153"/>
      <c r="R706" s="153"/>
      <c r="S706" s="153"/>
      <c r="T706" s="153"/>
      <c r="U706" s="153"/>
      <c r="V706" s="153"/>
      <c r="W706" s="153"/>
      <c r="X706" s="153"/>
      <c r="Y706" s="153"/>
      <c r="Z706" s="153"/>
      <c r="AA706" s="153"/>
      <c r="AB706" s="153"/>
      <c r="AC706" s="153"/>
    </row>
    <row r="707">
      <c r="A707" s="153"/>
      <c r="B707" s="153"/>
      <c r="C707" s="153"/>
      <c r="D707" s="153" t="str">
        <f t="shared" si="1"/>
        <v>
</v>
      </c>
      <c r="E707" s="153"/>
      <c r="F707" s="153"/>
      <c r="G707" s="153"/>
      <c r="H707" s="153"/>
      <c r="I707" s="120"/>
      <c r="J707" s="120"/>
      <c r="K707" s="153"/>
      <c r="L707" s="153"/>
      <c r="M707" s="153"/>
      <c r="N707" s="153"/>
      <c r="O707" s="153"/>
      <c r="P707" s="153"/>
      <c r="Q707" s="153"/>
      <c r="R707" s="153"/>
      <c r="S707" s="153"/>
      <c r="T707" s="153"/>
      <c r="U707" s="153"/>
      <c r="V707" s="153"/>
      <c r="W707" s="153"/>
      <c r="X707" s="153"/>
      <c r="Y707" s="153"/>
      <c r="Z707" s="153"/>
      <c r="AA707" s="153"/>
      <c r="AB707" s="153"/>
      <c r="AC707" s="153"/>
    </row>
    <row r="708">
      <c r="A708" s="153"/>
      <c r="B708" s="153"/>
      <c r="C708" s="153"/>
      <c r="D708" s="153" t="str">
        <f t="shared" si="1"/>
        <v>
</v>
      </c>
      <c r="E708" s="153"/>
      <c r="F708" s="153"/>
      <c r="G708" s="153"/>
      <c r="H708" s="153"/>
      <c r="I708" s="120"/>
      <c r="J708" s="120"/>
      <c r="K708" s="153"/>
      <c r="L708" s="153"/>
      <c r="M708" s="153"/>
      <c r="N708" s="153"/>
      <c r="O708" s="153"/>
      <c r="P708" s="153"/>
      <c r="Q708" s="153"/>
      <c r="R708" s="153"/>
      <c r="S708" s="153"/>
      <c r="T708" s="153"/>
      <c r="U708" s="153"/>
      <c r="V708" s="153"/>
      <c r="W708" s="153"/>
      <c r="X708" s="153"/>
      <c r="Y708" s="153"/>
      <c r="Z708" s="153"/>
      <c r="AA708" s="153"/>
      <c r="AB708" s="153"/>
      <c r="AC708" s="153"/>
    </row>
    <row r="709">
      <c r="A709" s="153"/>
      <c r="B709" s="153"/>
      <c r="C709" s="153"/>
      <c r="D709" s="153" t="str">
        <f t="shared" si="1"/>
        <v>
</v>
      </c>
      <c r="E709" s="153"/>
      <c r="F709" s="153"/>
      <c r="G709" s="153"/>
      <c r="H709" s="153"/>
      <c r="I709" s="120"/>
      <c r="J709" s="120"/>
      <c r="K709" s="153"/>
      <c r="L709" s="153"/>
      <c r="M709" s="153"/>
      <c r="N709" s="153"/>
      <c r="O709" s="153"/>
      <c r="P709" s="153"/>
      <c r="Q709" s="153"/>
      <c r="R709" s="153"/>
      <c r="S709" s="153"/>
      <c r="T709" s="153"/>
      <c r="U709" s="153"/>
      <c r="V709" s="153"/>
      <c r="W709" s="153"/>
      <c r="X709" s="153"/>
      <c r="Y709" s="153"/>
      <c r="Z709" s="153"/>
      <c r="AA709" s="153"/>
      <c r="AB709" s="153"/>
      <c r="AC709" s="153"/>
    </row>
    <row r="710">
      <c r="A710" s="153"/>
      <c r="B710" s="153"/>
      <c r="C710" s="153"/>
      <c r="D710" s="153" t="str">
        <f t="shared" si="1"/>
        <v>
</v>
      </c>
      <c r="E710" s="153"/>
      <c r="F710" s="153"/>
      <c r="G710" s="153"/>
      <c r="H710" s="153"/>
      <c r="I710" s="120"/>
      <c r="J710" s="120"/>
      <c r="K710" s="153"/>
      <c r="L710" s="153"/>
      <c r="M710" s="153"/>
      <c r="N710" s="153"/>
      <c r="O710" s="153"/>
      <c r="P710" s="153"/>
      <c r="Q710" s="153"/>
      <c r="R710" s="153"/>
      <c r="S710" s="153"/>
      <c r="T710" s="153"/>
      <c r="U710" s="153"/>
      <c r="V710" s="153"/>
      <c r="W710" s="153"/>
      <c r="X710" s="153"/>
      <c r="Y710" s="153"/>
      <c r="Z710" s="153"/>
      <c r="AA710" s="153"/>
      <c r="AB710" s="153"/>
      <c r="AC710" s="153"/>
    </row>
    <row r="711">
      <c r="A711" s="153"/>
      <c r="B711" s="153"/>
      <c r="C711" s="153"/>
      <c r="D711" s="153" t="str">
        <f t="shared" si="1"/>
        <v>
</v>
      </c>
      <c r="E711" s="153"/>
      <c r="F711" s="153"/>
      <c r="G711" s="153"/>
      <c r="H711" s="153"/>
      <c r="I711" s="120"/>
      <c r="J711" s="120"/>
      <c r="K711" s="153"/>
      <c r="L711" s="153"/>
      <c r="M711" s="153"/>
      <c r="N711" s="153"/>
      <c r="O711" s="153"/>
      <c r="P711" s="153"/>
      <c r="Q711" s="153"/>
      <c r="R711" s="153"/>
      <c r="S711" s="153"/>
      <c r="T711" s="153"/>
      <c r="U711" s="153"/>
      <c r="V711" s="153"/>
      <c r="W711" s="153"/>
      <c r="X711" s="153"/>
      <c r="Y711" s="153"/>
      <c r="Z711" s="153"/>
      <c r="AA711" s="153"/>
      <c r="AB711" s="153"/>
      <c r="AC711" s="153"/>
    </row>
    <row r="712">
      <c r="A712" s="153"/>
      <c r="B712" s="153"/>
      <c r="C712" s="153"/>
      <c r="D712" s="153" t="str">
        <f t="shared" si="1"/>
        <v>
</v>
      </c>
      <c r="E712" s="153"/>
      <c r="F712" s="153"/>
      <c r="G712" s="153"/>
      <c r="H712" s="153"/>
      <c r="I712" s="120"/>
      <c r="J712" s="120"/>
      <c r="K712" s="153"/>
      <c r="L712" s="153"/>
      <c r="M712" s="153"/>
      <c r="N712" s="153"/>
      <c r="O712" s="153"/>
      <c r="P712" s="153"/>
      <c r="Q712" s="153"/>
      <c r="R712" s="153"/>
      <c r="S712" s="153"/>
      <c r="T712" s="153"/>
      <c r="U712" s="153"/>
      <c r="V712" s="153"/>
      <c r="W712" s="153"/>
      <c r="X712" s="153"/>
      <c r="Y712" s="153"/>
      <c r="Z712" s="153"/>
      <c r="AA712" s="153"/>
      <c r="AB712" s="153"/>
      <c r="AC712" s="153"/>
    </row>
    <row r="713">
      <c r="A713" s="153"/>
      <c r="B713" s="153"/>
      <c r="C713" s="153"/>
      <c r="D713" s="153" t="str">
        <f t="shared" si="1"/>
        <v>
</v>
      </c>
      <c r="E713" s="153"/>
      <c r="F713" s="153"/>
      <c r="G713" s="153"/>
      <c r="H713" s="153"/>
      <c r="I713" s="120"/>
      <c r="J713" s="120"/>
      <c r="K713" s="153"/>
      <c r="L713" s="153"/>
      <c r="M713" s="153"/>
      <c r="N713" s="153"/>
      <c r="O713" s="153"/>
      <c r="P713" s="153"/>
      <c r="Q713" s="153"/>
      <c r="R713" s="153"/>
      <c r="S713" s="153"/>
      <c r="T713" s="153"/>
      <c r="U713" s="153"/>
      <c r="V713" s="153"/>
      <c r="W713" s="153"/>
      <c r="X713" s="153"/>
      <c r="Y713" s="153"/>
      <c r="Z713" s="153"/>
      <c r="AA713" s="153"/>
      <c r="AB713" s="153"/>
      <c r="AC713" s="153"/>
    </row>
    <row r="714">
      <c r="A714" s="153"/>
      <c r="B714" s="153"/>
      <c r="C714" s="153"/>
      <c r="D714" s="153" t="str">
        <f t="shared" si="1"/>
        <v>
</v>
      </c>
      <c r="E714" s="153"/>
      <c r="F714" s="153"/>
      <c r="G714" s="153"/>
      <c r="H714" s="153"/>
      <c r="I714" s="120"/>
      <c r="J714" s="120"/>
      <c r="K714" s="153"/>
      <c r="L714" s="153"/>
      <c r="M714" s="153"/>
      <c r="N714" s="153"/>
      <c r="O714" s="153"/>
      <c r="P714" s="153"/>
      <c r="Q714" s="153"/>
      <c r="R714" s="153"/>
      <c r="S714" s="153"/>
      <c r="T714" s="153"/>
      <c r="U714" s="153"/>
      <c r="V714" s="153"/>
      <c r="W714" s="153"/>
      <c r="X714" s="153"/>
      <c r="Y714" s="153"/>
      <c r="Z714" s="153"/>
      <c r="AA714" s="153"/>
      <c r="AB714" s="153"/>
      <c r="AC714" s="153"/>
    </row>
    <row r="715">
      <c r="A715" s="153"/>
      <c r="B715" s="153"/>
      <c r="C715" s="153"/>
      <c r="D715" s="153" t="str">
        <f t="shared" si="1"/>
        <v>
</v>
      </c>
      <c r="E715" s="153"/>
      <c r="F715" s="153"/>
      <c r="G715" s="153"/>
      <c r="H715" s="153"/>
      <c r="I715" s="120"/>
      <c r="J715" s="120"/>
      <c r="K715" s="153"/>
      <c r="L715" s="153"/>
      <c r="M715" s="153"/>
      <c r="N715" s="153"/>
      <c r="O715" s="153"/>
      <c r="P715" s="153"/>
      <c r="Q715" s="153"/>
      <c r="R715" s="153"/>
      <c r="S715" s="153"/>
      <c r="T715" s="153"/>
      <c r="U715" s="153"/>
      <c r="V715" s="153"/>
      <c r="W715" s="153"/>
      <c r="X715" s="153"/>
      <c r="Y715" s="153"/>
      <c r="Z715" s="153"/>
      <c r="AA715" s="153"/>
      <c r="AB715" s="153"/>
      <c r="AC715" s="153"/>
    </row>
    <row r="716">
      <c r="A716" s="153"/>
      <c r="B716" s="153"/>
      <c r="C716" s="153"/>
      <c r="D716" s="153" t="str">
        <f t="shared" si="1"/>
        <v>
</v>
      </c>
      <c r="E716" s="153"/>
      <c r="F716" s="153"/>
      <c r="G716" s="153"/>
      <c r="H716" s="153"/>
      <c r="I716" s="120"/>
      <c r="J716" s="120"/>
      <c r="K716" s="153"/>
      <c r="L716" s="153"/>
      <c r="M716" s="153"/>
      <c r="N716" s="153"/>
      <c r="O716" s="153"/>
      <c r="P716" s="153"/>
      <c r="Q716" s="153"/>
      <c r="R716" s="153"/>
      <c r="S716" s="153"/>
      <c r="T716" s="153"/>
      <c r="U716" s="153"/>
      <c r="V716" s="153"/>
      <c r="W716" s="153"/>
      <c r="X716" s="153"/>
      <c r="Y716" s="153"/>
      <c r="Z716" s="153"/>
      <c r="AA716" s="153"/>
      <c r="AB716" s="153"/>
      <c r="AC716" s="153"/>
    </row>
    <row r="717">
      <c r="A717" s="153"/>
      <c r="B717" s="153"/>
      <c r="C717" s="153"/>
      <c r="D717" s="153" t="str">
        <f t="shared" si="1"/>
        <v>
</v>
      </c>
      <c r="E717" s="153"/>
      <c r="F717" s="153"/>
      <c r="G717" s="153"/>
      <c r="H717" s="153"/>
      <c r="I717" s="120"/>
      <c r="J717" s="120"/>
      <c r="K717" s="153"/>
      <c r="L717" s="153"/>
      <c r="M717" s="153"/>
      <c r="N717" s="153"/>
      <c r="O717" s="153"/>
      <c r="P717" s="153"/>
      <c r="Q717" s="153"/>
      <c r="R717" s="153"/>
      <c r="S717" s="153"/>
      <c r="T717" s="153"/>
      <c r="U717" s="153"/>
      <c r="V717" s="153"/>
      <c r="W717" s="153"/>
      <c r="X717" s="153"/>
      <c r="Y717" s="153"/>
      <c r="Z717" s="153"/>
      <c r="AA717" s="153"/>
      <c r="AB717" s="153"/>
      <c r="AC717" s="153"/>
    </row>
    <row r="718">
      <c r="A718" s="153"/>
      <c r="B718" s="153"/>
      <c r="C718" s="153"/>
      <c r="D718" s="153" t="str">
        <f t="shared" si="1"/>
        <v>
</v>
      </c>
      <c r="E718" s="153"/>
      <c r="F718" s="153"/>
      <c r="G718" s="153"/>
      <c r="H718" s="153"/>
      <c r="I718" s="120"/>
      <c r="J718" s="120"/>
      <c r="K718" s="153"/>
      <c r="L718" s="153"/>
      <c r="M718" s="153"/>
      <c r="N718" s="153"/>
      <c r="O718" s="153"/>
      <c r="P718" s="153"/>
      <c r="Q718" s="153"/>
      <c r="R718" s="153"/>
      <c r="S718" s="153"/>
      <c r="T718" s="153"/>
      <c r="U718" s="153"/>
      <c r="V718" s="153"/>
      <c r="W718" s="153"/>
      <c r="X718" s="153"/>
      <c r="Y718" s="153"/>
      <c r="Z718" s="153"/>
      <c r="AA718" s="153"/>
      <c r="AB718" s="153"/>
      <c r="AC718" s="153"/>
    </row>
    <row r="719">
      <c r="A719" s="153"/>
      <c r="B719" s="153"/>
      <c r="C719" s="153"/>
      <c r="D719" s="153" t="str">
        <f t="shared" si="1"/>
        <v>
</v>
      </c>
      <c r="E719" s="153"/>
      <c r="F719" s="153"/>
      <c r="G719" s="153"/>
      <c r="H719" s="153"/>
      <c r="I719" s="120"/>
      <c r="J719" s="120"/>
      <c r="K719" s="153"/>
      <c r="L719" s="153"/>
      <c r="M719" s="153"/>
      <c r="N719" s="153"/>
      <c r="O719" s="153"/>
      <c r="P719" s="153"/>
      <c r="Q719" s="153"/>
      <c r="R719" s="153"/>
      <c r="S719" s="153"/>
      <c r="T719" s="153"/>
      <c r="U719" s="153"/>
      <c r="V719" s="153"/>
      <c r="W719" s="153"/>
      <c r="X719" s="153"/>
      <c r="Y719" s="153"/>
      <c r="Z719" s="153"/>
      <c r="AA719" s="153"/>
      <c r="AB719" s="153"/>
      <c r="AC719" s="153"/>
    </row>
    <row r="720">
      <c r="A720" s="153"/>
      <c r="B720" s="153"/>
      <c r="C720" s="153"/>
      <c r="D720" s="153" t="str">
        <f t="shared" si="1"/>
        <v>
</v>
      </c>
      <c r="E720" s="153"/>
      <c r="F720" s="153"/>
      <c r="G720" s="153"/>
      <c r="H720" s="153"/>
      <c r="I720" s="120"/>
      <c r="J720" s="120"/>
      <c r="K720" s="153"/>
      <c r="L720" s="153"/>
      <c r="M720" s="153"/>
      <c r="N720" s="153"/>
      <c r="O720" s="153"/>
      <c r="P720" s="153"/>
      <c r="Q720" s="153"/>
      <c r="R720" s="153"/>
      <c r="S720" s="153"/>
      <c r="T720" s="153"/>
      <c r="U720" s="153"/>
      <c r="V720" s="153"/>
      <c r="W720" s="153"/>
      <c r="X720" s="153"/>
      <c r="Y720" s="153"/>
      <c r="Z720" s="153"/>
      <c r="AA720" s="153"/>
      <c r="AB720" s="153"/>
      <c r="AC720" s="153"/>
    </row>
    <row r="721">
      <c r="A721" s="153"/>
      <c r="B721" s="153"/>
      <c r="C721" s="153"/>
      <c r="D721" s="153" t="str">
        <f t="shared" si="1"/>
        <v>
</v>
      </c>
      <c r="E721" s="153"/>
      <c r="F721" s="153"/>
      <c r="G721" s="153"/>
      <c r="H721" s="153"/>
      <c r="I721" s="120"/>
      <c r="J721" s="120"/>
      <c r="K721" s="153"/>
      <c r="L721" s="153"/>
      <c r="M721" s="153"/>
      <c r="N721" s="153"/>
      <c r="O721" s="153"/>
      <c r="P721" s="153"/>
      <c r="Q721" s="153"/>
      <c r="R721" s="153"/>
      <c r="S721" s="153"/>
      <c r="T721" s="153"/>
      <c r="U721" s="153"/>
      <c r="V721" s="153"/>
      <c r="W721" s="153"/>
      <c r="X721" s="153"/>
      <c r="Y721" s="153"/>
      <c r="Z721" s="153"/>
      <c r="AA721" s="153"/>
      <c r="AB721" s="153"/>
      <c r="AC721" s="153"/>
    </row>
    <row r="722">
      <c r="A722" s="153"/>
      <c r="B722" s="153"/>
      <c r="C722" s="153"/>
      <c r="D722" s="153" t="str">
        <f t="shared" si="1"/>
        <v>
</v>
      </c>
      <c r="E722" s="153"/>
      <c r="F722" s="153"/>
      <c r="G722" s="153"/>
      <c r="H722" s="153"/>
      <c r="I722" s="120"/>
      <c r="J722" s="120"/>
      <c r="K722" s="153"/>
      <c r="L722" s="153"/>
      <c r="M722" s="153"/>
      <c r="N722" s="153"/>
      <c r="O722" s="153"/>
      <c r="P722" s="153"/>
      <c r="Q722" s="153"/>
      <c r="R722" s="153"/>
      <c r="S722" s="153"/>
      <c r="T722" s="153"/>
      <c r="U722" s="153"/>
      <c r="V722" s="153"/>
      <c r="W722" s="153"/>
      <c r="X722" s="153"/>
      <c r="Y722" s="153"/>
      <c r="Z722" s="153"/>
      <c r="AA722" s="153"/>
      <c r="AB722" s="153"/>
      <c r="AC722" s="153"/>
    </row>
    <row r="723">
      <c r="A723" s="153"/>
      <c r="B723" s="153"/>
      <c r="C723" s="153"/>
      <c r="D723" s="153" t="str">
        <f t="shared" si="1"/>
        <v>
</v>
      </c>
      <c r="E723" s="153"/>
      <c r="F723" s="153"/>
      <c r="G723" s="153"/>
      <c r="H723" s="153"/>
      <c r="I723" s="120"/>
      <c r="J723" s="120"/>
      <c r="K723" s="153"/>
      <c r="L723" s="153"/>
      <c r="M723" s="153"/>
      <c r="N723" s="153"/>
      <c r="O723" s="153"/>
      <c r="P723" s="153"/>
      <c r="Q723" s="153"/>
      <c r="R723" s="153"/>
      <c r="S723" s="153"/>
      <c r="T723" s="153"/>
      <c r="U723" s="153"/>
      <c r="V723" s="153"/>
      <c r="W723" s="153"/>
      <c r="X723" s="153"/>
      <c r="Y723" s="153"/>
      <c r="Z723" s="153"/>
      <c r="AA723" s="153"/>
      <c r="AB723" s="153"/>
      <c r="AC723" s="153"/>
    </row>
    <row r="724">
      <c r="A724" s="153"/>
      <c r="B724" s="153"/>
      <c r="C724" s="153"/>
      <c r="D724" s="153" t="str">
        <f t="shared" si="1"/>
        <v>
</v>
      </c>
      <c r="E724" s="153"/>
      <c r="F724" s="153"/>
      <c r="G724" s="153"/>
      <c r="H724" s="153"/>
      <c r="I724" s="120"/>
      <c r="J724" s="120"/>
      <c r="K724" s="153"/>
      <c r="L724" s="153"/>
      <c r="M724" s="153"/>
      <c r="N724" s="153"/>
      <c r="O724" s="153"/>
      <c r="P724" s="153"/>
      <c r="Q724" s="153"/>
      <c r="R724" s="153"/>
      <c r="S724" s="153"/>
      <c r="T724" s="153"/>
      <c r="U724" s="153"/>
      <c r="V724" s="153"/>
      <c r="W724" s="153"/>
      <c r="X724" s="153"/>
      <c r="Y724" s="153"/>
      <c r="Z724" s="153"/>
      <c r="AA724" s="153"/>
      <c r="AB724" s="153"/>
      <c r="AC724" s="153"/>
    </row>
    <row r="725">
      <c r="A725" s="153"/>
      <c r="B725" s="153"/>
      <c r="C725" s="153"/>
      <c r="D725" s="153" t="str">
        <f t="shared" si="1"/>
        <v>
</v>
      </c>
      <c r="E725" s="153"/>
      <c r="F725" s="153"/>
      <c r="G725" s="153"/>
      <c r="H725" s="153"/>
      <c r="I725" s="120"/>
      <c r="J725" s="120"/>
      <c r="K725" s="153"/>
      <c r="L725" s="153"/>
      <c r="M725" s="153"/>
      <c r="N725" s="153"/>
      <c r="O725" s="153"/>
      <c r="P725" s="153"/>
      <c r="Q725" s="153"/>
      <c r="R725" s="153"/>
      <c r="S725" s="153"/>
      <c r="T725" s="153"/>
      <c r="U725" s="153"/>
      <c r="V725" s="153"/>
      <c r="W725" s="153"/>
      <c r="X725" s="153"/>
      <c r="Y725" s="153"/>
      <c r="Z725" s="153"/>
      <c r="AA725" s="153"/>
      <c r="AB725" s="153"/>
      <c r="AC725" s="153"/>
    </row>
    <row r="726">
      <c r="A726" s="153"/>
      <c r="B726" s="153"/>
      <c r="C726" s="153"/>
      <c r="D726" s="153" t="str">
        <f t="shared" si="1"/>
        <v>
</v>
      </c>
      <c r="E726" s="153"/>
      <c r="F726" s="153"/>
      <c r="G726" s="153"/>
      <c r="H726" s="153"/>
      <c r="I726" s="120"/>
      <c r="J726" s="120"/>
      <c r="K726" s="153"/>
      <c r="L726" s="153"/>
      <c r="M726" s="153"/>
      <c r="N726" s="153"/>
      <c r="O726" s="153"/>
      <c r="P726" s="153"/>
      <c r="Q726" s="153"/>
      <c r="R726" s="153"/>
      <c r="S726" s="153"/>
      <c r="T726" s="153"/>
      <c r="U726" s="153"/>
      <c r="V726" s="153"/>
      <c r="W726" s="153"/>
      <c r="X726" s="153"/>
      <c r="Y726" s="153"/>
      <c r="Z726" s="153"/>
      <c r="AA726" s="153"/>
      <c r="AB726" s="153"/>
      <c r="AC726" s="153"/>
    </row>
    <row r="727">
      <c r="A727" s="153"/>
      <c r="B727" s="153"/>
      <c r="C727" s="153"/>
      <c r="D727" s="153" t="str">
        <f t="shared" si="1"/>
        <v>
</v>
      </c>
      <c r="E727" s="153"/>
      <c r="F727" s="153"/>
      <c r="G727" s="153"/>
      <c r="H727" s="153"/>
      <c r="I727" s="120"/>
      <c r="J727" s="120"/>
      <c r="K727" s="153"/>
      <c r="L727" s="153"/>
      <c r="M727" s="153"/>
      <c r="N727" s="153"/>
      <c r="O727" s="153"/>
      <c r="P727" s="153"/>
      <c r="Q727" s="153"/>
      <c r="R727" s="153"/>
      <c r="S727" s="153"/>
      <c r="T727" s="153"/>
      <c r="U727" s="153"/>
      <c r="V727" s="153"/>
      <c r="W727" s="153"/>
      <c r="X727" s="153"/>
      <c r="Y727" s="153"/>
      <c r="Z727" s="153"/>
      <c r="AA727" s="153"/>
      <c r="AB727" s="153"/>
      <c r="AC727" s="153"/>
    </row>
    <row r="728">
      <c r="A728" s="153"/>
      <c r="B728" s="153"/>
      <c r="C728" s="153"/>
      <c r="D728" s="153" t="str">
        <f t="shared" si="1"/>
        <v>
</v>
      </c>
      <c r="E728" s="153"/>
      <c r="F728" s="153"/>
      <c r="G728" s="153"/>
      <c r="H728" s="153"/>
      <c r="I728" s="120"/>
      <c r="J728" s="120"/>
      <c r="K728" s="153"/>
      <c r="L728" s="153"/>
      <c r="M728" s="153"/>
      <c r="N728" s="153"/>
      <c r="O728" s="153"/>
      <c r="P728" s="153"/>
      <c r="Q728" s="153"/>
      <c r="R728" s="153"/>
      <c r="S728" s="153"/>
      <c r="T728" s="153"/>
      <c r="U728" s="153"/>
      <c r="V728" s="153"/>
      <c r="W728" s="153"/>
      <c r="X728" s="153"/>
      <c r="Y728" s="153"/>
      <c r="Z728" s="153"/>
      <c r="AA728" s="153"/>
      <c r="AB728" s="153"/>
      <c r="AC728" s="153"/>
    </row>
    <row r="729">
      <c r="A729" s="153"/>
      <c r="B729" s="153"/>
      <c r="C729" s="153"/>
      <c r="D729" s="153" t="str">
        <f t="shared" si="1"/>
        <v>
</v>
      </c>
      <c r="E729" s="153"/>
      <c r="F729" s="153"/>
      <c r="G729" s="153"/>
      <c r="H729" s="153"/>
      <c r="I729" s="120"/>
      <c r="J729" s="120"/>
      <c r="K729" s="153"/>
      <c r="L729" s="153"/>
      <c r="M729" s="153"/>
      <c r="N729" s="153"/>
      <c r="O729" s="153"/>
      <c r="P729" s="153"/>
      <c r="Q729" s="153"/>
      <c r="R729" s="153"/>
      <c r="S729" s="153"/>
      <c r="T729" s="153"/>
      <c r="U729" s="153"/>
      <c r="V729" s="153"/>
      <c r="W729" s="153"/>
      <c r="X729" s="153"/>
      <c r="Y729" s="153"/>
      <c r="Z729" s="153"/>
      <c r="AA729" s="153"/>
      <c r="AB729" s="153"/>
      <c r="AC729" s="153"/>
    </row>
    <row r="730">
      <c r="A730" s="153"/>
      <c r="B730" s="153"/>
      <c r="C730" s="153"/>
      <c r="D730" s="153" t="str">
        <f t="shared" si="1"/>
        <v>
</v>
      </c>
      <c r="E730" s="153"/>
      <c r="F730" s="153"/>
      <c r="G730" s="153"/>
      <c r="H730" s="153"/>
      <c r="I730" s="120"/>
      <c r="J730" s="120"/>
      <c r="K730" s="153"/>
      <c r="L730" s="153"/>
      <c r="M730" s="153"/>
      <c r="N730" s="153"/>
      <c r="O730" s="153"/>
      <c r="P730" s="153"/>
      <c r="Q730" s="153"/>
      <c r="R730" s="153"/>
      <c r="S730" s="153"/>
      <c r="T730" s="153"/>
      <c r="U730" s="153"/>
      <c r="V730" s="153"/>
      <c r="W730" s="153"/>
      <c r="X730" s="153"/>
      <c r="Y730" s="153"/>
      <c r="Z730" s="153"/>
      <c r="AA730" s="153"/>
      <c r="AB730" s="153"/>
      <c r="AC730" s="153"/>
    </row>
    <row r="731">
      <c r="A731" s="153"/>
      <c r="B731" s="153"/>
      <c r="C731" s="153"/>
      <c r="D731" s="153" t="str">
        <f t="shared" si="1"/>
        <v>
</v>
      </c>
      <c r="E731" s="153"/>
      <c r="F731" s="153"/>
      <c r="G731" s="153"/>
      <c r="H731" s="153"/>
      <c r="I731" s="120"/>
      <c r="J731" s="120"/>
      <c r="K731" s="153"/>
      <c r="L731" s="153"/>
      <c r="M731" s="153"/>
      <c r="N731" s="153"/>
      <c r="O731" s="153"/>
      <c r="P731" s="153"/>
      <c r="Q731" s="153"/>
      <c r="R731" s="153"/>
      <c r="S731" s="153"/>
      <c r="T731" s="153"/>
      <c r="U731" s="153"/>
      <c r="V731" s="153"/>
      <c r="W731" s="153"/>
      <c r="X731" s="153"/>
      <c r="Y731" s="153"/>
      <c r="Z731" s="153"/>
      <c r="AA731" s="153"/>
      <c r="AB731" s="153"/>
      <c r="AC731" s="153"/>
    </row>
    <row r="732">
      <c r="A732" s="153"/>
      <c r="B732" s="153"/>
      <c r="C732" s="153"/>
      <c r="D732" s="153" t="str">
        <f t="shared" si="1"/>
        <v>
</v>
      </c>
      <c r="E732" s="153"/>
      <c r="F732" s="153"/>
      <c r="G732" s="153"/>
      <c r="H732" s="153"/>
      <c r="I732" s="120"/>
      <c r="J732" s="120"/>
      <c r="K732" s="153"/>
      <c r="L732" s="153"/>
      <c r="M732" s="153"/>
      <c r="N732" s="153"/>
      <c r="O732" s="153"/>
      <c r="P732" s="153"/>
      <c r="Q732" s="153"/>
      <c r="R732" s="153"/>
      <c r="S732" s="153"/>
      <c r="T732" s="153"/>
      <c r="U732" s="153"/>
      <c r="V732" s="153"/>
      <c r="W732" s="153"/>
      <c r="X732" s="153"/>
      <c r="Y732" s="153"/>
      <c r="Z732" s="153"/>
      <c r="AA732" s="153"/>
      <c r="AB732" s="153"/>
      <c r="AC732" s="153"/>
    </row>
    <row r="733">
      <c r="A733" s="153"/>
      <c r="B733" s="153"/>
      <c r="C733" s="153"/>
      <c r="D733" s="153" t="str">
        <f t="shared" si="1"/>
        <v>
</v>
      </c>
      <c r="E733" s="153"/>
      <c r="F733" s="153"/>
      <c r="G733" s="153"/>
      <c r="H733" s="153"/>
      <c r="I733" s="120"/>
      <c r="J733" s="120"/>
      <c r="K733" s="153"/>
      <c r="L733" s="153"/>
      <c r="M733" s="153"/>
      <c r="N733" s="153"/>
      <c r="O733" s="153"/>
      <c r="P733" s="153"/>
      <c r="Q733" s="153"/>
      <c r="R733" s="153"/>
      <c r="S733" s="153"/>
      <c r="T733" s="153"/>
      <c r="U733" s="153"/>
      <c r="V733" s="153"/>
      <c r="W733" s="153"/>
      <c r="X733" s="153"/>
      <c r="Y733" s="153"/>
      <c r="Z733" s="153"/>
      <c r="AA733" s="153"/>
      <c r="AB733" s="153"/>
      <c r="AC733" s="153"/>
    </row>
    <row r="734">
      <c r="A734" s="153"/>
      <c r="B734" s="153"/>
      <c r="C734" s="153"/>
      <c r="D734" s="153" t="str">
        <f t="shared" si="1"/>
        <v>
</v>
      </c>
      <c r="E734" s="153"/>
      <c r="F734" s="153"/>
      <c r="G734" s="153"/>
      <c r="H734" s="153"/>
      <c r="I734" s="120"/>
      <c r="J734" s="120"/>
      <c r="K734" s="153"/>
      <c r="L734" s="153"/>
      <c r="M734" s="153"/>
      <c r="N734" s="153"/>
      <c r="O734" s="153"/>
      <c r="P734" s="153"/>
      <c r="Q734" s="153"/>
      <c r="R734" s="153"/>
      <c r="S734" s="153"/>
      <c r="T734" s="153"/>
      <c r="U734" s="153"/>
      <c r="V734" s="153"/>
      <c r="W734" s="153"/>
      <c r="X734" s="153"/>
      <c r="Y734" s="153"/>
      <c r="Z734" s="153"/>
      <c r="AA734" s="153"/>
      <c r="AB734" s="153"/>
      <c r="AC734" s="153"/>
    </row>
    <row r="735">
      <c r="A735" s="153"/>
      <c r="B735" s="153"/>
      <c r="C735" s="153"/>
      <c r="D735" s="153" t="str">
        <f t="shared" si="1"/>
        <v>
</v>
      </c>
      <c r="E735" s="153"/>
      <c r="F735" s="153"/>
      <c r="G735" s="153"/>
      <c r="H735" s="153"/>
      <c r="I735" s="120"/>
      <c r="J735" s="120"/>
      <c r="K735" s="153"/>
      <c r="L735" s="153"/>
      <c r="M735" s="153"/>
      <c r="N735" s="153"/>
      <c r="O735" s="153"/>
      <c r="P735" s="153"/>
      <c r="Q735" s="153"/>
      <c r="R735" s="153"/>
      <c r="S735" s="153"/>
      <c r="T735" s="153"/>
      <c r="U735" s="153"/>
      <c r="V735" s="153"/>
      <c r="W735" s="153"/>
      <c r="X735" s="153"/>
      <c r="Y735" s="153"/>
      <c r="Z735" s="153"/>
      <c r="AA735" s="153"/>
      <c r="AB735" s="153"/>
      <c r="AC735" s="153"/>
    </row>
    <row r="736">
      <c r="A736" s="153"/>
      <c r="B736" s="153"/>
      <c r="C736" s="153"/>
      <c r="D736" s="153" t="str">
        <f t="shared" si="1"/>
        <v>
</v>
      </c>
      <c r="E736" s="153"/>
      <c r="F736" s="153"/>
      <c r="G736" s="153"/>
      <c r="H736" s="153"/>
      <c r="I736" s="120"/>
      <c r="J736" s="120"/>
      <c r="K736" s="153"/>
      <c r="L736" s="153"/>
      <c r="M736" s="153"/>
      <c r="N736" s="153"/>
      <c r="O736" s="153"/>
      <c r="P736" s="153"/>
      <c r="Q736" s="153"/>
      <c r="R736" s="153"/>
      <c r="S736" s="153"/>
      <c r="T736" s="153"/>
      <c r="U736" s="153"/>
      <c r="V736" s="153"/>
      <c r="W736" s="153"/>
      <c r="X736" s="153"/>
      <c r="Y736" s="153"/>
      <c r="Z736" s="153"/>
      <c r="AA736" s="153"/>
      <c r="AB736" s="153"/>
      <c r="AC736" s="153"/>
    </row>
    <row r="737">
      <c r="A737" s="153"/>
      <c r="B737" s="153"/>
      <c r="C737" s="153"/>
      <c r="D737" s="153" t="str">
        <f t="shared" si="1"/>
        <v>
</v>
      </c>
      <c r="E737" s="153"/>
      <c r="F737" s="153"/>
      <c r="G737" s="153"/>
      <c r="H737" s="153"/>
      <c r="I737" s="120"/>
      <c r="J737" s="120"/>
      <c r="K737" s="153"/>
      <c r="L737" s="153"/>
      <c r="M737" s="153"/>
      <c r="N737" s="153"/>
      <c r="O737" s="153"/>
      <c r="P737" s="153"/>
      <c r="Q737" s="153"/>
      <c r="R737" s="153"/>
      <c r="S737" s="153"/>
      <c r="T737" s="153"/>
      <c r="U737" s="153"/>
      <c r="V737" s="153"/>
      <c r="W737" s="153"/>
      <c r="X737" s="153"/>
      <c r="Y737" s="153"/>
      <c r="Z737" s="153"/>
      <c r="AA737" s="153"/>
      <c r="AB737" s="153"/>
      <c r="AC737" s="153"/>
    </row>
    <row r="738">
      <c r="A738" s="153"/>
      <c r="B738" s="153"/>
      <c r="C738" s="153"/>
      <c r="D738" s="153" t="str">
        <f t="shared" si="1"/>
        <v>
</v>
      </c>
      <c r="E738" s="153"/>
      <c r="F738" s="153"/>
      <c r="G738" s="153"/>
      <c r="H738" s="153"/>
      <c r="I738" s="120"/>
      <c r="J738" s="120"/>
      <c r="K738" s="153"/>
      <c r="L738" s="153"/>
      <c r="M738" s="153"/>
      <c r="N738" s="153"/>
      <c r="O738" s="153"/>
      <c r="P738" s="153"/>
      <c r="Q738" s="153"/>
      <c r="R738" s="153"/>
      <c r="S738" s="153"/>
      <c r="T738" s="153"/>
      <c r="U738" s="153"/>
      <c r="V738" s="153"/>
      <c r="W738" s="153"/>
      <c r="X738" s="153"/>
      <c r="Y738" s="153"/>
      <c r="Z738" s="153"/>
      <c r="AA738" s="153"/>
      <c r="AB738" s="153"/>
      <c r="AC738" s="153"/>
    </row>
    <row r="739">
      <c r="A739" s="153"/>
      <c r="B739" s="153"/>
      <c r="C739" s="153"/>
      <c r="D739" s="153" t="str">
        <f t="shared" si="1"/>
        <v>
</v>
      </c>
      <c r="E739" s="153"/>
      <c r="F739" s="153"/>
      <c r="G739" s="153"/>
      <c r="H739" s="153"/>
      <c r="I739" s="120"/>
      <c r="J739" s="120"/>
      <c r="K739" s="153"/>
      <c r="L739" s="153"/>
      <c r="M739" s="153"/>
      <c r="N739" s="153"/>
      <c r="O739" s="153"/>
      <c r="P739" s="153"/>
      <c r="Q739" s="153"/>
      <c r="R739" s="153"/>
      <c r="S739" s="153"/>
      <c r="T739" s="153"/>
      <c r="U739" s="153"/>
      <c r="V739" s="153"/>
      <c r="W739" s="153"/>
      <c r="X739" s="153"/>
      <c r="Y739" s="153"/>
      <c r="Z739" s="153"/>
      <c r="AA739" s="153"/>
      <c r="AB739" s="153"/>
      <c r="AC739" s="153"/>
    </row>
    <row r="740">
      <c r="A740" s="153"/>
      <c r="B740" s="153"/>
      <c r="C740" s="153"/>
      <c r="D740" s="153" t="str">
        <f t="shared" si="1"/>
        <v>
</v>
      </c>
      <c r="E740" s="153"/>
      <c r="F740" s="153"/>
      <c r="G740" s="153"/>
      <c r="H740" s="153"/>
      <c r="I740" s="120"/>
      <c r="J740" s="120"/>
      <c r="K740" s="153"/>
      <c r="L740" s="153"/>
      <c r="M740" s="153"/>
      <c r="N740" s="153"/>
      <c r="O740" s="153"/>
      <c r="P740" s="153"/>
      <c r="Q740" s="153"/>
      <c r="R740" s="153"/>
      <c r="S740" s="153"/>
      <c r="T740" s="153"/>
      <c r="U740" s="153"/>
      <c r="V740" s="153"/>
      <c r="W740" s="153"/>
      <c r="X740" s="153"/>
      <c r="Y740" s="153"/>
      <c r="Z740" s="153"/>
      <c r="AA740" s="153"/>
      <c r="AB740" s="153"/>
      <c r="AC740" s="153"/>
    </row>
    <row r="741">
      <c r="A741" s="153"/>
      <c r="B741" s="153"/>
      <c r="C741" s="153"/>
      <c r="D741" s="153" t="str">
        <f t="shared" si="1"/>
        <v>
</v>
      </c>
      <c r="E741" s="153"/>
      <c r="F741" s="153"/>
      <c r="G741" s="153"/>
      <c r="H741" s="153"/>
      <c r="I741" s="120"/>
      <c r="J741" s="120"/>
      <c r="K741" s="153"/>
      <c r="L741" s="153"/>
      <c r="M741" s="153"/>
      <c r="N741" s="153"/>
      <c r="O741" s="153"/>
      <c r="P741" s="153"/>
      <c r="Q741" s="153"/>
      <c r="R741" s="153"/>
      <c r="S741" s="153"/>
      <c r="T741" s="153"/>
      <c r="U741" s="153"/>
      <c r="V741" s="153"/>
      <c r="W741" s="153"/>
      <c r="X741" s="153"/>
      <c r="Y741" s="153"/>
      <c r="Z741" s="153"/>
      <c r="AA741" s="153"/>
      <c r="AB741" s="153"/>
      <c r="AC741" s="153"/>
    </row>
    <row r="742">
      <c r="A742" s="153"/>
      <c r="B742" s="153"/>
      <c r="C742" s="153"/>
      <c r="D742" s="153" t="str">
        <f t="shared" si="1"/>
        <v>
</v>
      </c>
      <c r="E742" s="153"/>
      <c r="F742" s="153"/>
      <c r="G742" s="153"/>
      <c r="H742" s="153"/>
      <c r="I742" s="120"/>
      <c r="J742" s="120"/>
      <c r="K742" s="153"/>
      <c r="L742" s="153"/>
      <c r="M742" s="153"/>
      <c r="N742" s="153"/>
      <c r="O742" s="153"/>
      <c r="P742" s="153"/>
      <c r="Q742" s="153"/>
      <c r="R742" s="153"/>
      <c r="S742" s="153"/>
      <c r="T742" s="153"/>
      <c r="U742" s="153"/>
      <c r="V742" s="153"/>
      <c r="W742" s="153"/>
      <c r="X742" s="153"/>
      <c r="Y742" s="153"/>
      <c r="Z742" s="153"/>
      <c r="AA742" s="153"/>
      <c r="AB742" s="153"/>
      <c r="AC742" s="153"/>
    </row>
    <row r="743">
      <c r="A743" s="153"/>
      <c r="B743" s="153"/>
      <c r="C743" s="153"/>
      <c r="D743" s="153" t="str">
        <f t="shared" si="1"/>
        <v>
</v>
      </c>
      <c r="E743" s="153"/>
      <c r="F743" s="153"/>
      <c r="G743" s="153"/>
      <c r="H743" s="153"/>
      <c r="I743" s="120"/>
      <c r="J743" s="120"/>
      <c r="K743" s="153"/>
      <c r="L743" s="153"/>
      <c r="M743" s="153"/>
      <c r="N743" s="153"/>
      <c r="O743" s="153"/>
      <c r="P743" s="153"/>
      <c r="Q743" s="153"/>
      <c r="R743" s="153"/>
      <c r="S743" s="153"/>
      <c r="T743" s="153"/>
      <c r="U743" s="153"/>
      <c r="V743" s="153"/>
      <c r="W743" s="153"/>
      <c r="X743" s="153"/>
      <c r="Y743" s="153"/>
      <c r="Z743" s="153"/>
      <c r="AA743" s="153"/>
      <c r="AB743" s="153"/>
      <c r="AC743" s="153"/>
    </row>
    <row r="744">
      <c r="A744" s="153"/>
      <c r="B744" s="153"/>
      <c r="C744" s="153"/>
      <c r="D744" s="153" t="str">
        <f t="shared" si="1"/>
        <v>
</v>
      </c>
      <c r="E744" s="153"/>
      <c r="F744" s="153"/>
      <c r="G744" s="153"/>
      <c r="H744" s="153"/>
      <c r="I744" s="120"/>
      <c r="J744" s="120"/>
      <c r="K744" s="153"/>
      <c r="L744" s="153"/>
      <c r="M744" s="153"/>
      <c r="N744" s="153"/>
      <c r="O744" s="153"/>
      <c r="P744" s="153"/>
      <c r="Q744" s="153"/>
      <c r="R744" s="153"/>
      <c r="S744" s="153"/>
      <c r="T744" s="153"/>
      <c r="U744" s="153"/>
      <c r="V744" s="153"/>
      <c r="W744" s="153"/>
      <c r="X744" s="153"/>
      <c r="Y744" s="153"/>
      <c r="Z744" s="153"/>
      <c r="AA744" s="153"/>
      <c r="AB744" s="153"/>
      <c r="AC744" s="153"/>
    </row>
    <row r="745">
      <c r="A745" s="153"/>
      <c r="B745" s="153"/>
      <c r="C745" s="153"/>
      <c r="D745" s="153" t="str">
        <f t="shared" si="1"/>
        <v>
</v>
      </c>
      <c r="E745" s="153"/>
      <c r="F745" s="153"/>
      <c r="G745" s="153"/>
      <c r="H745" s="153"/>
      <c r="I745" s="120"/>
      <c r="J745" s="120"/>
      <c r="K745" s="153"/>
      <c r="L745" s="153"/>
      <c r="M745" s="153"/>
      <c r="N745" s="153"/>
      <c r="O745" s="153"/>
      <c r="P745" s="153"/>
      <c r="Q745" s="153"/>
      <c r="R745" s="153"/>
      <c r="S745" s="153"/>
      <c r="T745" s="153"/>
      <c r="U745" s="153"/>
      <c r="V745" s="153"/>
      <c r="W745" s="153"/>
      <c r="X745" s="153"/>
      <c r="Y745" s="153"/>
      <c r="Z745" s="153"/>
      <c r="AA745" s="153"/>
      <c r="AB745" s="153"/>
      <c r="AC745" s="153"/>
    </row>
    <row r="746">
      <c r="A746" s="153"/>
      <c r="B746" s="153"/>
      <c r="C746" s="153"/>
      <c r="D746" s="153" t="str">
        <f t="shared" si="1"/>
        <v>
</v>
      </c>
      <c r="E746" s="153"/>
      <c r="F746" s="153"/>
      <c r="G746" s="153"/>
      <c r="H746" s="153"/>
      <c r="I746" s="120"/>
      <c r="J746" s="120"/>
      <c r="K746" s="153"/>
      <c r="L746" s="153"/>
      <c r="M746" s="153"/>
      <c r="N746" s="153"/>
      <c r="O746" s="153"/>
      <c r="P746" s="153"/>
      <c r="Q746" s="153"/>
      <c r="R746" s="153"/>
      <c r="S746" s="153"/>
      <c r="T746" s="153"/>
      <c r="U746" s="153"/>
      <c r="V746" s="153"/>
      <c r="W746" s="153"/>
      <c r="X746" s="153"/>
      <c r="Y746" s="153"/>
      <c r="Z746" s="153"/>
      <c r="AA746" s="153"/>
      <c r="AB746" s="153"/>
      <c r="AC746" s="153"/>
    </row>
    <row r="747">
      <c r="A747" s="153"/>
      <c r="B747" s="153"/>
      <c r="C747" s="153"/>
      <c r="D747" s="153" t="str">
        <f t="shared" si="1"/>
        <v>
</v>
      </c>
      <c r="E747" s="153"/>
      <c r="F747" s="153"/>
      <c r="G747" s="153"/>
      <c r="H747" s="153"/>
      <c r="I747" s="120"/>
      <c r="J747" s="120"/>
      <c r="K747" s="153"/>
      <c r="L747" s="153"/>
      <c r="M747" s="153"/>
      <c r="N747" s="153"/>
      <c r="O747" s="153"/>
      <c r="P747" s="153"/>
      <c r="Q747" s="153"/>
      <c r="R747" s="153"/>
      <c r="S747" s="153"/>
      <c r="T747" s="153"/>
      <c r="U747" s="153"/>
      <c r="V747" s="153"/>
      <c r="W747" s="153"/>
      <c r="X747" s="153"/>
      <c r="Y747" s="153"/>
      <c r="Z747" s="153"/>
      <c r="AA747" s="153"/>
      <c r="AB747" s="153"/>
      <c r="AC747" s="153"/>
    </row>
    <row r="748">
      <c r="A748" s="153"/>
      <c r="B748" s="153"/>
      <c r="C748" s="153"/>
      <c r="D748" s="153" t="str">
        <f t="shared" si="1"/>
        <v>
</v>
      </c>
      <c r="E748" s="153"/>
      <c r="F748" s="153"/>
      <c r="G748" s="153"/>
      <c r="H748" s="153"/>
      <c r="I748" s="120"/>
      <c r="J748" s="120"/>
      <c r="K748" s="153"/>
      <c r="L748" s="153"/>
      <c r="M748" s="153"/>
      <c r="N748" s="153"/>
      <c r="O748" s="153"/>
      <c r="P748" s="153"/>
      <c r="Q748" s="153"/>
      <c r="R748" s="153"/>
      <c r="S748" s="153"/>
      <c r="T748" s="153"/>
      <c r="U748" s="153"/>
      <c r="V748" s="153"/>
      <c r="W748" s="153"/>
      <c r="X748" s="153"/>
      <c r="Y748" s="153"/>
      <c r="Z748" s="153"/>
      <c r="AA748" s="153"/>
      <c r="AB748" s="153"/>
      <c r="AC748" s="153"/>
    </row>
    <row r="749">
      <c r="A749" s="153"/>
      <c r="B749" s="153"/>
      <c r="C749" s="153"/>
      <c r="D749" s="153" t="str">
        <f t="shared" si="1"/>
        <v>
</v>
      </c>
      <c r="E749" s="153"/>
      <c r="F749" s="153"/>
      <c r="G749" s="153"/>
      <c r="H749" s="153"/>
      <c r="I749" s="120"/>
      <c r="J749" s="120"/>
      <c r="K749" s="153"/>
      <c r="L749" s="153"/>
      <c r="M749" s="153"/>
      <c r="N749" s="153"/>
      <c r="O749" s="153"/>
      <c r="P749" s="153"/>
      <c r="Q749" s="153"/>
      <c r="R749" s="153"/>
      <c r="S749" s="153"/>
      <c r="T749" s="153"/>
      <c r="U749" s="153"/>
      <c r="V749" s="153"/>
      <c r="W749" s="153"/>
      <c r="X749" s="153"/>
      <c r="Y749" s="153"/>
      <c r="Z749" s="153"/>
      <c r="AA749" s="153"/>
      <c r="AB749" s="153"/>
      <c r="AC749" s="153"/>
    </row>
    <row r="750">
      <c r="A750" s="153"/>
      <c r="B750" s="153"/>
      <c r="C750" s="153"/>
      <c r="D750" s="153" t="str">
        <f t="shared" si="1"/>
        <v>
</v>
      </c>
      <c r="E750" s="153"/>
      <c r="F750" s="153"/>
      <c r="G750" s="153"/>
      <c r="H750" s="153"/>
      <c r="I750" s="120"/>
      <c r="J750" s="120"/>
      <c r="K750" s="153"/>
      <c r="L750" s="153"/>
      <c r="M750" s="153"/>
      <c r="N750" s="153"/>
      <c r="O750" s="153"/>
      <c r="P750" s="153"/>
      <c r="Q750" s="153"/>
      <c r="R750" s="153"/>
      <c r="S750" s="153"/>
      <c r="T750" s="153"/>
      <c r="U750" s="153"/>
      <c r="V750" s="153"/>
      <c r="W750" s="153"/>
      <c r="X750" s="153"/>
      <c r="Y750" s="153"/>
      <c r="Z750" s="153"/>
      <c r="AA750" s="153"/>
      <c r="AB750" s="153"/>
      <c r="AC750" s="153"/>
    </row>
    <row r="751">
      <c r="A751" s="153"/>
      <c r="B751" s="153"/>
      <c r="C751" s="153"/>
      <c r="D751" s="153" t="str">
        <f t="shared" si="1"/>
        <v>
</v>
      </c>
      <c r="E751" s="153"/>
      <c r="F751" s="153"/>
      <c r="G751" s="153"/>
      <c r="H751" s="153"/>
      <c r="I751" s="120"/>
      <c r="J751" s="120"/>
      <c r="K751" s="153"/>
      <c r="L751" s="153"/>
      <c r="M751" s="153"/>
      <c r="N751" s="153"/>
      <c r="O751" s="153"/>
      <c r="P751" s="153"/>
      <c r="Q751" s="153"/>
      <c r="R751" s="153"/>
      <c r="S751" s="153"/>
      <c r="T751" s="153"/>
      <c r="U751" s="153"/>
      <c r="V751" s="153"/>
      <c r="W751" s="153"/>
      <c r="X751" s="153"/>
      <c r="Y751" s="153"/>
      <c r="Z751" s="153"/>
      <c r="AA751" s="153"/>
      <c r="AB751" s="153"/>
      <c r="AC751" s="153"/>
    </row>
    <row r="752">
      <c r="A752" s="153"/>
      <c r="B752" s="153"/>
      <c r="C752" s="153"/>
      <c r="D752" s="153" t="str">
        <f t="shared" si="1"/>
        <v>
</v>
      </c>
      <c r="E752" s="153"/>
      <c r="F752" s="153"/>
      <c r="G752" s="153"/>
      <c r="H752" s="153"/>
      <c r="I752" s="120"/>
      <c r="J752" s="120"/>
      <c r="K752" s="153"/>
      <c r="L752" s="153"/>
      <c r="M752" s="153"/>
      <c r="N752" s="153"/>
      <c r="O752" s="153"/>
      <c r="P752" s="153"/>
      <c r="Q752" s="153"/>
      <c r="R752" s="153"/>
      <c r="S752" s="153"/>
      <c r="T752" s="153"/>
      <c r="U752" s="153"/>
      <c r="V752" s="153"/>
      <c r="W752" s="153"/>
      <c r="X752" s="153"/>
      <c r="Y752" s="153"/>
      <c r="Z752" s="153"/>
      <c r="AA752" s="153"/>
      <c r="AB752" s="153"/>
      <c r="AC752" s="153"/>
    </row>
    <row r="753">
      <c r="A753" s="153"/>
      <c r="B753" s="153"/>
      <c r="C753" s="153"/>
      <c r="D753" s="153" t="str">
        <f t="shared" si="1"/>
        <v>
</v>
      </c>
      <c r="E753" s="153"/>
      <c r="F753" s="153"/>
      <c r="G753" s="153"/>
      <c r="H753" s="153"/>
      <c r="I753" s="120"/>
      <c r="J753" s="120"/>
      <c r="K753" s="153"/>
      <c r="L753" s="153"/>
      <c r="M753" s="153"/>
      <c r="N753" s="153"/>
      <c r="O753" s="153"/>
      <c r="P753" s="153"/>
      <c r="Q753" s="153"/>
      <c r="R753" s="153"/>
      <c r="S753" s="153"/>
      <c r="T753" s="153"/>
      <c r="U753" s="153"/>
      <c r="V753" s="153"/>
      <c r="W753" s="153"/>
      <c r="X753" s="153"/>
      <c r="Y753" s="153"/>
      <c r="Z753" s="153"/>
      <c r="AA753" s="153"/>
      <c r="AB753" s="153"/>
      <c r="AC753" s="153"/>
    </row>
    <row r="754">
      <c r="A754" s="153"/>
      <c r="B754" s="153"/>
      <c r="C754" s="153"/>
      <c r="D754" s="153" t="str">
        <f t="shared" si="1"/>
        <v>
</v>
      </c>
      <c r="E754" s="153"/>
      <c r="F754" s="153"/>
      <c r="G754" s="153"/>
      <c r="H754" s="153"/>
      <c r="I754" s="120"/>
      <c r="J754" s="120"/>
      <c r="K754" s="153"/>
      <c r="L754" s="153"/>
      <c r="M754" s="153"/>
      <c r="N754" s="153"/>
      <c r="O754" s="153"/>
      <c r="P754" s="153"/>
      <c r="Q754" s="153"/>
      <c r="R754" s="153"/>
      <c r="S754" s="153"/>
      <c r="T754" s="153"/>
      <c r="U754" s="153"/>
      <c r="V754" s="153"/>
      <c r="W754" s="153"/>
      <c r="X754" s="153"/>
      <c r="Y754" s="153"/>
      <c r="Z754" s="153"/>
      <c r="AA754" s="153"/>
      <c r="AB754" s="153"/>
      <c r="AC754" s="153"/>
    </row>
    <row r="755">
      <c r="A755" s="153"/>
      <c r="B755" s="153"/>
      <c r="C755" s="153"/>
      <c r="D755" s="153" t="str">
        <f t="shared" si="1"/>
        <v>
</v>
      </c>
      <c r="E755" s="153"/>
      <c r="F755" s="153"/>
      <c r="G755" s="153"/>
      <c r="H755" s="153"/>
      <c r="I755" s="120"/>
      <c r="J755" s="120"/>
      <c r="K755" s="153"/>
      <c r="L755" s="153"/>
      <c r="M755" s="153"/>
      <c r="N755" s="153"/>
      <c r="O755" s="153"/>
      <c r="P755" s="153"/>
      <c r="Q755" s="153"/>
      <c r="R755" s="153"/>
      <c r="S755" s="153"/>
      <c r="T755" s="153"/>
      <c r="U755" s="153"/>
      <c r="V755" s="153"/>
      <c r="W755" s="153"/>
      <c r="X755" s="153"/>
      <c r="Y755" s="153"/>
      <c r="Z755" s="153"/>
      <c r="AA755" s="153"/>
      <c r="AB755" s="153"/>
      <c r="AC755" s="153"/>
    </row>
    <row r="756">
      <c r="A756" s="153"/>
      <c r="B756" s="153"/>
      <c r="C756" s="153"/>
      <c r="D756" s="153" t="str">
        <f t="shared" si="1"/>
        <v>
</v>
      </c>
      <c r="E756" s="153"/>
      <c r="F756" s="153"/>
      <c r="G756" s="153"/>
      <c r="H756" s="153"/>
      <c r="I756" s="120"/>
      <c r="J756" s="120"/>
      <c r="K756" s="153"/>
      <c r="L756" s="153"/>
      <c r="M756" s="153"/>
      <c r="N756" s="153"/>
      <c r="O756" s="153"/>
      <c r="P756" s="153"/>
      <c r="Q756" s="153"/>
      <c r="R756" s="153"/>
      <c r="S756" s="153"/>
      <c r="T756" s="153"/>
      <c r="U756" s="153"/>
      <c r="V756" s="153"/>
      <c r="W756" s="153"/>
      <c r="X756" s="153"/>
      <c r="Y756" s="153"/>
      <c r="Z756" s="153"/>
      <c r="AA756" s="153"/>
      <c r="AB756" s="153"/>
      <c r="AC756" s="153"/>
    </row>
    <row r="757">
      <c r="A757" s="153"/>
      <c r="B757" s="153"/>
      <c r="C757" s="153"/>
      <c r="D757" s="153" t="str">
        <f t="shared" si="1"/>
        <v>
</v>
      </c>
      <c r="E757" s="153"/>
      <c r="F757" s="153"/>
      <c r="G757" s="153"/>
      <c r="H757" s="153"/>
      <c r="I757" s="120"/>
      <c r="J757" s="120"/>
      <c r="K757" s="153"/>
      <c r="L757" s="153"/>
      <c r="M757" s="153"/>
      <c r="N757" s="153"/>
      <c r="O757" s="153"/>
      <c r="P757" s="153"/>
      <c r="Q757" s="153"/>
      <c r="R757" s="153"/>
      <c r="S757" s="153"/>
      <c r="T757" s="153"/>
      <c r="U757" s="153"/>
      <c r="V757" s="153"/>
      <c r="W757" s="153"/>
      <c r="X757" s="153"/>
      <c r="Y757" s="153"/>
      <c r="Z757" s="153"/>
      <c r="AA757" s="153"/>
      <c r="AB757" s="153"/>
      <c r="AC757" s="153"/>
    </row>
    <row r="758">
      <c r="A758" s="153"/>
      <c r="B758" s="153"/>
      <c r="C758" s="153"/>
      <c r="D758" s="153" t="str">
        <f t="shared" si="1"/>
        <v>
</v>
      </c>
      <c r="E758" s="153"/>
      <c r="F758" s="153"/>
      <c r="G758" s="153"/>
      <c r="H758" s="153"/>
      <c r="I758" s="120"/>
      <c r="J758" s="120"/>
      <c r="K758" s="153"/>
      <c r="L758" s="153"/>
      <c r="M758" s="153"/>
      <c r="N758" s="153"/>
      <c r="O758" s="153"/>
      <c r="P758" s="153"/>
      <c r="Q758" s="153"/>
      <c r="R758" s="153"/>
      <c r="S758" s="153"/>
      <c r="T758" s="153"/>
      <c r="U758" s="153"/>
      <c r="V758" s="153"/>
      <c r="W758" s="153"/>
      <c r="X758" s="153"/>
      <c r="Y758" s="153"/>
      <c r="Z758" s="153"/>
      <c r="AA758" s="153"/>
      <c r="AB758" s="153"/>
      <c r="AC758" s="153"/>
    </row>
    <row r="759">
      <c r="A759" s="153"/>
      <c r="B759" s="153"/>
      <c r="C759" s="153"/>
      <c r="D759" s="153" t="str">
        <f t="shared" si="1"/>
        <v>
</v>
      </c>
      <c r="E759" s="153"/>
      <c r="F759" s="153"/>
      <c r="G759" s="153"/>
      <c r="H759" s="153"/>
      <c r="I759" s="120"/>
      <c r="J759" s="120"/>
      <c r="K759" s="153"/>
      <c r="L759" s="153"/>
      <c r="M759" s="153"/>
      <c r="N759" s="153"/>
      <c r="O759" s="153"/>
      <c r="P759" s="153"/>
      <c r="Q759" s="153"/>
      <c r="R759" s="153"/>
      <c r="S759" s="153"/>
      <c r="T759" s="153"/>
      <c r="U759" s="153"/>
      <c r="V759" s="153"/>
      <c r="W759" s="153"/>
      <c r="X759" s="153"/>
      <c r="Y759" s="153"/>
      <c r="Z759" s="153"/>
      <c r="AA759" s="153"/>
      <c r="AB759" s="153"/>
      <c r="AC759" s="153"/>
    </row>
    <row r="760">
      <c r="A760" s="153"/>
      <c r="B760" s="153"/>
      <c r="C760" s="153"/>
      <c r="D760" s="153" t="str">
        <f t="shared" si="1"/>
        <v>
</v>
      </c>
      <c r="E760" s="153"/>
      <c r="F760" s="153"/>
      <c r="G760" s="153"/>
      <c r="H760" s="153"/>
      <c r="I760" s="120"/>
      <c r="J760" s="120"/>
      <c r="K760" s="153"/>
      <c r="L760" s="153"/>
      <c r="M760" s="153"/>
      <c r="N760" s="153"/>
      <c r="O760" s="153"/>
      <c r="P760" s="153"/>
      <c r="Q760" s="153"/>
      <c r="R760" s="153"/>
      <c r="S760" s="153"/>
      <c r="T760" s="153"/>
      <c r="U760" s="153"/>
      <c r="V760" s="153"/>
      <c r="W760" s="153"/>
      <c r="X760" s="153"/>
      <c r="Y760" s="153"/>
      <c r="Z760" s="153"/>
      <c r="AA760" s="153"/>
      <c r="AB760" s="153"/>
      <c r="AC760" s="153"/>
    </row>
    <row r="761">
      <c r="A761" s="153"/>
      <c r="B761" s="153"/>
      <c r="C761" s="153"/>
      <c r="D761" s="153" t="str">
        <f t="shared" si="1"/>
        <v>
</v>
      </c>
      <c r="E761" s="153"/>
      <c r="F761" s="153"/>
      <c r="G761" s="153"/>
      <c r="H761" s="153"/>
      <c r="I761" s="120"/>
      <c r="J761" s="120"/>
      <c r="K761" s="153"/>
      <c r="L761" s="153"/>
      <c r="M761" s="153"/>
      <c r="N761" s="153"/>
      <c r="O761" s="153"/>
      <c r="P761" s="153"/>
      <c r="Q761" s="153"/>
      <c r="R761" s="153"/>
      <c r="S761" s="153"/>
      <c r="T761" s="153"/>
      <c r="U761" s="153"/>
      <c r="V761" s="153"/>
      <c r="W761" s="153"/>
      <c r="X761" s="153"/>
      <c r="Y761" s="153"/>
      <c r="Z761" s="153"/>
      <c r="AA761" s="153"/>
      <c r="AB761" s="153"/>
      <c r="AC761" s="153"/>
    </row>
    <row r="762">
      <c r="A762" s="153"/>
      <c r="B762" s="153"/>
      <c r="C762" s="153"/>
      <c r="D762" s="153" t="str">
        <f t="shared" si="1"/>
        <v>
</v>
      </c>
      <c r="E762" s="153"/>
      <c r="F762" s="153"/>
      <c r="G762" s="153"/>
      <c r="H762" s="153"/>
      <c r="I762" s="120"/>
      <c r="J762" s="120"/>
      <c r="K762" s="153"/>
      <c r="L762" s="153"/>
      <c r="M762" s="153"/>
      <c r="N762" s="153"/>
      <c r="O762" s="153"/>
      <c r="P762" s="153"/>
      <c r="Q762" s="153"/>
      <c r="R762" s="153"/>
      <c r="S762" s="153"/>
      <c r="T762" s="153"/>
      <c r="U762" s="153"/>
      <c r="V762" s="153"/>
      <c r="W762" s="153"/>
      <c r="X762" s="153"/>
      <c r="Y762" s="153"/>
      <c r="Z762" s="153"/>
      <c r="AA762" s="153"/>
      <c r="AB762" s="153"/>
      <c r="AC762" s="153"/>
    </row>
    <row r="763">
      <c r="A763" s="153"/>
      <c r="B763" s="153"/>
      <c r="C763" s="153"/>
      <c r="D763" s="153" t="str">
        <f t="shared" si="1"/>
        <v>
</v>
      </c>
      <c r="E763" s="153"/>
      <c r="F763" s="153"/>
      <c r="G763" s="153"/>
      <c r="H763" s="153"/>
      <c r="I763" s="120"/>
      <c r="J763" s="120"/>
      <c r="K763" s="153"/>
      <c r="L763" s="153"/>
      <c r="M763" s="153"/>
      <c r="N763" s="153"/>
      <c r="O763" s="153"/>
      <c r="P763" s="153"/>
      <c r="Q763" s="153"/>
      <c r="R763" s="153"/>
      <c r="S763" s="153"/>
      <c r="T763" s="153"/>
      <c r="U763" s="153"/>
      <c r="V763" s="153"/>
      <c r="W763" s="153"/>
      <c r="X763" s="153"/>
      <c r="Y763" s="153"/>
      <c r="Z763" s="153"/>
      <c r="AA763" s="153"/>
      <c r="AB763" s="153"/>
      <c r="AC763" s="153"/>
    </row>
    <row r="764">
      <c r="A764" s="153"/>
      <c r="B764" s="153"/>
      <c r="C764" s="153"/>
      <c r="D764" s="153" t="str">
        <f t="shared" si="1"/>
        <v>
</v>
      </c>
      <c r="E764" s="153"/>
      <c r="F764" s="153"/>
      <c r="G764" s="153"/>
      <c r="H764" s="153"/>
      <c r="I764" s="120"/>
      <c r="J764" s="120"/>
      <c r="K764" s="153"/>
      <c r="L764" s="153"/>
      <c r="M764" s="153"/>
      <c r="N764" s="153"/>
      <c r="O764" s="153"/>
      <c r="P764" s="153"/>
      <c r="Q764" s="153"/>
      <c r="R764" s="153"/>
      <c r="S764" s="153"/>
      <c r="T764" s="153"/>
      <c r="U764" s="153"/>
      <c r="V764" s="153"/>
      <c r="W764" s="153"/>
      <c r="X764" s="153"/>
      <c r="Y764" s="153"/>
      <c r="Z764" s="153"/>
      <c r="AA764" s="153"/>
      <c r="AB764" s="153"/>
      <c r="AC764" s="153"/>
    </row>
    <row r="765">
      <c r="A765" s="153"/>
      <c r="B765" s="153"/>
      <c r="C765" s="153"/>
      <c r="D765" s="153" t="str">
        <f t="shared" si="1"/>
        <v>
</v>
      </c>
      <c r="E765" s="153"/>
      <c r="F765" s="153"/>
      <c r="G765" s="153"/>
      <c r="H765" s="153"/>
      <c r="I765" s="120"/>
      <c r="J765" s="120"/>
      <c r="K765" s="153"/>
      <c r="L765" s="153"/>
      <c r="M765" s="153"/>
      <c r="N765" s="153"/>
      <c r="O765" s="153"/>
      <c r="P765" s="153"/>
      <c r="Q765" s="153"/>
      <c r="R765" s="153"/>
      <c r="S765" s="153"/>
      <c r="T765" s="153"/>
      <c r="U765" s="153"/>
      <c r="V765" s="153"/>
      <c r="W765" s="153"/>
      <c r="X765" s="153"/>
      <c r="Y765" s="153"/>
      <c r="Z765" s="153"/>
      <c r="AA765" s="153"/>
      <c r="AB765" s="153"/>
      <c r="AC765" s="153"/>
    </row>
    <row r="766">
      <c r="A766" s="153"/>
      <c r="B766" s="153"/>
      <c r="C766" s="153"/>
      <c r="D766" s="153" t="str">
        <f t="shared" si="1"/>
        <v>
</v>
      </c>
      <c r="E766" s="153"/>
      <c r="F766" s="153"/>
      <c r="G766" s="153"/>
      <c r="H766" s="153"/>
      <c r="I766" s="120"/>
      <c r="J766" s="120"/>
      <c r="K766" s="153"/>
      <c r="L766" s="153"/>
      <c r="M766" s="153"/>
      <c r="N766" s="153"/>
      <c r="O766" s="153"/>
      <c r="P766" s="153"/>
      <c r="Q766" s="153"/>
      <c r="R766" s="153"/>
      <c r="S766" s="153"/>
      <c r="T766" s="153"/>
      <c r="U766" s="153"/>
      <c r="V766" s="153"/>
      <c r="W766" s="153"/>
      <c r="X766" s="153"/>
      <c r="Y766" s="153"/>
      <c r="Z766" s="153"/>
      <c r="AA766" s="153"/>
      <c r="AB766" s="153"/>
      <c r="AC766" s="153"/>
    </row>
    <row r="767">
      <c r="A767" s="153"/>
      <c r="B767" s="153"/>
      <c r="C767" s="153"/>
      <c r="D767" s="153" t="str">
        <f t="shared" si="1"/>
        <v>
</v>
      </c>
      <c r="E767" s="153"/>
      <c r="F767" s="153"/>
      <c r="G767" s="153"/>
      <c r="H767" s="153"/>
      <c r="I767" s="120"/>
      <c r="J767" s="120"/>
      <c r="K767" s="153"/>
      <c r="L767" s="153"/>
      <c r="M767" s="153"/>
      <c r="N767" s="153"/>
      <c r="O767" s="153"/>
      <c r="P767" s="153"/>
      <c r="Q767" s="153"/>
      <c r="R767" s="153"/>
      <c r="S767" s="153"/>
      <c r="T767" s="153"/>
      <c r="U767" s="153"/>
      <c r="V767" s="153"/>
      <c r="W767" s="153"/>
      <c r="X767" s="153"/>
      <c r="Y767" s="153"/>
      <c r="Z767" s="153"/>
      <c r="AA767" s="153"/>
      <c r="AB767" s="153"/>
      <c r="AC767" s="153"/>
    </row>
    <row r="768">
      <c r="A768" s="153"/>
      <c r="B768" s="153"/>
      <c r="C768" s="153"/>
      <c r="D768" s="153" t="str">
        <f t="shared" si="1"/>
        <v>
</v>
      </c>
      <c r="E768" s="153"/>
      <c r="F768" s="153"/>
      <c r="G768" s="153"/>
      <c r="H768" s="153"/>
      <c r="I768" s="120"/>
      <c r="J768" s="120"/>
      <c r="K768" s="153"/>
      <c r="L768" s="153"/>
      <c r="M768" s="153"/>
      <c r="N768" s="153"/>
      <c r="O768" s="153"/>
      <c r="P768" s="153"/>
      <c r="Q768" s="153"/>
      <c r="R768" s="153"/>
      <c r="S768" s="153"/>
      <c r="T768" s="153"/>
      <c r="U768" s="153"/>
      <c r="V768" s="153"/>
      <c r="W768" s="153"/>
      <c r="X768" s="153"/>
      <c r="Y768" s="153"/>
      <c r="Z768" s="153"/>
      <c r="AA768" s="153"/>
      <c r="AB768" s="153"/>
      <c r="AC768" s="153"/>
    </row>
    <row r="769">
      <c r="A769" s="153"/>
      <c r="B769" s="153"/>
      <c r="C769" s="153"/>
      <c r="D769" s="153" t="str">
        <f t="shared" si="1"/>
        <v>
</v>
      </c>
      <c r="E769" s="153"/>
      <c r="F769" s="153"/>
      <c r="G769" s="153"/>
      <c r="H769" s="153"/>
      <c r="I769" s="120"/>
      <c r="J769" s="120"/>
      <c r="K769" s="153"/>
      <c r="L769" s="153"/>
      <c r="M769" s="153"/>
      <c r="N769" s="153"/>
      <c r="O769" s="153"/>
      <c r="P769" s="153"/>
      <c r="Q769" s="153"/>
      <c r="R769" s="153"/>
      <c r="S769" s="153"/>
      <c r="T769" s="153"/>
      <c r="U769" s="153"/>
      <c r="V769" s="153"/>
      <c r="W769" s="153"/>
      <c r="X769" s="153"/>
      <c r="Y769" s="153"/>
      <c r="Z769" s="153"/>
      <c r="AA769" s="153"/>
      <c r="AB769" s="153"/>
      <c r="AC769" s="153"/>
    </row>
    <row r="770">
      <c r="A770" s="153"/>
      <c r="B770" s="153"/>
      <c r="C770" s="153"/>
      <c r="D770" s="153" t="str">
        <f t="shared" si="1"/>
        <v>
</v>
      </c>
      <c r="E770" s="153"/>
      <c r="F770" s="153"/>
      <c r="G770" s="153"/>
      <c r="H770" s="153"/>
      <c r="I770" s="120"/>
      <c r="J770" s="120"/>
      <c r="K770" s="153"/>
      <c r="L770" s="153"/>
      <c r="M770" s="153"/>
      <c r="N770" s="153"/>
      <c r="O770" s="153"/>
      <c r="P770" s="153"/>
      <c r="Q770" s="153"/>
      <c r="R770" s="153"/>
      <c r="S770" s="153"/>
      <c r="T770" s="153"/>
      <c r="U770" s="153"/>
      <c r="V770" s="153"/>
      <c r="W770" s="153"/>
      <c r="X770" s="153"/>
      <c r="Y770" s="153"/>
      <c r="Z770" s="153"/>
      <c r="AA770" s="153"/>
      <c r="AB770" s="153"/>
      <c r="AC770" s="153"/>
    </row>
    <row r="771">
      <c r="A771" s="153"/>
      <c r="B771" s="153"/>
      <c r="C771" s="153"/>
      <c r="D771" s="153" t="str">
        <f t="shared" si="1"/>
        <v>
</v>
      </c>
      <c r="E771" s="153"/>
      <c r="F771" s="153"/>
      <c r="G771" s="153"/>
      <c r="H771" s="153"/>
      <c r="I771" s="120"/>
      <c r="J771" s="120"/>
      <c r="K771" s="153"/>
      <c r="L771" s="153"/>
      <c r="M771" s="153"/>
      <c r="N771" s="153"/>
      <c r="O771" s="153"/>
      <c r="P771" s="153"/>
      <c r="Q771" s="153"/>
      <c r="R771" s="153"/>
      <c r="S771" s="153"/>
      <c r="T771" s="153"/>
      <c r="U771" s="153"/>
      <c r="V771" s="153"/>
      <c r="W771" s="153"/>
      <c r="X771" s="153"/>
      <c r="Y771" s="153"/>
      <c r="Z771" s="153"/>
      <c r="AA771" s="153"/>
      <c r="AB771" s="153"/>
      <c r="AC771" s="153"/>
    </row>
    <row r="772">
      <c r="A772" s="153"/>
      <c r="B772" s="153"/>
      <c r="C772" s="153"/>
      <c r="D772" s="153" t="str">
        <f t="shared" si="1"/>
        <v>
</v>
      </c>
      <c r="E772" s="153"/>
      <c r="F772" s="153"/>
      <c r="G772" s="153"/>
      <c r="H772" s="153"/>
      <c r="I772" s="120"/>
      <c r="J772" s="120"/>
      <c r="K772" s="153"/>
      <c r="L772" s="153"/>
      <c r="M772" s="153"/>
      <c r="N772" s="153"/>
      <c r="O772" s="153"/>
      <c r="P772" s="153"/>
      <c r="Q772" s="153"/>
      <c r="R772" s="153"/>
      <c r="S772" s="153"/>
      <c r="T772" s="153"/>
      <c r="U772" s="153"/>
      <c r="V772" s="153"/>
      <c r="W772" s="153"/>
      <c r="X772" s="153"/>
      <c r="Y772" s="153"/>
      <c r="Z772" s="153"/>
      <c r="AA772" s="153"/>
      <c r="AB772" s="153"/>
      <c r="AC772" s="153"/>
    </row>
    <row r="773">
      <c r="A773" s="153"/>
      <c r="B773" s="153"/>
      <c r="C773" s="153"/>
      <c r="D773" s="153" t="str">
        <f t="shared" si="1"/>
        <v>
</v>
      </c>
      <c r="E773" s="153"/>
      <c r="F773" s="153"/>
      <c r="G773" s="153"/>
      <c r="H773" s="153"/>
      <c r="I773" s="120"/>
      <c r="J773" s="120"/>
      <c r="K773" s="153"/>
      <c r="L773" s="153"/>
      <c r="M773" s="153"/>
      <c r="N773" s="153"/>
      <c r="O773" s="153"/>
      <c r="P773" s="153"/>
      <c r="Q773" s="153"/>
      <c r="R773" s="153"/>
      <c r="S773" s="153"/>
      <c r="T773" s="153"/>
      <c r="U773" s="153"/>
      <c r="V773" s="153"/>
      <c r="W773" s="153"/>
      <c r="X773" s="153"/>
      <c r="Y773" s="153"/>
      <c r="Z773" s="153"/>
      <c r="AA773" s="153"/>
      <c r="AB773" s="153"/>
      <c r="AC773" s="153"/>
    </row>
    <row r="774">
      <c r="A774" s="153"/>
      <c r="B774" s="153"/>
      <c r="C774" s="153"/>
      <c r="D774" s="153" t="str">
        <f t="shared" si="1"/>
        <v>
</v>
      </c>
      <c r="E774" s="153"/>
      <c r="F774" s="153"/>
      <c r="G774" s="153"/>
      <c r="H774" s="153"/>
      <c r="I774" s="120"/>
      <c r="J774" s="120"/>
      <c r="K774" s="153"/>
      <c r="L774" s="153"/>
      <c r="M774" s="153"/>
      <c r="N774" s="153"/>
      <c r="O774" s="153"/>
      <c r="P774" s="153"/>
      <c r="Q774" s="153"/>
      <c r="R774" s="153"/>
      <c r="S774" s="153"/>
      <c r="T774" s="153"/>
      <c r="U774" s="153"/>
      <c r="V774" s="153"/>
      <c r="W774" s="153"/>
      <c r="X774" s="153"/>
      <c r="Y774" s="153"/>
      <c r="Z774" s="153"/>
      <c r="AA774" s="153"/>
      <c r="AB774" s="153"/>
      <c r="AC774" s="153"/>
    </row>
    <row r="775">
      <c r="A775" s="153"/>
      <c r="B775" s="153"/>
      <c r="C775" s="153"/>
      <c r="D775" s="153" t="str">
        <f t="shared" si="1"/>
        <v>
</v>
      </c>
      <c r="E775" s="153"/>
      <c r="F775" s="153"/>
      <c r="G775" s="153"/>
      <c r="H775" s="153"/>
      <c r="I775" s="120"/>
      <c r="J775" s="120"/>
      <c r="K775" s="153"/>
      <c r="L775" s="153"/>
      <c r="M775" s="153"/>
      <c r="N775" s="153"/>
      <c r="O775" s="153"/>
      <c r="P775" s="153"/>
      <c r="Q775" s="153"/>
      <c r="R775" s="153"/>
      <c r="S775" s="153"/>
      <c r="T775" s="153"/>
      <c r="U775" s="153"/>
      <c r="V775" s="153"/>
      <c r="W775" s="153"/>
      <c r="X775" s="153"/>
      <c r="Y775" s="153"/>
      <c r="Z775" s="153"/>
      <c r="AA775" s="153"/>
      <c r="AB775" s="153"/>
      <c r="AC775" s="153"/>
    </row>
    <row r="776">
      <c r="A776" s="153"/>
      <c r="B776" s="153"/>
      <c r="C776" s="153"/>
      <c r="D776" s="153" t="str">
        <f t="shared" si="1"/>
        <v>
</v>
      </c>
      <c r="E776" s="153"/>
      <c r="F776" s="153"/>
      <c r="G776" s="153"/>
      <c r="H776" s="153"/>
      <c r="I776" s="120"/>
      <c r="J776" s="120"/>
      <c r="K776" s="153"/>
      <c r="L776" s="153"/>
      <c r="M776" s="153"/>
      <c r="N776" s="153"/>
      <c r="O776" s="153"/>
      <c r="P776" s="153"/>
      <c r="Q776" s="153"/>
      <c r="R776" s="153"/>
      <c r="S776" s="153"/>
      <c r="T776" s="153"/>
      <c r="U776" s="153"/>
      <c r="V776" s="153"/>
      <c r="W776" s="153"/>
      <c r="X776" s="153"/>
      <c r="Y776" s="153"/>
      <c r="Z776" s="153"/>
      <c r="AA776" s="153"/>
      <c r="AB776" s="153"/>
      <c r="AC776" s="153"/>
    </row>
    <row r="777">
      <c r="A777" s="153"/>
      <c r="B777" s="153"/>
      <c r="C777" s="153"/>
      <c r="D777" s="153" t="str">
        <f t="shared" si="1"/>
        <v>
</v>
      </c>
      <c r="E777" s="153"/>
      <c r="F777" s="153"/>
      <c r="G777" s="153"/>
      <c r="H777" s="153"/>
      <c r="I777" s="120"/>
      <c r="J777" s="120"/>
      <c r="K777" s="153"/>
      <c r="L777" s="153"/>
      <c r="M777" s="153"/>
      <c r="N777" s="153"/>
      <c r="O777" s="153"/>
      <c r="P777" s="153"/>
      <c r="Q777" s="153"/>
      <c r="R777" s="153"/>
      <c r="S777" s="153"/>
      <c r="T777" s="153"/>
      <c r="U777" s="153"/>
      <c r="V777" s="153"/>
      <c r="W777" s="153"/>
      <c r="X777" s="153"/>
      <c r="Y777" s="153"/>
      <c r="Z777" s="153"/>
      <c r="AA777" s="153"/>
      <c r="AB777" s="153"/>
      <c r="AC777" s="153"/>
    </row>
    <row r="778">
      <c r="A778" s="153"/>
      <c r="B778" s="153"/>
      <c r="C778" s="153"/>
      <c r="D778" s="153" t="str">
        <f t="shared" si="1"/>
        <v>
</v>
      </c>
      <c r="E778" s="153"/>
      <c r="F778" s="153"/>
      <c r="G778" s="153"/>
      <c r="H778" s="153"/>
      <c r="I778" s="120"/>
      <c r="J778" s="120"/>
      <c r="K778" s="153"/>
      <c r="L778" s="153"/>
      <c r="M778" s="153"/>
      <c r="N778" s="153"/>
      <c r="O778" s="153"/>
      <c r="P778" s="153"/>
      <c r="Q778" s="153"/>
      <c r="R778" s="153"/>
      <c r="S778" s="153"/>
      <c r="T778" s="153"/>
      <c r="U778" s="153"/>
      <c r="V778" s="153"/>
      <c r="W778" s="153"/>
      <c r="X778" s="153"/>
      <c r="Y778" s="153"/>
      <c r="Z778" s="153"/>
      <c r="AA778" s="153"/>
      <c r="AB778" s="153"/>
      <c r="AC778" s="153"/>
    </row>
    <row r="779">
      <c r="A779" s="153"/>
      <c r="B779" s="153"/>
      <c r="C779" s="153"/>
      <c r="D779" s="153" t="str">
        <f t="shared" si="1"/>
        <v>
</v>
      </c>
      <c r="E779" s="153"/>
      <c r="F779" s="153"/>
      <c r="G779" s="153"/>
      <c r="H779" s="153"/>
      <c r="I779" s="120"/>
      <c r="J779" s="120"/>
      <c r="K779" s="153"/>
      <c r="L779" s="153"/>
      <c r="M779" s="153"/>
      <c r="N779" s="153"/>
      <c r="O779" s="153"/>
      <c r="P779" s="153"/>
      <c r="Q779" s="153"/>
      <c r="R779" s="153"/>
      <c r="S779" s="153"/>
      <c r="T779" s="153"/>
      <c r="U779" s="153"/>
      <c r="V779" s="153"/>
      <c r="W779" s="153"/>
      <c r="X779" s="153"/>
      <c r="Y779" s="153"/>
      <c r="Z779" s="153"/>
      <c r="AA779" s="153"/>
      <c r="AB779" s="153"/>
      <c r="AC779" s="153"/>
    </row>
    <row r="780">
      <c r="A780" s="153"/>
      <c r="B780" s="153"/>
      <c r="C780" s="153"/>
      <c r="D780" s="153" t="str">
        <f t="shared" si="1"/>
        <v>
</v>
      </c>
      <c r="E780" s="153"/>
      <c r="F780" s="153"/>
      <c r="G780" s="153"/>
      <c r="H780" s="153"/>
      <c r="I780" s="120"/>
      <c r="J780" s="120"/>
      <c r="K780" s="153"/>
      <c r="L780" s="153"/>
      <c r="M780" s="153"/>
      <c r="N780" s="153"/>
      <c r="O780" s="153"/>
      <c r="P780" s="153"/>
      <c r="Q780" s="153"/>
      <c r="R780" s="153"/>
      <c r="S780" s="153"/>
      <c r="T780" s="153"/>
      <c r="U780" s="153"/>
      <c r="V780" s="153"/>
      <c r="W780" s="153"/>
      <c r="X780" s="153"/>
      <c r="Y780" s="153"/>
      <c r="Z780" s="153"/>
      <c r="AA780" s="153"/>
      <c r="AB780" s="153"/>
      <c r="AC780" s="153"/>
    </row>
    <row r="781">
      <c r="A781" s="153"/>
      <c r="B781" s="153"/>
      <c r="C781" s="153"/>
      <c r="D781" s="153" t="str">
        <f t="shared" si="1"/>
        <v>
</v>
      </c>
      <c r="E781" s="153"/>
      <c r="F781" s="153"/>
      <c r="G781" s="153"/>
      <c r="H781" s="153"/>
      <c r="I781" s="120"/>
      <c r="J781" s="120"/>
      <c r="K781" s="153"/>
      <c r="L781" s="153"/>
      <c r="M781" s="153"/>
      <c r="N781" s="153"/>
      <c r="O781" s="153"/>
      <c r="P781" s="153"/>
      <c r="Q781" s="153"/>
      <c r="R781" s="153"/>
      <c r="S781" s="153"/>
      <c r="T781" s="153"/>
      <c r="U781" s="153"/>
      <c r="V781" s="153"/>
      <c r="W781" s="153"/>
      <c r="X781" s="153"/>
      <c r="Y781" s="153"/>
      <c r="Z781" s="153"/>
      <c r="AA781" s="153"/>
      <c r="AB781" s="153"/>
      <c r="AC781" s="153"/>
    </row>
    <row r="782">
      <c r="A782" s="153"/>
      <c r="B782" s="153"/>
      <c r="C782" s="153"/>
      <c r="D782" s="153" t="str">
        <f t="shared" si="1"/>
        <v>
</v>
      </c>
      <c r="E782" s="153"/>
      <c r="F782" s="153"/>
      <c r="G782" s="153"/>
      <c r="H782" s="153"/>
      <c r="I782" s="120"/>
      <c r="J782" s="120"/>
      <c r="K782" s="153"/>
      <c r="L782" s="153"/>
      <c r="M782" s="153"/>
      <c r="N782" s="153"/>
      <c r="O782" s="153"/>
      <c r="P782" s="153"/>
      <c r="Q782" s="153"/>
      <c r="R782" s="153"/>
      <c r="S782" s="153"/>
      <c r="T782" s="153"/>
      <c r="U782" s="153"/>
      <c r="V782" s="153"/>
      <c r="W782" s="153"/>
      <c r="X782" s="153"/>
      <c r="Y782" s="153"/>
      <c r="Z782" s="153"/>
      <c r="AA782" s="153"/>
      <c r="AB782" s="153"/>
      <c r="AC782" s="153"/>
    </row>
    <row r="783">
      <c r="A783" s="153"/>
      <c r="B783" s="153"/>
      <c r="C783" s="153"/>
      <c r="D783" s="153" t="str">
        <f t="shared" si="1"/>
        <v>
</v>
      </c>
      <c r="E783" s="153"/>
      <c r="F783" s="153"/>
      <c r="G783" s="153"/>
      <c r="H783" s="153"/>
      <c r="I783" s="120"/>
      <c r="J783" s="120"/>
      <c r="K783" s="153"/>
      <c r="L783" s="153"/>
      <c r="M783" s="153"/>
      <c r="N783" s="153"/>
      <c r="O783" s="153"/>
      <c r="P783" s="153"/>
      <c r="Q783" s="153"/>
      <c r="R783" s="153"/>
      <c r="S783" s="153"/>
      <c r="T783" s="153"/>
      <c r="U783" s="153"/>
      <c r="V783" s="153"/>
      <c r="W783" s="153"/>
      <c r="X783" s="153"/>
      <c r="Y783" s="153"/>
      <c r="Z783" s="153"/>
      <c r="AA783" s="153"/>
      <c r="AB783" s="153"/>
      <c r="AC783" s="153"/>
    </row>
    <row r="784">
      <c r="A784" s="153"/>
      <c r="B784" s="153"/>
      <c r="C784" s="153"/>
      <c r="D784" s="153" t="str">
        <f t="shared" si="1"/>
        <v>
</v>
      </c>
      <c r="E784" s="153"/>
      <c r="F784" s="153"/>
      <c r="G784" s="153"/>
      <c r="H784" s="153"/>
      <c r="I784" s="120"/>
      <c r="J784" s="120"/>
      <c r="K784" s="153"/>
      <c r="L784" s="153"/>
      <c r="M784" s="153"/>
      <c r="N784" s="153"/>
      <c r="O784" s="153"/>
      <c r="P784" s="153"/>
      <c r="Q784" s="153"/>
      <c r="R784" s="153"/>
      <c r="S784" s="153"/>
      <c r="T784" s="153"/>
      <c r="U784" s="153"/>
      <c r="V784" s="153"/>
      <c r="W784" s="153"/>
      <c r="X784" s="153"/>
      <c r="Y784" s="153"/>
      <c r="Z784" s="153"/>
      <c r="AA784" s="153"/>
      <c r="AB784" s="153"/>
      <c r="AC784" s="153"/>
    </row>
    <row r="785">
      <c r="A785" s="153"/>
      <c r="B785" s="153"/>
      <c r="C785" s="153"/>
      <c r="D785" s="153" t="str">
        <f t="shared" si="1"/>
        <v>
</v>
      </c>
      <c r="E785" s="153"/>
      <c r="F785" s="153"/>
      <c r="G785" s="153"/>
      <c r="H785" s="153"/>
      <c r="I785" s="120"/>
      <c r="J785" s="120"/>
      <c r="K785" s="153"/>
      <c r="L785" s="153"/>
      <c r="M785" s="153"/>
      <c r="N785" s="153"/>
      <c r="O785" s="153"/>
      <c r="P785" s="153"/>
      <c r="Q785" s="153"/>
      <c r="R785" s="153"/>
      <c r="S785" s="153"/>
      <c r="T785" s="153"/>
      <c r="U785" s="153"/>
      <c r="V785" s="153"/>
      <c r="W785" s="153"/>
      <c r="X785" s="153"/>
      <c r="Y785" s="153"/>
      <c r="Z785" s="153"/>
      <c r="AA785" s="153"/>
      <c r="AB785" s="153"/>
      <c r="AC785" s="153"/>
    </row>
    <row r="786">
      <c r="A786" s="153"/>
      <c r="B786" s="153"/>
      <c r="C786" s="153"/>
      <c r="D786" s="153" t="str">
        <f t="shared" si="1"/>
        <v>
</v>
      </c>
      <c r="E786" s="153"/>
      <c r="F786" s="153"/>
      <c r="G786" s="153"/>
      <c r="H786" s="153"/>
      <c r="I786" s="120"/>
      <c r="J786" s="120"/>
      <c r="K786" s="153"/>
      <c r="L786" s="153"/>
      <c r="M786" s="153"/>
      <c r="N786" s="153"/>
      <c r="O786" s="153"/>
      <c r="P786" s="153"/>
      <c r="Q786" s="153"/>
      <c r="R786" s="153"/>
      <c r="S786" s="153"/>
      <c r="T786" s="153"/>
      <c r="U786" s="153"/>
      <c r="V786" s="153"/>
      <c r="W786" s="153"/>
      <c r="X786" s="153"/>
      <c r="Y786" s="153"/>
      <c r="Z786" s="153"/>
      <c r="AA786" s="153"/>
      <c r="AB786" s="153"/>
      <c r="AC786" s="153"/>
    </row>
    <row r="787">
      <c r="A787" s="153"/>
      <c r="B787" s="153"/>
      <c r="C787" s="153"/>
      <c r="D787" s="153" t="str">
        <f t="shared" si="1"/>
        <v>
</v>
      </c>
      <c r="E787" s="153"/>
      <c r="F787" s="153"/>
      <c r="G787" s="153"/>
      <c r="H787" s="153"/>
      <c r="I787" s="120"/>
      <c r="J787" s="120"/>
      <c r="K787" s="153"/>
      <c r="L787" s="153"/>
      <c r="M787" s="153"/>
      <c r="N787" s="153"/>
      <c r="O787" s="153"/>
      <c r="P787" s="153"/>
      <c r="Q787" s="153"/>
      <c r="R787" s="153"/>
      <c r="S787" s="153"/>
      <c r="T787" s="153"/>
      <c r="U787" s="153"/>
      <c r="V787" s="153"/>
      <c r="W787" s="153"/>
      <c r="X787" s="153"/>
      <c r="Y787" s="153"/>
      <c r="Z787" s="153"/>
      <c r="AA787" s="153"/>
      <c r="AB787" s="153"/>
      <c r="AC787" s="153"/>
    </row>
    <row r="788">
      <c r="A788" s="153"/>
      <c r="B788" s="153"/>
      <c r="C788" s="153"/>
      <c r="D788" s="153" t="str">
        <f t="shared" si="1"/>
        <v>
</v>
      </c>
      <c r="E788" s="153"/>
      <c r="F788" s="153"/>
      <c r="G788" s="153"/>
      <c r="H788" s="153"/>
      <c r="I788" s="120"/>
      <c r="J788" s="120"/>
      <c r="K788" s="153"/>
      <c r="L788" s="153"/>
      <c r="M788" s="153"/>
      <c r="N788" s="153"/>
      <c r="O788" s="153"/>
      <c r="P788" s="153"/>
      <c r="Q788" s="153"/>
      <c r="R788" s="153"/>
      <c r="S788" s="153"/>
      <c r="T788" s="153"/>
      <c r="U788" s="153"/>
      <c r="V788" s="153"/>
      <c r="W788" s="153"/>
      <c r="X788" s="153"/>
      <c r="Y788" s="153"/>
      <c r="Z788" s="153"/>
      <c r="AA788" s="153"/>
      <c r="AB788" s="153"/>
      <c r="AC788" s="153"/>
    </row>
    <row r="789">
      <c r="A789" s="153"/>
      <c r="B789" s="153"/>
      <c r="C789" s="153"/>
      <c r="D789" s="153" t="str">
        <f t="shared" si="1"/>
        <v>
</v>
      </c>
      <c r="E789" s="153"/>
      <c r="F789" s="153"/>
      <c r="G789" s="153"/>
      <c r="H789" s="153"/>
      <c r="I789" s="120"/>
      <c r="J789" s="120"/>
      <c r="K789" s="153"/>
      <c r="L789" s="153"/>
      <c r="M789" s="153"/>
      <c r="N789" s="153"/>
      <c r="O789" s="153"/>
      <c r="P789" s="153"/>
      <c r="Q789" s="153"/>
      <c r="R789" s="153"/>
      <c r="S789" s="153"/>
      <c r="T789" s="153"/>
      <c r="U789" s="153"/>
      <c r="V789" s="153"/>
      <c r="W789" s="153"/>
      <c r="X789" s="153"/>
      <c r="Y789" s="153"/>
      <c r="Z789" s="153"/>
      <c r="AA789" s="153"/>
      <c r="AB789" s="153"/>
      <c r="AC789" s="153"/>
    </row>
    <row r="790">
      <c r="A790" s="153"/>
      <c r="B790" s="153"/>
      <c r="C790" s="153"/>
      <c r="D790" s="153" t="str">
        <f t="shared" si="1"/>
        <v>
</v>
      </c>
      <c r="E790" s="153"/>
      <c r="F790" s="153"/>
      <c r="G790" s="153"/>
      <c r="H790" s="153"/>
      <c r="I790" s="120"/>
      <c r="J790" s="120"/>
      <c r="K790" s="153"/>
      <c r="L790" s="153"/>
      <c r="M790" s="153"/>
      <c r="N790" s="153"/>
      <c r="O790" s="153"/>
      <c r="P790" s="153"/>
      <c r="Q790" s="153"/>
      <c r="R790" s="153"/>
      <c r="S790" s="153"/>
      <c r="T790" s="153"/>
      <c r="U790" s="153"/>
      <c r="V790" s="153"/>
      <c r="W790" s="153"/>
      <c r="X790" s="153"/>
      <c r="Y790" s="153"/>
      <c r="Z790" s="153"/>
      <c r="AA790" s="153"/>
      <c r="AB790" s="153"/>
      <c r="AC790" s="153"/>
    </row>
    <row r="791">
      <c r="A791" s="153"/>
      <c r="B791" s="153"/>
      <c r="C791" s="153"/>
      <c r="D791" s="153" t="str">
        <f t="shared" si="1"/>
        <v>
</v>
      </c>
      <c r="E791" s="153"/>
      <c r="F791" s="153"/>
      <c r="G791" s="153"/>
      <c r="H791" s="153"/>
      <c r="I791" s="120"/>
      <c r="J791" s="120"/>
      <c r="K791" s="153"/>
      <c r="L791" s="153"/>
      <c r="M791" s="153"/>
      <c r="N791" s="153"/>
      <c r="O791" s="153"/>
      <c r="P791" s="153"/>
      <c r="Q791" s="153"/>
      <c r="R791" s="153"/>
      <c r="S791" s="153"/>
      <c r="T791" s="153"/>
      <c r="U791" s="153"/>
      <c r="V791" s="153"/>
      <c r="W791" s="153"/>
      <c r="X791" s="153"/>
      <c r="Y791" s="153"/>
      <c r="Z791" s="153"/>
      <c r="AA791" s="153"/>
      <c r="AB791" s="153"/>
      <c r="AC791" s="153"/>
    </row>
    <row r="792">
      <c r="A792" s="153"/>
      <c r="B792" s="153"/>
      <c r="C792" s="153"/>
      <c r="D792" s="153" t="str">
        <f t="shared" si="1"/>
        <v>
</v>
      </c>
      <c r="E792" s="153"/>
      <c r="F792" s="153"/>
      <c r="G792" s="153"/>
      <c r="H792" s="153"/>
      <c r="I792" s="120"/>
      <c r="J792" s="120"/>
      <c r="K792" s="153"/>
      <c r="L792" s="153"/>
      <c r="M792" s="153"/>
      <c r="N792" s="153"/>
      <c r="O792" s="153"/>
      <c r="P792" s="153"/>
      <c r="Q792" s="153"/>
      <c r="R792" s="153"/>
      <c r="S792" s="153"/>
      <c r="T792" s="153"/>
      <c r="U792" s="153"/>
      <c r="V792" s="153"/>
      <c r="W792" s="153"/>
      <c r="X792" s="153"/>
      <c r="Y792" s="153"/>
      <c r="Z792" s="153"/>
      <c r="AA792" s="153"/>
      <c r="AB792" s="153"/>
      <c r="AC792" s="153"/>
    </row>
    <row r="793">
      <c r="A793" s="153"/>
      <c r="B793" s="153"/>
      <c r="C793" s="153"/>
      <c r="D793" s="153" t="str">
        <f t="shared" si="1"/>
        <v>
</v>
      </c>
      <c r="E793" s="153"/>
      <c r="F793" s="153"/>
      <c r="G793" s="153"/>
      <c r="H793" s="153"/>
      <c r="I793" s="120"/>
      <c r="J793" s="120"/>
      <c r="K793" s="153"/>
      <c r="L793" s="153"/>
      <c r="M793" s="153"/>
      <c r="N793" s="153"/>
      <c r="O793" s="153"/>
      <c r="P793" s="153"/>
      <c r="Q793" s="153"/>
      <c r="R793" s="153"/>
      <c r="S793" s="153"/>
      <c r="T793" s="153"/>
      <c r="U793" s="153"/>
      <c r="V793" s="153"/>
      <c r="W793" s="153"/>
      <c r="X793" s="153"/>
      <c r="Y793" s="153"/>
      <c r="Z793" s="153"/>
      <c r="AA793" s="153"/>
      <c r="AB793" s="153"/>
      <c r="AC793" s="153"/>
    </row>
    <row r="794">
      <c r="A794" s="153"/>
      <c r="B794" s="153"/>
      <c r="C794" s="153"/>
      <c r="D794" s="153" t="str">
        <f t="shared" si="1"/>
        <v>
</v>
      </c>
      <c r="E794" s="153"/>
      <c r="F794" s="153"/>
      <c r="G794" s="153"/>
      <c r="H794" s="153"/>
      <c r="I794" s="120"/>
      <c r="J794" s="120"/>
      <c r="K794" s="153"/>
      <c r="L794" s="153"/>
      <c r="M794" s="153"/>
      <c r="N794" s="153"/>
      <c r="O794" s="153"/>
      <c r="P794" s="153"/>
      <c r="Q794" s="153"/>
      <c r="R794" s="153"/>
      <c r="S794" s="153"/>
      <c r="T794" s="153"/>
      <c r="U794" s="153"/>
      <c r="V794" s="153"/>
      <c r="W794" s="153"/>
      <c r="X794" s="153"/>
      <c r="Y794" s="153"/>
      <c r="Z794" s="153"/>
      <c r="AA794" s="153"/>
      <c r="AB794" s="153"/>
      <c r="AC794" s="153"/>
    </row>
    <row r="795">
      <c r="A795" s="153"/>
      <c r="B795" s="153"/>
      <c r="C795" s="153"/>
      <c r="D795" s="153" t="str">
        <f t="shared" si="1"/>
        <v>
</v>
      </c>
      <c r="E795" s="153"/>
      <c r="F795" s="153"/>
      <c r="G795" s="153"/>
      <c r="H795" s="153"/>
      <c r="I795" s="120"/>
      <c r="J795" s="120"/>
      <c r="K795" s="153"/>
      <c r="L795" s="153"/>
      <c r="M795" s="153"/>
      <c r="N795" s="153"/>
      <c r="O795" s="153"/>
      <c r="P795" s="153"/>
      <c r="Q795" s="153"/>
      <c r="R795" s="153"/>
      <c r="S795" s="153"/>
      <c r="T795" s="153"/>
      <c r="U795" s="153"/>
      <c r="V795" s="153"/>
      <c r="W795" s="153"/>
      <c r="X795" s="153"/>
      <c r="Y795" s="153"/>
      <c r="Z795" s="153"/>
      <c r="AA795" s="153"/>
      <c r="AB795" s="153"/>
      <c r="AC795" s="153"/>
    </row>
    <row r="796">
      <c r="A796" s="153"/>
      <c r="B796" s="153"/>
      <c r="C796" s="153"/>
      <c r="D796" s="153" t="str">
        <f t="shared" si="1"/>
        <v>
</v>
      </c>
      <c r="E796" s="153"/>
      <c r="F796" s="153"/>
      <c r="G796" s="153"/>
      <c r="H796" s="153"/>
      <c r="I796" s="120"/>
      <c r="J796" s="120"/>
      <c r="K796" s="153"/>
      <c r="L796" s="153"/>
      <c r="M796" s="153"/>
      <c r="N796" s="153"/>
      <c r="O796" s="153"/>
      <c r="P796" s="153"/>
      <c r="Q796" s="153"/>
      <c r="R796" s="153"/>
      <c r="S796" s="153"/>
      <c r="T796" s="153"/>
      <c r="U796" s="153"/>
      <c r="V796" s="153"/>
      <c r="W796" s="153"/>
      <c r="X796" s="153"/>
      <c r="Y796" s="153"/>
      <c r="Z796" s="153"/>
      <c r="AA796" s="153"/>
      <c r="AB796" s="153"/>
      <c r="AC796" s="153"/>
    </row>
    <row r="797">
      <c r="A797" s="153"/>
      <c r="B797" s="153"/>
      <c r="C797" s="153"/>
      <c r="D797" s="153" t="str">
        <f t="shared" si="1"/>
        <v>
</v>
      </c>
      <c r="E797" s="153"/>
      <c r="F797" s="153"/>
      <c r="G797" s="153"/>
      <c r="H797" s="153"/>
      <c r="I797" s="120"/>
      <c r="J797" s="120"/>
      <c r="K797" s="153"/>
      <c r="L797" s="153"/>
      <c r="M797" s="153"/>
      <c r="N797" s="153"/>
      <c r="O797" s="153"/>
      <c r="P797" s="153"/>
      <c r="Q797" s="153"/>
      <c r="R797" s="153"/>
      <c r="S797" s="153"/>
      <c r="T797" s="153"/>
      <c r="U797" s="153"/>
      <c r="V797" s="153"/>
      <c r="W797" s="153"/>
      <c r="X797" s="153"/>
      <c r="Y797" s="153"/>
      <c r="Z797" s="153"/>
      <c r="AA797" s="153"/>
      <c r="AB797" s="153"/>
      <c r="AC797" s="153"/>
    </row>
    <row r="798">
      <c r="A798" s="153"/>
      <c r="B798" s="153"/>
      <c r="C798" s="153"/>
      <c r="D798" s="153" t="str">
        <f t="shared" si="1"/>
        <v>
</v>
      </c>
      <c r="E798" s="153"/>
      <c r="F798" s="153"/>
      <c r="G798" s="153"/>
      <c r="H798" s="153"/>
      <c r="I798" s="120"/>
      <c r="J798" s="120"/>
      <c r="K798" s="153"/>
      <c r="L798" s="153"/>
      <c r="M798" s="153"/>
      <c r="N798" s="153"/>
      <c r="O798" s="153"/>
      <c r="P798" s="153"/>
      <c r="Q798" s="153"/>
      <c r="R798" s="153"/>
      <c r="S798" s="153"/>
      <c r="T798" s="153"/>
      <c r="U798" s="153"/>
      <c r="V798" s="153"/>
      <c r="W798" s="153"/>
      <c r="X798" s="153"/>
      <c r="Y798" s="153"/>
      <c r="Z798" s="153"/>
      <c r="AA798" s="153"/>
      <c r="AB798" s="153"/>
      <c r="AC798" s="153"/>
    </row>
    <row r="799">
      <c r="A799" s="153"/>
      <c r="B799" s="153"/>
      <c r="C799" s="153"/>
      <c r="D799" s="153" t="str">
        <f t="shared" si="1"/>
        <v>
</v>
      </c>
      <c r="E799" s="153"/>
      <c r="F799" s="153"/>
      <c r="G799" s="153"/>
      <c r="H799" s="153"/>
      <c r="I799" s="120"/>
      <c r="J799" s="120"/>
      <c r="K799" s="153"/>
      <c r="L799" s="153"/>
      <c r="M799" s="153"/>
      <c r="N799" s="153"/>
      <c r="O799" s="153"/>
      <c r="P799" s="153"/>
      <c r="Q799" s="153"/>
      <c r="R799" s="153"/>
      <c r="S799" s="153"/>
      <c r="T799" s="153"/>
      <c r="U799" s="153"/>
      <c r="V799" s="153"/>
      <c r="W799" s="153"/>
      <c r="X799" s="153"/>
      <c r="Y799" s="153"/>
      <c r="Z799" s="153"/>
      <c r="AA799" s="153"/>
      <c r="AB799" s="153"/>
      <c r="AC799" s="153"/>
    </row>
    <row r="800">
      <c r="A800" s="153"/>
      <c r="B800" s="153"/>
      <c r="C800" s="153"/>
      <c r="D800" s="153" t="str">
        <f t="shared" si="1"/>
        <v>
</v>
      </c>
      <c r="E800" s="153"/>
      <c r="F800" s="153"/>
      <c r="G800" s="153"/>
      <c r="H800" s="153"/>
      <c r="I800" s="120"/>
      <c r="J800" s="120"/>
      <c r="K800" s="153"/>
      <c r="L800" s="153"/>
      <c r="M800" s="153"/>
      <c r="N800" s="153"/>
      <c r="O800" s="153"/>
      <c r="P800" s="153"/>
      <c r="Q800" s="153"/>
      <c r="R800" s="153"/>
      <c r="S800" s="153"/>
      <c r="T800" s="153"/>
      <c r="U800" s="153"/>
      <c r="V800" s="153"/>
      <c r="W800" s="153"/>
      <c r="X800" s="153"/>
      <c r="Y800" s="153"/>
      <c r="Z800" s="153"/>
      <c r="AA800" s="153"/>
      <c r="AB800" s="153"/>
      <c r="AC800" s="153"/>
    </row>
    <row r="801">
      <c r="A801" s="153"/>
      <c r="B801" s="153"/>
      <c r="C801" s="153"/>
      <c r="D801" s="153" t="str">
        <f t="shared" si="1"/>
        <v>
</v>
      </c>
      <c r="E801" s="153"/>
      <c r="F801" s="153"/>
      <c r="G801" s="153"/>
      <c r="H801" s="153"/>
      <c r="I801" s="120"/>
      <c r="J801" s="120"/>
      <c r="K801" s="153"/>
      <c r="L801" s="153"/>
      <c r="M801" s="153"/>
      <c r="N801" s="153"/>
      <c r="O801" s="153"/>
      <c r="P801" s="153"/>
      <c r="Q801" s="153"/>
      <c r="R801" s="153"/>
      <c r="S801" s="153"/>
      <c r="T801" s="153"/>
      <c r="U801" s="153"/>
      <c r="V801" s="153"/>
      <c r="W801" s="153"/>
      <c r="X801" s="153"/>
      <c r="Y801" s="153"/>
      <c r="Z801" s="153"/>
      <c r="AA801" s="153"/>
      <c r="AB801" s="153"/>
      <c r="AC801" s="153"/>
    </row>
    <row r="802">
      <c r="A802" s="153"/>
      <c r="B802" s="153"/>
      <c r="C802" s="153"/>
      <c r="D802" s="153" t="str">
        <f t="shared" si="1"/>
        <v>
</v>
      </c>
      <c r="E802" s="153"/>
      <c r="F802" s="153"/>
      <c r="G802" s="153"/>
      <c r="H802" s="153"/>
      <c r="I802" s="120"/>
      <c r="J802" s="120"/>
      <c r="K802" s="153"/>
      <c r="L802" s="153"/>
      <c r="M802" s="153"/>
      <c r="N802" s="153"/>
      <c r="O802" s="153"/>
      <c r="P802" s="153"/>
      <c r="Q802" s="153"/>
      <c r="R802" s="153"/>
      <c r="S802" s="153"/>
      <c r="T802" s="153"/>
      <c r="U802" s="153"/>
      <c r="V802" s="153"/>
      <c r="W802" s="153"/>
      <c r="X802" s="153"/>
      <c r="Y802" s="153"/>
      <c r="Z802" s="153"/>
      <c r="AA802" s="153"/>
      <c r="AB802" s="153"/>
      <c r="AC802" s="153"/>
    </row>
    <row r="803">
      <c r="A803" s="153"/>
      <c r="B803" s="153"/>
      <c r="C803" s="153"/>
      <c r="D803" s="153" t="str">
        <f t="shared" si="1"/>
        <v>
</v>
      </c>
      <c r="E803" s="153"/>
      <c r="F803" s="153"/>
      <c r="G803" s="153"/>
      <c r="H803" s="153"/>
      <c r="I803" s="120"/>
      <c r="J803" s="120"/>
      <c r="K803" s="153"/>
      <c r="L803" s="153"/>
      <c r="M803" s="153"/>
      <c r="N803" s="153"/>
      <c r="O803" s="153"/>
      <c r="P803" s="153"/>
      <c r="Q803" s="153"/>
      <c r="R803" s="153"/>
      <c r="S803" s="153"/>
      <c r="T803" s="153"/>
      <c r="U803" s="153"/>
      <c r="V803" s="153"/>
      <c r="W803" s="153"/>
      <c r="X803" s="153"/>
      <c r="Y803" s="153"/>
      <c r="Z803" s="153"/>
      <c r="AA803" s="153"/>
      <c r="AB803" s="153"/>
      <c r="AC803" s="153"/>
    </row>
    <row r="804">
      <c r="A804" s="153"/>
      <c r="B804" s="153"/>
      <c r="C804" s="153"/>
      <c r="D804" s="153" t="str">
        <f t="shared" si="1"/>
        <v>
</v>
      </c>
      <c r="E804" s="153"/>
      <c r="F804" s="153"/>
      <c r="G804" s="153"/>
      <c r="H804" s="153"/>
      <c r="I804" s="120"/>
      <c r="J804" s="120"/>
      <c r="K804" s="153"/>
      <c r="L804" s="153"/>
      <c r="M804" s="153"/>
      <c r="N804" s="153"/>
      <c r="O804" s="153"/>
      <c r="P804" s="153"/>
      <c r="Q804" s="153"/>
      <c r="R804" s="153"/>
      <c r="S804" s="153"/>
      <c r="T804" s="153"/>
      <c r="U804" s="153"/>
      <c r="V804" s="153"/>
      <c r="W804" s="153"/>
      <c r="X804" s="153"/>
      <c r="Y804" s="153"/>
      <c r="Z804" s="153"/>
      <c r="AA804" s="153"/>
      <c r="AB804" s="153"/>
      <c r="AC804" s="153"/>
    </row>
    <row r="805">
      <c r="A805" s="153"/>
      <c r="B805" s="153"/>
      <c r="C805" s="153"/>
      <c r="D805" s="153" t="str">
        <f t="shared" si="1"/>
        <v>
</v>
      </c>
      <c r="E805" s="153"/>
      <c r="F805" s="153"/>
      <c r="G805" s="153"/>
      <c r="H805" s="153"/>
      <c r="I805" s="120"/>
      <c r="J805" s="120"/>
      <c r="K805" s="153"/>
      <c r="L805" s="153"/>
      <c r="M805" s="153"/>
      <c r="N805" s="153"/>
      <c r="O805" s="153"/>
      <c r="P805" s="153"/>
      <c r="Q805" s="153"/>
      <c r="R805" s="153"/>
      <c r="S805" s="153"/>
      <c r="T805" s="153"/>
      <c r="U805" s="153"/>
      <c r="V805" s="153"/>
      <c r="W805" s="153"/>
      <c r="X805" s="153"/>
      <c r="Y805" s="153"/>
      <c r="Z805" s="153"/>
      <c r="AA805" s="153"/>
      <c r="AB805" s="153"/>
      <c r="AC805" s="153"/>
    </row>
    <row r="806">
      <c r="A806" s="153"/>
      <c r="B806" s="153"/>
      <c r="C806" s="153"/>
      <c r="D806" s="153" t="str">
        <f t="shared" si="1"/>
        <v>
</v>
      </c>
      <c r="E806" s="153"/>
      <c r="F806" s="153"/>
      <c r="G806" s="153"/>
      <c r="H806" s="153"/>
      <c r="I806" s="120"/>
      <c r="J806" s="120"/>
      <c r="K806" s="153"/>
      <c r="L806" s="153"/>
      <c r="M806" s="153"/>
      <c r="N806" s="153"/>
      <c r="O806" s="153"/>
      <c r="P806" s="153"/>
      <c r="Q806" s="153"/>
      <c r="R806" s="153"/>
      <c r="S806" s="153"/>
      <c r="T806" s="153"/>
      <c r="U806" s="153"/>
      <c r="V806" s="153"/>
      <c r="W806" s="153"/>
      <c r="X806" s="153"/>
      <c r="Y806" s="153"/>
      <c r="Z806" s="153"/>
      <c r="AA806" s="153"/>
      <c r="AB806" s="153"/>
      <c r="AC806" s="153"/>
    </row>
    <row r="807">
      <c r="A807" s="153"/>
      <c r="B807" s="153"/>
      <c r="C807" s="153"/>
      <c r="D807" s="153" t="str">
        <f t="shared" si="1"/>
        <v>
</v>
      </c>
      <c r="E807" s="153"/>
      <c r="F807" s="153"/>
      <c r="G807" s="153"/>
      <c r="H807" s="153"/>
      <c r="I807" s="120"/>
      <c r="J807" s="120"/>
      <c r="K807" s="153"/>
      <c r="L807" s="153"/>
      <c r="M807" s="153"/>
      <c r="N807" s="153"/>
      <c r="O807" s="153"/>
      <c r="P807" s="153"/>
      <c r="Q807" s="153"/>
      <c r="R807" s="153"/>
      <c r="S807" s="153"/>
      <c r="T807" s="153"/>
      <c r="U807" s="153"/>
      <c r="V807" s="153"/>
      <c r="W807" s="153"/>
      <c r="X807" s="153"/>
      <c r="Y807" s="153"/>
      <c r="Z807" s="153"/>
      <c r="AA807" s="153"/>
      <c r="AB807" s="153"/>
      <c r="AC807" s="153"/>
    </row>
    <row r="808">
      <c r="A808" s="153"/>
      <c r="B808" s="153"/>
      <c r="C808" s="153"/>
      <c r="D808" s="153" t="str">
        <f t="shared" si="1"/>
        <v>
</v>
      </c>
      <c r="E808" s="153"/>
      <c r="F808" s="153"/>
      <c r="G808" s="153"/>
      <c r="H808" s="153"/>
      <c r="I808" s="120"/>
      <c r="J808" s="120"/>
      <c r="K808" s="153"/>
      <c r="L808" s="153"/>
      <c r="M808" s="153"/>
      <c r="N808" s="153"/>
      <c r="O808" s="153"/>
      <c r="P808" s="153"/>
      <c r="Q808" s="153"/>
      <c r="R808" s="153"/>
      <c r="S808" s="153"/>
      <c r="T808" s="153"/>
      <c r="U808" s="153"/>
      <c r="V808" s="153"/>
      <c r="W808" s="153"/>
      <c r="X808" s="153"/>
      <c r="Y808" s="153"/>
      <c r="Z808" s="153"/>
      <c r="AA808" s="153"/>
      <c r="AB808" s="153"/>
      <c r="AC808" s="153"/>
    </row>
    <row r="809">
      <c r="A809" s="153"/>
      <c r="B809" s="153"/>
      <c r="C809" s="153"/>
      <c r="D809" s="153" t="str">
        <f t="shared" si="1"/>
        <v>
</v>
      </c>
      <c r="E809" s="153"/>
      <c r="F809" s="153"/>
      <c r="G809" s="153"/>
      <c r="H809" s="153"/>
      <c r="I809" s="120"/>
      <c r="J809" s="120"/>
      <c r="K809" s="153"/>
      <c r="L809" s="153"/>
      <c r="M809" s="153"/>
      <c r="N809" s="153"/>
      <c r="O809" s="153"/>
      <c r="P809" s="153"/>
      <c r="Q809" s="153"/>
      <c r="R809" s="153"/>
      <c r="S809" s="153"/>
      <c r="T809" s="153"/>
      <c r="U809" s="153"/>
      <c r="V809" s="153"/>
      <c r="W809" s="153"/>
      <c r="X809" s="153"/>
      <c r="Y809" s="153"/>
      <c r="Z809" s="153"/>
      <c r="AA809" s="153"/>
      <c r="AB809" s="153"/>
      <c r="AC809" s="153"/>
    </row>
    <row r="810">
      <c r="A810" s="153"/>
      <c r="B810" s="153"/>
      <c r="C810" s="153"/>
      <c r="D810" s="153" t="str">
        <f t="shared" si="1"/>
        <v>
</v>
      </c>
      <c r="E810" s="153"/>
      <c r="F810" s="153"/>
      <c r="G810" s="153"/>
      <c r="H810" s="153"/>
      <c r="I810" s="120"/>
      <c r="J810" s="120"/>
      <c r="K810" s="153"/>
      <c r="L810" s="153"/>
      <c r="M810" s="153"/>
      <c r="N810" s="153"/>
      <c r="O810" s="153"/>
      <c r="P810" s="153"/>
      <c r="Q810" s="153"/>
      <c r="R810" s="153"/>
      <c r="S810" s="153"/>
      <c r="T810" s="153"/>
      <c r="U810" s="153"/>
      <c r="V810" s="153"/>
      <c r="W810" s="153"/>
      <c r="X810" s="153"/>
      <c r="Y810" s="153"/>
      <c r="Z810" s="153"/>
      <c r="AA810" s="153"/>
      <c r="AB810" s="153"/>
      <c r="AC810" s="153"/>
    </row>
    <row r="811">
      <c r="A811" s="153"/>
      <c r="B811" s="153"/>
      <c r="C811" s="153"/>
      <c r="D811" s="153" t="str">
        <f t="shared" si="1"/>
        <v>
</v>
      </c>
      <c r="E811" s="153"/>
      <c r="F811" s="153"/>
      <c r="G811" s="153"/>
      <c r="H811" s="153"/>
      <c r="I811" s="120"/>
      <c r="J811" s="120"/>
      <c r="K811" s="153"/>
      <c r="L811" s="153"/>
      <c r="M811" s="153"/>
      <c r="N811" s="153"/>
      <c r="O811" s="153"/>
      <c r="P811" s="153"/>
      <c r="Q811" s="153"/>
      <c r="R811" s="153"/>
      <c r="S811" s="153"/>
      <c r="T811" s="153"/>
      <c r="U811" s="153"/>
      <c r="V811" s="153"/>
      <c r="W811" s="153"/>
      <c r="X811" s="153"/>
      <c r="Y811" s="153"/>
      <c r="Z811" s="153"/>
      <c r="AA811" s="153"/>
      <c r="AB811" s="153"/>
      <c r="AC811" s="153"/>
    </row>
    <row r="812">
      <c r="A812" s="153"/>
      <c r="B812" s="153"/>
      <c r="C812" s="153"/>
      <c r="D812" s="153" t="str">
        <f t="shared" si="1"/>
        <v>
</v>
      </c>
      <c r="E812" s="153"/>
      <c r="F812" s="153"/>
      <c r="G812" s="153"/>
      <c r="H812" s="153"/>
      <c r="I812" s="120"/>
      <c r="J812" s="120"/>
      <c r="K812" s="153"/>
      <c r="L812" s="153"/>
      <c r="M812" s="153"/>
      <c r="N812" s="153"/>
      <c r="O812" s="153"/>
      <c r="P812" s="153"/>
      <c r="Q812" s="153"/>
      <c r="R812" s="153"/>
      <c r="S812" s="153"/>
      <c r="T812" s="153"/>
      <c r="U812" s="153"/>
      <c r="V812" s="153"/>
      <c r="W812" s="153"/>
      <c r="X812" s="153"/>
      <c r="Y812" s="153"/>
      <c r="Z812" s="153"/>
      <c r="AA812" s="153"/>
      <c r="AB812" s="153"/>
      <c r="AC812" s="153"/>
    </row>
    <row r="813">
      <c r="A813" s="153"/>
      <c r="B813" s="153"/>
      <c r="C813" s="153"/>
      <c r="D813" s="153" t="str">
        <f t="shared" si="1"/>
        <v>
</v>
      </c>
      <c r="E813" s="153"/>
      <c r="F813" s="153"/>
      <c r="G813" s="153"/>
      <c r="H813" s="153"/>
      <c r="I813" s="120"/>
      <c r="J813" s="120"/>
      <c r="K813" s="153"/>
      <c r="L813" s="153"/>
      <c r="M813" s="153"/>
      <c r="N813" s="153"/>
      <c r="O813" s="153"/>
      <c r="P813" s="153"/>
      <c r="Q813" s="153"/>
      <c r="R813" s="153"/>
      <c r="S813" s="153"/>
      <c r="T813" s="153"/>
      <c r="U813" s="153"/>
      <c r="V813" s="153"/>
      <c r="W813" s="153"/>
      <c r="X813" s="153"/>
      <c r="Y813" s="153"/>
      <c r="Z813" s="153"/>
      <c r="AA813" s="153"/>
      <c r="AB813" s="153"/>
      <c r="AC813" s="153"/>
    </row>
    <row r="814">
      <c r="A814" s="153"/>
      <c r="B814" s="153"/>
      <c r="C814" s="153"/>
      <c r="D814" s="153" t="str">
        <f t="shared" si="1"/>
        <v>
</v>
      </c>
      <c r="E814" s="153"/>
      <c r="F814" s="153"/>
      <c r="G814" s="153"/>
      <c r="H814" s="153"/>
      <c r="I814" s="120"/>
      <c r="J814" s="120"/>
      <c r="K814" s="153"/>
      <c r="L814" s="153"/>
      <c r="M814" s="153"/>
      <c r="N814" s="153"/>
      <c r="O814" s="153"/>
      <c r="P814" s="153"/>
      <c r="Q814" s="153"/>
      <c r="R814" s="153"/>
      <c r="S814" s="153"/>
      <c r="T814" s="153"/>
      <c r="U814" s="153"/>
      <c r="V814" s="153"/>
      <c r="W814" s="153"/>
      <c r="X814" s="153"/>
      <c r="Y814" s="153"/>
      <c r="Z814" s="153"/>
      <c r="AA814" s="153"/>
      <c r="AB814" s="153"/>
      <c r="AC814" s="153"/>
    </row>
    <row r="815">
      <c r="A815" s="153"/>
      <c r="B815" s="153"/>
      <c r="C815" s="153"/>
      <c r="D815" s="153" t="str">
        <f t="shared" si="1"/>
        <v>
</v>
      </c>
      <c r="E815" s="153"/>
      <c r="F815" s="153"/>
      <c r="G815" s="153"/>
      <c r="H815" s="153"/>
      <c r="I815" s="120"/>
      <c r="J815" s="120"/>
      <c r="K815" s="153"/>
      <c r="L815" s="153"/>
      <c r="M815" s="153"/>
      <c r="N815" s="153"/>
      <c r="O815" s="153"/>
      <c r="P815" s="153"/>
      <c r="Q815" s="153"/>
      <c r="R815" s="153"/>
      <c r="S815" s="153"/>
      <c r="T815" s="153"/>
      <c r="U815" s="153"/>
      <c r="V815" s="153"/>
      <c r="W815" s="153"/>
      <c r="X815" s="153"/>
      <c r="Y815" s="153"/>
      <c r="Z815" s="153"/>
      <c r="AA815" s="153"/>
      <c r="AB815" s="153"/>
      <c r="AC815" s="153"/>
    </row>
    <row r="816">
      <c r="A816" s="153"/>
      <c r="B816" s="153"/>
      <c r="C816" s="153"/>
      <c r="D816" s="153" t="str">
        <f t="shared" si="1"/>
        <v>
</v>
      </c>
      <c r="E816" s="153"/>
      <c r="F816" s="153"/>
      <c r="G816" s="153"/>
      <c r="H816" s="153"/>
      <c r="I816" s="120"/>
      <c r="J816" s="120"/>
      <c r="K816" s="153"/>
      <c r="L816" s="153"/>
      <c r="M816" s="153"/>
      <c r="N816" s="153"/>
      <c r="O816" s="153"/>
      <c r="P816" s="153"/>
      <c r="Q816" s="153"/>
      <c r="R816" s="153"/>
      <c r="S816" s="153"/>
      <c r="T816" s="153"/>
      <c r="U816" s="153"/>
      <c r="V816" s="153"/>
      <c r="W816" s="153"/>
      <c r="X816" s="153"/>
      <c r="Y816" s="153"/>
      <c r="Z816" s="153"/>
      <c r="AA816" s="153"/>
      <c r="AB816" s="153"/>
      <c r="AC816" s="153"/>
    </row>
    <row r="817">
      <c r="A817" s="153"/>
      <c r="B817" s="153"/>
      <c r="C817" s="153"/>
      <c r="D817" s="153" t="str">
        <f t="shared" si="1"/>
        <v>
</v>
      </c>
      <c r="E817" s="153"/>
      <c r="F817" s="153"/>
      <c r="G817" s="153"/>
      <c r="H817" s="153"/>
      <c r="I817" s="120"/>
      <c r="J817" s="120"/>
      <c r="K817" s="153"/>
      <c r="L817" s="153"/>
      <c r="M817" s="153"/>
      <c r="N817" s="153"/>
      <c r="O817" s="153"/>
      <c r="P817" s="153"/>
      <c r="Q817" s="153"/>
      <c r="R817" s="153"/>
      <c r="S817" s="153"/>
      <c r="T817" s="153"/>
      <c r="U817" s="153"/>
      <c r="V817" s="153"/>
      <c r="W817" s="153"/>
      <c r="X817" s="153"/>
      <c r="Y817" s="153"/>
      <c r="Z817" s="153"/>
      <c r="AA817" s="153"/>
      <c r="AB817" s="153"/>
      <c r="AC817" s="153"/>
    </row>
    <row r="818">
      <c r="A818" s="153"/>
      <c r="B818" s="153"/>
      <c r="C818" s="153"/>
      <c r="D818" s="153" t="str">
        <f t="shared" si="1"/>
        <v>
</v>
      </c>
      <c r="E818" s="153"/>
      <c r="F818" s="153"/>
      <c r="G818" s="153"/>
      <c r="H818" s="153"/>
      <c r="I818" s="120"/>
      <c r="J818" s="120"/>
      <c r="K818" s="153"/>
      <c r="L818" s="153"/>
      <c r="M818" s="153"/>
      <c r="N818" s="153"/>
      <c r="O818" s="153"/>
      <c r="P818" s="153"/>
      <c r="Q818" s="153"/>
      <c r="R818" s="153"/>
      <c r="S818" s="153"/>
      <c r="T818" s="153"/>
      <c r="U818" s="153"/>
      <c r="V818" s="153"/>
      <c r="W818" s="153"/>
      <c r="X818" s="153"/>
      <c r="Y818" s="153"/>
      <c r="Z818" s="153"/>
      <c r="AA818" s="153"/>
      <c r="AB818" s="153"/>
      <c r="AC818" s="153"/>
    </row>
    <row r="819">
      <c r="A819" s="153"/>
      <c r="B819" s="153"/>
      <c r="C819" s="153"/>
      <c r="D819" s="153" t="str">
        <f t="shared" si="1"/>
        <v>
</v>
      </c>
      <c r="E819" s="153"/>
      <c r="F819" s="153"/>
      <c r="G819" s="153"/>
      <c r="H819" s="153"/>
      <c r="I819" s="120"/>
      <c r="J819" s="120"/>
      <c r="K819" s="153"/>
      <c r="L819" s="153"/>
      <c r="M819" s="153"/>
      <c r="N819" s="153"/>
      <c r="O819" s="153"/>
      <c r="P819" s="153"/>
      <c r="Q819" s="153"/>
      <c r="R819" s="153"/>
      <c r="S819" s="153"/>
      <c r="T819" s="153"/>
      <c r="U819" s="153"/>
      <c r="V819" s="153"/>
      <c r="W819" s="153"/>
      <c r="X819" s="153"/>
      <c r="Y819" s="153"/>
      <c r="Z819" s="153"/>
      <c r="AA819" s="153"/>
      <c r="AB819" s="153"/>
      <c r="AC819" s="153"/>
    </row>
    <row r="820">
      <c r="A820" s="153"/>
      <c r="B820" s="153"/>
      <c r="C820" s="153"/>
      <c r="D820" s="153" t="str">
        <f t="shared" si="1"/>
        <v>
</v>
      </c>
      <c r="E820" s="153"/>
      <c r="F820" s="153"/>
      <c r="G820" s="153"/>
      <c r="H820" s="153"/>
      <c r="I820" s="120"/>
      <c r="J820" s="120"/>
      <c r="K820" s="153"/>
      <c r="L820" s="153"/>
      <c r="M820" s="153"/>
      <c r="N820" s="153"/>
      <c r="O820" s="153"/>
      <c r="P820" s="153"/>
      <c r="Q820" s="153"/>
      <c r="R820" s="153"/>
      <c r="S820" s="153"/>
      <c r="T820" s="153"/>
      <c r="U820" s="153"/>
      <c r="V820" s="153"/>
      <c r="W820" s="153"/>
      <c r="X820" s="153"/>
      <c r="Y820" s="153"/>
      <c r="Z820" s="153"/>
      <c r="AA820" s="153"/>
      <c r="AB820" s="153"/>
      <c r="AC820" s="153"/>
    </row>
    <row r="821">
      <c r="A821" s="153"/>
      <c r="B821" s="153"/>
      <c r="C821" s="153"/>
      <c r="D821" s="153" t="str">
        <f t="shared" si="1"/>
        <v>
</v>
      </c>
      <c r="E821" s="153"/>
      <c r="F821" s="153"/>
      <c r="G821" s="153"/>
      <c r="H821" s="153"/>
      <c r="I821" s="120"/>
      <c r="J821" s="120"/>
      <c r="K821" s="153"/>
      <c r="L821" s="153"/>
      <c r="M821" s="153"/>
      <c r="N821" s="153"/>
      <c r="O821" s="153"/>
      <c r="P821" s="153"/>
      <c r="Q821" s="153"/>
      <c r="R821" s="153"/>
      <c r="S821" s="153"/>
      <c r="T821" s="153"/>
      <c r="U821" s="153"/>
      <c r="V821" s="153"/>
      <c r="W821" s="153"/>
      <c r="X821" s="153"/>
      <c r="Y821" s="153"/>
      <c r="Z821" s="153"/>
      <c r="AA821" s="153"/>
      <c r="AB821" s="153"/>
      <c r="AC821" s="153"/>
    </row>
    <row r="822">
      <c r="A822" s="153"/>
      <c r="B822" s="153"/>
      <c r="C822" s="153"/>
      <c r="D822" s="153" t="str">
        <f t="shared" si="1"/>
        <v>
</v>
      </c>
      <c r="E822" s="153"/>
      <c r="F822" s="153"/>
      <c r="G822" s="153"/>
      <c r="H822" s="153"/>
      <c r="I822" s="120"/>
      <c r="J822" s="120"/>
      <c r="K822" s="153"/>
      <c r="L822" s="153"/>
      <c r="M822" s="153"/>
      <c r="N822" s="153"/>
      <c r="O822" s="153"/>
      <c r="P822" s="153"/>
      <c r="Q822" s="153"/>
      <c r="R822" s="153"/>
      <c r="S822" s="153"/>
      <c r="T822" s="153"/>
      <c r="U822" s="153"/>
      <c r="V822" s="153"/>
      <c r="W822" s="153"/>
      <c r="X822" s="153"/>
      <c r="Y822" s="153"/>
      <c r="Z822" s="153"/>
      <c r="AA822" s="153"/>
      <c r="AB822" s="153"/>
      <c r="AC822" s="153"/>
    </row>
    <row r="823">
      <c r="A823" s="153"/>
      <c r="B823" s="153"/>
      <c r="C823" s="153"/>
      <c r="D823" s="153" t="str">
        <f t="shared" si="1"/>
        <v>
</v>
      </c>
      <c r="E823" s="153"/>
      <c r="F823" s="153"/>
      <c r="G823" s="153"/>
      <c r="H823" s="153"/>
      <c r="I823" s="120"/>
      <c r="J823" s="120"/>
      <c r="K823" s="153"/>
      <c r="L823" s="153"/>
      <c r="M823" s="153"/>
      <c r="N823" s="153"/>
      <c r="O823" s="153"/>
      <c r="P823" s="153"/>
      <c r="Q823" s="153"/>
      <c r="R823" s="153"/>
      <c r="S823" s="153"/>
      <c r="T823" s="153"/>
      <c r="U823" s="153"/>
      <c r="V823" s="153"/>
      <c r="W823" s="153"/>
      <c r="X823" s="153"/>
      <c r="Y823" s="153"/>
      <c r="Z823" s="153"/>
      <c r="AA823" s="153"/>
      <c r="AB823" s="153"/>
      <c r="AC823" s="153"/>
    </row>
    <row r="824">
      <c r="A824" s="153"/>
      <c r="B824" s="153"/>
      <c r="C824" s="153"/>
      <c r="D824" s="153" t="str">
        <f t="shared" si="1"/>
        <v>
</v>
      </c>
      <c r="E824" s="153"/>
      <c r="F824" s="153"/>
      <c r="G824" s="153"/>
      <c r="H824" s="153"/>
      <c r="I824" s="120"/>
      <c r="J824" s="120"/>
      <c r="K824" s="153"/>
      <c r="L824" s="153"/>
      <c r="M824" s="153"/>
      <c r="N824" s="153"/>
      <c r="O824" s="153"/>
      <c r="P824" s="153"/>
      <c r="Q824" s="153"/>
      <c r="R824" s="153"/>
      <c r="S824" s="153"/>
      <c r="T824" s="153"/>
      <c r="U824" s="153"/>
      <c r="V824" s="153"/>
      <c r="W824" s="153"/>
      <c r="X824" s="153"/>
      <c r="Y824" s="153"/>
      <c r="Z824" s="153"/>
      <c r="AA824" s="153"/>
      <c r="AB824" s="153"/>
      <c r="AC824" s="153"/>
    </row>
    <row r="825">
      <c r="A825" s="153"/>
      <c r="B825" s="153"/>
      <c r="C825" s="153"/>
      <c r="D825" s="153" t="str">
        <f t="shared" si="1"/>
        <v>
</v>
      </c>
      <c r="E825" s="153"/>
      <c r="F825" s="153"/>
      <c r="G825" s="153"/>
      <c r="H825" s="153"/>
      <c r="I825" s="120"/>
      <c r="J825" s="120"/>
      <c r="K825" s="153"/>
      <c r="L825" s="153"/>
      <c r="M825" s="153"/>
      <c r="N825" s="153"/>
      <c r="O825" s="153"/>
      <c r="P825" s="153"/>
      <c r="Q825" s="153"/>
      <c r="R825" s="153"/>
      <c r="S825" s="153"/>
      <c r="T825" s="153"/>
      <c r="U825" s="153"/>
      <c r="V825" s="153"/>
      <c r="W825" s="153"/>
      <c r="X825" s="153"/>
      <c r="Y825" s="153"/>
      <c r="Z825" s="153"/>
      <c r="AA825" s="153"/>
      <c r="AB825" s="153"/>
      <c r="AC825" s="153"/>
    </row>
    <row r="826">
      <c r="A826" s="153"/>
      <c r="B826" s="153"/>
      <c r="C826" s="153"/>
      <c r="D826" s="153" t="str">
        <f t="shared" si="1"/>
        <v>
</v>
      </c>
      <c r="E826" s="153"/>
      <c r="F826" s="153"/>
      <c r="G826" s="153"/>
      <c r="H826" s="153"/>
      <c r="I826" s="120"/>
      <c r="J826" s="120"/>
      <c r="K826" s="153"/>
      <c r="L826" s="153"/>
      <c r="M826" s="153"/>
      <c r="N826" s="153"/>
      <c r="O826" s="153"/>
      <c r="P826" s="153"/>
      <c r="Q826" s="153"/>
      <c r="R826" s="153"/>
      <c r="S826" s="153"/>
      <c r="T826" s="153"/>
      <c r="U826" s="153"/>
      <c r="V826" s="153"/>
      <c r="W826" s="153"/>
      <c r="X826" s="153"/>
      <c r="Y826" s="153"/>
      <c r="Z826" s="153"/>
      <c r="AA826" s="153"/>
      <c r="AB826" s="153"/>
      <c r="AC826" s="153"/>
    </row>
    <row r="827">
      <c r="A827" s="153"/>
      <c r="B827" s="153"/>
      <c r="C827" s="153"/>
      <c r="D827" s="153" t="str">
        <f t="shared" si="1"/>
        <v>
</v>
      </c>
      <c r="E827" s="153"/>
      <c r="F827" s="153"/>
      <c r="G827" s="153"/>
      <c r="H827" s="153"/>
      <c r="I827" s="120"/>
      <c r="J827" s="120"/>
      <c r="K827" s="153"/>
      <c r="L827" s="153"/>
      <c r="M827" s="153"/>
      <c r="N827" s="153"/>
      <c r="O827" s="153"/>
      <c r="P827" s="153"/>
      <c r="Q827" s="153"/>
      <c r="R827" s="153"/>
      <c r="S827" s="153"/>
      <c r="T827" s="153"/>
      <c r="U827" s="153"/>
      <c r="V827" s="153"/>
      <c r="W827" s="153"/>
      <c r="X827" s="153"/>
      <c r="Y827" s="153"/>
      <c r="Z827" s="153"/>
      <c r="AA827" s="153"/>
      <c r="AB827" s="153"/>
      <c r="AC827" s="153"/>
    </row>
    <row r="828">
      <c r="A828" s="153"/>
      <c r="B828" s="153"/>
      <c r="C828" s="153"/>
      <c r="D828" s="153" t="str">
        <f t="shared" si="1"/>
        <v>
</v>
      </c>
      <c r="E828" s="153"/>
      <c r="F828" s="153"/>
      <c r="G828" s="153"/>
      <c r="H828" s="153"/>
      <c r="I828" s="120"/>
      <c r="J828" s="120"/>
      <c r="K828" s="153"/>
      <c r="L828" s="153"/>
      <c r="M828" s="153"/>
      <c r="N828" s="153"/>
      <c r="O828" s="153"/>
      <c r="P828" s="153"/>
      <c r="Q828" s="153"/>
      <c r="R828" s="153"/>
      <c r="S828" s="153"/>
      <c r="T828" s="153"/>
      <c r="U828" s="153"/>
      <c r="V828" s="153"/>
      <c r="W828" s="153"/>
      <c r="X828" s="153"/>
      <c r="Y828" s="153"/>
      <c r="Z828" s="153"/>
      <c r="AA828" s="153"/>
      <c r="AB828" s="153"/>
      <c r="AC828" s="153"/>
    </row>
    <row r="829">
      <c r="A829" s="153"/>
      <c r="B829" s="153"/>
      <c r="C829" s="153"/>
      <c r="D829" s="153" t="str">
        <f t="shared" si="1"/>
        <v>
</v>
      </c>
      <c r="E829" s="153"/>
      <c r="F829" s="153"/>
      <c r="G829" s="153"/>
      <c r="H829" s="153"/>
      <c r="I829" s="120"/>
      <c r="J829" s="120"/>
      <c r="K829" s="153"/>
      <c r="L829" s="153"/>
      <c r="M829" s="153"/>
      <c r="N829" s="153"/>
      <c r="O829" s="153"/>
      <c r="P829" s="153"/>
      <c r="Q829" s="153"/>
      <c r="R829" s="153"/>
      <c r="S829" s="153"/>
      <c r="T829" s="153"/>
      <c r="U829" s="153"/>
      <c r="V829" s="153"/>
      <c r="W829" s="153"/>
      <c r="X829" s="153"/>
      <c r="Y829" s="153"/>
      <c r="Z829" s="153"/>
      <c r="AA829" s="153"/>
      <c r="AB829" s="153"/>
      <c r="AC829" s="153"/>
    </row>
    <row r="830">
      <c r="A830" s="153"/>
      <c r="B830" s="153"/>
      <c r="C830" s="153"/>
      <c r="D830" s="153" t="str">
        <f t="shared" si="1"/>
        <v>
</v>
      </c>
      <c r="E830" s="153"/>
      <c r="F830" s="153"/>
      <c r="G830" s="153"/>
      <c r="H830" s="153"/>
      <c r="I830" s="120"/>
      <c r="J830" s="120"/>
      <c r="K830" s="153"/>
      <c r="L830" s="153"/>
      <c r="M830" s="153"/>
      <c r="N830" s="153"/>
      <c r="O830" s="153"/>
      <c r="P830" s="153"/>
      <c r="Q830" s="153"/>
      <c r="R830" s="153"/>
      <c r="S830" s="153"/>
      <c r="T830" s="153"/>
      <c r="U830" s="153"/>
      <c r="V830" s="153"/>
      <c r="W830" s="153"/>
      <c r="X830" s="153"/>
      <c r="Y830" s="153"/>
      <c r="Z830" s="153"/>
      <c r="AA830" s="153"/>
      <c r="AB830" s="153"/>
      <c r="AC830" s="153"/>
    </row>
    <row r="831">
      <c r="A831" s="153"/>
      <c r="B831" s="153"/>
      <c r="C831" s="153"/>
      <c r="D831" s="153" t="str">
        <f t="shared" si="1"/>
        <v>
</v>
      </c>
      <c r="E831" s="153"/>
      <c r="F831" s="153"/>
      <c r="G831" s="153"/>
      <c r="H831" s="153"/>
      <c r="I831" s="120"/>
      <c r="J831" s="120"/>
      <c r="K831" s="153"/>
      <c r="L831" s="153"/>
      <c r="M831" s="153"/>
      <c r="N831" s="153"/>
      <c r="O831" s="153"/>
      <c r="P831" s="153"/>
      <c r="Q831" s="153"/>
      <c r="R831" s="153"/>
      <c r="S831" s="153"/>
      <c r="T831" s="153"/>
      <c r="U831" s="153"/>
      <c r="V831" s="153"/>
      <c r="W831" s="153"/>
      <c r="X831" s="153"/>
      <c r="Y831" s="153"/>
      <c r="Z831" s="153"/>
      <c r="AA831" s="153"/>
      <c r="AB831" s="153"/>
      <c r="AC831" s="153"/>
    </row>
    <row r="832">
      <c r="A832" s="153"/>
      <c r="B832" s="153"/>
      <c r="C832" s="153"/>
      <c r="D832" s="153" t="str">
        <f t="shared" si="1"/>
        <v>
</v>
      </c>
      <c r="E832" s="153"/>
      <c r="F832" s="153"/>
      <c r="G832" s="153"/>
      <c r="H832" s="153"/>
      <c r="I832" s="120"/>
      <c r="J832" s="120"/>
      <c r="K832" s="153"/>
      <c r="L832" s="153"/>
      <c r="M832" s="153"/>
      <c r="N832" s="153"/>
      <c r="O832" s="153"/>
      <c r="P832" s="153"/>
      <c r="Q832" s="153"/>
      <c r="R832" s="153"/>
      <c r="S832" s="153"/>
      <c r="T832" s="153"/>
      <c r="U832" s="153"/>
      <c r="V832" s="153"/>
      <c r="W832" s="153"/>
      <c r="X832" s="153"/>
      <c r="Y832" s="153"/>
      <c r="Z832" s="153"/>
      <c r="AA832" s="153"/>
      <c r="AB832" s="153"/>
      <c r="AC832" s="153"/>
    </row>
    <row r="833">
      <c r="A833" s="153"/>
      <c r="B833" s="153"/>
      <c r="C833" s="153"/>
      <c r="D833" s="153" t="str">
        <f t="shared" si="1"/>
        <v>
</v>
      </c>
      <c r="E833" s="153"/>
      <c r="F833" s="153"/>
      <c r="G833" s="153"/>
      <c r="H833" s="153"/>
      <c r="I833" s="120"/>
      <c r="J833" s="120"/>
      <c r="K833" s="153"/>
      <c r="L833" s="153"/>
      <c r="M833" s="153"/>
      <c r="N833" s="153"/>
      <c r="O833" s="153"/>
      <c r="P833" s="153"/>
      <c r="Q833" s="153"/>
      <c r="R833" s="153"/>
      <c r="S833" s="153"/>
      <c r="T833" s="153"/>
      <c r="U833" s="153"/>
      <c r="V833" s="153"/>
      <c r="W833" s="153"/>
      <c r="X833" s="153"/>
      <c r="Y833" s="153"/>
      <c r="Z833" s="153"/>
      <c r="AA833" s="153"/>
      <c r="AB833" s="153"/>
      <c r="AC833" s="153"/>
    </row>
    <row r="834">
      <c r="A834" s="153"/>
      <c r="B834" s="153"/>
      <c r="C834" s="153"/>
      <c r="D834" s="153" t="str">
        <f t="shared" si="1"/>
        <v>
</v>
      </c>
      <c r="E834" s="153"/>
      <c r="F834" s="153"/>
      <c r="G834" s="153"/>
      <c r="H834" s="153"/>
      <c r="I834" s="120"/>
      <c r="J834" s="120"/>
      <c r="K834" s="153"/>
      <c r="L834" s="153"/>
      <c r="M834" s="153"/>
      <c r="N834" s="153"/>
      <c r="O834" s="153"/>
      <c r="P834" s="153"/>
      <c r="Q834" s="153"/>
      <c r="R834" s="153"/>
      <c r="S834" s="153"/>
      <c r="T834" s="153"/>
      <c r="U834" s="153"/>
      <c r="V834" s="153"/>
      <c r="W834" s="153"/>
      <c r="X834" s="153"/>
      <c r="Y834" s="153"/>
      <c r="Z834" s="153"/>
      <c r="AA834" s="153"/>
      <c r="AB834" s="153"/>
      <c r="AC834" s="153"/>
    </row>
    <row r="835">
      <c r="A835" s="153"/>
      <c r="B835" s="153"/>
      <c r="C835" s="153"/>
      <c r="D835" s="153" t="str">
        <f t="shared" si="1"/>
        <v>
</v>
      </c>
      <c r="E835" s="153"/>
      <c r="F835" s="153"/>
      <c r="G835" s="153"/>
      <c r="H835" s="153"/>
      <c r="I835" s="120"/>
      <c r="J835" s="120"/>
      <c r="K835" s="153"/>
      <c r="L835" s="153"/>
      <c r="M835" s="153"/>
      <c r="N835" s="153"/>
      <c r="O835" s="153"/>
      <c r="P835" s="153"/>
      <c r="Q835" s="153"/>
      <c r="R835" s="153"/>
      <c r="S835" s="153"/>
      <c r="T835" s="153"/>
      <c r="U835" s="153"/>
      <c r="V835" s="153"/>
      <c r="W835" s="153"/>
      <c r="X835" s="153"/>
      <c r="Y835" s="153"/>
      <c r="Z835" s="153"/>
      <c r="AA835" s="153"/>
      <c r="AB835" s="153"/>
      <c r="AC835" s="153"/>
    </row>
    <row r="836">
      <c r="A836" s="153"/>
      <c r="B836" s="153"/>
      <c r="C836" s="153"/>
      <c r="D836" s="153" t="str">
        <f t="shared" si="1"/>
        <v>
</v>
      </c>
      <c r="E836" s="153"/>
      <c r="F836" s="153"/>
      <c r="G836" s="153"/>
      <c r="H836" s="153"/>
      <c r="I836" s="120"/>
      <c r="J836" s="120"/>
      <c r="K836" s="153"/>
      <c r="L836" s="153"/>
      <c r="M836" s="153"/>
      <c r="N836" s="153"/>
      <c r="O836" s="153"/>
      <c r="P836" s="153"/>
      <c r="Q836" s="153"/>
      <c r="R836" s="153"/>
      <c r="S836" s="153"/>
      <c r="T836" s="153"/>
      <c r="U836" s="153"/>
      <c r="V836" s="153"/>
      <c r="W836" s="153"/>
      <c r="X836" s="153"/>
      <c r="Y836" s="153"/>
      <c r="Z836" s="153"/>
      <c r="AA836" s="153"/>
      <c r="AB836" s="153"/>
      <c r="AC836" s="153"/>
    </row>
    <row r="837">
      <c r="A837" s="153"/>
      <c r="B837" s="153"/>
      <c r="C837" s="153"/>
      <c r="D837" s="153" t="str">
        <f t="shared" si="1"/>
        <v>
</v>
      </c>
      <c r="E837" s="153"/>
      <c r="F837" s="153"/>
      <c r="G837" s="153"/>
      <c r="H837" s="153"/>
      <c r="I837" s="120"/>
      <c r="J837" s="120"/>
      <c r="K837" s="153"/>
      <c r="L837" s="153"/>
      <c r="M837" s="153"/>
      <c r="N837" s="153"/>
      <c r="O837" s="153"/>
      <c r="P837" s="153"/>
      <c r="Q837" s="153"/>
      <c r="R837" s="153"/>
      <c r="S837" s="153"/>
      <c r="T837" s="153"/>
      <c r="U837" s="153"/>
      <c r="V837" s="153"/>
      <c r="W837" s="153"/>
      <c r="X837" s="153"/>
      <c r="Y837" s="153"/>
      <c r="Z837" s="153"/>
      <c r="AA837" s="153"/>
      <c r="AB837" s="153"/>
      <c r="AC837" s="153"/>
    </row>
    <row r="838">
      <c r="A838" s="153"/>
      <c r="B838" s="153"/>
      <c r="C838" s="153"/>
      <c r="D838" s="153" t="str">
        <f t="shared" si="1"/>
        <v>
</v>
      </c>
      <c r="E838" s="153"/>
      <c r="F838" s="153"/>
      <c r="G838" s="153"/>
      <c r="H838" s="153"/>
      <c r="I838" s="120"/>
      <c r="J838" s="120"/>
      <c r="K838" s="153"/>
      <c r="L838" s="153"/>
      <c r="M838" s="153"/>
      <c r="N838" s="153"/>
      <c r="O838" s="153"/>
      <c r="P838" s="153"/>
      <c r="Q838" s="153"/>
      <c r="R838" s="153"/>
      <c r="S838" s="153"/>
      <c r="T838" s="153"/>
      <c r="U838" s="153"/>
      <c r="V838" s="153"/>
      <c r="W838" s="153"/>
      <c r="X838" s="153"/>
      <c r="Y838" s="153"/>
      <c r="Z838" s="153"/>
      <c r="AA838" s="153"/>
      <c r="AB838" s="153"/>
      <c r="AC838" s="153"/>
    </row>
    <row r="839">
      <c r="A839" s="153"/>
      <c r="B839" s="153"/>
      <c r="C839" s="153"/>
      <c r="D839" s="153" t="str">
        <f t="shared" si="1"/>
        <v>
</v>
      </c>
      <c r="E839" s="153"/>
      <c r="F839" s="153"/>
      <c r="G839" s="153"/>
      <c r="H839" s="153"/>
      <c r="I839" s="120"/>
      <c r="J839" s="120"/>
      <c r="K839" s="153"/>
      <c r="L839" s="153"/>
      <c r="M839" s="153"/>
      <c r="N839" s="153"/>
      <c r="O839" s="153"/>
      <c r="P839" s="153"/>
      <c r="Q839" s="153"/>
      <c r="R839" s="153"/>
      <c r="S839" s="153"/>
      <c r="T839" s="153"/>
      <c r="U839" s="153"/>
      <c r="V839" s="153"/>
      <c r="W839" s="153"/>
      <c r="X839" s="153"/>
      <c r="Y839" s="153"/>
      <c r="Z839" s="153"/>
      <c r="AA839" s="153"/>
      <c r="AB839" s="153"/>
      <c r="AC839" s="153"/>
    </row>
    <row r="840">
      <c r="A840" s="153"/>
      <c r="B840" s="153"/>
      <c r="C840" s="153"/>
      <c r="D840" s="153" t="str">
        <f t="shared" si="1"/>
        <v>
</v>
      </c>
      <c r="E840" s="153"/>
      <c r="F840" s="153"/>
      <c r="G840" s="153"/>
      <c r="H840" s="153"/>
      <c r="I840" s="120"/>
      <c r="J840" s="120"/>
      <c r="K840" s="153"/>
      <c r="L840" s="153"/>
      <c r="M840" s="153"/>
      <c r="N840" s="153"/>
      <c r="O840" s="153"/>
      <c r="P840" s="153"/>
      <c r="Q840" s="153"/>
      <c r="R840" s="153"/>
      <c r="S840" s="153"/>
      <c r="T840" s="153"/>
      <c r="U840" s="153"/>
      <c r="V840" s="153"/>
      <c r="W840" s="153"/>
      <c r="X840" s="153"/>
      <c r="Y840" s="153"/>
      <c r="Z840" s="153"/>
      <c r="AA840" s="153"/>
      <c r="AB840" s="153"/>
      <c r="AC840" s="153"/>
    </row>
    <row r="841">
      <c r="A841" s="153"/>
      <c r="B841" s="153"/>
      <c r="C841" s="153"/>
      <c r="D841" s="153" t="str">
        <f t="shared" si="1"/>
        <v>
</v>
      </c>
      <c r="E841" s="153"/>
      <c r="F841" s="153"/>
      <c r="G841" s="153"/>
      <c r="H841" s="153"/>
      <c r="I841" s="120"/>
      <c r="J841" s="120"/>
      <c r="K841" s="153"/>
      <c r="L841" s="153"/>
      <c r="M841" s="153"/>
      <c r="N841" s="153"/>
      <c r="O841" s="153"/>
      <c r="P841" s="153"/>
      <c r="Q841" s="153"/>
      <c r="R841" s="153"/>
      <c r="S841" s="153"/>
      <c r="T841" s="153"/>
      <c r="U841" s="153"/>
      <c r="V841" s="153"/>
      <c r="W841" s="153"/>
      <c r="X841" s="153"/>
      <c r="Y841" s="153"/>
      <c r="Z841" s="153"/>
      <c r="AA841" s="153"/>
      <c r="AB841" s="153"/>
      <c r="AC841" s="153"/>
    </row>
    <row r="842">
      <c r="A842" s="153"/>
      <c r="B842" s="153"/>
      <c r="C842" s="153"/>
      <c r="D842" s="153" t="str">
        <f t="shared" si="1"/>
        <v>
</v>
      </c>
      <c r="E842" s="153"/>
      <c r="F842" s="153"/>
      <c r="G842" s="153"/>
      <c r="H842" s="153"/>
      <c r="I842" s="120"/>
      <c r="J842" s="120"/>
      <c r="K842" s="153"/>
      <c r="L842" s="153"/>
      <c r="M842" s="153"/>
      <c r="N842" s="153"/>
      <c r="O842" s="153"/>
      <c r="P842" s="153"/>
      <c r="Q842" s="153"/>
      <c r="R842" s="153"/>
      <c r="S842" s="153"/>
      <c r="T842" s="153"/>
      <c r="U842" s="153"/>
      <c r="V842" s="153"/>
      <c r="W842" s="153"/>
      <c r="X842" s="153"/>
      <c r="Y842" s="153"/>
      <c r="Z842" s="153"/>
      <c r="AA842" s="153"/>
      <c r="AB842" s="153"/>
      <c r="AC842" s="153"/>
    </row>
    <row r="843">
      <c r="A843" s="153"/>
      <c r="B843" s="153"/>
      <c r="C843" s="153"/>
      <c r="D843" s="153" t="str">
        <f t="shared" si="1"/>
        <v>
</v>
      </c>
      <c r="E843" s="153"/>
      <c r="F843" s="153"/>
      <c r="G843" s="153"/>
      <c r="H843" s="153"/>
      <c r="I843" s="120"/>
      <c r="J843" s="120"/>
      <c r="K843" s="153"/>
      <c r="L843" s="153"/>
      <c r="M843" s="153"/>
      <c r="N843" s="153"/>
      <c r="O843" s="153"/>
      <c r="P843" s="153"/>
      <c r="Q843" s="153"/>
      <c r="R843" s="153"/>
      <c r="S843" s="153"/>
      <c r="T843" s="153"/>
      <c r="U843" s="153"/>
      <c r="V843" s="153"/>
      <c r="W843" s="153"/>
      <c r="X843" s="153"/>
      <c r="Y843" s="153"/>
      <c r="Z843" s="153"/>
      <c r="AA843" s="153"/>
      <c r="AB843" s="153"/>
      <c r="AC843" s="153"/>
    </row>
    <row r="844">
      <c r="A844" s="153"/>
      <c r="B844" s="153"/>
      <c r="C844" s="153"/>
      <c r="D844" s="153" t="str">
        <f t="shared" si="1"/>
        <v>
</v>
      </c>
      <c r="E844" s="153"/>
      <c r="F844" s="153"/>
      <c r="G844" s="153"/>
      <c r="H844" s="153"/>
      <c r="I844" s="120"/>
      <c r="J844" s="120"/>
      <c r="K844" s="153"/>
      <c r="L844" s="153"/>
      <c r="M844" s="153"/>
      <c r="N844" s="153"/>
      <c r="O844" s="153"/>
      <c r="P844" s="153"/>
      <c r="Q844" s="153"/>
      <c r="R844" s="153"/>
      <c r="S844" s="153"/>
      <c r="T844" s="153"/>
      <c r="U844" s="153"/>
      <c r="V844" s="153"/>
      <c r="W844" s="153"/>
      <c r="X844" s="153"/>
      <c r="Y844" s="153"/>
      <c r="Z844" s="153"/>
      <c r="AA844" s="153"/>
      <c r="AB844" s="153"/>
      <c r="AC844" s="153"/>
    </row>
    <row r="845">
      <c r="A845" s="153"/>
      <c r="B845" s="153"/>
      <c r="C845" s="153"/>
      <c r="D845" s="153" t="str">
        <f t="shared" si="1"/>
        <v>
</v>
      </c>
      <c r="E845" s="153"/>
      <c r="F845" s="153"/>
      <c r="G845" s="153"/>
      <c r="H845" s="153"/>
      <c r="I845" s="120"/>
      <c r="J845" s="120"/>
      <c r="K845" s="153"/>
      <c r="L845" s="153"/>
      <c r="M845" s="153"/>
      <c r="N845" s="153"/>
      <c r="O845" s="153"/>
      <c r="P845" s="153"/>
      <c r="Q845" s="153"/>
      <c r="R845" s="153"/>
      <c r="S845" s="153"/>
      <c r="T845" s="153"/>
      <c r="U845" s="153"/>
      <c r="V845" s="153"/>
      <c r="W845" s="153"/>
      <c r="X845" s="153"/>
      <c r="Y845" s="153"/>
      <c r="Z845" s="153"/>
      <c r="AA845" s="153"/>
      <c r="AB845" s="153"/>
      <c r="AC845" s="153"/>
    </row>
    <row r="846">
      <c r="A846" s="153"/>
      <c r="B846" s="153"/>
      <c r="C846" s="153"/>
      <c r="D846" s="153" t="str">
        <f t="shared" si="1"/>
        <v>
</v>
      </c>
      <c r="E846" s="153"/>
      <c r="F846" s="153"/>
      <c r="G846" s="153"/>
      <c r="H846" s="153"/>
      <c r="I846" s="120"/>
      <c r="J846" s="120"/>
      <c r="K846" s="153"/>
      <c r="L846" s="153"/>
      <c r="M846" s="153"/>
      <c r="N846" s="153"/>
      <c r="O846" s="153"/>
      <c r="P846" s="153"/>
      <c r="Q846" s="153"/>
      <c r="R846" s="153"/>
      <c r="S846" s="153"/>
      <c r="T846" s="153"/>
      <c r="U846" s="153"/>
      <c r="V846" s="153"/>
      <c r="W846" s="153"/>
      <c r="X846" s="153"/>
      <c r="Y846" s="153"/>
      <c r="Z846" s="153"/>
      <c r="AA846" s="153"/>
      <c r="AB846" s="153"/>
      <c r="AC846" s="153"/>
    </row>
    <row r="847">
      <c r="A847" s="153"/>
      <c r="B847" s="153"/>
      <c r="C847" s="153"/>
      <c r="D847" s="153" t="str">
        <f t="shared" si="1"/>
        <v>
</v>
      </c>
      <c r="E847" s="153"/>
      <c r="F847" s="153"/>
      <c r="G847" s="153"/>
      <c r="H847" s="153"/>
      <c r="I847" s="120"/>
      <c r="J847" s="120"/>
      <c r="K847" s="153"/>
      <c r="L847" s="153"/>
      <c r="M847" s="153"/>
      <c r="N847" s="153"/>
      <c r="O847" s="153"/>
      <c r="P847" s="153"/>
      <c r="Q847" s="153"/>
      <c r="R847" s="153"/>
      <c r="S847" s="153"/>
      <c r="T847" s="153"/>
      <c r="U847" s="153"/>
      <c r="V847" s="153"/>
      <c r="W847" s="153"/>
      <c r="X847" s="153"/>
      <c r="Y847" s="153"/>
      <c r="Z847" s="153"/>
      <c r="AA847" s="153"/>
      <c r="AB847" s="153"/>
      <c r="AC847" s="153"/>
    </row>
    <row r="848">
      <c r="A848" s="153"/>
      <c r="B848" s="153"/>
      <c r="C848" s="153"/>
      <c r="D848" s="153" t="str">
        <f t="shared" si="1"/>
        <v>
</v>
      </c>
      <c r="E848" s="153"/>
      <c r="F848" s="153"/>
      <c r="G848" s="153"/>
      <c r="H848" s="153"/>
      <c r="I848" s="120"/>
      <c r="J848" s="120"/>
      <c r="K848" s="153"/>
      <c r="L848" s="153"/>
      <c r="M848" s="153"/>
      <c r="N848" s="153"/>
      <c r="O848" s="153"/>
      <c r="P848" s="153"/>
      <c r="Q848" s="153"/>
      <c r="R848" s="153"/>
      <c r="S848" s="153"/>
      <c r="T848" s="153"/>
      <c r="U848" s="153"/>
      <c r="V848" s="153"/>
      <c r="W848" s="153"/>
      <c r="X848" s="153"/>
      <c r="Y848" s="153"/>
      <c r="Z848" s="153"/>
      <c r="AA848" s="153"/>
      <c r="AB848" s="153"/>
      <c r="AC848" s="153"/>
    </row>
    <row r="849">
      <c r="A849" s="153"/>
      <c r="B849" s="153"/>
      <c r="C849" s="153"/>
      <c r="D849" s="153" t="str">
        <f t="shared" si="1"/>
        <v>
</v>
      </c>
      <c r="E849" s="153"/>
      <c r="F849" s="153"/>
      <c r="G849" s="153"/>
      <c r="H849" s="153"/>
      <c r="I849" s="120"/>
      <c r="J849" s="120"/>
      <c r="K849" s="153"/>
      <c r="L849" s="153"/>
      <c r="M849" s="153"/>
      <c r="N849" s="153"/>
      <c r="O849" s="153"/>
      <c r="P849" s="153"/>
      <c r="Q849" s="153"/>
      <c r="R849" s="153"/>
      <c r="S849" s="153"/>
      <c r="T849" s="153"/>
      <c r="U849" s="153"/>
      <c r="V849" s="153"/>
      <c r="W849" s="153"/>
      <c r="X849" s="153"/>
      <c r="Y849" s="153"/>
      <c r="Z849" s="153"/>
      <c r="AA849" s="153"/>
      <c r="AB849" s="153"/>
      <c r="AC849" s="153"/>
    </row>
    <row r="850">
      <c r="A850" s="153"/>
      <c r="B850" s="153"/>
      <c r="C850" s="153"/>
      <c r="D850" s="153" t="str">
        <f t="shared" si="1"/>
        <v>
</v>
      </c>
      <c r="E850" s="153"/>
      <c r="F850" s="153"/>
      <c r="G850" s="153"/>
      <c r="H850" s="153"/>
      <c r="I850" s="120"/>
      <c r="J850" s="120"/>
      <c r="K850" s="153"/>
      <c r="L850" s="153"/>
      <c r="M850" s="153"/>
      <c r="N850" s="153"/>
      <c r="O850" s="153"/>
      <c r="P850" s="153"/>
      <c r="Q850" s="153"/>
      <c r="R850" s="153"/>
      <c r="S850" s="153"/>
      <c r="T850" s="153"/>
      <c r="U850" s="153"/>
      <c r="V850" s="153"/>
      <c r="W850" s="153"/>
      <c r="X850" s="153"/>
      <c r="Y850" s="153"/>
      <c r="Z850" s="153"/>
      <c r="AA850" s="153"/>
      <c r="AB850" s="153"/>
      <c r="AC850" s="153"/>
    </row>
    <row r="851">
      <c r="A851" s="153"/>
      <c r="B851" s="153"/>
      <c r="C851" s="153"/>
      <c r="D851" s="153" t="str">
        <f t="shared" si="1"/>
        <v>
</v>
      </c>
      <c r="E851" s="153"/>
      <c r="F851" s="153"/>
      <c r="G851" s="153"/>
      <c r="H851" s="153"/>
      <c r="I851" s="120"/>
      <c r="J851" s="120"/>
      <c r="K851" s="153"/>
      <c r="L851" s="153"/>
      <c r="M851" s="153"/>
      <c r="N851" s="153"/>
      <c r="O851" s="153"/>
      <c r="P851" s="153"/>
      <c r="Q851" s="153"/>
      <c r="R851" s="153"/>
      <c r="S851" s="153"/>
      <c r="T851" s="153"/>
      <c r="U851" s="153"/>
      <c r="V851" s="153"/>
      <c r="W851" s="153"/>
      <c r="X851" s="153"/>
      <c r="Y851" s="153"/>
      <c r="Z851" s="153"/>
      <c r="AA851" s="153"/>
      <c r="AB851" s="153"/>
      <c r="AC851" s="153"/>
    </row>
    <row r="852">
      <c r="A852" s="153"/>
      <c r="B852" s="153"/>
      <c r="C852" s="153"/>
      <c r="D852" s="153" t="str">
        <f t="shared" si="1"/>
        <v>
</v>
      </c>
      <c r="E852" s="153"/>
      <c r="F852" s="153"/>
      <c r="G852" s="153"/>
      <c r="H852" s="153"/>
      <c r="I852" s="120"/>
      <c r="J852" s="120"/>
      <c r="K852" s="153"/>
      <c r="L852" s="153"/>
      <c r="M852" s="153"/>
      <c r="N852" s="153"/>
      <c r="O852" s="153"/>
      <c r="P852" s="153"/>
      <c r="Q852" s="153"/>
      <c r="R852" s="153"/>
      <c r="S852" s="153"/>
      <c r="T852" s="153"/>
      <c r="U852" s="153"/>
      <c r="V852" s="153"/>
      <c r="W852" s="153"/>
      <c r="X852" s="153"/>
      <c r="Y852" s="153"/>
      <c r="Z852" s="153"/>
      <c r="AA852" s="153"/>
      <c r="AB852" s="153"/>
      <c r="AC852" s="153"/>
    </row>
    <row r="853">
      <c r="A853" s="153"/>
      <c r="B853" s="153"/>
      <c r="C853" s="153"/>
      <c r="D853" s="153" t="str">
        <f t="shared" si="1"/>
        <v>
</v>
      </c>
      <c r="E853" s="153"/>
      <c r="F853" s="153"/>
      <c r="G853" s="153"/>
      <c r="H853" s="153"/>
      <c r="I853" s="120"/>
      <c r="J853" s="120"/>
      <c r="K853" s="153"/>
      <c r="L853" s="153"/>
      <c r="M853" s="153"/>
      <c r="N853" s="153"/>
      <c r="O853" s="153"/>
      <c r="P853" s="153"/>
      <c r="Q853" s="153"/>
      <c r="R853" s="153"/>
      <c r="S853" s="153"/>
      <c r="T853" s="153"/>
      <c r="U853" s="153"/>
      <c r="V853" s="153"/>
      <c r="W853" s="153"/>
      <c r="X853" s="153"/>
      <c r="Y853" s="153"/>
      <c r="Z853" s="153"/>
      <c r="AA853" s="153"/>
      <c r="AB853" s="153"/>
      <c r="AC853" s="153"/>
    </row>
    <row r="854">
      <c r="A854" s="153"/>
      <c r="B854" s="153"/>
      <c r="C854" s="153"/>
      <c r="D854" s="153" t="str">
        <f t="shared" si="1"/>
        <v>
</v>
      </c>
      <c r="E854" s="153"/>
      <c r="F854" s="153"/>
      <c r="G854" s="153"/>
      <c r="H854" s="153"/>
      <c r="I854" s="120"/>
      <c r="J854" s="120"/>
      <c r="K854" s="153"/>
      <c r="L854" s="153"/>
      <c r="M854" s="153"/>
      <c r="N854" s="153"/>
      <c r="O854" s="153"/>
      <c r="P854" s="153"/>
      <c r="Q854" s="153"/>
      <c r="R854" s="153"/>
      <c r="S854" s="153"/>
      <c r="T854" s="153"/>
      <c r="U854" s="153"/>
      <c r="V854" s="153"/>
      <c r="W854" s="153"/>
      <c r="X854" s="153"/>
      <c r="Y854" s="153"/>
      <c r="Z854" s="153"/>
      <c r="AA854" s="153"/>
      <c r="AB854" s="153"/>
      <c r="AC854" s="153"/>
    </row>
    <row r="855">
      <c r="A855" s="153"/>
      <c r="B855" s="153"/>
      <c r="C855" s="153"/>
      <c r="D855" s="153" t="str">
        <f t="shared" si="1"/>
        <v>
</v>
      </c>
      <c r="E855" s="153"/>
      <c r="F855" s="153"/>
      <c r="G855" s="153"/>
      <c r="H855" s="153"/>
      <c r="I855" s="120"/>
      <c r="J855" s="120"/>
      <c r="K855" s="153"/>
      <c r="L855" s="153"/>
      <c r="M855" s="153"/>
      <c r="N855" s="153"/>
      <c r="O855" s="153"/>
      <c r="P855" s="153"/>
      <c r="Q855" s="153"/>
      <c r="R855" s="153"/>
      <c r="S855" s="153"/>
      <c r="T855" s="153"/>
      <c r="U855" s="153"/>
      <c r="V855" s="153"/>
      <c r="W855" s="153"/>
      <c r="X855" s="153"/>
      <c r="Y855" s="153"/>
      <c r="Z855" s="153"/>
      <c r="AA855" s="153"/>
      <c r="AB855" s="153"/>
      <c r="AC855" s="153"/>
    </row>
    <row r="856">
      <c r="A856" s="153"/>
      <c r="B856" s="153"/>
      <c r="C856" s="153"/>
      <c r="D856" s="153" t="str">
        <f t="shared" si="1"/>
        <v>
</v>
      </c>
      <c r="E856" s="153"/>
      <c r="F856" s="153"/>
      <c r="G856" s="153"/>
      <c r="H856" s="153"/>
      <c r="I856" s="120"/>
      <c r="J856" s="120"/>
      <c r="K856" s="153"/>
      <c r="L856" s="153"/>
      <c r="M856" s="153"/>
      <c r="N856" s="153"/>
      <c r="O856" s="153"/>
      <c r="P856" s="153"/>
      <c r="Q856" s="153"/>
      <c r="R856" s="153"/>
      <c r="S856" s="153"/>
      <c r="T856" s="153"/>
      <c r="U856" s="153"/>
      <c r="V856" s="153"/>
      <c r="W856" s="153"/>
      <c r="X856" s="153"/>
      <c r="Y856" s="153"/>
      <c r="Z856" s="153"/>
      <c r="AA856" s="153"/>
      <c r="AB856" s="153"/>
      <c r="AC856" s="153"/>
    </row>
    <row r="857">
      <c r="A857" s="153"/>
      <c r="B857" s="153"/>
      <c r="C857" s="153"/>
      <c r="D857" s="153" t="str">
        <f t="shared" si="1"/>
        <v>
</v>
      </c>
      <c r="E857" s="153"/>
      <c r="F857" s="153"/>
      <c r="G857" s="153"/>
      <c r="H857" s="153"/>
      <c r="I857" s="120"/>
      <c r="J857" s="120"/>
      <c r="K857" s="153"/>
      <c r="L857" s="153"/>
      <c r="M857" s="153"/>
      <c r="N857" s="153"/>
      <c r="O857" s="153"/>
      <c r="P857" s="153"/>
      <c r="Q857" s="153"/>
      <c r="R857" s="153"/>
      <c r="S857" s="153"/>
      <c r="T857" s="153"/>
      <c r="U857" s="153"/>
      <c r="V857" s="153"/>
      <c r="W857" s="153"/>
      <c r="X857" s="153"/>
      <c r="Y857" s="153"/>
      <c r="Z857" s="153"/>
      <c r="AA857" s="153"/>
      <c r="AB857" s="153"/>
      <c r="AC857" s="153"/>
    </row>
    <row r="858">
      <c r="A858" s="153"/>
      <c r="B858" s="153"/>
      <c r="C858" s="153"/>
      <c r="D858" s="153" t="str">
        <f t="shared" si="1"/>
        <v>
</v>
      </c>
      <c r="E858" s="153"/>
      <c r="F858" s="153"/>
      <c r="G858" s="153"/>
      <c r="H858" s="153"/>
      <c r="I858" s="120"/>
      <c r="J858" s="120"/>
      <c r="K858" s="153"/>
      <c r="L858" s="153"/>
      <c r="M858" s="153"/>
      <c r="N858" s="153"/>
      <c r="O858" s="153"/>
      <c r="P858" s="153"/>
      <c r="Q858" s="153"/>
      <c r="R858" s="153"/>
      <c r="S858" s="153"/>
      <c r="T858" s="153"/>
      <c r="U858" s="153"/>
      <c r="V858" s="153"/>
      <c r="W858" s="153"/>
      <c r="X858" s="153"/>
      <c r="Y858" s="153"/>
      <c r="Z858" s="153"/>
      <c r="AA858" s="153"/>
      <c r="AB858" s="153"/>
      <c r="AC858" s="153"/>
    </row>
    <row r="859">
      <c r="A859" s="153"/>
      <c r="B859" s="153"/>
      <c r="C859" s="153"/>
      <c r="D859" s="153" t="str">
        <f t="shared" si="1"/>
        <v>
</v>
      </c>
      <c r="E859" s="153"/>
      <c r="F859" s="153"/>
      <c r="G859" s="153"/>
      <c r="H859" s="153"/>
      <c r="I859" s="120"/>
      <c r="J859" s="120"/>
      <c r="K859" s="153"/>
      <c r="L859" s="153"/>
      <c r="M859" s="153"/>
      <c r="N859" s="153"/>
      <c r="O859" s="153"/>
      <c r="P859" s="153"/>
      <c r="Q859" s="153"/>
      <c r="R859" s="153"/>
      <c r="S859" s="153"/>
      <c r="T859" s="153"/>
      <c r="U859" s="153"/>
      <c r="V859" s="153"/>
      <c r="W859" s="153"/>
      <c r="X859" s="153"/>
      <c r="Y859" s="153"/>
      <c r="Z859" s="153"/>
      <c r="AA859" s="153"/>
      <c r="AB859" s="153"/>
      <c r="AC859" s="153"/>
    </row>
    <row r="860">
      <c r="A860" s="153"/>
      <c r="B860" s="153"/>
      <c r="C860" s="153"/>
      <c r="D860" s="153" t="str">
        <f t="shared" si="1"/>
        <v>
</v>
      </c>
      <c r="E860" s="153"/>
      <c r="F860" s="153"/>
      <c r="G860" s="153"/>
      <c r="H860" s="153"/>
      <c r="I860" s="120"/>
      <c r="J860" s="120"/>
      <c r="K860" s="153"/>
      <c r="L860" s="153"/>
      <c r="M860" s="153"/>
      <c r="N860" s="153"/>
      <c r="O860" s="153"/>
      <c r="P860" s="153"/>
      <c r="Q860" s="153"/>
      <c r="R860" s="153"/>
      <c r="S860" s="153"/>
      <c r="T860" s="153"/>
      <c r="U860" s="153"/>
      <c r="V860" s="153"/>
      <c r="W860" s="153"/>
      <c r="X860" s="153"/>
      <c r="Y860" s="153"/>
      <c r="Z860" s="153"/>
      <c r="AA860" s="153"/>
      <c r="AB860" s="153"/>
      <c r="AC860" s="153"/>
    </row>
    <row r="861">
      <c r="A861" s="153"/>
      <c r="B861" s="153"/>
      <c r="C861" s="153"/>
      <c r="D861" s="153" t="str">
        <f t="shared" si="1"/>
        <v>
</v>
      </c>
      <c r="E861" s="153"/>
      <c r="F861" s="153"/>
      <c r="G861" s="153"/>
      <c r="H861" s="153"/>
      <c r="I861" s="120"/>
      <c r="J861" s="120"/>
      <c r="K861" s="153"/>
      <c r="L861" s="153"/>
      <c r="M861" s="153"/>
      <c r="N861" s="153"/>
      <c r="O861" s="153"/>
      <c r="P861" s="153"/>
      <c r="Q861" s="153"/>
      <c r="R861" s="153"/>
      <c r="S861" s="153"/>
      <c r="T861" s="153"/>
      <c r="U861" s="153"/>
      <c r="V861" s="153"/>
      <c r="W861" s="153"/>
      <c r="X861" s="153"/>
      <c r="Y861" s="153"/>
      <c r="Z861" s="153"/>
      <c r="AA861" s="153"/>
      <c r="AB861" s="153"/>
      <c r="AC861" s="153"/>
    </row>
    <row r="862">
      <c r="A862" s="153"/>
      <c r="B862" s="153"/>
      <c r="C862" s="153"/>
      <c r="D862" s="153" t="str">
        <f t="shared" si="1"/>
        <v>
</v>
      </c>
      <c r="E862" s="153"/>
      <c r="F862" s="153"/>
      <c r="G862" s="153"/>
      <c r="H862" s="153"/>
      <c r="I862" s="120"/>
      <c r="J862" s="120"/>
      <c r="K862" s="153"/>
      <c r="L862" s="153"/>
      <c r="M862" s="153"/>
      <c r="N862" s="153"/>
      <c r="O862" s="153"/>
      <c r="P862" s="153"/>
      <c r="Q862" s="153"/>
      <c r="R862" s="153"/>
      <c r="S862" s="153"/>
      <c r="T862" s="153"/>
      <c r="U862" s="153"/>
      <c r="V862" s="153"/>
      <c r="W862" s="153"/>
      <c r="X862" s="153"/>
      <c r="Y862" s="153"/>
      <c r="Z862" s="153"/>
      <c r="AA862" s="153"/>
      <c r="AB862" s="153"/>
      <c r="AC862" s="153"/>
    </row>
    <row r="863">
      <c r="A863" s="153"/>
      <c r="B863" s="153"/>
      <c r="C863" s="153"/>
      <c r="D863" s="153" t="str">
        <f t="shared" si="1"/>
        <v>
</v>
      </c>
      <c r="E863" s="153"/>
      <c r="F863" s="153"/>
      <c r="G863" s="153"/>
      <c r="H863" s="153"/>
      <c r="I863" s="120"/>
      <c r="J863" s="120"/>
      <c r="K863" s="153"/>
      <c r="L863" s="153"/>
      <c r="M863" s="153"/>
      <c r="N863" s="153"/>
      <c r="O863" s="153"/>
      <c r="P863" s="153"/>
      <c r="Q863" s="153"/>
      <c r="R863" s="153"/>
      <c r="S863" s="153"/>
      <c r="T863" s="153"/>
      <c r="U863" s="153"/>
      <c r="V863" s="153"/>
      <c r="W863" s="153"/>
      <c r="X863" s="153"/>
      <c r="Y863" s="153"/>
      <c r="Z863" s="153"/>
      <c r="AA863" s="153"/>
      <c r="AB863" s="153"/>
      <c r="AC863" s="153"/>
    </row>
    <row r="864">
      <c r="A864" s="153"/>
      <c r="B864" s="153"/>
      <c r="C864" s="153"/>
      <c r="D864" s="153" t="str">
        <f t="shared" si="1"/>
        <v>
</v>
      </c>
      <c r="E864" s="153"/>
      <c r="F864" s="153"/>
      <c r="G864" s="153"/>
      <c r="H864" s="153"/>
      <c r="I864" s="120"/>
      <c r="J864" s="120"/>
      <c r="K864" s="153"/>
      <c r="L864" s="153"/>
      <c r="M864" s="153"/>
      <c r="N864" s="153"/>
      <c r="O864" s="153"/>
      <c r="P864" s="153"/>
      <c r="Q864" s="153"/>
      <c r="R864" s="153"/>
      <c r="S864" s="153"/>
      <c r="T864" s="153"/>
      <c r="U864" s="153"/>
      <c r="V864" s="153"/>
      <c r="W864" s="153"/>
      <c r="X864" s="153"/>
      <c r="Y864" s="153"/>
      <c r="Z864" s="153"/>
      <c r="AA864" s="153"/>
      <c r="AB864" s="153"/>
      <c r="AC864" s="153"/>
    </row>
    <row r="865">
      <c r="A865" s="153"/>
      <c r="B865" s="153"/>
      <c r="C865" s="153"/>
      <c r="D865" s="153" t="str">
        <f t="shared" si="1"/>
        <v>
</v>
      </c>
      <c r="E865" s="153"/>
      <c r="F865" s="153"/>
      <c r="G865" s="153"/>
      <c r="H865" s="153"/>
      <c r="I865" s="120"/>
      <c r="J865" s="120"/>
      <c r="K865" s="153"/>
      <c r="L865" s="153"/>
      <c r="M865" s="153"/>
      <c r="N865" s="153"/>
      <c r="O865" s="153"/>
      <c r="P865" s="153"/>
      <c r="Q865" s="153"/>
      <c r="R865" s="153"/>
      <c r="S865" s="153"/>
      <c r="T865" s="153"/>
      <c r="U865" s="153"/>
      <c r="V865" s="153"/>
      <c r="W865" s="153"/>
      <c r="X865" s="153"/>
      <c r="Y865" s="153"/>
      <c r="Z865" s="153"/>
      <c r="AA865" s="153"/>
      <c r="AB865" s="153"/>
      <c r="AC865" s="153"/>
    </row>
    <row r="866">
      <c r="A866" s="153"/>
      <c r="B866" s="153"/>
      <c r="C866" s="153"/>
      <c r="D866" s="153" t="str">
        <f t="shared" si="1"/>
        <v>
</v>
      </c>
      <c r="E866" s="153"/>
      <c r="F866" s="153"/>
      <c r="G866" s="153"/>
      <c r="H866" s="153"/>
      <c r="I866" s="120"/>
      <c r="J866" s="120"/>
      <c r="K866" s="153"/>
      <c r="L866" s="153"/>
      <c r="M866" s="153"/>
      <c r="N866" s="153"/>
      <c r="O866" s="153"/>
      <c r="P866" s="153"/>
      <c r="Q866" s="153"/>
      <c r="R866" s="153"/>
      <c r="S866" s="153"/>
      <c r="T866" s="153"/>
      <c r="U866" s="153"/>
      <c r="V866" s="153"/>
      <c r="W866" s="153"/>
      <c r="X866" s="153"/>
      <c r="Y866" s="153"/>
      <c r="Z866" s="153"/>
      <c r="AA866" s="153"/>
      <c r="AB866" s="153"/>
      <c r="AC866" s="153"/>
    </row>
    <row r="867">
      <c r="A867" s="153"/>
      <c r="B867" s="153"/>
      <c r="C867" s="153"/>
      <c r="D867" s="153" t="str">
        <f t="shared" si="1"/>
        <v>
</v>
      </c>
      <c r="E867" s="153"/>
      <c r="F867" s="153"/>
      <c r="G867" s="153"/>
      <c r="H867" s="153"/>
      <c r="I867" s="120"/>
      <c r="J867" s="120"/>
      <c r="K867" s="153"/>
      <c r="L867" s="153"/>
      <c r="M867" s="153"/>
      <c r="N867" s="153"/>
      <c r="O867" s="153"/>
      <c r="P867" s="153"/>
      <c r="Q867" s="153"/>
      <c r="R867" s="153"/>
      <c r="S867" s="153"/>
      <c r="T867" s="153"/>
      <c r="U867" s="153"/>
      <c r="V867" s="153"/>
      <c r="W867" s="153"/>
      <c r="X867" s="153"/>
      <c r="Y867" s="153"/>
      <c r="Z867" s="153"/>
      <c r="AA867" s="153"/>
      <c r="AB867" s="153"/>
      <c r="AC867" s="153"/>
    </row>
    <row r="868">
      <c r="A868" s="153"/>
      <c r="B868" s="153"/>
      <c r="C868" s="153"/>
      <c r="D868" s="153" t="str">
        <f t="shared" si="1"/>
        <v>
</v>
      </c>
      <c r="E868" s="153"/>
      <c r="F868" s="153"/>
      <c r="G868" s="153"/>
      <c r="H868" s="153"/>
      <c r="I868" s="120"/>
      <c r="J868" s="120"/>
      <c r="K868" s="153"/>
      <c r="L868" s="153"/>
      <c r="M868" s="153"/>
      <c r="N868" s="153"/>
      <c r="O868" s="153"/>
      <c r="P868" s="153"/>
      <c r="Q868" s="153"/>
      <c r="R868" s="153"/>
      <c r="S868" s="153"/>
      <c r="T868" s="153"/>
      <c r="U868" s="153"/>
      <c r="V868" s="153"/>
      <c r="W868" s="153"/>
      <c r="X868" s="153"/>
      <c r="Y868" s="153"/>
      <c r="Z868" s="153"/>
      <c r="AA868" s="153"/>
      <c r="AB868" s="153"/>
      <c r="AC868" s="153"/>
    </row>
    <row r="869">
      <c r="A869" s="153"/>
      <c r="B869" s="153"/>
      <c r="C869" s="153"/>
      <c r="D869" s="153" t="str">
        <f t="shared" si="1"/>
        <v>
</v>
      </c>
      <c r="E869" s="153"/>
      <c r="F869" s="153"/>
      <c r="G869" s="153"/>
      <c r="H869" s="153"/>
      <c r="I869" s="120"/>
      <c r="J869" s="120"/>
      <c r="K869" s="153"/>
      <c r="L869" s="153"/>
      <c r="M869" s="153"/>
      <c r="N869" s="153"/>
      <c r="O869" s="153"/>
      <c r="P869" s="153"/>
      <c r="Q869" s="153"/>
      <c r="R869" s="153"/>
      <c r="S869" s="153"/>
      <c r="T869" s="153"/>
      <c r="U869" s="153"/>
      <c r="V869" s="153"/>
      <c r="W869" s="153"/>
      <c r="X869" s="153"/>
      <c r="Y869" s="153"/>
      <c r="Z869" s="153"/>
      <c r="AA869" s="153"/>
      <c r="AB869" s="153"/>
      <c r="AC869" s="153"/>
    </row>
    <row r="870">
      <c r="A870" s="153"/>
      <c r="B870" s="153"/>
      <c r="C870" s="153"/>
      <c r="D870" s="153" t="str">
        <f t="shared" si="1"/>
        <v>
</v>
      </c>
      <c r="E870" s="153"/>
      <c r="F870" s="153"/>
      <c r="G870" s="153"/>
      <c r="H870" s="153"/>
      <c r="I870" s="120"/>
      <c r="J870" s="120"/>
      <c r="K870" s="153"/>
      <c r="L870" s="153"/>
      <c r="M870" s="153"/>
      <c r="N870" s="153"/>
      <c r="O870" s="153"/>
      <c r="P870" s="153"/>
      <c r="Q870" s="153"/>
      <c r="R870" s="153"/>
      <c r="S870" s="153"/>
      <c r="T870" s="153"/>
      <c r="U870" s="153"/>
      <c r="V870" s="153"/>
      <c r="W870" s="153"/>
      <c r="X870" s="153"/>
      <c r="Y870" s="153"/>
      <c r="Z870" s="153"/>
      <c r="AA870" s="153"/>
      <c r="AB870" s="153"/>
      <c r="AC870" s="153"/>
    </row>
    <row r="871">
      <c r="A871" s="153"/>
      <c r="B871" s="153"/>
      <c r="C871" s="153"/>
      <c r="D871" s="153" t="str">
        <f t="shared" si="1"/>
        <v>
</v>
      </c>
      <c r="E871" s="153"/>
      <c r="F871" s="153"/>
      <c r="G871" s="153"/>
      <c r="H871" s="153"/>
      <c r="I871" s="120"/>
      <c r="J871" s="120"/>
      <c r="K871" s="153"/>
      <c r="L871" s="153"/>
      <c r="M871" s="153"/>
      <c r="N871" s="153"/>
      <c r="O871" s="153"/>
      <c r="P871" s="153"/>
      <c r="Q871" s="153"/>
      <c r="R871" s="153"/>
      <c r="S871" s="153"/>
      <c r="T871" s="153"/>
      <c r="U871" s="153"/>
      <c r="V871" s="153"/>
      <c r="W871" s="153"/>
      <c r="X871" s="153"/>
      <c r="Y871" s="153"/>
      <c r="Z871" s="153"/>
      <c r="AA871" s="153"/>
      <c r="AB871" s="153"/>
      <c r="AC871" s="153"/>
    </row>
    <row r="872">
      <c r="A872" s="153"/>
      <c r="B872" s="153"/>
      <c r="C872" s="153"/>
      <c r="D872" s="153" t="str">
        <f t="shared" si="1"/>
        <v>
</v>
      </c>
      <c r="E872" s="153"/>
      <c r="F872" s="153"/>
      <c r="G872" s="153"/>
      <c r="H872" s="153"/>
      <c r="I872" s="120"/>
      <c r="J872" s="120"/>
      <c r="K872" s="153"/>
      <c r="L872" s="153"/>
      <c r="M872" s="153"/>
      <c r="N872" s="153"/>
      <c r="O872" s="153"/>
      <c r="P872" s="153"/>
      <c r="Q872" s="153"/>
      <c r="R872" s="153"/>
      <c r="S872" s="153"/>
      <c r="T872" s="153"/>
      <c r="U872" s="153"/>
      <c r="V872" s="153"/>
      <c r="W872" s="153"/>
      <c r="X872" s="153"/>
      <c r="Y872" s="153"/>
      <c r="Z872" s="153"/>
      <c r="AA872" s="153"/>
      <c r="AB872" s="153"/>
      <c r="AC872" s="153"/>
    </row>
    <row r="873">
      <c r="A873" s="153"/>
      <c r="B873" s="153"/>
      <c r="C873" s="153"/>
      <c r="D873" s="153" t="str">
        <f t="shared" si="1"/>
        <v>
</v>
      </c>
      <c r="E873" s="153"/>
      <c r="F873" s="153"/>
      <c r="G873" s="153"/>
      <c r="H873" s="153"/>
      <c r="I873" s="120"/>
      <c r="J873" s="120"/>
      <c r="K873" s="153"/>
      <c r="L873" s="153"/>
      <c r="M873" s="153"/>
      <c r="N873" s="153"/>
      <c r="O873" s="153"/>
      <c r="P873" s="153"/>
      <c r="Q873" s="153"/>
      <c r="R873" s="153"/>
      <c r="S873" s="153"/>
      <c r="T873" s="153"/>
      <c r="U873" s="153"/>
      <c r="V873" s="153"/>
      <c r="W873" s="153"/>
      <c r="X873" s="153"/>
      <c r="Y873" s="153"/>
      <c r="Z873" s="153"/>
      <c r="AA873" s="153"/>
      <c r="AB873" s="153"/>
      <c r="AC873" s="153"/>
    </row>
    <row r="874">
      <c r="A874" s="153"/>
      <c r="B874" s="153"/>
      <c r="C874" s="153"/>
      <c r="D874" s="153" t="str">
        <f t="shared" si="1"/>
        <v>
</v>
      </c>
      <c r="E874" s="153"/>
      <c r="F874" s="153"/>
      <c r="G874" s="153"/>
      <c r="H874" s="153"/>
      <c r="I874" s="120"/>
      <c r="J874" s="120"/>
      <c r="K874" s="153"/>
      <c r="L874" s="153"/>
      <c r="M874" s="153"/>
      <c r="N874" s="153"/>
      <c r="O874" s="153"/>
      <c r="P874" s="153"/>
      <c r="Q874" s="153"/>
      <c r="R874" s="153"/>
      <c r="S874" s="153"/>
      <c r="T874" s="153"/>
      <c r="U874" s="153"/>
      <c r="V874" s="153"/>
      <c r="W874" s="153"/>
      <c r="X874" s="153"/>
      <c r="Y874" s="153"/>
      <c r="Z874" s="153"/>
      <c r="AA874" s="153"/>
      <c r="AB874" s="153"/>
      <c r="AC874" s="153"/>
    </row>
    <row r="875">
      <c r="A875" s="153"/>
      <c r="B875" s="153"/>
      <c r="C875" s="153"/>
      <c r="D875" s="153" t="str">
        <f t="shared" si="1"/>
        <v>
</v>
      </c>
      <c r="E875" s="153"/>
      <c r="F875" s="153"/>
      <c r="G875" s="153"/>
      <c r="H875" s="153"/>
      <c r="I875" s="120"/>
      <c r="J875" s="120"/>
      <c r="K875" s="153"/>
      <c r="L875" s="153"/>
      <c r="M875" s="153"/>
      <c r="N875" s="153"/>
      <c r="O875" s="153"/>
      <c r="P875" s="153"/>
      <c r="Q875" s="153"/>
      <c r="R875" s="153"/>
      <c r="S875" s="153"/>
      <c r="T875" s="153"/>
      <c r="U875" s="153"/>
      <c r="V875" s="153"/>
      <c r="W875" s="153"/>
      <c r="X875" s="153"/>
      <c r="Y875" s="153"/>
      <c r="Z875" s="153"/>
      <c r="AA875" s="153"/>
      <c r="AB875" s="153"/>
      <c r="AC875" s="153"/>
    </row>
    <row r="876">
      <c r="A876" s="153"/>
      <c r="B876" s="153"/>
      <c r="C876" s="153"/>
      <c r="D876" s="153" t="str">
        <f t="shared" si="1"/>
        <v>
</v>
      </c>
      <c r="E876" s="153"/>
      <c r="F876" s="153"/>
      <c r="G876" s="153"/>
      <c r="H876" s="153"/>
      <c r="I876" s="120"/>
      <c r="J876" s="120"/>
      <c r="K876" s="153"/>
      <c r="L876" s="153"/>
      <c r="M876" s="153"/>
      <c r="N876" s="153"/>
      <c r="O876" s="153"/>
      <c r="P876" s="153"/>
      <c r="Q876" s="153"/>
      <c r="R876" s="153"/>
      <c r="S876" s="153"/>
      <c r="T876" s="153"/>
      <c r="U876" s="153"/>
      <c r="V876" s="153"/>
      <c r="W876" s="153"/>
      <c r="X876" s="153"/>
      <c r="Y876" s="153"/>
      <c r="Z876" s="153"/>
      <c r="AA876" s="153"/>
      <c r="AB876" s="153"/>
      <c r="AC876" s="153"/>
    </row>
    <row r="877">
      <c r="A877" s="153"/>
      <c r="B877" s="153"/>
      <c r="C877" s="153"/>
      <c r="D877" s="153" t="str">
        <f t="shared" si="1"/>
        <v>
</v>
      </c>
      <c r="E877" s="153"/>
      <c r="F877" s="153"/>
      <c r="G877" s="153"/>
      <c r="H877" s="153"/>
      <c r="I877" s="120"/>
      <c r="J877" s="120"/>
      <c r="K877" s="153"/>
      <c r="L877" s="153"/>
      <c r="M877" s="153"/>
      <c r="N877" s="153"/>
      <c r="O877" s="153"/>
      <c r="P877" s="153"/>
      <c r="Q877" s="153"/>
      <c r="R877" s="153"/>
      <c r="S877" s="153"/>
      <c r="T877" s="153"/>
      <c r="U877" s="153"/>
      <c r="V877" s="153"/>
      <c r="W877" s="153"/>
      <c r="X877" s="153"/>
      <c r="Y877" s="153"/>
      <c r="Z877" s="153"/>
      <c r="AA877" s="153"/>
      <c r="AB877" s="153"/>
      <c r="AC877" s="153"/>
    </row>
    <row r="878">
      <c r="A878" s="153"/>
      <c r="B878" s="153"/>
      <c r="C878" s="153"/>
      <c r="D878" s="153" t="str">
        <f t="shared" si="1"/>
        <v>
</v>
      </c>
      <c r="E878" s="153"/>
      <c r="F878" s="153"/>
      <c r="G878" s="153"/>
      <c r="H878" s="153"/>
      <c r="I878" s="120"/>
      <c r="J878" s="120"/>
      <c r="K878" s="153"/>
      <c r="L878" s="153"/>
      <c r="M878" s="153"/>
      <c r="N878" s="153"/>
      <c r="O878" s="153"/>
      <c r="P878" s="153"/>
      <c r="Q878" s="153"/>
      <c r="R878" s="153"/>
      <c r="S878" s="153"/>
      <c r="T878" s="153"/>
      <c r="U878" s="153"/>
      <c r="V878" s="153"/>
      <c r="W878" s="153"/>
      <c r="X878" s="153"/>
      <c r="Y878" s="153"/>
      <c r="Z878" s="153"/>
      <c r="AA878" s="153"/>
      <c r="AB878" s="153"/>
      <c r="AC878" s="153"/>
    </row>
    <row r="879">
      <c r="A879" s="153"/>
      <c r="B879" s="153"/>
      <c r="C879" s="153"/>
      <c r="D879" s="153" t="str">
        <f t="shared" si="1"/>
        <v>
</v>
      </c>
      <c r="E879" s="153"/>
      <c r="F879" s="153"/>
      <c r="G879" s="153"/>
      <c r="H879" s="153"/>
      <c r="I879" s="120"/>
      <c r="J879" s="120"/>
      <c r="K879" s="153"/>
      <c r="L879" s="153"/>
      <c r="M879" s="153"/>
      <c r="N879" s="153"/>
      <c r="O879" s="153"/>
      <c r="P879" s="153"/>
      <c r="Q879" s="153"/>
      <c r="R879" s="153"/>
      <c r="S879" s="153"/>
      <c r="T879" s="153"/>
      <c r="U879" s="153"/>
      <c r="V879" s="153"/>
      <c r="W879" s="153"/>
      <c r="X879" s="153"/>
      <c r="Y879" s="153"/>
      <c r="Z879" s="153"/>
      <c r="AA879" s="153"/>
      <c r="AB879" s="153"/>
      <c r="AC879" s="153"/>
    </row>
    <row r="880">
      <c r="A880" s="153"/>
      <c r="B880" s="153"/>
      <c r="C880" s="153"/>
      <c r="D880" s="153" t="str">
        <f t="shared" si="1"/>
        <v>
</v>
      </c>
      <c r="E880" s="153"/>
      <c r="F880" s="153"/>
      <c r="G880" s="153"/>
      <c r="H880" s="153"/>
      <c r="I880" s="120"/>
      <c r="J880" s="120"/>
      <c r="K880" s="153"/>
      <c r="L880" s="153"/>
      <c r="M880" s="153"/>
      <c r="N880" s="153"/>
      <c r="O880" s="153"/>
      <c r="P880" s="153"/>
      <c r="Q880" s="153"/>
      <c r="R880" s="153"/>
      <c r="S880" s="153"/>
      <c r="T880" s="153"/>
      <c r="U880" s="153"/>
      <c r="V880" s="153"/>
      <c r="W880" s="153"/>
      <c r="X880" s="153"/>
      <c r="Y880" s="153"/>
      <c r="Z880" s="153"/>
      <c r="AA880" s="153"/>
      <c r="AB880" s="153"/>
      <c r="AC880" s="153"/>
    </row>
    <row r="881">
      <c r="A881" s="153"/>
      <c r="B881" s="153"/>
      <c r="C881" s="153"/>
      <c r="D881" s="153" t="str">
        <f t="shared" si="1"/>
        <v>
</v>
      </c>
      <c r="E881" s="153"/>
      <c r="F881" s="153"/>
      <c r="G881" s="153"/>
      <c r="H881" s="153"/>
      <c r="I881" s="120"/>
      <c r="J881" s="120"/>
      <c r="K881" s="153"/>
      <c r="L881" s="153"/>
      <c r="M881" s="153"/>
      <c r="N881" s="153"/>
      <c r="O881" s="153"/>
      <c r="P881" s="153"/>
      <c r="Q881" s="153"/>
      <c r="R881" s="153"/>
      <c r="S881" s="153"/>
      <c r="T881" s="153"/>
      <c r="U881" s="153"/>
      <c r="V881" s="153"/>
      <c r="W881" s="153"/>
      <c r="X881" s="153"/>
      <c r="Y881" s="153"/>
      <c r="Z881" s="153"/>
      <c r="AA881" s="153"/>
      <c r="AB881" s="153"/>
      <c r="AC881" s="153"/>
    </row>
    <row r="882">
      <c r="A882" s="153"/>
      <c r="B882" s="153"/>
      <c r="C882" s="153"/>
      <c r="D882" s="153" t="str">
        <f t="shared" si="1"/>
        <v>
</v>
      </c>
      <c r="E882" s="153"/>
      <c r="F882" s="153"/>
      <c r="G882" s="153"/>
      <c r="H882" s="153"/>
      <c r="I882" s="120"/>
      <c r="J882" s="120"/>
      <c r="K882" s="153"/>
      <c r="L882" s="153"/>
      <c r="M882" s="153"/>
      <c r="N882" s="153"/>
      <c r="O882" s="153"/>
      <c r="P882" s="153"/>
      <c r="Q882" s="153"/>
      <c r="R882" s="153"/>
      <c r="S882" s="153"/>
      <c r="T882" s="153"/>
      <c r="U882" s="153"/>
      <c r="V882" s="153"/>
      <c r="W882" s="153"/>
      <c r="X882" s="153"/>
      <c r="Y882" s="153"/>
      <c r="Z882" s="153"/>
      <c r="AA882" s="153"/>
      <c r="AB882" s="153"/>
      <c r="AC882" s="153"/>
    </row>
    <row r="883">
      <c r="A883" s="153"/>
      <c r="B883" s="153"/>
      <c r="C883" s="153"/>
      <c r="D883" s="153" t="str">
        <f t="shared" si="1"/>
        <v>
</v>
      </c>
      <c r="E883" s="153"/>
      <c r="F883" s="153"/>
      <c r="G883" s="153"/>
      <c r="H883" s="153"/>
      <c r="I883" s="120"/>
      <c r="J883" s="120"/>
      <c r="K883" s="153"/>
      <c r="L883" s="153"/>
      <c r="M883" s="153"/>
      <c r="N883" s="153"/>
      <c r="O883" s="153"/>
      <c r="P883" s="153"/>
      <c r="Q883" s="153"/>
      <c r="R883" s="153"/>
      <c r="S883" s="153"/>
      <c r="T883" s="153"/>
      <c r="U883" s="153"/>
      <c r="V883" s="153"/>
      <c r="W883" s="153"/>
      <c r="X883" s="153"/>
      <c r="Y883" s="153"/>
      <c r="Z883" s="153"/>
      <c r="AA883" s="153"/>
      <c r="AB883" s="153"/>
      <c r="AC883" s="153"/>
    </row>
    <row r="884">
      <c r="A884" s="153"/>
      <c r="B884" s="153"/>
      <c r="C884" s="153"/>
      <c r="D884" s="153" t="str">
        <f t="shared" si="1"/>
        <v>
</v>
      </c>
      <c r="E884" s="153"/>
      <c r="F884" s="153"/>
      <c r="G884" s="153"/>
      <c r="H884" s="153"/>
      <c r="I884" s="120"/>
      <c r="J884" s="120"/>
      <c r="K884" s="153"/>
      <c r="L884" s="153"/>
      <c r="M884" s="153"/>
      <c r="N884" s="153"/>
      <c r="O884" s="153"/>
      <c r="P884" s="153"/>
      <c r="Q884" s="153"/>
      <c r="R884" s="153"/>
      <c r="S884" s="153"/>
      <c r="T884" s="153"/>
      <c r="U884" s="153"/>
      <c r="V884" s="153"/>
      <c r="W884" s="153"/>
      <c r="X884" s="153"/>
      <c r="Y884" s="153"/>
      <c r="Z884" s="153"/>
      <c r="AA884" s="153"/>
      <c r="AB884" s="153"/>
      <c r="AC884" s="153"/>
    </row>
    <row r="885">
      <c r="A885" s="153"/>
      <c r="B885" s="153"/>
      <c r="C885" s="153"/>
      <c r="D885" s="153" t="str">
        <f t="shared" si="1"/>
        <v>
</v>
      </c>
      <c r="E885" s="153"/>
      <c r="F885" s="153"/>
      <c r="G885" s="153"/>
      <c r="H885" s="153"/>
      <c r="I885" s="120"/>
      <c r="J885" s="120"/>
      <c r="K885" s="153"/>
      <c r="L885" s="153"/>
      <c r="M885" s="153"/>
      <c r="N885" s="153"/>
      <c r="O885" s="153"/>
      <c r="P885" s="153"/>
      <c r="Q885" s="153"/>
      <c r="R885" s="153"/>
      <c r="S885" s="153"/>
      <c r="T885" s="153"/>
      <c r="U885" s="153"/>
      <c r="V885" s="153"/>
      <c r="W885" s="153"/>
      <c r="X885" s="153"/>
      <c r="Y885" s="153"/>
      <c r="Z885" s="153"/>
      <c r="AA885" s="153"/>
      <c r="AB885" s="153"/>
      <c r="AC885" s="153"/>
    </row>
    <row r="886">
      <c r="A886" s="153"/>
      <c r="B886" s="153"/>
      <c r="C886" s="153"/>
      <c r="D886" s="153" t="str">
        <f t="shared" si="1"/>
        <v>
</v>
      </c>
      <c r="E886" s="153"/>
      <c r="F886" s="153"/>
      <c r="G886" s="153"/>
      <c r="H886" s="153"/>
      <c r="I886" s="120"/>
      <c r="J886" s="120"/>
      <c r="K886" s="153"/>
      <c r="L886" s="153"/>
      <c r="M886" s="153"/>
      <c r="N886" s="153"/>
      <c r="O886" s="153"/>
      <c r="P886" s="153"/>
      <c r="Q886" s="153"/>
      <c r="R886" s="153"/>
      <c r="S886" s="153"/>
      <c r="T886" s="153"/>
      <c r="U886" s="153"/>
      <c r="V886" s="153"/>
      <c r="W886" s="153"/>
      <c r="X886" s="153"/>
      <c r="Y886" s="153"/>
      <c r="Z886" s="153"/>
      <c r="AA886" s="153"/>
      <c r="AB886" s="153"/>
      <c r="AC886" s="153"/>
    </row>
    <row r="887">
      <c r="A887" s="153"/>
      <c r="B887" s="153"/>
      <c r="C887" s="153"/>
      <c r="D887" s="153" t="str">
        <f t="shared" si="1"/>
        <v>
</v>
      </c>
      <c r="E887" s="153"/>
      <c r="F887" s="153"/>
      <c r="G887" s="153"/>
      <c r="H887" s="153"/>
      <c r="I887" s="120"/>
      <c r="J887" s="120"/>
      <c r="K887" s="153"/>
      <c r="L887" s="153"/>
      <c r="M887" s="153"/>
      <c r="N887" s="153"/>
      <c r="O887" s="153"/>
      <c r="P887" s="153"/>
      <c r="Q887" s="153"/>
      <c r="R887" s="153"/>
      <c r="S887" s="153"/>
      <c r="T887" s="153"/>
      <c r="U887" s="153"/>
      <c r="V887" s="153"/>
      <c r="W887" s="153"/>
      <c r="X887" s="153"/>
      <c r="Y887" s="153"/>
      <c r="Z887" s="153"/>
      <c r="AA887" s="153"/>
      <c r="AB887" s="153"/>
      <c r="AC887" s="153"/>
    </row>
    <row r="888">
      <c r="A888" s="153"/>
      <c r="B888" s="153"/>
      <c r="C888" s="153"/>
      <c r="D888" s="153" t="str">
        <f t="shared" si="1"/>
        <v>
</v>
      </c>
      <c r="E888" s="153"/>
      <c r="F888" s="153"/>
      <c r="G888" s="153"/>
      <c r="H888" s="153"/>
      <c r="I888" s="120"/>
      <c r="J888" s="120"/>
      <c r="K888" s="153"/>
      <c r="L888" s="153"/>
      <c r="M888" s="153"/>
      <c r="N888" s="153"/>
      <c r="O888" s="153"/>
      <c r="P888" s="153"/>
      <c r="Q888" s="153"/>
      <c r="R888" s="153"/>
      <c r="S888" s="153"/>
      <c r="T888" s="153"/>
      <c r="U888" s="153"/>
      <c r="V888" s="153"/>
      <c r="W888" s="153"/>
      <c r="X888" s="153"/>
      <c r="Y888" s="153"/>
      <c r="Z888" s="153"/>
      <c r="AA888" s="153"/>
      <c r="AB888" s="153"/>
      <c r="AC888" s="153"/>
    </row>
    <row r="889">
      <c r="A889" s="153"/>
      <c r="B889" s="153"/>
      <c r="C889" s="153"/>
      <c r="D889" s="153" t="str">
        <f t="shared" si="1"/>
        <v>
</v>
      </c>
      <c r="E889" s="153"/>
      <c r="F889" s="153"/>
      <c r="G889" s="153"/>
      <c r="H889" s="153"/>
      <c r="I889" s="120"/>
      <c r="J889" s="120"/>
      <c r="K889" s="153"/>
      <c r="L889" s="153"/>
      <c r="M889" s="153"/>
      <c r="N889" s="153"/>
      <c r="O889" s="153"/>
      <c r="P889" s="153"/>
      <c r="Q889" s="153"/>
      <c r="R889" s="153"/>
      <c r="S889" s="153"/>
      <c r="T889" s="153"/>
      <c r="U889" s="153"/>
      <c r="V889" s="153"/>
      <c r="W889" s="153"/>
      <c r="X889" s="153"/>
      <c r="Y889" s="153"/>
      <c r="Z889" s="153"/>
      <c r="AA889" s="153"/>
      <c r="AB889" s="153"/>
      <c r="AC889" s="153"/>
    </row>
    <row r="890">
      <c r="A890" s="153"/>
      <c r="B890" s="153"/>
      <c r="C890" s="153"/>
      <c r="D890" s="153" t="str">
        <f t="shared" si="1"/>
        <v>
</v>
      </c>
      <c r="E890" s="153"/>
      <c r="F890" s="153"/>
      <c r="G890" s="153"/>
      <c r="H890" s="153"/>
      <c r="I890" s="120"/>
      <c r="J890" s="120"/>
      <c r="K890" s="153"/>
      <c r="L890" s="153"/>
      <c r="M890" s="153"/>
      <c r="N890" s="153"/>
      <c r="O890" s="153"/>
      <c r="P890" s="153"/>
      <c r="Q890" s="153"/>
      <c r="R890" s="153"/>
      <c r="S890" s="153"/>
      <c r="T890" s="153"/>
      <c r="U890" s="153"/>
      <c r="V890" s="153"/>
      <c r="W890" s="153"/>
      <c r="X890" s="153"/>
      <c r="Y890" s="153"/>
      <c r="Z890" s="153"/>
      <c r="AA890" s="153"/>
      <c r="AB890" s="153"/>
      <c r="AC890" s="153"/>
    </row>
    <row r="891">
      <c r="A891" s="153"/>
      <c r="B891" s="153"/>
      <c r="C891" s="153"/>
      <c r="D891" s="153" t="str">
        <f t="shared" si="1"/>
        <v>
</v>
      </c>
      <c r="E891" s="153"/>
      <c r="F891" s="153"/>
      <c r="G891" s="153"/>
      <c r="H891" s="153"/>
      <c r="I891" s="120"/>
      <c r="J891" s="120"/>
      <c r="K891" s="153"/>
      <c r="L891" s="153"/>
      <c r="M891" s="153"/>
      <c r="N891" s="153"/>
      <c r="O891" s="153"/>
      <c r="P891" s="153"/>
      <c r="Q891" s="153"/>
      <c r="R891" s="153"/>
      <c r="S891" s="153"/>
      <c r="T891" s="153"/>
      <c r="U891" s="153"/>
      <c r="V891" s="153"/>
      <c r="W891" s="153"/>
      <c r="X891" s="153"/>
      <c r="Y891" s="153"/>
      <c r="Z891" s="153"/>
      <c r="AA891" s="153"/>
      <c r="AB891" s="153"/>
      <c r="AC891" s="153"/>
    </row>
    <row r="892">
      <c r="A892" s="153"/>
      <c r="B892" s="153"/>
      <c r="C892" s="153"/>
      <c r="D892" s="153" t="str">
        <f t="shared" si="1"/>
        <v>
</v>
      </c>
      <c r="E892" s="153"/>
      <c r="F892" s="153"/>
      <c r="G892" s="153"/>
      <c r="H892" s="153"/>
      <c r="I892" s="120"/>
      <c r="J892" s="120"/>
      <c r="K892" s="153"/>
      <c r="L892" s="153"/>
      <c r="M892" s="153"/>
      <c r="N892" s="153"/>
      <c r="O892" s="153"/>
      <c r="P892" s="153"/>
      <c r="Q892" s="153"/>
      <c r="R892" s="153"/>
      <c r="S892" s="153"/>
      <c r="T892" s="153"/>
      <c r="U892" s="153"/>
      <c r="V892" s="153"/>
      <c r="W892" s="153"/>
      <c r="X892" s="153"/>
      <c r="Y892" s="153"/>
      <c r="Z892" s="153"/>
      <c r="AA892" s="153"/>
      <c r="AB892" s="153"/>
      <c r="AC892" s="153"/>
    </row>
    <row r="893">
      <c r="A893" s="153"/>
      <c r="B893" s="153"/>
      <c r="C893" s="153"/>
      <c r="D893" s="153" t="str">
        <f t="shared" si="1"/>
        <v>
</v>
      </c>
      <c r="E893" s="153"/>
      <c r="F893" s="153"/>
      <c r="G893" s="153"/>
      <c r="H893" s="153"/>
      <c r="I893" s="120"/>
      <c r="J893" s="120"/>
      <c r="K893" s="153"/>
      <c r="L893" s="153"/>
      <c r="M893" s="153"/>
      <c r="N893" s="153"/>
      <c r="O893" s="153"/>
      <c r="P893" s="153"/>
      <c r="Q893" s="153"/>
      <c r="R893" s="153"/>
      <c r="S893" s="153"/>
      <c r="T893" s="153"/>
      <c r="U893" s="153"/>
      <c r="V893" s="153"/>
      <c r="W893" s="153"/>
      <c r="X893" s="153"/>
      <c r="Y893" s="153"/>
      <c r="Z893" s="153"/>
      <c r="AA893" s="153"/>
      <c r="AB893" s="153"/>
      <c r="AC893" s="153"/>
    </row>
    <row r="894">
      <c r="A894" s="153"/>
      <c r="B894" s="153"/>
      <c r="C894" s="153"/>
      <c r="D894" s="153" t="str">
        <f t="shared" si="1"/>
        <v>
</v>
      </c>
      <c r="E894" s="153"/>
      <c r="F894" s="153"/>
      <c r="G894" s="153"/>
      <c r="H894" s="153"/>
      <c r="I894" s="120"/>
      <c r="J894" s="120"/>
      <c r="K894" s="153"/>
      <c r="L894" s="153"/>
      <c r="M894" s="153"/>
      <c r="N894" s="153"/>
      <c r="O894" s="153"/>
      <c r="P894" s="153"/>
      <c r="Q894" s="153"/>
      <c r="R894" s="153"/>
      <c r="S894" s="153"/>
      <c r="T894" s="153"/>
      <c r="U894" s="153"/>
      <c r="V894" s="153"/>
      <c r="W894" s="153"/>
      <c r="X894" s="153"/>
      <c r="Y894" s="153"/>
      <c r="Z894" s="153"/>
      <c r="AA894" s="153"/>
      <c r="AB894" s="153"/>
      <c r="AC894" s="153"/>
    </row>
    <row r="895">
      <c r="A895" s="153"/>
      <c r="B895" s="153"/>
      <c r="C895" s="153"/>
      <c r="D895" s="153" t="str">
        <f t="shared" si="1"/>
        <v>
</v>
      </c>
      <c r="E895" s="153"/>
      <c r="F895" s="153"/>
      <c r="G895" s="153"/>
      <c r="H895" s="153"/>
      <c r="I895" s="120"/>
      <c r="J895" s="120"/>
      <c r="K895" s="153"/>
      <c r="L895" s="153"/>
      <c r="M895" s="153"/>
      <c r="N895" s="153"/>
      <c r="O895" s="153"/>
      <c r="P895" s="153"/>
      <c r="Q895" s="153"/>
      <c r="R895" s="153"/>
      <c r="S895" s="153"/>
      <c r="T895" s="153"/>
      <c r="U895" s="153"/>
      <c r="V895" s="153"/>
      <c r="W895" s="153"/>
      <c r="X895" s="153"/>
      <c r="Y895" s="153"/>
      <c r="Z895" s="153"/>
      <c r="AA895" s="153"/>
      <c r="AB895" s="153"/>
      <c r="AC895" s="153"/>
    </row>
    <row r="896">
      <c r="A896" s="153"/>
      <c r="B896" s="153"/>
      <c r="C896" s="153"/>
      <c r="D896" s="153" t="str">
        <f t="shared" si="1"/>
        <v>
</v>
      </c>
      <c r="E896" s="153"/>
      <c r="F896" s="153"/>
      <c r="G896" s="153"/>
      <c r="H896" s="153"/>
      <c r="I896" s="120"/>
      <c r="J896" s="120"/>
      <c r="K896" s="153"/>
      <c r="L896" s="153"/>
      <c r="M896" s="153"/>
      <c r="N896" s="153"/>
      <c r="O896" s="153"/>
      <c r="P896" s="153"/>
      <c r="Q896" s="153"/>
      <c r="R896" s="153"/>
      <c r="S896" s="153"/>
      <c r="T896" s="153"/>
      <c r="U896" s="153"/>
      <c r="V896" s="153"/>
      <c r="W896" s="153"/>
      <c r="X896" s="153"/>
      <c r="Y896" s="153"/>
      <c r="Z896" s="153"/>
      <c r="AA896" s="153"/>
      <c r="AB896" s="153"/>
      <c r="AC896" s="153"/>
    </row>
    <row r="897">
      <c r="A897" s="153"/>
      <c r="B897" s="153"/>
      <c r="C897" s="153"/>
      <c r="D897" s="153" t="str">
        <f t="shared" si="1"/>
        <v>
</v>
      </c>
      <c r="E897" s="153"/>
      <c r="F897" s="153"/>
      <c r="G897" s="153"/>
      <c r="H897" s="153"/>
      <c r="I897" s="120"/>
      <c r="J897" s="120"/>
      <c r="K897" s="153"/>
      <c r="L897" s="153"/>
      <c r="M897" s="153"/>
      <c r="N897" s="153"/>
      <c r="O897" s="153"/>
      <c r="P897" s="153"/>
      <c r="Q897" s="153"/>
      <c r="R897" s="153"/>
      <c r="S897" s="153"/>
      <c r="T897" s="153"/>
      <c r="U897" s="153"/>
      <c r="V897" s="153"/>
      <c r="W897" s="153"/>
      <c r="X897" s="153"/>
      <c r="Y897" s="153"/>
      <c r="Z897" s="153"/>
      <c r="AA897" s="153"/>
      <c r="AB897" s="153"/>
      <c r="AC897" s="153"/>
    </row>
    <row r="898">
      <c r="A898" s="153"/>
      <c r="B898" s="153"/>
      <c r="C898" s="153"/>
      <c r="D898" s="153" t="str">
        <f t="shared" si="1"/>
        <v>
</v>
      </c>
      <c r="E898" s="153"/>
      <c r="F898" s="153"/>
      <c r="G898" s="153"/>
      <c r="H898" s="153"/>
      <c r="I898" s="120"/>
      <c r="J898" s="120"/>
      <c r="K898" s="153"/>
      <c r="L898" s="153"/>
      <c r="M898" s="153"/>
      <c r="N898" s="153"/>
      <c r="O898" s="153"/>
      <c r="P898" s="153"/>
      <c r="Q898" s="153"/>
      <c r="R898" s="153"/>
      <c r="S898" s="153"/>
      <c r="T898" s="153"/>
      <c r="U898" s="153"/>
      <c r="V898" s="153"/>
      <c r="W898" s="153"/>
      <c r="X898" s="153"/>
      <c r="Y898" s="153"/>
      <c r="Z898" s="153"/>
      <c r="AA898" s="153"/>
      <c r="AB898" s="153"/>
      <c r="AC898" s="153"/>
    </row>
    <row r="899">
      <c r="A899" s="153"/>
      <c r="B899" s="153"/>
      <c r="C899" s="153"/>
      <c r="D899" s="153" t="str">
        <f t="shared" si="1"/>
        <v>
</v>
      </c>
      <c r="E899" s="153"/>
      <c r="F899" s="153"/>
      <c r="G899" s="153"/>
      <c r="H899" s="153"/>
      <c r="I899" s="120"/>
      <c r="J899" s="120"/>
      <c r="K899" s="153"/>
      <c r="L899" s="153"/>
      <c r="M899" s="153"/>
      <c r="N899" s="153"/>
      <c r="O899" s="153"/>
      <c r="P899" s="153"/>
      <c r="Q899" s="153"/>
      <c r="R899" s="153"/>
      <c r="S899" s="153"/>
      <c r="T899" s="153"/>
      <c r="U899" s="153"/>
      <c r="V899" s="153"/>
      <c r="W899" s="153"/>
      <c r="X899" s="153"/>
      <c r="Y899" s="153"/>
      <c r="Z899" s="153"/>
      <c r="AA899" s="153"/>
      <c r="AB899" s="153"/>
      <c r="AC899" s="153"/>
    </row>
    <row r="900">
      <c r="A900" s="153"/>
      <c r="B900" s="153"/>
      <c r="C900" s="153"/>
      <c r="D900" s="153" t="str">
        <f t="shared" si="1"/>
        <v>
</v>
      </c>
      <c r="E900" s="153"/>
      <c r="F900" s="153"/>
      <c r="G900" s="153"/>
      <c r="H900" s="153"/>
      <c r="I900" s="120"/>
      <c r="J900" s="120"/>
      <c r="K900" s="153"/>
      <c r="L900" s="153"/>
      <c r="M900" s="153"/>
      <c r="N900" s="153"/>
      <c r="O900" s="153"/>
      <c r="P900" s="153"/>
      <c r="Q900" s="153"/>
      <c r="R900" s="153"/>
      <c r="S900" s="153"/>
      <c r="T900" s="153"/>
      <c r="U900" s="153"/>
      <c r="V900" s="153"/>
      <c r="W900" s="153"/>
      <c r="X900" s="153"/>
      <c r="Y900" s="153"/>
      <c r="Z900" s="153"/>
      <c r="AA900" s="153"/>
      <c r="AB900" s="153"/>
      <c r="AC900" s="153"/>
    </row>
    <row r="901">
      <c r="A901" s="153"/>
      <c r="B901" s="153"/>
      <c r="C901" s="153"/>
      <c r="D901" s="153" t="str">
        <f t="shared" si="1"/>
        <v>
</v>
      </c>
      <c r="E901" s="153"/>
      <c r="F901" s="153"/>
      <c r="G901" s="153"/>
      <c r="H901" s="153"/>
      <c r="I901" s="120"/>
      <c r="J901" s="120"/>
      <c r="K901" s="153"/>
      <c r="L901" s="153"/>
      <c r="M901" s="153"/>
      <c r="N901" s="153"/>
      <c r="O901" s="153"/>
      <c r="P901" s="153"/>
      <c r="Q901" s="153"/>
      <c r="R901" s="153"/>
      <c r="S901" s="153"/>
      <c r="T901" s="153"/>
      <c r="U901" s="153"/>
      <c r="V901" s="153"/>
      <c r="W901" s="153"/>
      <c r="X901" s="153"/>
      <c r="Y901" s="153"/>
      <c r="Z901" s="153"/>
      <c r="AA901" s="153"/>
      <c r="AB901" s="153"/>
      <c r="AC901" s="153"/>
    </row>
    <row r="902">
      <c r="A902" s="153"/>
      <c r="B902" s="153"/>
      <c r="C902" s="153"/>
      <c r="D902" s="153" t="str">
        <f t="shared" si="1"/>
        <v>
</v>
      </c>
      <c r="E902" s="153"/>
      <c r="F902" s="153"/>
      <c r="G902" s="153"/>
      <c r="H902" s="153"/>
      <c r="I902" s="120"/>
      <c r="J902" s="120"/>
      <c r="K902" s="153"/>
      <c r="L902" s="153"/>
      <c r="M902" s="153"/>
      <c r="N902" s="153"/>
      <c r="O902" s="153"/>
      <c r="P902" s="153"/>
      <c r="Q902" s="153"/>
      <c r="R902" s="153"/>
      <c r="S902" s="153"/>
      <c r="T902" s="153"/>
      <c r="U902" s="153"/>
      <c r="V902" s="153"/>
      <c r="W902" s="153"/>
      <c r="X902" s="153"/>
      <c r="Y902" s="153"/>
      <c r="Z902" s="153"/>
      <c r="AA902" s="153"/>
      <c r="AB902" s="153"/>
      <c r="AC902" s="153"/>
    </row>
    <row r="903">
      <c r="A903" s="153"/>
      <c r="B903" s="153"/>
      <c r="C903" s="153"/>
      <c r="D903" s="153" t="str">
        <f t="shared" si="1"/>
        <v>
</v>
      </c>
      <c r="E903" s="153"/>
      <c r="F903" s="153"/>
      <c r="G903" s="153"/>
      <c r="H903" s="153"/>
      <c r="I903" s="120"/>
      <c r="J903" s="120"/>
      <c r="K903" s="153"/>
      <c r="L903" s="153"/>
      <c r="M903" s="153"/>
      <c r="N903" s="153"/>
      <c r="O903" s="153"/>
      <c r="P903" s="153"/>
      <c r="Q903" s="153"/>
      <c r="R903" s="153"/>
      <c r="S903" s="153"/>
      <c r="T903" s="153"/>
      <c r="U903" s="153"/>
      <c r="V903" s="153"/>
      <c r="W903" s="153"/>
      <c r="X903" s="153"/>
      <c r="Y903" s="153"/>
      <c r="Z903" s="153"/>
      <c r="AA903" s="153"/>
      <c r="AB903" s="153"/>
      <c r="AC903" s="153"/>
    </row>
    <row r="904">
      <c r="A904" s="153"/>
      <c r="B904" s="153"/>
      <c r="C904" s="153"/>
      <c r="D904" s="153" t="str">
        <f t="shared" si="1"/>
        <v>
</v>
      </c>
      <c r="E904" s="153"/>
      <c r="F904" s="153"/>
      <c r="G904" s="153"/>
      <c r="H904" s="153"/>
      <c r="I904" s="120"/>
      <c r="J904" s="120"/>
      <c r="K904" s="153"/>
      <c r="L904" s="153"/>
      <c r="M904" s="153"/>
      <c r="N904" s="153"/>
      <c r="O904" s="153"/>
      <c r="P904" s="153"/>
      <c r="Q904" s="153"/>
      <c r="R904" s="153"/>
      <c r="S904" s="153"/>
      <c r="T904" s="153"/>
      <c r="U904" s="153"/>
      <c r="V904" s="153"/>
      <c r="W904" s="153"/>
      <c r="X904" s="153"/>
      <c r="Y904" s="153"/>
      <c r="Z904" s="153"/>
      <c r="AA904" s="153"/>
      <c r="AB904" s="153"/>
      <c r="AC904" s="153"/>
    </row>
    <row r="905">
      <c r="A905" s="153"/>
      <c r="B905" s="153"/>
      <c r="C905" s="153"/>
      <c r="D905" s="153" t="str">
        <f t="shared" si="1"/>
        <v>
</v>
      </c>
      <c r="E905" s="153"/>
      <c r="F905" s="153"/>
      <c r="G905" s="153"/>
      <c r="H905" s="153"/>
      <c r="I905" s="120"/>
      <c r="J905" s="120"/>
      <c r="K905" s="153"/>
      <c r="L905" s="153"/>
      <c r="M905" s="153"/>
      <c r="N905" s="153"/>
      <c r="O905" s="153"/>
      <c r="P905" s="153"/>
      <c r="Q905" s="153"/>
      <c r="R905" s="153"/>
      <c r="S905" s="153"/>
      <c r="T905" s="153"/>
      <c r="U905" s="153"/>
      <c r="V905" s="153"/>
      <c r="W905" s="153"/>
      <c r="X905" s="153"/>
      <c r="Y905" s="153"/>
      <c r="Z905" s="153"/>
      <c r="AA905" s="153"/>
      <c r="AB905" s="153"/>
      <c r="AC905" s="153"/>
    </row>
    <row r="906">
      <c r="A906" s="153"/>
      <c r="B906" s="153"/>
      <c r="C906" s="153"/>
      <c r="D906" s="153" t="str">
        <f t="shared" si="1"/>
        <v>
</v>
      </c>
      <c r="E906" s="153"/>
      <c r="F906" s="153"/>
      <c r="G906" s="153"/>
      <c r="H906" s="153"/>
      <c r="I906" s="120"/>
      <c r="J906" s="120"/>
      <c r="K906" s="153"/>
      <c r="L906" s="153"/>
      <c r="M906" s="153"/>
      <c r="N906" s="153"/>
      <c r="O906" s="153"/>
      <c r="P906" s="153"/>
      <c r="Q906" s="153"/>
      <c r="R906" s="153"/>
      <c r="S906" s="153"/>
      <c r="T906" s="153"/>
      <c r="U906" s="153"/>
      <c r="V906" s="153"/>
      <c r="W906" s="153"/>
      <c r="X906" s="153"/>
      <c r="Y906" s="153"/>
      <c r="Z906" s="153"/>
      <c r="AA906" s="153"/>
      <c r="AB906" s="153"/>
      <c r="AC906" s="153"/>
    </row>
    <row r="907">
      <c r="A907" s="153"/>
      <c r="B907" s="153"/>
      <c r="C907" s="153"/>
      <c r="D907" s="153" t="str">
        <f t="shared" si="1"/>
        <v>
</v>
      </c>
      <c r="E907" s="153"/>
      <c r="F907" s="153"/>
      <c r="G907" s="153"/>
      <c r="H907" s="153"/>
      <c r="I907" s="120"/>
      <c r="J907" s="120"/>
      <c r="K907" s="153"/>
      <c r="L907" s="153"/>
      <c r="M907" s="153"/>
      <c r="N907" s="153"/>
      <c r="O907" s="153"/>
      <c r="P907" s="153"/>
      <c r="Q907" s="153"/>
      <c r="R907" s="153"/>
      <c r="S907" s="153"/>
      <c r="T907" s="153"/>
      <c r="U907" s="153"/>
      <c r="V907" s="153"/>
      <c r="W907" s="153"/>
      <c r="X907" s="153"/>
      <c r="Y907" s="153"/>
      <c r="Z907" s="153"/>
      <c r="AA907" s="153"/>
      <c r="AB907" s="153"/>
      <c r="AC907" s="153"/>
    </row>
    <row r="908">
      <c r="A908" s="153"/>
      <c r="B908" s="153"/>
      <c r="C908" s="153"/>
      <c r="D908" s="153" t="str">
        <f t="shared" si="1"/>
        <v>
</v>
      </c>
      <c r="E908" s="153"/>
      <c r="F908" s="153"/>
      <c r="G908" s="153"/>
      <c r="H908" s="153"/>
      <c r="I908" s="120"/>
      <c r="J908" s="120"/>
      <c r="K908" s="153"/>
      <c r="L908" s="153"/>
      <c r="M908" s="153"/>
      <c r="N908" s="153"/>
      <c r="O908" s="153"/>
      <c r="P908" s="153"/>
      <c r="Q908" s="153"/>
      <c r="R908" s="153"/>
      <c r="S908" s="153"/>
      <c r="T908" s="153"/>
      <c r="U908" s="153"/>
      <c r="V908" s="153"/>
      <c r="W908" s="153"/>
      <c r="X908" s="153"/>
      <c r="Y908" s="153"/>
      <c r="Z908" s="153"/>
      <c r="AA908" s="153"/>
      <c r="AB908" s="153"/>
      <c r="AC908" s="153"/>
    </row>
    <row r="909">
      <c r="A909" s="153"/>
      <c r="B909" s="153"/>
      <c r="C909" s="153"/>
      <c r="D909" s="153" t="str">
        <f t="shared" si="1"/>
        <v>
</v>
      </c>
      <c r="E909" s="153"/>
      <c r="F909" s="153"/>
      <c r="G909" s="153"/>
      <c r="H909" s="153"/>
      <c r="I909" s="120"/>
      <c r="J909" s="120"/>
      <c r="K909" s="153"/>
      <c r="L909" s="153"/>
      <c r="M909" s="153"/>
      <c r="N909" s="153"/>
      <c r="O909" s="153"/>
      <c r="P909" s="153"/>
      <c r="Q909" s="153"/>
      <c r="R909" s="153"/>
      <c r="S909" s="153"/>
      <c r="T909" s="153"/>
      <c r="U909" s="153"/>
      <c r="V909" s="153"/>
      <c r="W909" s="153"/>
      <c r="X909" s="153"/>
      <c r="Y909" s="153"/>
      <c r="Z909" s="153"/>
      <c r="AA909" s="153"/>
      <c r="AB909" s="153"/>
      <c r="AC909" s="153"/>
    </row>
    <row r="910">
      <c r="A910" s="153"/>
      <c r="B910" s="153"/>
      <c r="C910" s="153"/>
      <c r="D910" s="153" t="str">
        <f t="shared" si="1"/>
        <v>
</v>
      </c>
      <c r="E910" s="153"/>
      <c r="F910" s="153"/>
      <c r="G910" s="153"/>
      <c r="H910" s="153"/>
      <c r="I910" s="120"/>
      <c r="J910" s="120"/>
      <c r="K910" s="153"/>
      <c r="L910" s="153"/>
      <c r="M910" s="153"/>
      <c r="N910" s="153"/>
      <c r="O910" s="153"/>
      <c r="P910" s="153"/>
      <c r="Q910" s="153"/>
      <c r="R910" s="153"/>
      <c r="S910" s="153"/>
      <c r="T910" s="153"/>
      <c r="U910" s="153"/>
      <c r="V910" s="153"/>
      <c r="W910" s="153"/>
      <c r="X910" s="153"/>
      <c r="Y910" s="153"/>
      <c r="Z910" s="153"/>
      <c r="AA910" s="153"/>
      <c r="AB910" s="153"/>
      <c r="AC910" s="153"/>
    </row>
    <row r="911">
      <c r="A911" s="153"/>
      <c r="B911" s="153"/>
      <c r="C911" s="153"/>
      <c r="D911" s="153" t="str">
        <f t="shared" si="1"/>
        <v>
</v>
      </c>
      <c r="E911" s="153"/>
      <c r="F911" s="153"/>
      <c r="G911" s="153"/>
      <c r="H911" s="153"/>
      <c r="I911" s="120"/>
      <c r="J911" s="120"/>
      <c r="K911" s="153"/>
      <c r="L911" s="153"/>
      <c r="M911" s="153"/>
      <c r="N911" s="153"/>
      <c r="O911" s="153"/>
      <c r="P911" s="153"/>
      <c r="Q911" s="153"/>
      <c r="R911" s="153"/>
      <c r="S911" s="153"/>
      <c r="T911" s="153"/>
      <c r="U911" s="153"/>
      <c r="V911" s="153"/>
      <c r="W911" s="153"/>
      <c r="X911" s="153"/>
      <c r="Y911" s="153"/>
      <c r="Z911" s="153"/>
      <c r="AA911" s="153"/>
      <c r="AB911" s="153"/>
      <c r="AC911" s="153"/>
    </row>
    <row r="912">
      <c r="A912" s="153"/>
      <c r="B912" s="153"/>
      <c r="C912" s="153"/>
      <c r="D912" s="153" t="str">
        <f t="shared" si="1"/>
        <v>
</v>
      </c>
      <c r="E912" s="153"/>
      <c r="F912" s="153"/>
      <c r="G912" s="153"/>
      <c r="H912" s="153"/>
      <c r="I912" s="120"/>
      <c r="J912" s="120"/>
      <c r="K912" s="153"/>
      <c r="L912" s="153"/>
      <c r="M912" s="153"/>
      <c r="N912" s="153"/>
      <c r="O912" s="153"/>
      <c r="P912" s="153"/>
      <c r="Q912" s="153"/>
      <c r="R912" s="153"/>
      <c r="S912" s="153"/>
      <c r="T912" s="153"/>
      <c r="U912" s="153"/>
      <c r="V912" s="153"/>
      <c r="W912" s="153"/>
      <c r="X912" s="153"/>
      <c r="Y912" s="153"/>
      <c r="Z912" s="153"/>
      <c r="AA912" s="153"/>
      <c r="AB912" s="153"/>
      <c r="AC912" s="153"/>
    </row>
    <row r="913">
      <c r="A913" s="153"/>
      <c r="B913" s="153"/>
      <c r="C913" s="153"/>
      <c r="D913" s="153" t="str">
        <f t="shared" si="1"/>
        <v>
</v>
      </c>
      <c r="E913" s="153"/>
      <c r="F913" s="153"/>
      <c r="G913" s="153"/>
      <c r="H913" s="153"/>
      <c r="I913" s="120"/>
      <c r="J913" s="120"/>
      <c r="K913" s="153"/>
      <c r="L913" s="153"/>
      <c r="M913" s="153"/>
      <c r="N913" s="153"/>
      <c r="O913" s="153"/>
      <c r="P913" s="153"/>
      <c r="Q913" s="153"/>
      <c r="R913" s="153"/>
      <c r="S913" s="153"/>
      <c r="T913" s="153"/>
      <c r="U913" s="153"/>
      <c r="V913" s="153"/>
      <c r="W913" s="153"/>
      <c r="X913" s="153"/>
      <c r="Y913" s="153"/>
      <c r="Z913" s="153"/>
      <c r="AA913" s="153"/>
      <c r="AB913" s="153"/>
      <c r="AC913" s="153"/>
    </row>
    <row r="914">
      <c r="A914" s="153"/>
      <c r="B914" s="153"/>
      <c r="C914" s="153"/>
      <c r="D914" s="153" t="str">
        <f t="shared" si="1"/>
        <v>
</v>
      </c>
      <c r="E914" s="153"/>
      <c r="F914" s="153"/>
      <c r="G914" s="153"/>
      <c r="H914" s="153"/>
      <c r="I914" s="120"/>
      <c r="J914" s="120"/>
      <c r="K914" s="153"/>
      <c r="L914" s="153"/>
      <c r="M914" s="153"/>
      <c r="N914" s="153"/>
      <c r="O914" s="153"/>
      <c r="P914" s="153"/>
      <c r="Q914" s="153"/>
      <c r="R914" s="153"/>
      <c r="S914" s="153"/>
      <c r="T914" s="153"/>
      <c r="U914" s="153"/>
      <c r="V914" s="153"/>
      <c r="W914" s="153"/>
      <c r="X914" s="153"/>
      <c r="Y914" s="153"/>
      <c r="Z914" s="153"/>
      <c r="AA914" s="153"/>
      <c r="AB914" s="153"/>
      <c r="AC914" s="153"/>
    </row>
    <row r="915">
      <c r="A915" s="153"/>
      <c r="B915" s="153"/>
      <c r="C915" s="153"/>
      <c r="D915" s="153" t="str">
        <f t="shared" si="1"/>
        <v>
</v>
      </c>
      <c r="E915" s="153"/>
      <c r="F915" s="153"/>
      <c r="G915" s="153"/>
      <c r="H915" s="153"/>
      <c r="I915" s="120"/>
      <c r="J915" s="120"/>
      <c r="K915" s="153"/>
      <c r="L915" s="153"/>
      <c r="M915" s="153"/>
      <c r="N915" s="153"/>
      <c r="O915" s="153"/>
      <c r="P915" s="153"/>
      <c r="Q915" s="153"/>
      <c r="R915" s="153"/>
      <c r="S915" s="153"/>
      <c r="T915" s="153"/>
      <c r="U915" s="153"/>
      <c r="V915" s="153"/>
      <c r="W915" s="153"/>
      <c r="X915" s="153"/>
      <c r="Y915" s="153"/>
      <c r="Z915" s="153"/>
      <c r="AA915" s="153"/>
      <c r="AB915" s="153"/>
      <c r="AC915" s="153"/>
    </row>
    <row r="916">
      <c r="A916" s="153"/>
      <c r="B916" s="153"/>
      <c r="C916" s="153"/>
      <c r="D916" s="153" t="str">
        <f t="shared" si="1"/>
        <v>
</v>
      </c>
      <c r="E916" s="153"/>
      <c r="F916" s="153"/>
      <c r="G916" s="153"/>
      <c r="H916" s="153"/>
      <c r="I916" s="120"/>
      <c r="J916" s="120"/>
      <c r="K916" s="153"/>
      <c r="L916" s="153"/>
      <c r="M916" s="153"/>
      <c r="N916" s="153"/>
      <c r="O916" s="153"/>
      <c r="P916" s="153"/>
      <c r="Q916" s="153"/>
      <c r="R916" s="153"/>
      <c r="S916" s="153"/>
      <c r="T916" s="153"/>
      <c r="U916" s="153"/>
      <c r="V916" s="153"/>
      <c r="W916" s="153"/>
      <c r="X916" s="153"/>
      <c r="Y916" s="153"/>
      <c r="Z916" s="153"/>
      <c r="AA916" s="153"/>
      <c r="AB916" s="153"/>
      <c r="AC916" s="153"/>
    </row>
    <row r="917">
      <c r="A917" s="153"/>
      <c r="B917" s="153"/>
      <c r="C917" s="153"/>
      <c r="D917" s="153" t="str">
        <f t="shared" si="1"/>
        <v>
</v>
      </c>
      <c r="E917" s="153"/>
      <c r="F917" s="153"/>
      <c r="G917" s="153"/>
      <c r="H917" s="153"/>
      <c r="I917" s="120"/>
      <c r="J917" s="120"/>
      <c r="K917" s="153"/>
      <c r="L917" s="153"/>
      <c r="M917" s="153"/>
      <c r="N917" s="153"/>
      <c r="O917" s="153"/>
      <c r="P917" s="153"/>
      <c r="Q917" s="153"/>
      <c r="R917" s="153"/>
      <c r="S917" s="153"/>
      <c r="T917" s="153"/>
      <c r="U917" s="153"/>
      <c r="V917" s="153"/>
      <c r="W917" s="153"/>
      <c r="X917" s="153"/>
      <c r="Y917" s="153"/>
      <c r="Z917" s="153"/>
      <c r="AA917" s="153"/>
      <c r="AB917" s="153"/>
      <c r="AC917" s="153"/>
    </row>
    <row r="918">
      <c r="A918" s="153"/>
      <c r="B918" s="153"/>
      <c r="C918" s="153"/>
      <c r="D918" s="153" t="str">
        <f t="shared" si="1"/>
        <v>
</v>
      </c>
      <c r="E918" s="153"/>
      <c r="F918" s="153"/>
      <c r="G918" s="153"/>
      <c r="H918" s="153"/>
      <c r="I918" s="120"/>
      <c r="J918" s="120"/>
      <c r="K918" s="153"/>
      <c r="L918" s="153"/>
      <c r="M918" s="153"/>
      <c r="N918" s="153"/>
      <c r="O918" s="153"/>
      <c r="P918" s="153"/>
      <c r="Q918" s="153"/>
      <c r="R918" s="153"/>
      <c r="S918" s="153"/>
      <c r="T918" s="153"/>
      <c r="U918" s="153"/>
      <c r="V918" s="153"/>
      <c r="W918" s="153"/>
      <c r="X918" s="153"/>
      <c r="Y918" s="153"/>
      <c r="Z918" s="153"/>
      <c r="AA918" s="153"/>
      <c r="AB918" s="153"/>
      <c r="AC918" s="153"/>
    </row>
    <row r="919">
      <c r="A919" s="153"/>
      <c r="B919" s="153"/>
      <c r="C919" s="153"/>
      <c r="D919" s="153" t="str">
        <f t="shared" si="1"/>
        <v>
</v>
      </c>
      <c r="E919" s="153"/>
      <c r="F919" s="153"/>
      <c r="G919" s="153"/>
      <c r="H919" s="153"/>
      <c r="I919" s="120"/>
      <c r="J919" s="120"/>
      <c r="K919" s="153"/>
      <c r="L919" s="153"/>
      <c r="M919" s="153"/>
      <c r="N919" s="153"/>
      <c r="O919" s="153"/>
      <c r="P919" s="153"/>
      <c r="Q919" s="153"/>
      <c r="R919" s="153"/>
      <c r="S919" s="153"/>
      <c r="T919" s="153"/>
      <c r="U919" s="153"/>
      <c r="V919" s="153"/>
      <c r="W919" s="153"/>
      <c r="X919" s="153"/>
      <c r="Y919" s="153"/>
      <c r="Z919" s="153"/>
      <c r="AA919" s="153"/>
      <c r="AB919" s="153"/>
      <c r="AC919" s="153"/>
    </row>
    <row r="920">
      <c r="A920" s="153"/>
      <c r="B920" s="153"/>
      <c r="C920" s="153"/>
      <c r="D920" s="153" t="str">
        <f t="shared" si="1"/>
        <v>
</v>
      </c>
      <c r="E920" s="153"/>
      <c r="F920" s="153"/>
      <c r="G920" s="153"/>
      <c r="H920" s="153"/>
      <c r="I920" s="120"/>
      <c r="J920" s="120"/>
      <c r="K920" s="153"/>
      <c r="L920" s="153"/>
      <c r="M920" s="153"/>
      <c r="N920" s="153"/>
      <c r="O920" s="153"/>
      <c r="P920" s="153"/>
      <c r="Q920" s="153"/>
      <c r="R920" s="153"/>
      <c r="S920" s="153"/>
      <c r="T920" s="153"/>
      <c r="U920" s="153"/>
      <c r="V920" s="153"/>
      <c r="W920" s="153"/>
      <c r="X920" s="153"/>
      <c r="Y920" s="153"/>
      <c r="Z920" s="153"/>
      <c r="AA920" s="153"/>
      <c r="AB920" s="153"/>
      <c r="AC920" s="153"/>
    </row>
    <row r="921">
      <c r="A921" s="153"/>
      <c r="B921" s="153"/>
      <c r="C921" s="153"/>
      <c r="D921" s="153" t="str">
        <f t="shared" si="1"/>
        <v>
</v>
      </c>
      <c r="E921" s="153"/>
      <c r="F921" s="153"/>
      <c r="G921" s="153"/>
      <c r="H921" s="153"/>
      <c r="I921" s="120"/>
      <c r="J921" s="120"/>
      <c r="K921" s="153"/>
      <c r="L921" s="153"/>
      <c r="M921" s="153"/>
      <c r="N921" s="153"/>
      <c r="O921" s="153"/>
      <c r="P921" s="153"/>
      <c r="Q921" s="153"/>
      <c r="R921" s="153"/>
      <c r="S921" s="153"/>
      <c r="T921" s="153"/>
      <c r="U921" s="153"/>
      <c r="V921" s="153"/>
      <c r="W921" s="153"/>
      <c r="X921" s="153"/>
      <c r="Y921" s="153"/>
      <c r="Z921" s="153"/>
      <c r="AA921" s="153"/>
      <c r="AB921" s="153"/>
      <c r="AC921" s="153"/>
    </row>
    <row r="922">
      <c r="A922" s="153"/>
      <c r="B922" s="153"/>
      <c r="C922" s="153"/>
      <c r="D922" s="153" t="str">
        <f t="shared" si="1"/>
        <v>
</v>
      </c>
      <c r="E922" s="153"/>
      <c r="F922" s="153"/>
      <c r="G922" s="153"/>
      <c r="H922" s="153"/>
      <c r="I922" s="120"/>
      <c r="J922" s="120"/>
      <c r="K922" s="153"/>
      <c r="L922" s="153"/>
      <c r="M922" s="153"/>
      <c r="N922" s="153"/>
      <c r="O922" s="153"/>
      <c r="P922" s="153"/>
      <c r="Q922" s="153"/>
      <c r="R922" s="153"/>
      <c r="S922" s="153"/>
      <c r="T922" s="153"/>
      <c r="U922" s="153"/>
      <c r="V922" s="153"/>
      <c r="W922" s="153"/>
      <c r="X922" s="153"/>
      <c r="Y922" s="153"/>
      <c r="Z922" s="153"/>
      <c r="AA922" s="153"/>
      <c r="AB922" s="153"/>
      <c r="AC922" s="153"/>
    </row>
    <row r="923">
      <c r="A923" s="153"/>
      <c r="B923" s="153"/>
      <c r="C923" s="153"/>
      <c r="D923" s="153" t="str">
        <f t="shared" si="1"/>
        <v>
</v>
      </c>
      <c r="E923" s="153"/>
      <c r="F923" s="153"/>
      <c r="G923" s="153"/>
      <c r="H923" s="153"/>
      <c r="I923" s="120"/>
      <c r="J923" s="120"/>
      <c r="K923" s="153"/>
      <c r="L923" s="153"/>
      <c r="M923" s="153"/>
      <c r="N923" s="153"/>
      <c r="O923" s="153"/>
      <c r="P923" s="153"/>
      <c r="Q923" s="153"/>
      <c r="R923" s="153"/>
      <c r="S923" s="153"/>
      <c r="T923" s="153"/>
      <c r="U923" s="153"/>
      <c r="V923" s="153"/>
      <c r="W923" s="153"/>
      <c r="X923" s="153"/>
      <c r="Y923" s="153"/>
      <c r="Z923" s="153"/>
      <c r="AA923" s="153"/>
      <c r="AB923" s="153"/>
      <c r="AC923" s="153"/>
    </row>
    <row r="924">
      <c r="A924" s="153"/>
      <c r="B924" s="153"/>
      <c r="C924" s="153"/>
      <c r="D924" s="153" t="str">
        <f t="shared" si="1"/>
        <v>
</v>
      </c>
      <c r="E924" s="153"/>
      <c r="F924" s="153"/>
      <c r="G924" s="153"/>
      <c r="H924" s="153"/>
      <c r="I924" s="120"/>
      <c r="J924" s="120"/>
      <c r="K924" s="153"/>
      <c r="L924" s="153"/>
      <c r="M924" s="153"/>
      <c r="N924" s="153"/>
      <c r="O924" s="153"/>
      <c r="P924" s="153"/>
      <c r="Q924" s="153"/>
      <c r="R924" s="153"/>
      <c r="S924" s="153"/>
      <c r="T924" s="153"/>
      <c r="U924" s="153"/>
      <c r="V924" s="153"/>
      <c r="W924" s="153"/>
      <c r="X924" s="153"/>
      <c r="Y924" s="153"/>
      <c r="Z924" s="153"/>
      <c r="AA924" s="153"/>
      <c r="AB924" s="153"/>
      <c r="AC924" s="153"/>
    </row>
    <row r="925">
      <c r="A925" s="153"/>
      <c r="B925" s="153"/>
      <c r="C925" s="153"/>
      <c r="D925" s="153" t="str">
        <f t="shared" si="1"/>
        <v>
</v>
      </c>
      <c r="E925" s="153"/>
      <c r="F925" s="153"/>
      <c r="G925" s="153"/>
      <c r="H925" s="153"/>
      <c r="I925" s="120"/>
      <c r="J925" s="120"/>
      <c r="K925" s="153"/>
      <c r="L925" s="153"/>
      <c r="M925" s="153"/>
      <c r="N925" s="153"/>
      <c r="O925" s="153"/>
      <c r="P925" s="153"/>
      <c r="Q925" s="153"/>
      <c r="R925" s="153"/>
      <c r="S925" s="153"/>
      <c r="T925" s="153"/>
      <c r="U925" s="153"/>
      <c r="V925" s="153"/>
      <c r="W925" s="153"/>
      <c r="X925" s="153"/>
      <c r="Y925" s="153"/>
      <c r="Z925" s="153"/>
      <c r="AA925" s="153"/>
      <c r="AB925" s="153"/>
      <c r="AC925" s="153"/>
    </row>
    <row r="926">
      <c r="A926" s="153"/>
      <c r="B926" s="153"/>
      <c r="C926" s="153"/>
      <c r="D926" s="153" t="str">
        <f t="shared" si="1"/>
        <v>
</v>
      </c>
      <c r="E926" s="153"/>
      <c r="F926" s="153"/>
      <c r="G926" s="153"/>
      <c r="H926" s="153"/>
      <c r="I926" s="120"/>
      <c r="J926" s="120"/>
      <c r="K926" s="153"/>
      <c r="L926" s="153"/>
      <c r="M926" s="153"/>
      <c r="N926" s="153"/>
      <c r="O926" s="153"/>
      <c r="P926" s="153"/>
      <c r="Q926" s="153"/>
      <c r="R926" s="153"/>
      <c r="S926" s="153"/>
      <c r="T926" s="153"/>
      <c r="U926" s="153"/>
      <c r="V926" s="153"/>
      <c r="W926" s="153"/>
      <c r="X926" s="153"/>
      <c r="Y926" s="153"/>
      <c r="Z926" s="153"/>
      <c r="AA926" s="153"/>
      <c r="AB926" s="153"/>
      <c r="AC926" s="153"/>
    </row>
    <row r="927">
      <c r="A927" s="153"/>
      <c r="B927" s="153"/>
      <c r="C927" s="153"/>
      <c r="D927" s="153" t="str">
        <f t="shared" si="1"/>
        <v>
</v>
      </c>
      <c r="E927" s="153"/>
      <c r="F927" s="153"/>
      <c r="G927" s="153"/>
      <c r="H927" s="153"/>
      <c r="I927" s="120"/>
      <c r="J927" s="120"/>
      <c r="K927" s="153"/>
      <c r="L927" s="153"/>
      <c r="M927" s="153"/>
      <c r="N927" s="153"/>
      <c r="O927" s="153"/>
      <c r="P927" s="153"/>
      <c r="Q927" s="153"/>
      <c r="R927" s="153"/>
      <c r="S927" s="153"/>
      <c r="T927" s="153"/>
      <c r="U927" s="153"/>
      <c r="V927" s="153"/>
      <c r="W927" s="153"/>
      <c r="X927" s="153"/>
      <c r="Y927" s="153"/>
      <c r="Z927" s="153"/>
      <c r="AA927" s="153"/>
      <c r="AB927" s="153"/>
      <c r="AC927" s="153"/>
    </row>
    <row r="928">
      <c r="A928" s="153"/>
      <c r="B928" s="153"/>
      <c r="C928" s="153"/>
      <c r="D928" s="153" t="str">
        <f t="shared" si="1"/>
        <v>
</v>
      </c>
      <c r="E928" s="153"/>
      <c r="F928" s="153"/>
      <c r="G928" s="153"/>
      <c r="H928" s="153"/>
      <c r="I928" s="120"/>
      <c r="J928" s="120"/>
      <c r="K928" s="153"/>
      <c r="L928" s="153"/>
      <c r="M928" s="153"/>
      <c r="N928" s="153"/>
      <c r="O928" s="153"/>
      <c r="P928" s="153"/>
      <c r="Q928" s="153"/>
      <c r="R928" s="153"/>
      <c r="S928" s="153"/>
      <c r="T928" s="153"/>
      <c r="U928" s="153"/>
      <c r="V928" s="153"/>
      <c r="W928" s="153"/>
      <c r="X928" s="153"/>
      <c r="Y928" s="153"/>
      <c r="Z928" s="153"/>
      <c r="AA928" s="153"/>
      <c r="AB928" s="153"/>
      <c r="AC928" s="153"/>
    </row>
    <row r="929">
      <c r="A929" s="153"/>
      <c r="B929" s="153"/>
      <c r="C929" s="153"/>
      <c r="D929" s="153" t="str">
        <f t="shared" si="1"/>
        <v>
</v>
      </c>
      <c r="E929" s="153"/>
      <c r="F929" s="153"/>
      <c r="G929" s="153"/>
      <c r="H929" s="153"/>
      <c r="I929" s="120"/>
      <c r="J929" s="120"/>
      <c r="K929" s="153"/>
      <c r="L929" s="153"/>
      <c r="M929" s="153"/>
      <c r="N929" s="153"/>
      <c r="O929" s="153"/>
      <c r="P929" s="153"/>
      <c r="Q929" s="153"/>
      <c r="R929" s="153"/>
      <c r="S929" s="153"/>
      <c r="T929" s="153"/>
      <c r="U929" s="153"/>
      <c r="V929" s="153"/>
      <c r="W929" s="153"/>
      <c r="X929" s="153"/>
      <c r="Y929" s="153"/>
      <c r="Z929" s="153"/>
      <c r="AA929" s="153"/>
      <c r="AB929" s="153"/>
      <c r="AC929" s="153"/>
    </row>
    <row r="930">
      <c r="A930" s="153"/>
      <c r="B930" s="153"/>
      <c r="C930" s="153"/>
      <c r="D930" s="153" t="str">
        <f t="shared" si="1"/>
        <v>
</v>
      </c>
      <c r="E930" s="153"/>
      <c r="F930" s="153"/>
      <c r="G930" s="153"/>
      <c r="H930" s="153"/>
      <c r="I930" s="120"/>
      <c r="J930" s="120"/>
      <c r="K930" s="153"/>
      <c r="L930" s="153"/>
      <c r="M930" s="153"/>
      <c r="N930" s="153"/>
      <c r="O930" s="153"/>
      <c r="P930" s="153"/>
      <c r="Q930" s="153"/>
      <c r="R930" s="153"/>
      <c r="S930" s="153"/>
      <c r="T930" s="153"/>
      <c r="U930" s="153"/>
      <c r="V930" s="153"/>
      <c r="W930" s="153"/>
      <c r="X930" s="153"/>
      <c r="Y930" s="153"/>
      <c r="Z930" s="153"/>
      <c r="AA930" s="153"/>
      <c r="AB930" s="153"/>
      <c r="AC930" s="153"/>
    </row>
    <row r="931">
      <c r="A931" s="153"/>
      <c r="B931" s="153"/>
      <c r="C931" s="153"/>
      <c r="D931" s="153" t="str">
        <f t="shared" si="1"/>
        <v>
</v>
      </c>
      <c r="E931" s="153"/>
      <c r="F931" s="153"/>
      <c r="G931" s="153"/>
      <c r="H931" s="153"/>
      <c r="I931" s="120"/>
      <c r="J931" s="120"/>
      <c r="K931" s="153"/>
      <c r="L931" s="153"/>
      <c r="M931" s="153"/>
      <c r="N931" s="153"/>
      <c r="O931" s="153"/>
      <c r="P931" s="153"/>
      <c r="Q931" s="153"/>
      <c r="R931" s="153"/>
      <c r="S931" s="153"/>
      <c r="T931" s="153"/>
      <c r="U931" s="153"/>
      <c r="V931" s="153"/>
      <c r="W931" s="153"/>
      <c r="X931" s="153"/>
      <c r="Y931" s="153"/>
      <c r="Z931" s="153"/>
      <c r="AA931" s="153"/>
      <c r="AB931" s="153"/>
      <c r="AC931" s="153"/>
    </row>
    <row r="932">
      <c r="A932" s="153"/>
      <c r="B932" s="153"/>
      <c r="C932" s="153"/>
      <c r="D932" s="153" t="str">
        <f t="shared" si="1"/>
        <v>
</v>
      </c>
      <c r="E932" s="153"/>
      <c r="F932" s="153"/>
      <c r="G932" s="153"/>
      <c r="H932" s="153"/>
      <c r="I932" s="120"/>
      <c r="J932" s="120"/>
      <c r="K932" s="153"/>
      <c r="L932" s="153"/>
      <c r="M932" s="153"/>
      <c r="N932" s="153"/>
      <c r="O932" s="153"/>
      <c r="P932" s="153"/>
      <c r="Q932" s="153"/>
      <c r="R932" s="153"/>
      <c r="S932" s="153"/>
      <c r="T932" s="153"/>
      <c r="U932" s="153"/>
      <c r="V932" s="153"/>
      <c r="W932" s="153"/>
      <c r="X932" s="153"/>
      <c r="Y932" s="153"/>
      <c r="Z932" s="153"/>
      <c r="AA932" s="153"/>
      <c r="AB932" s="153"/>
      <c r="AC932" s="153"/>
    </row>
    <row r="933">
      <c r="A933" s="153"/>
      <c r="B933" s="153"/>
      <c r="C933" s="153"/>
      <c r="D933" s="153" t="str">
        <f t="shared" si="1"/>
        <v>
</v>
      </c>
      <c r="E933" s="153"/>
      <c r="F933" s="153"/>
      <c r="G933" s="153"/>
      <c r="H933" s="153"/>
      <c r="I933" s="120"/>
      <c r="J933" s="120"/>
      <c r="K933" s="153"/>
      <c r="L933" s="153"/>
      <c r="M933" s="153"/>
      <c r="N933" s="153"/>
      <c r="O933" s="153"/>
      <c r="P933" s="153"/>
      <c r="Q933" s="153"/>
      <c r="R933" s="153"/>
      <c r="S933" s="153"/>
      <c r="T933" s="153"/>
      <c r="U933" s="153"/>
      <c r="V933" s="153"/>
      <c r="W933" s="153"/>
      <c r="X933" s="153"/>
      <c r="Y933" s="153"/>
      <c r="Z933" s="153"/>
      <c r="AA933" s="153"/>
      <c r="AB933" s="153"/>
      <c r="AC933" s="153"/>
    </row>
    <row r="934">
      <c r="A934" s="153"/>
      <c r="B934" s="153"/>
      <c r="C934" s="153"/>
      <c r="D934" s="153" t="str">
        <f t="shared" si="1"/>
        <v>
</v>
      </c>
      <c r="E934" s="153"/>
      <c r="F934" s="153"/>
      <c r="G934" s="153"/>
      <c r="H934" s="153"/>
      <c r="I934" s="120"/>
      <c r="J934" s="120"/>
      <c r="K934" s="153"/>
      <c r="L934" s="153"/>
      <c r="M934" s="153"/>
      <c r="N934" s="153"/>
      <c r="O934" s="153"/>
      <c r="P934" s="153"/>
      <c r="Q934" s="153"/>
      <c r="R934" s="153"/>
      <c r="S934" s="153"/>
      <c r="T934" s="153"/>
      <c r="U934" s="153"/>
      <c r="V934" s="153"/>
      <c r="W934" s="153"/>
      <c r="X934" s="153"/>
      <c r="Y934" s="153"/>
      <c r="Z934" s="153"/>
      <c r="AA934" s="153"/>
      <c r="AB934" s="153"/>
      <c r="AC934" s="153"/>
    </row>
    <row r="935">
      <c r="A935" s="153"/>
      <c r="B935" s="153"/>
      <c r="C935" s="153"/>
      <c r="D935" s="153" t="str">
        <f t="shared" si="1"/>
        <v>
</v>
      </c>
      <c r="E935" s="153"/>
      <c r="F935" s="153"/>
      <c r="G935" s="153"/>
      <c r="H935" s="153"/>
      <c r="I935" s="120"/>
      <c r="J935" s="120"/>
      <c r="K935" s="153"/>
      <c r="L935" s="153"/>
      <c r="M935" s="153"/>
      <c r="N935" s="153"/>
      <c r="O935" s="153"/>
      <c r="P935" s="153"/>
      <c r="Q935" s="153"/>
      <c r="R935" s="153"/>
      <c r="S935" s="153"/>
      <c r="T935" s="153"/>
      <c r="U935" s="153"/>
      <c r="V935" s="153"/>
      <c r="W935" s="153"/>
      <c r="X935" s="153"/>
      <c r="Y935" s="153"/>
      <c r="Z935" s="153"/>
      <c r="AA935" s="153"/>
      <c r="AB935" s="153"/>
      <c r="AC935" s="153"/>
    </row>
    <row r="936">
      <c r="A936" s="153"/>
      <c r="B936" s="153"/>
      <c r="C936" s="153"/>
      <c r="D936" s="153" t="str">
        <f t="shared" si="1"/>
        <v>
</v>
      </c>
      <c r="E936" s="153"/>
      <c r="F936" s="153"/>
      <c r="G936" s="153"/>
      <c r="H936" s="153"/>
      <c r="I936" s="120"/>
      <c r="J936" s="120"/>
      <c r="K936" s="153"/>
      <c r="L936" s="153"/>
      <c r="M936" s="153"/>
      <c r="N936" s="153"/>
      <c r="O936" s="153"/>
      <c r="P936" s="153"/>
      <c r="Q936" s="153"/>
      <c r="R936" s="153"/>
      <c r="S936" s="153"/>
      <c r="T936" s="153"/>
      <c r="U936" s="153"/>
      <c r="V936" s="153"/>
      <c r="W936" s="153"/>
      <c r="X936" s="153"/>
      <c r="Y936" s="153"/>
      <c r="Z936" s="153"/>
      <c r="AA936" s="153"/>
      <c r="AB936" s="153"/>
      <c r="AC936" s="153"/>
    </row>
    <row r="937">
      <c r="A937" s="153"/>
      <c r="B937" s="153"/>
      <c r="C937" s="153"/>
      <c r="D937" s="153" t="str">
        <f t="shared" si="1"/>
        <v>
</v>
      </c>
      <c r="E937" s="153"/>
      <c r="F937" s="153"/>
      <c r="G937" s="153"/>
      <c r="H937" s="153"/>
      <c r="I937" s="120"/>
      <c r="J937" s="120"/>
      <c r="K937" s="153"/>
      <c r="L937" s="153"/>
      <c r="M937" s="153"/>
      <c r="N937" s="153"/>
      <c r="O937" s="153"/>
      <c r="P937" s="153"/>
      <c r="Q937" s="153"/>
      <c r="R937" s="153"/>
      <c r="S937" s="153"/>
      <c r="T937" s="153"/>
      <c r="U937" s="153"/>
      <c r="V937" s="153"/>
      <c r="W937" s="153"/>
      <c r="X937" s="153"/>
      <c r="Y937" s="153"/>
      <c r="Z937" s="153"/>
      <c r="AA937" s="153"/>
      <c r="AB937" s="153"/>
      <c r="AC937" s="153"/>
    </row>
    <row r="938">
      <c r="A938" s="153"/>
      <c r="B938" s="153"/>
      <c r="C938" s="153"/>
      <c r="D938" s="153" t="str">
        <f t="shared" si="1"/>
        <v>
</v>
      </c>
      <c r="E938" s="153"/>
      <c r="F938" s="153"/>
      <c r="G938" s="153"/>
      <c r="H938" s="153"/>
      <c r="I938" s="120"/>
      <c r="J938" s="120"/>
      <c r="K938" s="153"/>
      <c r="L938" s="153"/>
      <c r="M938" s="153"/>
      <c r="N938" s="153"/>
      <c r="O938" s="153"/>
      <c r="P938" s="153"/>
      <c r="Q938" s="153"/>
      <c r="R938" s="153"/>
      <c r="S938" s="153"/>
      <c r="T938" s="153"/>
      <c r="U938" s="153"/>
      <c r="V938" s="153"/>
      <c r="W938" s="153"/>
      <c r="X938" s="153"/>
      <c r="Y938" s="153"/>
      <c r="Z938" s="153"/>
      <c r="AA938" s="153"/>
      <c r="AB938" s="153"/>
      <c r="AC938" s="153"/>
    </row>
    <row r="939">
      <c r="A939" s="153"/>
      <c r="B939" s="153"/>
      <c r="C939" s="153"/>
      <c r="D939" s="153" t="str">
        <f t="shared" si="1"/>
        <v>
</v>
      </c>
      <c r="E939" s="153"/>
      <c r="F939" s="153"/>
      <c r="G939" s="153"/>
      <c r="H939" s="153"/>
      <c r="I939" s="120"/>
      <c r="J939" s="120"/>
      <c r="K939" s="153"/>
      <c r="L939" s="153"/>
      <c r="M939" s="153"/>
      <c r="N939" s="153"/>
      <c r="O939" s="153"/>
      <c r="P939" s="153"/>
      <c r="Q939" s="153"/>
      <c r="R939" s="153"/>
      <c r="S939" s="153"/>
      <c r="T939" s="153"/>
      <c r="U939" s="153"/>
      <c r="V939" s="153"/>
      <c r="W939" s="153"/>
      <c r="X939" s="153"/>
      <c r="Y939" s="153"/>
      <c r="Z939" s="153"/>
      <c r="AA939" s="153"/>
      <c r="AB939" s="153"/>
      <c r="AC939" s="153"/>
    </row>
    <row r="940">
      <c r="A940" s="153"/>
      <c r="B940" s="153"/>
      <c r="C940" s="153"/>
      <c r="D940" s="153" t="str">
        <f t="shared" si="1"/>
        <v>
</v>
      </c>
      <c r="E940" s="153"/>
      <c r="F940" s="153"/>
      <c r="G940" s="153"/>
      <c r="H940" s="153"/>
      <c r="I940" s="120"/>
      <c r="J940" s="120"/>
      <c r="K940" s="153"/>
      <c r="L940" s="153"/>
      <c r="M940" s="153"/>
      <c r="N940" s="153"/>
      <c r="O940" s="153"/>
      <c r="P940" s="153"/>
      <c r="Q940" s="153"/>
      <c r="R940" s="153"/>
      <c r="S940" s="153"/>
      <c r="T940" s="153"/>
      <c r="U940" s="153"/>
      <c r="V940" s="153"/>
      <c r="W940" s="153"/>
      <c r="X940" s="153"/>
      <c r="Y940" s="153"/>
      <c r="Z940" s="153"/>
      <c r="AA940" s="153"/>
      <c r="AB940" s="153"/>
      <c r="AC940" s="153"/>
    </row>
    <row r="941">
      <c r="A941" s="153"/>
      <c r="B941" s="153"/>
      <c r="C941" s="153"/>
      <c r="D941" s="153" t="str">
        <f t="shared" si="1"/>
        <v>
</v>
      </c>
      <c r="E941" s="153"/>
      <c r="F941" s="153"/>
      <c r="G941" s="153"/>
      <c r="H941" s="153"/>
      <c r="I941" s="120"/>
      <c r="J941" s="120"/>
      <c r="K941" s="153"/>
      <c r="L941" s="153"/>
      <c r="M941" s="153"/>
      <c r="N941" s="153"/>
      <c r="O941" s="153"/>
      <c r="P941" s="153"/>
      <c r="Q941" s="153"/>
      <c r="R941" s="153"/>
      <c r="S941" s="153"/>
      <c r="T941" s="153"/>
      <c r="U941" s="153"/>
      <c r="V941" s="153"/>
      <c r="W941" s="153"/>
      <c r="X941" s="153"/>
      <c r="Y941" s="153"/>
      <c r="Z941" s="153"/>
      <c r="AA941" s="153"/>
      <c r="AB941" s="153"/>
      <c r="AC941" s="153"/>
    </row>
    <row r="942">
      <c r="A942" s="153"/>
      <c r="B942" s="153"/>
      <c r="C942" s="153"/>
      <c r="D942" s="153" t="str">
        <f t="shared" si="1"/>
        <v>
</v>
      </c>
      <c r="E942" s="153"/>
      <c r="F942" s="153"/>
      <c r="G942" s="153"/>
      <c r="H942" s="153"/>
      <c r="I942" s="120"/>
      <c r="J942" s="120"/>
      <c r="K942" s="153"/>
      <c r="L942" s="153"/>
      <c r="M942" s="153"/>
      <c r="N942" s="153"/>
      <c r="O942" s="153"/>
      <c r="P942" s="153"/>
      <c r="Q942" s="153"/>
      <c r="R942" s="153"/>
      <c r="S942" s="153"/>
      <c r="T942" s="153"/>
      <c r="U942" s="153"/>
      <c r="V942" s="153"/>
      <c r="W942" s="153"/>
      <c r="X942" s="153"/>
      <c r="Y942" s="153"/>
      <c r="Z942" s="153"/>
      <c r="AA942" s="153"/>
      <c r="AB942" s="153"/>
      <c r="AC942" s="153"/>
    </row>
    <row r="943">
      <c r="A943" s="153"/>
      <c r="B943" s="153"/>
      <c r="C943" s="153"/>
      <c r="D943" s="153" t="str">
        <f t="shared" si="1"/>
        <v>
</v>
      </c>
      <c r="E943" s="153"/>
      <c r="F943" s="153"/>
      <c r="G943" s="153"/>
      <c r="H943" s="153"/>
      <c r="I943" s="120"/>
      <c r="J943" s="120"/>
      <c r="K943" s="153"/>
      <c r="L943" s="153"/>
      <c r="M943" s="153"/>
      <c r="N943" s="153"/>
      <c r="O943" s="153"/>
      <c r="P943" s="153"/>
      <c r="Q943" s="153"/>
      <c r="R943" s="153"/>
      <c r="S943" s="153"/>
      <c r="T943" s="153"/>
      <c r="U943" s="153"/>
      <c r="V943" s="153"/>
      <c r="W943" s="153"/>
      <c r="X943" s="153"/>
      <c r="Y943" s="153"/>
      <c r="Z943" s="153"/>
      <c r="AA943" s="153"/>
      <c r="AB943" s="153"/>
      <c r="AC943" s="153"/>
    </row>
    <row r="944">
      <c r="A944" s="153"/>
      <c r="B944" s="153"/>
      <c r="C944" s="153"/>
      <c r="D944" s="153" t="str">
        <f t="shared" si="1"/>
        <v>
</v>
      </c>
      <c r="E944" s="153"/>
      <c r="F944" s="153"/>
      <c r="G944" s="153"/>
      <c r="H944" s="153"/>
      <c r="I944" s="120"/>
      <c r="J944" s="120"/>
      <c r="K944" s="153"/>
      <c r="L944" s="153"/>
      <c r="M944" s="153"/>
      <c r="N944" s="153"/>
      <c r="O944" s="153"/>
      <c r="P944" s="153"/>
      <c r="Q944" s="153"/>
      <c r="R944" s="153"/>
      <c r="S944" s="153"/>
      <c r="T944" s="153"/>
      <c r="U944" s="153"/>
      <c r="V944" s="153"/>
      <c r="W944" s="153"/>
      <c r="X944" s="153"/>
      <c r="Y944" s="153"/>
      <c r="Z944" s="153"/>
      <c r="AA944" s="153"/>
      <c r="AB944" s="153"/>
      <c r="AC944" s="153"/>
    </row>
    <row r="945">
      <c r="A945" s="153"/>
      <c r="B945" s="153"/>
      <c r="C945" s="153"/>
      <c r="D945" s="153" t="str">
        <f t="shared" si="1"/>
        <v>
</v>
      </c>
      <c r="E945" s="153"/>
      <c r="F945" s="153"/>
      <c r="G945" s="153"/>
      <c r="H945" s="153"/>
      <c r="I945" s="120"/>
      <c r="J945" s="120"/>
      <c r="K945" s="153"/>
      <c r="L945" s="153"/>
      <c r="M945" s="153"/>
      <c r="N945" s="153"/>
      <c r="O945" s="153"/>
      <c r="P945" s="153"/>
      <c r="Q945" s="153"/>
      <c r="R945" s="153"/>
      <c r="S945" s="153"/>
      <c r="T945" s="153"/>
      <c r="U945" s="153"/>
      <c r="V945" s="153"/>
      <c r="W945" s="153"/>
      <c r="X945" s="153"/>
      <c r="Y945" s="153"/>
      <c r="Z945" s="153"/>
      <c r="AA945" s="153"/>
      <c r="AB945" s="153"/>
      <c r="AC945" s="153"/>
    </row>
    <row r="946">
      <c r="A946" s="153"/>
      <c r="B946" s="153"/>
      <c r="C946" s="153"/>
      <c r="D946" s="153" t="str">
        <f t="shared" si="1"/>
        <v>
</v>
      </c>
      <c r="E946" s="153"/>
      <c r="F946" s="153"/>
      <c r="G946" s="153"/>
      <c r="H946" s="153"/>
      <c r="I946" s="120"/>
      <c r="J946" s="120"/>
      <c r="K946" s="153"/>
      <c r="L946" s="153"/>
      <c r="M946" s="153"/>
      <c r="N946" s="153"/>
      <c r="O946" s="153"/>
      <c r="P946" s="153"/>
      <c r="Q946" s="153"/>
      <c r="R946" s="153"/>
      <c r="S946" s="153"/>
      <c r="T946" s="153"/>
      <c r="U946" s="153"/>
      <c r="V946" s="153"/>
      <c r="W946" s="153"/>
      <c r="X946" s="153"/>
      <c r="Y946" s="153"/>
      <c r="Z946" s="153"/>
      <c r="AA946" s="153"/>
      <c r="AB946" s="153"/>
      <c r="AC946" s="153"/>
    </row>
    <row r="947">
      <c r="A947" s="153"/>
      <c r="B947" s="153"/>
      <c r="C947" s="153"/>
      <c r="D947" s="153" t="str">
        <f t="shared" si="1"/>
        <v>
</v>
      </c>
      <c r="E947" s="153"/>
      <c r="F947" s="153"/>
      <c r="G947" s="153"/>
      <c r="H947" s="153"/>
      <c r="I947" s="120"/>
      <c r="J947" s="120"/>
      <c r="K947" s="153"/>
      <c r="L947" s="153"/>
      <c r="M947" s="153"/>
      <c r="N947" s="153"/>
      <c r="O947" s="153"/>
      <c r="P947" s="153"/>
      <c r="Q947" s="153"/>
      <c r="R947" s="153"/>
      <c r="S947" s="153"/>
      <c r="T947" s="153"/>
      <c r="U947" s="153"/>
      <c r="V947" s="153"/>
      <c r="W947" s="153"/>
      <c r="X947" s="153"/>
      <c r="Y947" s="153"/>
      <c r="Z947" s="153"/>
      <c r="AA947" s="153"/>
      <c r="AB947" s="153"/>
      <c r="AC947" s="153"/>
    </row>
    <row r="948">
      <c r="A948" s="153"/>
      <c r="B948" s="153"/>
      <c r="C948" s="153"/>
      <c r="D948" s="153" t="str">
        <f t="shared" si="1"/>
        <v>
</v>
      </c>
      <c r="E948" s="153"/>
      <c r="F948" s="153"/>
      <c r="G948" s="153"/>
      <c r="H948" s="153"/>
      <c r="I948" s="120"/>
      <c r="J948" s="120"/>
      <c r="K948" s="153"/>
      <c r="L948" s="153"/>
      <c r="M948" s="153"/>
      <c r="N948" s="153"/>
      <c r="O948" s="153"/>
      <c r="P948" s="153"/>
      <c r="Q948" s="153"/>
      <c r="R948" s="153"/>
      <c r="S948" s="153"/>
      <c r="T948" s="153"/>
      <c r="U948" s="153"/>
      <c r="V948" s="153"/>
      <c r="W948" s="153"/>
      <c r="X948" s="153"/>
      <c r="Y948" s="153"/>
      <c r="Z948" s="153"/>
      <c r="AA948" s="153"/>
      <c r="AB948" s="153"/>
      <c r="AC948" s="153"/>
    </row>
    <row r="949">
      <c r="A949" s="153"/>
      <c r="B949" s="153"/>
      <c r="C949" s="153"/>
      <c r="D949" s="153" t="str">
        <f t="shared" si="1"/>
        <v>
</v>
      </c>
      <c r="E949" s="153"/>
      <c r="F949" s="153"/>
      <c r="G949" s="153"/>
      <c r="H949" s="153"/>
      <c r="I949" s="120"/>
      <c r="J949" s="120"/>
      <c r="K949" s="153"/>
      <c r="L949" s="153"/>
      <c r="M949" s="153"/>
      <c r="N949" s="153"/>
      <c r="O949" s="153"/>
      <c r="P949" s="153"/>
      <c r="Q949" s="153"/>
      <c r="R949" s="153"/>
      <c r="S949" s="153"/>
      <c r="T949" s="153"/>
      <c r="U949" s="153"/>
      <c r="V949" s="153"/>
      <c r="W949" s="153"/>
      <c r="X949" s="153"/>
      <c r="Y949" s="153"/>
      <c r="Z949" s="153"/>
      <c r="AA949" s="153"/>
      <c r="AB949" s="153"/>
      <c r="AC949" s="153"/>
    </row>
    <row r="950">
      <c r="A950" s="153"/>
      <c r="B950" s="153"/>
      <c r="C950" s="153"/>
      <c r="D950" s="153" t="str">
        <f t="shared" si="1"/>
        <v>
</v>
      </c>
      <c r="E950" s="153"/>
      <c r="F950" s="153"/>
      <c r="G950" s="153"/>
      <c r="H950" s="153"/>
      <c r="I950" s="120"/>
      <c r="J950" s="120"/>
      <c r="K950" s="153"/>
      <c r="L950" s="153"/>
      <c r="M950" s="153"/>
      <c r="N950" s="153"/>
      <c r="O950" s="153"/>
      <c r="P950" s="153"/>
      <c r="Q950" s="153"/>
      <c r="R950" s="153"/>
      <c r="S950" s="153"/>
      <c r="T950" s="153"/>
      <c r="U950" s="153"/>
      <c r="V950" s="153"/>
      <c r="W950" s="153"/>
      <c r="X950" s="153"/>
      <c r="Y950" s="153"/>
      <c r="Z950" s="153"/>
      <c r="AA950" s="153"/>
      <c r="AB950" s="153"/>
      <c r="AC950" s="153"/>
    </row>
    <row r="951">
      <c r="A951" s="153"/>
      <c r="B951" s="153"/>
      <c r="C951" s="153"/>
      <c r="D951" s="153" t="str">
        <f t="shared" si="1"/>
        <v>
</v>
      </c>
      <c r="E951" s="153"/>
      <c r="F951" s="153"/>
      <c r="G951" s="153"/>
      <c r="H951" s="153"/>
      <c r="I951" s="120"/>
      <c r="J951" s="120"/>
      <c r="K951" s="153"/>
      <c r="L951" s="153"/>
      <c r="M951" s="153"/>
      <c r="N951" s="153"/>
      <c r="O951" s="153"/>
      <c r="P951" s="153"/>
      <c r="Q951" s="153"/>
      <c r="R951" s="153"/>
      <c r="S951" s="153"/>
      <c r="T951" s="153"/>
      <c r="U951" s="153"/>
      <c r="V951" s="153"/>
      <c r="W951" s="153"/>
      <c r="X951" s="153"/>
      <c r="Y951" s="153"/>
      <c r="Z951" s="153"/>
      <c r="AA951" s="153"/>
      <c r="AB951" s="153"/>
      <c r="AC951" s="153"/>
    </row>
    <row r="952">
      <c r="A952" s="153"/>
      <c r="B952" s="153"/>
      <c r="C952" s="153"/>
      <c r="D952" s="153" t="str">
        <f t="shared" si="1"/>
        <v>
</v>
      </c>
      <c r="E952" s="153"/>
      <c r="F952" s="153"/>
      <c r="G952" s="153"/>
      <c r="H952" s="153"/>
      <c r="I952" s="120"/>
      <c r="J952" s="120"/>
      <c r="K952" s="153"/>
      <c r="L952" s="153"/>
      <c r="M952" s="153"/>
      <c r="N952" s="153"/>
      <c r="O952" s="153"/>
      <c r="P952" s="153"/>
      <c r="Q952" s="153"/>
      <c r="R952" s="153"/>
      <c r="S952" s="153"/>
      <c r="T952" s="153"/>
      <c r="U952" s="153"/>
      <c r="V952" s="153"/>
      <c r="W952" s="153"/>
      <c r="X952" s="153"/>
      <c r="Y952" s="153"/>
      <c r="Z952" s="153"/>
      <c r="AA952" s="153"/>
      <c r="AB952" s="153"/>
      <c r="AC952" s="153"/>
    </row>
    <row r="953">
      <c r="A953" s="153"/>
      <c r="B953" s="153"/>
      <c r="C953" s="153"/>
      <c r="D953" s="153" t="str">
        <f t="shared" si="1"/>
        <v>
</v>
      </c>
      <c r="E953" s="153"/>
      <c r="F953" s="153"/>
      <c r="G953" s="153"/>
      <c r="H953" s="153"/>
      <c r="I953" s="120"/>
      <c r="J953" s="120"/>
      <c r="K953" s="153"/>
      <c r="L953" s="153"/>
      <c r="M953" s="153"/>
      <c r="N953" s="153"/>
      <c r="O953" s="153"/>
      <c r="P953" s="153"/>
      <c r="Q953" s="153"/>
      <c r="R953" s="153"/>
      <c r="S953" s="153"/>
      <c r="T953" s="153"/>
      <c r="U953" s="153"/>
      <c r="V953" s="153"/>
      <c r="W953" s="153"/>
      <c r="X953" s="153"/>
      <c r="Y953" s="153"/>
      <c r="Z953" s="153"/>
      <c r="AA953" s="153"/>
      <c r="AB953" s="153"/>
      <c r="AC953" s="153"/>
    </row>
    <row r="954">
      <c r="A954" s="153"/>
      <c r="B954" s="153"/>
      <c r="C954" s="153"/>
      <c r="D954" s="153" t="str">
        <f t="shared" si="1"/>
        <v>
</v>
      </c>
      <c r="E954" s="153"/>
      <c r="F954" s="153"/>
      <c r="G954" s="153"/>
      <c r="H954" s="153"/>
      <c r="I954" s="120"/>
      <c r="J954" s="120"/>
      <c r="K954" s="153"/>
      <c r="L954" s="153"/>
      <c r="M954" s="153"/>
      <c r="N954" s="153"/>
      <c r="O954" s="153"/>
      <c r="P954" s="153"/>
      <c r="Q954" s="153"/>
      <c r="R954" s="153"/>
      <c r="S954" s="153"/>
      <c r="T954" s="153"/>
      <c r="U954" s="153"/>
      <c r="V954" s="153"/>
      <c r="W954" s="153"/>
      <c r="X954" s="153"/>
      <c r="Y954" s="153"/>
      <c r="Z954" s="153"/>
      <c r="AA954" s="153"/>
      <c r="AB954" s="153"/>
      <c r="AC954" s="153"/>
    </row>
    <row r="955">
      <c r="A955" s="153"/>
      <c r="B955" s="153"/>
      <c r="C955" s="153"/>
      <c r="D955" s="153" t="str">
        <f t="shared" si="1"/>
        <v>
</v>
      </c>
      <c r="E955" s="153"/>
      <c r="F955" s="153"/>
      <c r="G955" s="153"/>
      <c r="H955" s="153"/>
      <c r="I955" s="120"/>
      <c r="J955" s="120"/>
      <c r="K955" s="153"/>
      <c r="L955" s="153"/>
      <c r="M955" s="153"/>
      <c r="N955" s="153"/>
      <c r="O955" s="153"/>
      <c r="P955" s="153"/>
      <c r="Q955" s="153"/>
      <c r="R955" s="153"/>
      <c r="S955" s="153"/>
      <c r="T955" s="153"/>
      <c r="U955" s="153"/>
      <c r="V955" s="153"/>
      <c r="W955" s="153"/>
      <c r="X955" s="153"/>
      <c r="Y955" s="153"/>
      <c r="Z955" s="153"/>
      <c r="AA955" s="153"/>
      <c r="AB955" s="153"/>
      <c r="AC955" s="153"/>
    </row>
    <row r="956">
      <c r="A956" s="153"/>
      <c r="B956" s="153"/>
      <c r="C956" s="153"/>
      <c r="D956" s="153" t="str">
        <f t="shared" si="1"/>
        <v>
</v>
      </c>
      <c r="E956" s="153"/>
      <c r="F956" s="153"/>
      <c r="G956" s="153"/>
      <c r="H956" s="153"/>
      <c r="I956" s="120"/>
      <c r="J956" s="120"/>
      <c r="K956" s="153"/>
      <c r="L956" s="153"/>
      <c r="M956" s="153"/>
      <c r="N956" s="153"/>
      <c r="O956" s="153"/>
      <c r="P956" s="153"/>
      <c r="Q956" s="153"/>
      <c r="R956" s="153"/>
      <c r="S956" s="153"/>
      <c r="T956" s="153"/>
      <c r="U956" s="153"/>
      <c r="V956" s="153"/>
      <c r="W956" s="153"/>
      <c r="X956" s="153"/>
      <c r="Y956" s="153"/>
      <c r="Z956" s="153"/>
      <c r="AA956" s="153"/>
      <c r="AB956" s="153"/>
      <c r="AC956" s="153"/>
    </row>
    <row r="957">
      <c r="A957" s="153"/>
      <c r="B957" s="153"/>
      <c r="C957" s="153"/>
      <c r="D957" s="153" t="str">
        <f t="shared" si="1"/>
        <v>
</v>
      </c>
      <c r="E957" s="153"/>
      <c r="F957" s="153"/>
      <c r="G957" s="153"/>
      <c r="H957" s="153"/>
      <c r="I957" s="120"/>
      <c r="J957" s="120"/>
      <c r="K957" s="153"/>
      <c r="L957" s="153"/>
      <c r="M957" s="153"/>
      <c r="N957" s="153"/>
      <c r="O957" s="153"/>
      <c r="P957" s="153"/>
      <c r="Q957" s="153"/>
      <c r="R957" s="153"/>
      <c r="S957" s="153"/>
      <c r="T957" s="153"/>
      <c r="U957" s="153"/>
      <c r="V957" s="153"/>
      <c r="W957" s="153"/>
      <c r="X957" s="153"/>
      <c r="Y957" s="153"/>
      <c r="Z957" s="153"/>
      <c r="AA957" s="153"/>
      <c r="AB957" s="153"/>
      <c r="AC957" s="153"/>
    </row>
    <row r="958">
      <c r="A958" s="153"/>
      <c r="B958" s="153"/>
      <c r="C958" s="153"/>
      <c r="D958" s="153" t="str">
        <f t="shared" si="1"/>
        <v>
</v>
      </c>
      <c r="E958" s="153"/>
      <c r="F958" s="153"/>
      <c r="G958" s="153"/>
      <c r="H958" s="153"/>
      <c r="I958" s="120"/>
      <c r="J958" s="120"/>
      <c r="K958" s="153"/>
      <c r="L958" s="153"/>
      <c r="M958" s="153"/>
      <c r="N958" s="153"/>
      <c r="O958" s="153"/>
      <c r="P958" s="153"/>
      <c r="Q958" s="153"/>
      <c r="R958" s="153"/>
      <c r="S958" s="153"/>
      <c r="T958" s="153"/>
      <c r="U958" s="153"/>
      <c r="V958" s="153"/>
      <c r="W958" s="153"/>
      <c r="X958" s="153"/>
      <c r="Y958" s="153"/>
      <c r="Z958" s="153"/>
      <c r="AA958" s="153"/>
      <c r="AB958" s="153"/>
      <c r="AC958" s="153"/>
    </row>
    <row r="959">
      <c r="A959" s="153"/>
      <c r="B959" s="153"/>
      <c r="C959" s="153"/>
      <c r="D959" s="153" t="str">
        <f t="shared" si="1"/>
        <v>
</v>
      </c>
      <c r="E959" s="153"/>
      <c r="F959" s="153"/>
      <c r="G959" s="153"/>
      <c r="H959" s="153"/>
      <c r="I959" s="120"/>
      <c r="J959" s="120"/>
      <c r="K959" s="153"/>
      <c r="L959" s="153"/>
      <c r="M959" s="153"/>
      <c r="N959" s="153"/>
      <c r="O959" s="153"/>
      <c r="P959" s="153"/>
      <c r="Q959" s="153"/>
      <c r="R959" s="153"/>
      <c r="S959" s="153"/>
      <c r="T959" s="153"/>
      <c r="U959" s="153"/>
      <c r="V959" s="153"/>
      <c r="W959" s="153"/>
      <c r="X959" s="153"/>
      <c r="Y959" s="153"/>
      <c r="Z959" s="153"/>
      <c r="AA959" s="153"/>
      <c r="AB959" s="153"/>
      <c r="AC959" s="153"/>
    </row>
    <row r="960">
      <c r="A960" s="153"/>
      <c r="B960" s="153"/>
      <c r="C960" s="153"/>
      <c r="D960" s="153" t="str">
        <f t="shared" si="1"/>
        <v>
</v>
      </c>
      <c r="E960" s="153"/>
      <c r="F960" s="153"/>
      <c r="G960" s="153"/>
      <c r="H960" s="153"/>
      <c r="I960" s="120"/>
      <c r="J960" s="120"/>
      <c r="K960" s="153"/>
      <c r="L960" s="153"/>
      <c r="M960" s="153"/>
      <c r="N960" s="153"/>
      <c r="O960" s="153"/>
      <c r="P960" s="153"/>
      <c r="Q960" s="153"/>
      <c r="R960" s="153"/>
      <c r="S960" s="153"/>
      <c r="T960" s="153"/>
      <c r="U960" s="153"/>
      <c r="V960" s="153"/>
      <c r="W960" s="153"/>
      <c r="X960" s="153"/>
      <c r="Y960" s="153"/>
      <c r="Z960" s="153"/>
      <c r="AA960" s="153"/>
      <c r="AB960" s="153"/>
      <c r="AC960" s="153"/>
    </row>
    <row r="961">
      <c r="A961" s="153"/>
      <c r="B961" s="153"/>
      <c r="C961" s="153"/>
      <c r="D961" s="153" t="str">
        <f t="shared" si="1"/>
        <v>
</v>
      </c>
      <c r="E961" s="153"/>
      <c r="F961" s="153"/>
      <c r="G961" s="153"/>
      <c r="H961" s="153"/>
      <c r="I961" s="120"/>
      <c r="J961" s="120"/>
      <c r="K961" s="153"/>
      <c r="L961" s="153"/>
      <c r="M961" s="153"/>
      <c r="N961" s="153"/>
      <c r="O961" s="153"/>
      <c r="P961" s="153"/>
      <c r="Q961" s="153"/>
      <c r="R961" s="153"/>
      <c r="S961" s="153"/>
      <c r="T961" s="153"/>
      <c r="U961" s="153"/>
      <c r="V961" s="153"/>
      <c r="W961" s="153"/>
      <c r="X961" s="153"/>
      <c r="Y961" s="153"/>
      <c r="Z961" s="153"/>
      <c r="AA961" s="153"/>
      <c r="AB961" s="153"/>
      <c r="AC961" s="153"/>
    </row>
    <row r="962">
      <c r="A962" s="153"/>
      <c r="B962" s="153"/>
      <c r="C962" s="153"/>
      <c r="D962" s="153" t="str">
        <f t="shared" si="1"/>
        <v>
</v>
      </c>
      <c r="E962" s="153"/>
      <c r="F962" s="153"/>
      <c r="G962" s="153"/>
      <c r="H962" s="153"/>
      <c r="I962" s="120"/>
      <c r="J962" s="120"/>
      <c r="K962" s="153"/>
      <c r="L962" s="153"/>
      <c r="M962" s="153"/>
      <c r="N962" s="153"/>
      <c r="O962" s="153"/>
      <c r="P962" s="153"/>
      <c r="Q962" s="153"/>
      <c r="R962" s="153"/>
      <c r="S962" s="153"/>
      <c r="T962" s="153"/>
      <c r="U962" s="153"/>
      <c r="V962" s="153"/>
      <c r="W962" s="153"/>
      <c r="X962" s="153"/>
      <c r="Y962" s="153"/>
      <c r="Z962" s="153"/>
      <c r="AA962" s="153"/>
      <c r="AB962" s="153"/>
      <c r="AC962" s="153"/>
    </row>
    <row r="963">
      <c r="A963" s="153"/>
      <c r="B963" s="153"/>
      <c r="C963" s="153"/>
      <c r="D963" s="153" t="str">
        <f t="shared" si="1"/>
        <v>
</v>
      </c>
      <c r="E963" s="153"/>
      <c r="F963" s="153"/>
      <c r="G963" s="153"/>
      <c r="H963" s="153"/>
      <c r="I963" s="120"/>
      <c r="J963" s="120"/>
      <c r="K963" s="153"/>
      <c r="L963" s="153"/>
      <c r="M963" s="153"/>
      <c r="N963" s="153"/>
      <c r="O963" s="153"/>
      <c r="P963" s="153"/>
      <c r="Q963" s="153"/>
      <c r="R963" s="153"/>
      <c r="S963" s="153"/>
      <c r="T963" s="153"/>
      <c r="U963" s="153"/>
      <c r="V963" s="153"/>
      <c r="W963" s="153"/>
      <c r="X963" s="153"/>
      <c r="Y963" s="153"/>
      <c r="Z963" s="153"/>
      <c r="AA963" s="153"/>
      <c r="AB963" s="153"/>
      <c r="AC963" s="153"/>
    </row>
    <row r="964">
      <c r="A964" s="153"/>
      <c r="B964" s="153"/>
      <c r="C964" s="153"/>
      <c r="D964" s="153" t="str">
        <f t="shared" si="1"/>
        <v>
</v>
      </c>
      <c r="E964" s="153"/>
      <c r="F964" s="153"/>
      <c r="G964" s="153"/>
      <c r="H964" s="153"/>
      <c r="I964" s="120"/>
      <c r="J964" s="120"/>
      <c r="K964" s="153"/>
      <c r="L964" s="153"/>
      <c r="M964" s="153"/>
      <c r="N964" s="153"/>
      <c r="O964" s="153"/>
      <c r="P964" s="153"/>
      <c r="Q964" s="153"/>
      <c r="R964" s="153"/>
      <c r="S964" s="153"/>
      <c r="T964" s="153"/>
      <c r="U964" s="153"/>
      <c r="V964" s="153"/>
      <c r="W964" s="153"/>
      <c r="X964" s="153"/>
      <c r="Y964" s="153"/>
      <c r="Z964" s="153"/>
      <c r="AA964" s="153"/>
      <c r="AB964" s="153"/>
      <c r="AC964" s="153"/>
    </row>
    <row r="965">
      <c r="A965" s="153"/>
      <c r="B965" s="153"/>
      <c r="C965" s="153"/>
      <c r="D965" s="153" t="str">
        <f t="shared" si="1"/>
        <v>
</v>
      </c>
      <c r="E965" s="153"/>
      <c r="F965" s="153"/>
      <c r="G965" s="153"/>
      <c r="H965" s="153"/>
      <c r="I965" s="120"/>
      <c r="J965" s="120"/>
      <c r="K965" s="153"/>
      <c r="L965" s="153"/>
      <c r="M965" s="153"/>
      <c r="N965" s="153"/>
      <c r="O965" s="153"/>
      <c r="P965" s="153"/>
      <c r="Q965" s="153"/>
      <c r="R965" s="153"/>
      <c r="S965" s="153"/>
      <c r="T965" s="153"/>
      <c r="U965" s="153"/>
      <c r="V965" s="153"/>
      <c r="W965" s="153"/>
      <c r="X965" s="153"/>
      <c r="Y965" s="153"/>
      <c r="Z965" s="153"/>
      <c r="AA965" s="153"/>
      <c r="AB965" s="153"/>
      <c r="AC965" s="153"/>
    </row>
    <row r="966">
      <c r="A966" s="153"/>
      <c r="B966" s="153"/>
      <c r="C966" s="153"/>
      <c r="D966" s="153" t="str">
        <f t="shared" si="1"/>
        <v>
</v>
      </c>
      <c r="E966" s="153"/>
      <c r="F966" s="153"/>
      <c r="G966" s="153"/>
      <c r="H966" s="153"/>
      <c r="I966" s="120"/>
      <c r="J966" s="120"/>
      <c r="K966" s="153"/>
      <c r="L966" s="153"/>
      <c r="M966" s="153"/>
      <c r="N966" s="153"/>
      <c r="O966" s="153"/>
      <c r="P966" s="153"/>
      <c r="Q966" s="153"/>
      <c r="R966" s="153"/>
      <c r="S966" s="153"/>
      <c r="T966" s="153"/>
      <c r="U966" s="153"/>
      <c r="V966" s="153"/>
      <c r="W966" s="153"/>
      <c r="X966" s="153"/>
      <c r="Y966" s="153"/>
      <c r="Z966" s="153"/>
      <c r="AA966" s="153"/>
      <c r="AB966" s="153"/>
      <c r="AC966" s="153"/>
    </row>
    <row r="967">
      <c r="A967" s="153"/>
      <c r="B967" s="153"/>
      <c r="C967" s="153"/>
      <c r="D967" s="153" t="str">
        <f t="shared" si="1"/>
        <v>
</v>
      </c>
      <c r="E967" s="153"/>
      <c r="F967" s="153"/>
      <c r="G967" s="153"/>
      <c r="H967" s="153"/>
      <c r="I967" s="120"/>
      <c r="J967" s="120"/>
      <c r="K967" s="153"/>
      <c r="L967" s="153"/>
      <c r="M967" s="153"/>
      <c r="N967" s="153"/>
      <c r="O967" s="153"/>
      <c r="P967" s="153"/>
      <c r="Q967" s="153"/>
      <c r="R967" s="153"/>
      <c r="S967" s="153"/>
      <c r="T967" s="153"/>
      <c r="U967" s="153"/>
      <c r="V967" s="153"/>
      <c r="W967" s="153"/>
      <c r="X967" s="153"/>
      <c r="Y967" s="153"/>
      <c r="Z967" s="153"/>
      <c r="AA967" s="153"/>
      <c r="AB967" s="153"/>
      <c r="AC967" s="153"/>
    </row>
    <row r="968">
      <c r="A968" s="153"/>
      <c r="B968" s="153"/>
      <c r="C968" s="153"/>
      <c r="D968" s="153" t="str">
        <f t="shared" si="1"/>
        <v>
</v>
      </c>
      <c r="E968" s="153"/>
      <c r="F968" s="153"/>
      <c r="G968" s="153"/>
      <c r="H968" s="153"/>
      <c r="I968" s="120"/>
      <c r="J968" s="120"/>
      <c r="K968" s="153"/>
      <c r="L968" s="153"/>
      <c r="M968" s="153"/>
      <c r="N968" s="153"/>
      <c r="O968" s="153"/>
      <c r="P968" s="153"/>
      <c r="Q968" s="153"/>
      <c r="R968" s="153"/>
      <c r="S968" s="153"/>
      <c r="T968" s="153"/>
      <c r="U968" s="153"/>
      <c r="V968" s="153"/>
      <c r="W968" s="153"/>
      <c r="X968" s="153"/>
      <c r="Y968" s="153"/>
      <c r="Z968" s="153"/>
      <c r="AA968" s="153"/>
      <c r="AB968" s="153"/>
      <c r="AC968" s="153"/>
    </row>
    <row r="969">
      <c r="A969" s="153"/>
      <c r="B969" s="153"/>
      <c r="C969" s="153"/>
      <c r="D969" s="153" t="str">
        <f t="shared" si="1"/>
        <v>
</v>
      </c>
      <c r="E969" s="153"/>
      <c r="F969" s="153"/>
      <c r="G969" s="153"/>
      <c r="H969" s="153"/>
      <c r="I969" s="120"/>
      <c r="J969" s="120"/>
      <c r="K969" s="153"/>
      <c r="L969" s="153"/>
      <c r="M969" s="153"/>
      <c r="N969" s="153"/>
      <c r="O969" s="153"/>
      <c r="P969" s="153"/>
      <c r="Q969" s="153"/>
      <c r="R969" s="153"/>
      <c r="S969" s="153"/>
      <c r="T969" s="153"/>
      <c r="U969" s="153"/>
      <c r="V969" s="153"/>
      <c r="W969" s="153"/>
      <c r="X969" s="153"/>
      <c r="Y969" s="153"/>
      <c r="Z969" s="153"/>
      <c r="AA969" s="153"/>
      <c r="AB969" s="153"/>
      <c r="AC969" s="153"/>
    </row>
    <row r="970">
      <c r="A970" s="153"/>
      <c r="B970" s="153"/>
      <c r="C970" s="153"/>
      <c r="D970" s="153" t="str">
        <f t="shared" si="1"/>
        <v>
</v>
      </c>
      <c r="E970" s="153"/>
      <c r="F970" s="153"/>
      <c r="G970" s="153"/>
      <c r="H970" s="153"/>
      <c r="I970" s="120"/>
      <c r="J970" s="120"/>
      <c r="K970" s="153"/>
      <c r="L970" s="153"/>
      <c r="M970" s="153"/>
      <c r="N970" s="153"/>
      <c r="O970" s="153"/>
      <c r="P970" s="153"/>
      <c r="Q970" s="153"/>
      <c r="R970" s="153"/>
      <c r="S970" s="153"/>
      <c r="T970" s="153"/>
      <c r="U970" s="153"/>
      <c r="V970" s="153"/>
      <c r="W970" s="153"/>
      <c r="X970" s="153"/>
      <c r="Y970" s="153"/>
      <c r="Z970" s="153"/>
      <c r="AA970" s="153"/>
      <c r="AB970" s="153"/>
      <c r="AC970" s="153"/>
    </row>
    <row r="971">
      <c r="A971" s="153"/>
      <c r="B971" s="153"/>
      <c r="C971" s="153"/>
      <c r="D971" s="153" t="str">
        <f t="shared" si="1"/>
        <v>
</v>
      </c>
      <c r="E971" s="153"/>
      <c r="F971" s="153"/>
      <c r="G971" s="153"/>
      <c r="H971" s="153"/>
      <c r="I971" s="120"/>
      <c r="J971" s="120"/>
      <c r="K971" s="153"/>
      <c r="L971" s="153"/>
      <c r="M971" s="153"/>
      <c r="N971" s="153"/>
      <c r="O971" s="153"/>
      <c r="P971" s="153"/>
      <c r="Q971" s="153"/>
      <c r="R971" s="153"/>
      <c r="S971" s="153"/>
      <c r="T971" s="153"/>
      <c r="U971" s="153"/>
      <c r="V971" s="153"/>
      <c r="W971" s="153"/>
      <c r="X971" s="153"/>
      <c r="Y971" s="153"/>
      <c r="Z971" s="153"/>
      <c r="AA971" s="153"/>
      <c r="AB971" s="153"/>
      <c r="AC971" s="153"/>
    </row>
    <row r="972">
      <c r="A972" s="153"/>
      <c r="B972" s="153"/>
      <c r="C972" s="153"/>
      <c r="D972" s="153" t="str">
        <f t="shared" si="1"/>
        <v>
</v>
      </c>
      <c r="E972" s="153"/>
      <c r="F972" s="153"/>
      <c r="G972" s="153"/>
      <c r="H972" s="153"/>
      <c r="I972" s="120"/>
      <c r="J972" s="120"/>
      <c r="K972" s="153"/>
      <c r="L972" s="153"/>
      <c r="M972" s="153"/>
      <c r="N972" s="153"/>
      <c r="O972" s="153"/>
      <c r="P972" s="153"/>
      <c r="Q972" s="153"/>
      <c r="R972" s="153"/>
      <c r="S972" s="153"/>
      <c r="T972" s="153"/>
      <c r="U972" s="153"/>
      <c r="V972" s="153"/>
      <c r="W972" s="153"/>
      <c r="X972" s="153"/>
      <c r="Y972" s="153"/>
      <c r="Z972" s="153"/>
      <c r="AA972" s="153"/>
      <c r="AB972" s="153"/>
      <c r="AC972" s="153"/>
    </row>
    <row r="973">
      <c r="A973" s="153"/>
      <c r="B973" s="153"/>
      <c r="C973" s="153"/>
      <c r="D973" s="153" t="str">
        <f t="shared" si="1"/>
        <v>
</v>
      </c>
      <c r="E973" s="153"/>
      <c r="F973" s="153"/>
      <c r="G973" s="153"/>
      <c r="H973" s="153"/>
      <c r="I973" s="120"/>
      <c r="J973" s="120"/>
      <c r="K973" s="153"/>
      <c r="L973" s="153"/>
      <c r="M973" s="153"/>
      <c r="N973" s="153"/>
      <c r="O973" s="153"/>
      <c r="P973" s="153"/>
      <c r="Q973" s="153"/>
      <c r="R973" s="153"/>
      <c r="S973" s="153"/>
      <c r="T973" s="153"/>
      <c r="U973" s="153"/>
      <c r="V973" s="153"/>
      <c r="W973" s="153"/>
      <c r="X973" s="153"/>
      <c r="Y973" s="153"/>
      <c r="Z973" s="153"/>
      <c r="AA973" s="153"/>
      <c r="AB973" s="153"/>
      <c r="AC973" s="153"/>
    </row>
    <row r="974">
      <c r="A974" s="153"/>
      <c r="B974" s="153"/>
      <c r="C974" s="153"/>
      <c r="D974" s="153" t="str">
        <f t="shared" si="1"/>
        <v>
</v>
      </c>
      <c r="E974" s="153"/>
      <c r="F974" s="153"/>
      <c r="G974" s="153"/>
      <c r="H974" s="153"/>
      <c r="I974" s="120"/>
      <c r="J974" s="120"/>
      <c r="K974" s="153"/>
      <c r="L974" s="153"/>
      <c r="M974" s="153"/>
      <c r="N974" s="153"/>
      <c r="O974" s="153"/>
      <c r="P974" s="153"/>
      <c r="Q974" s="153"/>
      <c r="R974" s="153"/>
      <c r="S974" s="153"/>
      <c r="T974" s="153"/>
      <c r="U974" s="153"/>
      <c r="V974" s="153"/>
      <c r="W974" s="153"/>
      <c r="X974" s="153"/>
      <c r="Y974" s="153"/>
      <c r="Z974" s="153"/>
      <c r="AA974" s="153"/>
      <c r="AB974" s="153"/>
      <c r="AC974" s="153"/>
    </row>
    <row r="975">
      <c r="A975" s="153"/>
      <c r="B975" s="153"/>
      <c r="C975" s="153"/>
      <c r="D975" s="153" t="str">
        <f t="shared" si="1"/>
        <v>
</v>
      </c>
      <c r="E975" s="153"/>
      <c r="F975" s="153"/>
      <c r="G975" s="153"/>
      <c r="H975" s="153"/>
      <c r="I975" s="120"/>
      <c r="J975" s="120"/>
      <c r="K975" s="153"/>
      <c r="L975" s="153"/>
      <c r="M975" s="153"/>
      <c r="N975" s="153"/>
      <c r="O975" s="153"/>
      <c r="P975" s="153"/>
      <c r="Q975" s="153"/>
      <c r="R975" s="153"/>
      <c r="S975" s="153"/>
      <c r="T975" s="153"/>
      <c r="U975" s="153"/>
      <c r="V975" s="153"/>
      <c r="W975" s="153"/>
      <c r="X975" s="153"/>
      <c r="Y975" s="153"/>
      <c r="Z975" s="153"/>
      <c r="AA975" s="153"/>
      <c r="AB975" s="153"/>
      <c r="AC975" s="153"/>
    </row>
    <row r="976">
      <c r="A976" s="153"/>
      <c r="B976" s="153"/>
      <c r="C976" s="153"/>
      <c r="D976" s="153" t="str">
        <f t="shared" si="1"/>
        <v>
</v>
      </c>
      <c r="E976" s="153"/>
      <c r="F976" s="153"/>
      <c r="G976" s="153"/>
      <c r="H976" s="153"/>
      <c r="I976" s="120"/>
      <c r="J976" s="120"/>
      <c r="K976" s="153"/>
      <c r="L976" s="153"/>
      <c r="M976" s="153"/>
      <c r="N976" s="153"/>
      <c r="O976" s="153"/>
      <c r="P976" s="153"/>
      <c r="Q976" s="153"/>
      <c r="R976" s="153"/>
      <c r="S976" s="153"/>
      <c r="T976" s="153"/>
      <c r="U976" s="153"/>
      <c r="V976" s="153"/>
      <c r="W976" s="153"/>
      <c r="X976" s="153"/>
      <c r="Y976" s="153"/>
      <c r="Z976" s="153"/>
      <c r="AA976" s="153"/>
      <c r="AB976" s="153"/>
      <c r="AC976" s="153"/>
    </row>
    <row r="977">
      <c r="A977" s="153"/>
      <c r="B977" s="153"/>
      <c r="C977" s="153"/>
      <c r="D977" s="153" t="str">
        <f t="shared" si="1"/>
        <v>
</v>
      </c>
      <c r="E977" s="153"/>
      <c r="F977" s="153"/>
      <c r="G977" s="153"/>
      <c r="H977" s="153"/>
      <c r="I977" s="120"/>
      <c r="J977" s="120"/>
      <c r="K977" s="153"/>
      <c r="L977" s="153"/>
      <c r="M977" s="153"/>
      <c r="N977" s="153"/>
      <c r="O977" s="153"/>
      <c r="P977" s="153"/>
      <c r="Q977" s="153"/>
      <c r="R977" s="153"/>
      <c r="S977" s="153"/>
      <c r="T977" s="153"/>
      <c r="U977" s="153"/>
      <c r="V977" s="153"/>
      <c r="W977" s="153"/>
      <c r="X977" s="153"/>
      <c r="Y977" s="153"/>
      <c r="Z977" s="153"/>
      <c r="AA977" s="153"/>
      <c r="AB977" s="153"/>
      <c r="AC977" s="153"/>
    </row>
    <row r="978">
      <c r="A978" s="153"/>
      <c r="B978" s="153"/>
      <c r="C978" s="153"/>
      <c r="D978" s="153" t="str">
        <f t="shared" si="1"/>
        <v>
</v>
      </c>
      <c r="E978" s="153"/>
      <c r="F978" s="153"/>
      <c r="G978" s="153"/>
      <c r="H978" s="153"/>
      <c r="I978" s="120"/>
      <c r="J978" s="120"/>
      <c r="K978" s="153"/>
      <c r="L978" s="153"/>
      <c r="M978" s="153"/>
      <c r="N978" s="153"/>
      <c r="O978" s="153"/>
      <c r="P978" s="153"/>
      <c r="Q978" s="153"/>
      <c r="R978" s="153"/>
      <c r="S978" s="153"/>
      <c r="T978" s="153"/>
      <c r="U978" s="153"/>
      <c r="V978" s="153"/>
      <c r="W978" s="153"/>
      <c r="X978" s="153"/>
      <c r="Y978" s="153"/>
      <c r="Z978" s="153"/>
      <c r="AA978" s="153"/>
      <c r="AB978" s="153"/>
      <c r="AC978" s="153"/>
    </row>
    <row r="979">
      <c r="A979" s="153"/>
      <c r="B979" s="153"/>
      <c r="C979" s="153"/>
      <c r="D979" s="153" t="str">
        <f t="shared" si="1"/>
        <v>
</v>
      </c>
      <c r="E979" s="153"/>
      <c r="F979" s="153"/>
      <c r="G979" s="153"/>
      <c r="H979" s="153"/>
      <c r="I979" s="120"/>
      <c r="J979" s="120"/>
      <c r="K979" s="153"/>
      <c r="L979" s="153"/>
      <c r="M979" s="153"/>
      <c r="N979" s="153"/>
      <c r="O979" s="153"/>
      <c r="P979" s="153"/>
      <c r="Q979" s="153"/>
      <c r="R979" s="153"/>
      <c r="S979" s="153"/>
      <c r="T979" s="153"/>
      <c r="U979" s="153"/>
      <c r="V979" s="153"/>
      <c r="W979" s="153"/>
      <c r="X979" s="153"/>
      <c r="Y979" s="153"/>
      <c r="Z979" s="153"/>
      <c r="AA979" s="153"/>
      <c r="AB979" s="153"/>
      <c r="AC979" s="153"/>
    </row>
    <row r="980">
      <c r="A980" s="153"/>
      <c r="B980" s="153"/>
      <c r="C980" s="153"/>
      <c r="D980" s="153" t="str">
        <f t="shared" si="1"/>
        <v>
</v>
      </c>
      <c r="E980" s="153"/>
      <c r="F980" s="153"/>
      <c r="G980" s="153"/>
      <c r="H980" s="153"/>
      <c r="I980" s="120"/>
      <c r="J980" s="120"/>
      <c r="K980" s="153"/>
      <c r="L980" s="153"/>
      <c r="M980" s="153"/>
      <c r="N980" s="153"/>
      <c r="O980" s="153"/>
      <c r="P980" s="153"/>
      <c r="Q980" s="153"/>
      <c r="R980" s="153"/>
      <c r="S980" s="153"/>
      <c r="T980" s="153"/>
      <c r="U980" s="153"/>
      <c r="V980" s="153"/>
      <c r="W980" s="153"/>
      <c r="X980" s="153"/>
      <c r="Y980" s="153"/>
      <c r="Z980" s="153"/>
      <c r="AA980" s="153"/>
      <c r="AB980" s="153"/>
      <c r="AC980" s="153"/>
    </row>
    <row r="981">
      <c r="A981" s="153"/>
      <c r="B981" s="153"/>
      <c r="C981" s="153"/>
      <c r="D981" s="153" t="str">
        <f t="shared" si="1"/>
        <v>
</v>
      </c>
      <c r="E981" s="153"/>
      <c r="F981" s="153"/>
      <c r="G981" s="153"/>
      <c r="H981" s="153"/>
      <c r="I981" s="120"/>
      <c r="J981" s="120"/>
      <c r="K981" s="153"/>
      <c r="L981" s="153"/>
      <c r="M981" s="153"/>
      <c r="N981" s="153"/>
      <c r="O981" s="153"/>
      <c r="P981" s="153"/>
      <c r="Q981" s="153"/>
      <c r="R981" s="153"/>
      <c r="S981" s="153"/>
      <c r="T981" s="153"/>
      <c r="U981" s="153"/>
      <c r="V981" s="153"/>
      <c r="W981" s="153"/>
      <c r="X981" s="153"/>
      <c r="Y981" s="153"/>
      <c r="Z981" s="153"/>
      <c r="AA981" s="153"/>
      <c r="AB981" s="153"/>
      <c r="AC981" s="153"/>
    </row>
    <row r="982">
      <c r="A982" s="153"/>
      <c r="B982" s="153"/>
      <c r="C982" s="153"/>
      <c r="D982" s="153" t="str">
        <f t="shared" si="1"/>
        <v>
</v>
      </c>
      <c r="E982" s="153"/>
      <c r="F982" s="153"/>
      <c r="G982" s="153"/>
      <c r="H982" s="153"/>
      <c r="I982" s="120"/>
      <c r="J982" s="120"/>
      <c r="K982" s="153"/>
      <c r="L982" s="153"/>
      <c r="M982" s="153"/>
      <c r="N982" s="153"/>
      <c r="O982" s="153"/>
      <c r="P982" s="153"/>
      <c r="Q982" s="153"/>
      <c r="R982" s="153"/>
      <c r="S982" s="153"/>
      <c r="T982" s="153"/>
      <c r="U982" s="153"/>
      <c r="V982" s="153"/>
      <c r="W982" s="153"/>
      <c r="X982" s="153"/>
      <c r="Y982" s="153"/>
      <c r="Z982" s="153"/>
      <c r="AA982" s="153"/>
      <c r="AB982" s="153"/>
      <c r="AC982" s="153"/>
    </row>
    <row r="983">
      <c r="A983" s="153"/>
      <c r="B983" s="153"/>
      <c r="C983" s="153"/>
      <c r="D983" s="153" t="str">
        <f t="shared" si="1"/>
        <v>
</v>
      </c>
      <c r="E983" s="153"/>
      <c r="F983" s="153"/>
      <c r="G983" s="153"/>
      <c r="H983" s="153"/>
      <c r="I983" s="120"/>
      <c r="J983" s="120"/>
      <c r="K983" s="153"/>
      <c r="L983" s="153"/>
      <c r="M983" s="153"/>
      <c r="N983" s="153"/>
      <c r="O983" s="153"/>
      <c r="P983" s="153"/>
      <c r="Q983" s="153"/>
      <c r="R983" s="153"/>
      <c r="S983" s="153"/>
      <c r="T983" s="153"/>
      <c r="U983" s="153"/>
      <c r="V983" s="153"/>
      <c r="W983" s="153"/>
      <c r="X983" s="153"/>
      <c r="Y983" s="153"/>
      <c r="Z983" s="153"/>
      <c r="AA983" s="153"/>
      <c r="AB983" s="153"/>
      <c r="AC983" s="153"/>
    </row>
    <row r="984">
      <c r="A984" s="153"/>
      <c r="B984" s="153"/>
      <c r="C984" s="153"/>
      <c r="D984" s="153" t="str">
        <f t="shared" si="1"/>
        <v>
</v>
      </c>
      <c r="E984" s="153"/>
      <c r="F984" s="153"/>
      <c r="G984" s="153"/>
      <c r="H984" s="153"/>
      <c r="I984" s="120"/>
      <c r="J984" s="120"/>
      <c r="K984" s="153"/>
      <c r="L984" s="153"/>
      <c r="M984" s="153"/>
      <c r="N984" s="153"/>
      <c r="O984" s="153"/>
      <c r="P984" s="153"/>
      <c r="Q984" s="153"/>
      <c r="R984" s="153"/>
      <c r="S984" s="153"/>
      <c r="T984" s="153"/>
      <c r="U984" s="153"/>
      <c r="V984" s="153"/>
      <c r="W984" s="153"/>
      <c r="X984" s="153"/>
      <c r="Y984" s="153"/>
      <c r="Z984" s="153"/>
      <c r="AA984" s="153"/>
      <c r="AB984" s="153"/>
      <c r="AC984" s="153"/>
    </row>
    <row r="985">
      <c r="A985" s="153"/>
      <c r="B985" s="153"/>
      <c r="C985" s="153"/>
      <c r="D985" s="153" t="str">
        <f t="shared" si="1"/>
        <v>
</v>
      </c>
      <c r="E985" s="153"/>
      <c r="F985" s="153"/>
      <c r="G985" s="153"/>
      <c r="H985" s="153"/>
      <c r="I985" s="120"/>
      <c r="J985" s="120"/>
      <c r="K985" s="153"/>
      <c r="L985" s="153"/>
      <c r="M985" s="153"/>
      <c r="N985" s="153"/>
      <c r="O985" s="153"/>
      <c r="P985" s="153"/>
      <c r="Q985" s="153"/>
      <c r="R985" s="153"/>
      <c r="S985" s="153"/>
      <c r="T985" s="153"/>
      <c r="U985" s="153"/>
      <c r="V985" s="153"/>
      <c r="W985" s="153"/>
      <c r="X985" s="153"/>
      <c r="Y985" s="153"/>
      <c r="Z985" s="153"/>
      <c r="AA985" s="153"/>
      <c r="AB985" s="153"/>
      <c r="AC985" s="153"/>
    </row>
    <row r="986">
      <c r="A986" s="153"/>
      <c r="B986" s="153"/>
      <c r="C986" s="153"/>
      <c r="D986" s="153" t="str">
        <f t="shared" si="1"/>
        <v>
</v>
      </c>
      <c r="E986" s="153"/>
      <c r="F986" s="153"/>
      <c r="G986" s="153"/>
      <c r="H986" s="153"/>
      <c r="I986" s="120"/>
      <c r="J986" s="120"/>
      <c r="K986" s="153"/>
      <c r="L986" s="153"/>
      <c r="M986" s="153"/>
      <c r="N986" s="153"/>
      <c r="O986" s="153"/>
      <c r="P986" s="153"/>
      <c r="Q986" s="153"/>
      <c r="R986" s="153"/>
      <c r="S986" s="153"/>
      <c r="T986" s="153"/>
      <c r="U986" s="153"/>
      <c r="V986" s="153"/>
      <c r="W986" s="153"/>
      <c r="X986" s="153"/>
      <c r="Y986" s="153"/>
      <c r="Z986" s="153"/>
      <c r="AA986" s="153"/>
      <c r="AB986" s="153"/>
      <c r="AC986" s="153"/>
    </row>
    <row r="987">
      <c r="A987" s="153"/>
      <c r="B987" s="153"/>
      <c r="C987" s="153"/>
      <c r="D987" s="153" t="str">
        <f t="shared" si="1"/>
        <v>
</v>
      </c>
      <c r="E987" s="153"/>
      <c r="F987" s="153"/>
      <c r="G987" s="153"/>
      <c r="H987" s="153"/>
      <c r="I987" s="120"/>
      <c r="J987" s="120"/>
      <c r="K987" s="153"/>
      <c r="L987" s="153"/>
      <c r="M987" s="153"/>
      <c r="N987" s="153"/>
      <c r="O987" s="153"/>
      <c r="P987" s="153"/>
      <c r="Q987" s="153"/>
      <c r="R987" s="153"/>
      <c r="S987" s="153"/>
      <c r="T987" s="153"/>
      <c r="U987" s="153"/>
      <c r="V987" s="153"/>
      <c r="W987" s="153"/>
      <c r="X987" s="153"/>
      <c r="Y987" s="153"/>
      <c r="Z987" s="153"/>
      <c r="AA987" s="153"/>
      <c r="AB987" s="153"/>
      <c r="AC987" s="153"/>
    </row>
    <row r="988">
      <c r="A988" s="153"/>
      <c r="B988" s="153"/>
      <c r="C988" s="153"/>
      <c r="D988" s="153" t="str">
        <f t="shared" si="1"/>
        <v>
</v>
      </c>
      <c r="E988" s="153"/>
      <c r="F988" s="153"/>
      <c r="G988" s="153"/>
      <c r="H988" s="153"/>
      <c r="I988" s="120"/>
      <c r="J988" s="120"/>
      <c r="K988" s="153"/>
      <c r="L988" s="153"/>
      <c r="M988" s="153"/>
      <c r="N988" s="153"/>
      <c r="O988" s="153"/>
      <c r="P988" s="153"/>
      <c r="Q988" s="153"/>
      <c r="R988" s="153"/>
      <c r="S988" s="153"/>
      <c r="T988" s="153"/>
      <c r="U988" s="153"/>
      <c r="V988" s="153"/>
      <c r="W988" s="153"/>
      <c r="X988" s="153"/>
      <c r="Y988" s="153"/>
      <c r="Z988" s="153"/>
      <c r="AA988" s="153"/>
      <c r="AB988" s="153"/>
      <c r="AC988" s="153"/>
    </row>
    <row r="989">
      <c r="A989" s="153"/>
      <c r="B989" s="153"/>
      <c r="C989" s="153"/>
      <c r="D989" s="153" t="str">
        <f t="shared" si="1"/>
        <v>
</v>
      </c>
      <c r="E989" s="153"/>
      <c r="F989" s="153"/>
      <c r="G989" s="153"/>
      <c r="H989" s="153"/>
      <c r="I989" s="120"/>
      <c r="J989" s="120"/>
      <c r="K989" s="153"/>
      <c r="L989" s="153"/>
      <c r="M989" s="153"/>
      <c r="N989" s="153"/>
      <c r="O989" s="153"/>
      <c r="P989" s="153"/>
      <c r="Q989" s="153"/>
      <c r="R989" s="153"/>
      <c r="S989" s="153"/>
      <c r="T989" s="153"/>
      <c r="U989" s="153"/>
      <c r="V989" s="153"/>
      <c r="W989" s="153"/>
      <c r="X989" s="153"/>
      <c r="Y989" s="153"/>
      <c r="Z989" s="153"/>
      <c r="AA989" s="153"/>
      <c r="AB989" s="153"/>
      <c r="AC989" s="153"/>
    </row>
    <row r="990">
      <c r="A990" s="153"/>
      <c r="B990" s="153"/>
      <c r="C990" s="153"/>
      <c r="D990" s="153" t="str">
        <f t="shared" si="1"/>
        <v>
</v>
      </c>
      <c r="E990" s="153"/>
      <c r="F990" s="153"/>
      <c r="G990" s="153"/>
      <c r="H990" s="153"/>
      <c r="I990" s="120"/>
      <c r="J990" s="120"/>
      <c r="K990" s="153"/>
      <c r="L990" s="153"/>
      <c r="M990" s="153"/>
      <c r="N990" s="153"/>
      <c r="O990" s="153"/>
      <c r="P990" s="153"/>
      <c r="Q990" s="153"/>
      <c r="R990" s="153"/>
      <c r="S990" s="153"/>
      <c r="T990" s="153"/>
      <c r="U990" s="153"/>
      <c r="V990" s="153"/>
      <c r="W990" s="153"/>
      <c r="X990" s="153"/>
      <c r="Y990" s="153"/>
      <c r="Z990" s="153"/>
      <c r="AA990" s="153"/>
      <c r="AB990" s="153"/>
      <c r="AC990" s="153"/>
    </row>
    <row r="991">
      <c r="A991" s="153"/>
      <c r="B991" s="153"/>
      <c r="C991" s="153"/>
      <c r="D991" s="153" t="str">
        <f t="shared" si="1"/>
        <v>
</v>
      </c>
      <c r="E991" s="153"/>
      <c r="F991" s="153"/>
      <c r="G991" s="153"/>
      <c r="H991" s="153"/>
      <c r="I991" s="120"/>
      <c r="J991" s="120"/>
      <c r="K991" s="153"/>
      <c r="L991" s="153"/>
      <c r="M991" s="153"/>
      <c r="N991" s="153"/>
      <c r="O991" s="153"/>
      <c r="P991" s="153"/>
      <c r="Q991" s="153"/>
      <c r="R991" s="153"/>
      <c r="S991" s="153"/>
      <c r="T991" s="153"/>
      <c r="U991" s="153"/>
      <c r="V991" s="153"/>
      <c r="W991" s="153"/>
      <c r="X991" s="153"/>
      <c r="Y991" s="153"/>
      <c r="Z991" s="153"/>
      <c r="AA991" s="153"/>
      <c r="AB991" s="153"/>
      <c r="AC991" s="153"/>
    </row>
    <row r="992">
      <c r="A992" s="153"/>
      <c r="B992" s="153"/>
      <c r="C992" s="153"/>
      <c r="D992" s="153" t="str">
        <f t="shared" si="1"/>
        <v>
</v>
      </c>
      <c r="E992" s="153"/>
      <c r="F992" s="153"/>
      <c r="G992" s="153"/>
      <c r="H992" s="153"/>
      <c r="I992" s="120"/>
      <c r="J992" s="120"/>
      <c r="K992" s="153"/>
      <c r="L992" s="153"/>
      <c r="M992" s="153"/>
      <c r="N992" s="153"/>
      <c r="O992" s="153"/>
      <c r="P992" s="153"/>
      <c r="Q992" s="153"/>
      <c r="R992" s="153"/>
      <c r="S992" s="153"/>
      <c r="T992" s="153"/>
      <c r="U992" s="153"/>
      <c r="V992" s="153"/>
      <c r="W992" s="153"/>
      <c r="X992" s="153"/>
      <c r="Y992" s="153"/>
      <c r="Z992" s="153"/>
      <c r="AA992" s="153"/>
      <c r="AB992" s="153"/>
      <c r="AC992" s="153"/>
    </row>
    <row r="993">
      <c r="A993" s="153"/>
      <c r="B993" s="153"/>
      <c r="C993" s="153"/>
      <c r="D993" s="153" t="str">
        <f t="shared" si="1"/>
        <v>
</v>
      </c>
      <c r="E993" s="153"/>
      <c r="F993" s="153"/>
      <c r="G993" s="153"/>
      <c r="H993" s="153"/>
      <c r="I993" s="120"/>
      <c r="J993" s="120"/>
      <c r="K993" s="153"/>
      <c r="L993" s="153"/>
      <c r="M993" s="153"/>
      <c r="N993" s="153"/>
      <c r="O993" s="153"/>
      <c r="P993" s="153"/>
      <c r="Q993" s="153"/>
      <c r="R993" s="153"/>
      <c r="S993" s="153"/>
      <c r="T993" s="153"/>
      <c r="U993" s="153"/>
      <c r="V993" s="153"/>
      <c r="W993" s="153"/>
      <c r="X993" s="153"/>
      <c r="Y993" s="153"/>
      <c r="Z993" s="153"/>
      <c r="AA993" s="153"/>
      <c r="AB993" s="153"/>
      <c r="AC993" s="153"/>
    </row>
    <row r="994">
      <c r="A994" s="153"/>
      <c r="B994" s="153"/>
      <c r="C994" s="153"/>
      <c r="D994" s="153" t="str">
        <f t="shared" si="1"/>
        <v>
</v>
      </c>
      <c r="E994" s="153"/>
      <c r="F994" s="153"/>
      <c r="G994" s="153"/>
      <c r="H994" s="153"/>
      <c r="I994" s="120"/>
      <c r="J994" s="120"/>
      <c r="K994" s="153"/>
      <c r="L994" s="153"/>
      <c r="M994" s="153"/>
      <c r="N994" s="153"/>
      <c r="O994" s="153"/>
      <c r="P994" s="153"/>
      <c r="Q994" s="153"/>
      <c r="R994" s="153"/>
      <c r="S994" s="153"/>
      <c r="T994" s="153"/>
      <c r="U994" s="153"/>
      <c r="V994" s="153"/>
      <c r="W994" s="153"/>
      <c r="X994" s="153"/>
      <c r="Y994" s="153"/>
      <c r="Z994" s="153"/>
      <c r="AA994" s="153"/>
      <c r="AB994" s="153"/>
      <c r="AC994" s="153"/>
    </row>
    <row r="995">
      <c r="A995" s="153"/>
      <c r="B995" s="153"/>
      <c r="C995" s="153"/>
      <c r="D995" s="153" t="str">
        <f t="shared" si="1"/>
        <v>
</v>
      </c>
      <c r="E995" s="153"/>
      <c r="F995" s="153"/>
      <c r="G995" s="153"/>
      <c r="H995" s="153"/>
      <c r="I995" s="120"/>
      <c r="J995" s="120"/>
      <c r="K995" s="153"/>
      <c r="L995" s="153"/>
      <c r="M995" s="153"/>
      <c r="N995" s="153"/>
      <c r="O995" s="153"/>
      <c r="P995" s="153"/>
      <c r="Q995" s="153"/>
      <c r="R995" s="153"/>
      <c r="S995" s="153"/>
      <c r="T995" s="153"/>
      <c r="U995" s="153"/>
      <c r="V995" s="153"/>
      <c r="W995" s="153"/>
      <c r="X995" s="153"/>
      <c r="Y995" s="153"/>
      <c r="Z995" s="153"/>
      <c r="AA995" s="153"/>
      <c r="AB995" s="153"/>
      <c r="AC995" s="153"/>
    </row>
    <row r="996">
      <c r="A996" s="153"/>
      <c r="B996" s="153"/>
      <c r="C996" s="153"/>
      <c r="D996" s="153" t="str">
        <f t="shared" si="1"/>
        <v>
</v>
      </c>
      <c r="E996" s="153"/>
      <c r="F996" s="153"/>
      <c r="G996" s="153"/>
      <c r="H996" s="153"/>
      <c r="I996" s="120"/>
      <c r="J996" s="120"/>
      <c r="K996" s="153"/>
      <c r="L996" s="153"/>
      <c r="M996" s="153"/>
      <c r="N996" s="153"/>
      <c r="O996" s="153"/>
      <c r="P996" s="153"/>
      <c r="Q996" s="153"/>
      <c r="R996" s="153"/>
      <c r="S996" s="153"/>
      <c r="T996" s="153"/>
      <c r="U996" s="153"/>
      <c r="V996" s="153"/>
      <c r="W996" s="153"/>
      <c r="X996" s="153"/>
      <c r="Y996" s="153"/>
      <c r="Z996" s="153"/>
      <c r="AA996" s="153"/>
      <c r="AB996" s="153"/>
      <c r="AC996" s="153"/>
    </row>
    <row r="997">
      <c r="A997" s="153"/>
      <c r="B997" s="153"/>
      <c r="C997" s="153"/>
      <c r="D997" s="153" t="str">
        <f t="shared" si="1"/>
        <v>
</v>
      </c>
      <c r="E997" s="153"/>
      <c r="F997" s="153"/>
      <c r="G997" s="153"/>
      <c r="H997" s="153"/>
      <c r="I997" s="120"/>
      <c r="J997" s="120"/>
      <c r="K997" s="153"/>
      <c r="L997" s="153"/>
      <c r="M997" s="153"/>
      <c r="N997" s="153"/>
      <c r="O997" s="153"/>
      <c r="P997" s="153"/>
      <c r="Q997" s="153"/>
      <c r="R997" s="153"/>
      <c r="S997" s="153"/>
      <c r="T997" s="153"/>
      <c r="U997" s="153"/>
      <c r="V997" s="153"/>
      <c r="W997" s="153"/>
      <c r="X997" s="153"/>
      <c r="Y997" s="153"/>
      <c r="Z997" s="153"/>
      <c r="AA997" s="153"/>
      <c r="AB997" s="153"/>
      <c r="AC997" s="153"/>
    </row>
  </sheetData>
  <autoFilter ref="$F$1:$F$997"/>
  <conditionalFormatting sqref="F2:F224 G17 G19:G37 G88:G136 G152:G164 G195:G224 F226:F306 G266:G278 G280:G306 F308:F395 G348:G395 F397:F438 G417:G438 F440:F506 G470:G506 F508:F617 G558:G617 F619:F686 G649:G686">
    <cfRule type="cellIs" dxfId="1" priority="1" operator="equal">
      <formula>"TRUE"</formula>
    </cfRule>
  </conditionalFormatting>
  <conditionalFormatting sqref="F2:F37 G17 G19:G37 F279">
    <cfRule type="cellIs" dxfId="1" priority="2" operator="equal">
      <formula>"TRUE"</formula>
    </cfRule>
  </conditionalFormatting>
  <dataValidations>
    <dataValidation type="list" allowBlank="1" showErrorMessage="1" sqref="F38:F136">
      <formula1>"Graph1,Graph2,Graph3,Graph4,Graph5,GraphPoster,Graph6,Graph7,Graph8,Graph9,Graph10"</formula1>
    </dataValidation>
    <dataValidation type="list" allowBlank="1" showErrorMessage="1" sqref="G266:G278 G280:G306">
      <formula1>"SemanticsPoster1,SemanticsPoster2,SemanticsPoster3,SemanticsPoster4,SemanticsPoster5"</formula1>
    </dataValidation>
    <dataValidation type="list" allowBlank="1" showErrorMessage="1" sqref="F308:F342 F344:F395">
      <formula1>"Security1,Security2,Security3,SecurityPoster,Security4,Security5,Security6,Security7,Security8"</formula1>
    </dataValidation>
    <dataValidation type="list" allowBlank="1" showErrorMessage="1" sqref="G17 G19:G37">
      <formula1>"EconPoster1,EconPoster2,EconPoster3"</formula1>
    </dataValidation>
    <dataValidation type="list" allowBlank="1" showErrorMessage="1" sqref="G470:G506">
      <formula1>"SystemsPoster1,SystemsPoster2,SystemsPoster3,SystemsPoster4,SystemsPoster5"</formula1>
    </dataValidation>
    <dataValidation type="list" allowBlank="1" showErrorMessage="1" sqref="F508:F617">
      <formula1>"RecSys1,RecSys2,RecSys3,RecSys4,RecSys5,RecSys6,RecSys7,RecSys8,RecSys9,RecSys10,RecSysPoster"</formula1>
    </dataValidation>
    <dataValidation type="list" allowBlank="1" showErrorMessage="1" sqref="F226:F278 F280:F306">
      <formula1>"Semantics1,Semantics2,Semantics3,Semantics4,Semantics5,Semantics6,Semantics7,Semantics8,SemanticsPoster,BPC"</formula1>
    </dataValidation>
    <dataValidation type="list" allowBlank="1" showErrorMessage="1" sqref="G152:G164">
      <formula1>"RespWebPoster4,RespWebPoster5"</formula1>
    </dataValidation>
    <dataValidation type="list" allowBlank="1" showErrorMessage="1" sqref="G348:G395">
      <formula1>"SecurityPoster1,SecurityPoster2,SecurityPoster3,SecurityPoster4,SecurityPoster5"</formula1>
    </dataValidation>
    <dataValidation type="list" allowBlank="1" showErrorMessage="1" sqref="F142:F148 F150:F151">
      <formula1>"RespWeb1,RespWeb2,RespWebPoster,RepWeb3"</formula1>
    </dataValidation>
    <dataValidation type="list" allowBlank="1" showErrorMessage="1" sqref="F440:F506">
      <formula1>"Systems1,Systems2,Systems3,SystemsPoster,Systems4,Systems5,Systems6"</formula1>
    </dataValidation>
    <dataValidation type="list" allowBlank="1" showErrorMessage="1" sqref="F2:F17 F19:F37">
      <formula1>"Econ1,Econ2,Econ3,EconPoster,BPC"</formula1>
    </dataValidation>
    <dataValidation type="list" allowBlank="1" showErrorMessage="1" sqref="G649:G686">
      <formula1>"MiningPoster1,MiningPoster2,MiningPoster3,MiningPoster4,MiningPoster5"</formula1>
    </dataValidation>
    <dataValidation type="list" allowBlank="1" showErrorMessage="1" sqref="G88:G136">
      <formula1>"GraphPoster1,GraphPoster2,GraphPoster3,GraphPoster4,GraphPoster5"</formula1>
    </dataValidation>
    <dataValidation type="list" allowBlank="1" showErrorMessage="1" sqref="F397:F438">
      <formula1>"Social1,Social2,Social3,Social4,SocialPoster"</formula1>
    </dataValidation>
    <dataValidation type="list" allowBlank="1" showErrorMessage="1" sqref="F343">
      <formula1>"Security1,Security2,Security3,Security4,Security5,Security6,Security7,Security8,Poster"</formula1>
    </dataValidation>
    <dataValidation type="list" allowBlank="1" showErrorMessage="1" sqref="G558:G617">
      <formula1>"RecSysPoster1,RecSysPoster2,RecSysPoster3,RecSysPoster4,RecSysPoster5"</formula1>
    </dataValidation>
    <dataValidation type="list" allowBlank="1" showErrorMessage="1" sqref="F18 F165:F224 F279">
      <formula1>"Search1,Search2,SearchPoster,Search3,Search4,Search5,Search6,BPC"</formula1>
    </dataValidation>
    <dataValidation type="list" allowBlank="1" showErrorMessage="1" sqref="F137:F141 F149 F152:F164">
      <formula1>"RespWeb1,RespWeb2,RespWebPoster,RespWeb3"</formula1>
    </dataValidation>
    <dataValidation type="list" allowBlank="1" showErrorMessage="1" sqref="G195:G224">
      <formula1>"SearchPoster1,SearchPoster2,SearchPoster3,SearchPoster4,SearchPoster5"</formula1>
    </dataValidation>
    <dataValidation type="list" allowBlank="1" showErrorMessage="1" sqref="G417:G438">
      <formula1>"SocialPoster1,SocialPoster2,SocialPoster3,SocialPoster4"</formula1>
    </dataValidation>
    <dataValidation type="list" allowBlank="1" showErrorMessage="1" sqref="F619:F686">
      <formula1>"Mining1,Mining2,Mining3,Mining4,MiningPoster,Mining5,Mining6,Canceled"</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1.0" topLeftCell="A12" activePane="bottomLeft" state="frozen"/>
      <selection activeCell="B13" sqref="B13" pane="bottomLeft"/>
    </sheetView>
  </sheetViews>
  <sheetFormatPr customHeight="1" defaultColWidth="12.63" defaultRowHeight="15.75"/>
  <cols>
    <col customWidth="1" min="2" max="2" width="101.38"/>
    <col customWidth="1" min="4" max="4" width="82.0"/>
    <col customWidth="1" min="5" max="5" width="78.5"/>
    <col customWidth="1" min="6" max="6" width="22.13"/>
  </cols>
  <sheetData>
    <row r="1">
      <c r="A1" s="147" t="s">
        <v>207</v>
      </c>
      <c r="B1" s="147" t="s">
        <v>208</v>
      </c>
      <c r="C1" s="147" t="s">
        <v>209</v>
      </c>
      <c r="D1" s="147"/>
      <c r="E1" s="160"/>
      <c r="F1" s="161" t="s">
        <v>1049</v>
      </c>
      <c r="G1" s="149" t="s">
        <v>1050</v>
      </c>
      <c r="H1" s="162"/>
      <c r="I1" s="162"/>
      <c r="J1" s="162"/>
      <c r="K1" s="162"/>
      <c r="L1" s="162"/>
      <c r="M1" s="162"/>
      <c r="N1" s="162"/>
      <c r="O1" s="162"/>
      <c r="P1" s="162"/>
      <c r="Q1" s="162"/>
      <c r="R1" s="162"/>
      <c r="S1" s="162"/>
      <c r="T1" s="162"/>
      <c r="U1" s="162"/>
      <c r="V1" s="162"/>
      <c r="W1" s="162"/>
      <c r="X1" s="162"/>
      <c r="Y1" s="162"/>
      <c r="Z1" s="162"/>
      <c r="AA1" s="162"/>
      <c r="AB1" s="162"/>
    </row>
    <row r="2">
      <c r="A2" s="163" t="s">
        <v>83</v>
      </c>
      <c r="B2" s="163" t="s">
        <v>289</v>
      </c>
      <c r="C2" s="160">
        <v>5.0</v>
      </c>
      <c r="D2" s="160"/>
      <c r="E2" s="160"/>
      <c r="F2" s="159"/>
      <c r="G2" s="159"/>
      <c r="H2" s="162"/>
      <c r="I2" s="162"/>
      <c r="J2" s="162"/>
      <c r="K2" s="162"/>
      <c r="L2" s="162"/>
      <c r="M2" s="162"/>
      <c r="N2" s="162"/>
      <c r="O2" s="162"/>
      <c r="P2" s="162"/>
      <c r="Q2" s="162"/>
      <c r="R2" s="162"/>
      <c r="S2" s="162"/>
      <c r="T2" s="162"/>
      <c r="U2" s="162"/>
      <c r="V2" s="162"/>
      <c r="W2" s="162"/>
      <c r="X2" s="162"/>
      <c r="Y2" s="162"/>
      <c r="Z2" s="162"/>
      <c r="AA2" s="162"/>
      <c r="AB2" s="162"/>
    </row>
    <row r="3">
      <c r="A3" s="163" t="s">
        <v>84</v>
      </c>
      <c r="B3" s="163" t="s">
        <v>205</v>
      </c>
      <c r="C3" s="160">
        <v>5.0</v>
      </c>
      <c r="D3" s="160"/>
      <c r="E3" s="160"/>
      <c r="F3" s="159"/>
      <c r="G3" s="159"/>
      <c r="H3" s="162"/>
      <c r="I3" s="162"/>
      <c r="J3" s="162"/>
      <c r="K3" s="162"/>
      <c r="L3" s="162"/>
      <c r="M3" s="162"/>
      <c r="N3" s="162"/>
      <c r="O3" s="162"/>
      <c r="P3" s="162"/>
      <c r="Q3" s="162"/>
      <c r="R3" s="162"/>
      <c r="S3" s="162"/>
      <c r="T3" s="162"/>
      <c r="U3" s="162"/>
      <c r="V3" s="162"/>
      <c r="W3" s="162"/>
      <c r="X3" s="162"/>
      <c r="Y3" s="162"/>
      <c r="Z3" s="162"/>
      <c r="AA3" s="162"/>
      <c r="AB3" s="162"/>
    </row>
    <row r="4">
      <c r="A4" s="163" t="s">
        <v>105</v>
      </c>
      <c r="B4" s="163" t="s">
        <v>290</v>
      </c>
      <c r="C4" s="160">
        <v>5.0</v>
      </c>
      <c r="D4" s="160"/>
      <c r="E4" s="160"/>
      <c r="F4" s="159"/>
      <c r="G4" s="159"/>
      <c r="H4" s="162"/>
      <c r="I4" s="162"/>
      <c r="J4" s="162"/>
      <c r="K4" s="162"/>
      <c r="L4" s="162"/>
      <c r="M4" s="162"/>
      <c r="N4" s="162"/>
      <c r="O4" s="162"/>
      <c r="P4" s="162"/>
      <c r="Q4" s="162"/>
      <c r="R4" s="162"/>
      <c r="S4" s="162"/>
      <c r="T4" s="162"/>
      <c r="U4" s="162"/>
      <c r="V4" s="162"/>
      <c r="W4" s="162"/>
      <c r="X4" s="162"/>
      <c r="Y4" s="162"/>
      <c r="Z4" s="162"/>
      <c r="AA4" s="162"/>
      <c r="AB4" s="162"/>
    </row>
    <row r="5">
      <c r="A5" s="163" t="s">
        <v>136</v>
      </c>
      <c r="B5" s="163" t="s">
        <v>291</v>
      </c>
      <c r="C5" s="160">
        <v>5.0</v>
      </c>
      <c r="D5" s="160"/>
      <c r="E5" s="160"/>
      <c r="F5" s="159"/>
      <c r="G5" s="159"/>
      <c r="H5" s="162"/>
      <c r="I5" s="162"/>
      <c r="J5" s="162"/>
      <c r="K5" s="162"/>
      <c r="L5" s="162"/>
      <c r="M5" s="162"/>
      <c r="N5" s="162"/>
      <c r="O5" s="162"/>
      <c r="P5" s="162"/>
      <c r="Q5" s="162"/>
      <c r="R5" s="162"/>
      <c r="S5" s="162"/>
      <c r="T5" s="162"/>
      <c r="U5" s="162"/>
      <c r="V5" s="162"/>
      <c r="W5" s="162"/>
      <c r="X5" s="162"/>
      <c r="Y5" s="162"/>
      <c r="Z5" s="162"/>
      <c r="AA5" s="162"/>
      <c r="AB5" s="162"/>
    </row>
    <row r="6">
      <c r="A6" s="163" t="s">
        <v>137</v>
      </c>
      <c r="B6" s="163" t="s">
        <v>292</v>
      </c>
      <c r="C6" s="160">
        <v>5.0</v>
      </c>
      <c r="D6" s="160"/>
      <c r="E6" s="160"/>
      <c r="F6" s="159"/>
      <c r="G6" s="159"/>
      <c r="H6" s="162"/>
      <c r="I6" s="162"/>
      <c r="J6" s="162"/>
      <c r="K6" s="162"/>
      <c r="L6" s="162"/>
      <c r="M6" s="162"/>
      <c r="N6" s="162"/>
      <c r="O6" s="162"/>
      <c r="P6" s="162"/>
      <c r="Q6" s="162"/>
      <c r="R6" s="162"/>
      <c r="S6" s="162"/>
      <c r="T6" s="162"/>
      <c r="U6" s="162"/>
      <c r="V6" s="162"/>
      <c r="W6" s="162"/>
      <c r="X6" s="162"/>
      <c r="Y6" s="162"/>
      <c r="Z6" s="162"/>
      <c r="AA6" s="162"/>
      <c r="AB6" s="162"/>
    </row>
    <row r="7">
      <c r="A7" s="163" t="s">
        <v>157</v>
      </c>
      <c r="B7" s="163" t="s">
        <v>293</v>
      </c>
      <c r="C7" s="160">
        <v>5.0</v>
      </c>
      <c r="D7" s="160"/>
      <c r="E7" s="160"/>
      <c r="F7" s="159"/>
      <c r="G7" s="159"/>
      <c r="H7" s="162"/>
      <c r="I7" s="162"/>
      <c r="J7" s="162"/>
      <c r="K7" s="162"/>
      <c r="L7" s="162"/>
      <c r="M7" s="162"/>
      <c r="N7" s="162"/>
      <c r="O7" s="162"/>
      <c r="P7" s="162"/>
      <c r="Q7" s="162"/>
      <c r="R7" s="162"/>
      <c r="S7" s="162"/>
      <c r="T7" s="162"/>
      <c r="U7" s="162"/>
      <c r="V7" s="162"/>
      <c r="W7" s="162"/>
      <c r="X7" s="162"/>
      <c r="Y7" s="162"/>
      <c r="Z7" s="162"/>
      <c r="AA7" s="162"/>
      <c r="AB7" s="162"/>
    </row>
    <row r="8">
      <c r="A8" s="163" t="s">
        <v>175</v>
      </c>
      <c r="B8" s="163" t="s">
        <v>294</v>
      </c>
      <c r="C8" s="160">
        <v>5.0</v>
      </c>
      <c r="D8" s="160"/>
      <c r="E8" s="160"/>
      <c r="F8" s="159"/>
      <c r="G8" s="159"/>
      <c r="H8" s="162"/>
      <c r="I8" s="162"/>
      <c r="J8" s="162"/>
      <c r="K8" s="162"/>
      <c r="L8" s="162"/>
      <c r="M8" s="162"/>
      <c r="N8" s="162"/>
      <c r="O8" s="162"/>
      <c r="P8" s="162"/>
      <c r="Q8" s="162"/>
      <c r="R8" s="162"/>
      <c r="S8" s="162"/>
      <c r="T8" s="162"/>
      <c r="U8" s="162"/>
      <c r="V8" s="162"/>
      <c r="W8" s="162"/>
      <c r="X8" s="162"/>
      <c r="Y8" s="162"/>
      <c r="Z8" s="162"/>
      <c r="AA8" s="162"/>
      <c r="AB8" s="162"/>
    </row>
    <row r="9">
      <c r="A9" s="163" t="s">
        <v>202</v>
      </c>
      <c r="B9" s="163" t="s">
        <v>295</v>
      </c>
      <c r="C9" s="160">
        <v>5.0</v>
      </c>
      <c r="D9" s="160"/>
      <c r="E9" s="160"/>
      <c r="F9" s="159"/>
      <c r="G9" s="159"/>
      <c r="H9" s="162"/>
      <c r="I9" s="162"/>
      <c r="J9" s="162"/>
      <c r="K9" s="162"/>
      <c r="L9" s="162"/>
      <c r="M9" s="162"/>
      <c r="N9" s="162"/>
      <c r="O9" s="162"/>
      <c r="P9" s="162"/>
      <c r="Q9" s="162"/>
      <c r="R9" s="162"/>
      <c r="S9" s="162"/>
      <c r="T9" s="162"/>
      <c r="U9" s="162"/>
      <c r="V9" s="162"/>
      <c r="W9" s="162"/>
      <c r="X9" s="162"/>
      <c r="Y9" s="162"/>
      <c r="Z9" s="162"/>
      <c r="AA9" s="162"/>
      <c r="AB9" s="162"/>
    </row>
    <row r="10">
      <c r="A10" s="163" t="s">
        <v>237</v>
      </c>
      <c r="B10" s="148"/>
      <c r="C10" s="160">
        <v>17.0</v>
      </c>
      <c r="D10" s="160"/>
      <c r="E10" s="160"/>
      <c r="F10" s="148"/>
      <c r="G10" s="148"/>
      <c r="H10" s="162"/>
      <c r="I10" s="162"/>
      <c r="J10" s="162"/>
      <c r="K10" s="162"/>
      <c r="L10" s="162"/>
      <c r="M10" s="162"/>
      <c r="N10" s="162"/>
      <c r="O10" s="162"/>
      <c r="P10" s="162"/>
      <c r="Q10" s="162"/>
      <c r="R10" s="162"/>
      <c r="S10" s="162"/>
      <c r="T10" s="162"/>
      <c r="U10" s="162"/>
      <c r="V10" s="162"/>
      <c r="W10" s="162"/>
      <c r="X10" s="162"/>
      <c r="Y10" s="162"/>
      <c r="Z10" s="162"/>
      <c r="AA10" s="162"/>
      <c r="AB10" s="162"/>
    </row>
    <row r="11">
      <c r="A11" s="147" t="s">
        <v>1051</v>
      </c>
      <c r="B11" s="147" t="s">
        <v>1052</v>
      </c>
      <c r="C11" s="147" t="s">
        <v>1053</v>
      </c>
      <c r="D11" s="147" t="s">
        <v>1054</v>
      </c>
      <c r="E11" s="164" t="s">
        <v>366</v>
      </c>
      <c r="F11" s="147" t="s">
        <v>1055</v>
      </c>
      <c r="G11" s="148"/>
      <c r="H11" s="162"/>
      <c r="I11" s="162"/>
      <c r="J11" s="162"/>
      <c r="K11" s="162"/>
      <c r="L11" s="162"/>
      <c r="M11" s="162"/>
      <c r="N11" s="162"/>
      <c r="O11" s="162"/>
      <c r="P11" s="162"/>
      <c r="Q11" s="162"/>
      <c r="R11" s="162"/>
      <c r="S11" s="162"/>
      <c r="T11" s="162"/>
      <c r="U11" s="162"/>
      <c r="V11" s="162"/>
      <c r="W11" s="162"/>
      <c r="X11" s="162"/>
      <c r="Y11" s="162"/>
      <c r="Z11" s="162"/>
      <c r="AA11" s="162"/>
      <c r="AB11" s="162"/>
    </row>
    <row r="12">
      <c r="A12" s="165" t="s">
        <v>308</v>
      </c>
      <c r="B12" s="118" t="s">
        <v>1056</v>
      </c>
      <c r="C12" s="118" t="s">
        <v>1057</v>
      </c>
      <c r="D12" s="118" t="str">
        <f t="shared" ref="D12:D68" si="1">concatenate(B12,char(10),E12,char(10))</f>
        <v>FRiskGPT: A Generative Foundation Model for Financial Risk Detection
Zhongjian Zhang, Mengmei Zhang, Dehua Xu, Rongjun Shi, Jianfeng Liu, Fuli Meng, Huajian Xu, Xiao Wang, Ruijia Wang, Junze Chen, Minwei Tang and Chuan Shi
</v>
      </c>
      <c r="E12" s="118" t="str">
        <f>IFERROR(__xludf.DUMMYFUNCTION("TEXTJOIN(CHAR(10), TRUE,FILTER('Industry Papers'!$D:$D,'Industry Papers'!$A:$A=C12))"),"Zhongjian Zhang, Mengmei Zhang, Dehua Xu, Rongjun Shi, Jianfeng Liu, Fuli Meng, Huajian Xu, Xiao Wang, Ruijia Wang, Junze Chen, Minwei Tang and Chuan Shi")</f>
        <v>Zhongjian Zhang, Mengmei Zhang, Dehua Xu, Rongjun Shi, Jianfeng Liu, Fuli Meng, Huajian Xu, Xiao Wang, Ruijia Wang, Junze Chen, Minwei Tang and Chuan Shi</v>
      </c>
      <c r="F12" s="166" t="s">
        <v>83</v>
      </c>
      <c r="G12" s="120"/>
    </row>
    <row r="13">
      <c r="A13" s="165" t="s">
        <v>308</v>
      </c>
      <c r="B13" s="118" t="s">
        <v>1058</v>
      </c>
      <c r="C13" s="118" t="s">
        <v>1059</v>
      </c>
      <c r="D13" s="118" t="str">
        <f t="shared" si="1"/>
        <v>VeritasFi: An Adaptable, Multi-tiered RAG Framework for Multi-modal Financial Question Answering
Zhenghan Tai, Hanwei Wu, Qingchen Hu, Jijun Chi, Hailin He, Lei Ding, Tung Sum Thomas Kwok, Bohuai Xiao, Yuchen Hua, Suyuchen Wang, Peng Lu, Muzhi Li, Yihong Wu, Liheng Ma, Jerry Huang, Jiayi Zhang, Gonghao Zhang, Chaolong Jiang, Jingrui Tian, Sicheng Lyu, Zeyu Li, Boyu Han, Fengran Mo, Xinyue Yu, Yufei Cui, Ling Zhou and Xinyu Wang
</v>
      </c>
      <c r="E13" s="118" t="str">
        <f>IFERROR(__xludf.DUMMYFUNCTION("TEXTJOIN(CHAR(10), TRUE,FILTER('Industry Papers'!$D:$D,'Industry Papers'!$A:$A=C13))"),"Zhenghan Tai, Hanwei Wu, Qingchen Hu, Jijun Chi, Hailin He, Lei Ding, Tung Sum Thomas Kwok, Bohuai Xiao, Yuchen Hua, Suyuchen Wang, Peng Lu, Muzhi Li, Yihong Wu, Liheng Ma, Jerry Huang, Jiayi Zhang, Gonghao Zhang, Chaolong Jiang, Jingrui Tian, Sicheng Lyu"&amp;", Zeyu Li, Boyu Han, Fengran Mo, Xinyue Yu, Yufei Cui, Ling Zhou and Xinyu Wang")</f>
        <v>Zhenghan Tai, Hanwei Wu, Qingchen Hu, Jijun Chi, Hailin He, Lei Ding, Tung Sum Thomas Kwok, Bohuai Xiao, Yuchen Hua, Suyuchen Wang, Peng Lu, Muzhi Li, Yihong Wu, Liheng Ma, Jerry Huang, Jiayi Zhang, Gonghao Zhang, Chaolong Jiang, Jingrui Tian, Sicheng Lyu, Zeyu Li, Boyu Han, Fengran Mo, Xinyue Yu, Yufei Cui, Ling Zhou and Xinyu Wang</v>
      </c>
      <c r="F13" s="166" t="s">
        <v>83</v>
      </c>
      <c r="G13" s="120"/>
    </row>
    <row r="14">
      <c r="A14" s="165" t="s">
        <v>308</v>
      </c>
      <c r="B14" s="118" t="s">
        <v>1060</v>
      </c>
      <c r="C14" s="118" t="s">
        <v>1061</v>
      </c>
      <c r="D14" s="118" t="str">
        <f t="shared" si="1"/>
        <v>When Agents Trade: Live Multi-Market Trading Arena for LLM Agents
Lingfei Qian, Xueqing Peng, Hanley Smith, Yi Han, Yueru He, Haohang Li, Yupeng Cao, Yangyang Yu, Guojun Xiong, Peng Lu, Yan Wang, Vincent Jim Zhang, Huan He, Alejandro Lopez-Lira, Jimin Huang, Jian-Yun Nie and Sophia Ananiadou
</v>
      </c>
      <c r="E14" s="118" t="str">
        <f>IFERROR(__xludf.DUMMYFUNCTION("TEXTJOIN(CHAR(10), TRUE,FILTER('Industry Papers'!$D:$D,'Industry Papers'!$A:$A=C14))"),"Lingfei Qian, Xueqing Peng, Hanley Smith, Yi Han, Yueru He, Haohang Li, Yupeng Cao, Yangyang Yu, Guojun Xiong, Peng Lu, Yan Wang, Vincent Jim Zhang, Huan He, Alejandro Lopez-Lira, Jimin Huang, Jian-Yun Nie and Sophia Ananiadou")</f>
        <v>Lingfei Qian, Xueqing Peng, Hanley Smith, Yi Han, Yueru He, Haohang Li, Yupeng Cao, Yangyang Yu, Guojun Xiong, Peng Lu, Yan Wang, Vincent Jim Zhang, Huan He, Alejandro Lopez-Lira, Jimin Huang, Jian-Yun Nie and Sophia Ananiadou</v>
      </c>
      <c r="F14" s="166" t="s">
        <v>83</v>
      </c>
      <c r="G14" s="120"/>
    </row>
    <row r="15">
      <c r="A15" s="165" t="s">
        <v>308</v>
      </c>
      <c r="B15" s="118" t="s">
        <v>1062</v>
      </c>
      <c r="C15" s="118" t="s">
        <v>1063</v>
      </c>
      <c r="D15" s="118" t="str">
        <f t="shared" si="1"/>
        <v>Financial Wind Tunnel: A Retrieval-Augmented Market Simulator
Bokai Cao, Xueyuan Lin, Yiyan Qi, Chengjin Xu, Cehao Yang and Jian Guo
</v>
      </c>
      <c r="E15" s="118" t="str">
        <f>IFERROR(__xludf.DUMMYFUNCTION("TEXTJOIN(CHAR(10), TRUE,FILTER('Industry Papers'!$D:$D,'Industry Papers'!$A:$A=C15))"),"Bokai Cao, Xueyuan Lin, Yiyan Qi, Chengjin Xu, Cehao Yang and Jian Guo")</f>
        <v>Bokai Cao, Xueyuan Lin, Yiyan Qi, Chengjin Xu, Cehao Yang and Jian Guo</v>
      </c>
      <c r="F15" s="166" t="s">
        <v>83</v>
      </c>
      <c r="G15" s="120"/>
    </row>
    <row r="16">
      <c r="A16" s="165" t="s">
        <v>308</v>
      </c>
      <c r="B16" s="118" t="s">
        <v>1064</v>
      </c>
      <c r="C16" s="118" t="s">
        <v>1065</v>
      </c>
      <c r="D16" s="118" t="str">
        <f t="shared" si="1"/>
        <v>FishFlow: A LLM-Empowered Dynamic Pricing Framework for Online Fleamarket Platform
Kakam Chong, Xu Yan, Shuai Xiao, Ming Chen, Chen Ju, Fei Huang, Yuantao Gu, Shuguang Han and Jufeng Chen
</v>
      </c>
      <c r="E16" s="118" t="str">
        <f>IFERROR(__xludf.DUMMYFUNCTION("TEXTJOIN(CHAR(10), TRUE,FILTER('Industry Papers'!$D:$D,'Industry Papers'!$A:$A=C16))"),"Kakam Chong, Xu Yan, Shuai Xiao, Ming Chen, Chen Ju, Fei Huang, Yuantao Gu, Shuguang Han and Jufeng Chen")</f>
        <v>Kakam Chong, Xu Yan, Shuai Xiao, Ming Chen, Chen Ju, Fei Huang, Yuantao Gu, Shuguang Han and Jufeng Chen</v>
      </c>
      <c r="F16" s="166" t="s">
        <v>83</v>
      </c>
      <c r="G16" s="120"/>
    </row>
    <row r="17">
      <c r="A17" s="165" t="s">
        <v>308</v>
      </c>
      <c r="B17" s="118" t="s">
        <v>1066</v>
      </c>
      <c r="C17" s="118" t="s">
        <v>1067</v>
      </c>
      <c r="D17" s="118" t="str">
        <f t="shared" si="1"/>
        <v>Hierarchical Semantic RL: Tackling the Problem of Dynamic Action Space for RL-based Recommendations
Minmao Wang, Xingchen Liu, Shijie Yi, Likang Wu, Hongke Zhao, Fei Pan, Qingpeng Cai and Peng Jiang
</v>
      </c>
      <c r="E17" s="118" t="str">
        <f>IFERROR(__xludf.DUMMYFUNCTION("TEXTJOIN(CHAR(10), TRUE,FILTER('Industry Papers'!$D:$D,'Industry Papers'!$A:$A=C17))"),"Minmao Wang, Xingchen Liu, Shijie Yi, Likang Wu, Hongke Zhao, Fei Pan, Qingpeng Cai and Peng Jiang")</f>
        <v>Minmao Wang, Xingchen Liu, Shijie Yi, Likang Wu, Hongke Zhao, Fei Pan, Qingpeng Cai and Peng Jiang</v>
      </c>
      <c r="F17" s="166" t="s">
        <v>84</v>
      </c>
      <c r="G17" s="120"/>
    </row>
    <row r="18">
      <c r="A18" s="165" t="s">
        <v>308</v>
      </c>
      <c r="B18" s="118" t="s">
        <v>1068</v>
      </c>
      <c r="C18" s="118" t="s">
        <v>1069</v>
      </c>
      <c r="D18" s="118" t="str">
        <f t="shared" si="1"/>
        <v>Beyond the Flat Sequence: Hierarchical and Preference-Aware Generative Recommendations
Zerui Chen, Heng Chang, Tianying Liu, Chuantian Zhou, Yi Cao, Jiandong Ding, Ming Liu and Bing Qin
</v>
      </c>
      <c r="E18" s="118" t="str">
        <f>IFERROR(__xludf.DUMMYFUNCTION("TEXTJOIN(CHAR(10), TRUE,FILTER('Industry Papers'!$D:$D,'Industry Papers'!$A:$A=C18))"),"Zerui Chen, Heng Chang, Tianying Liu, Chuantian Zhou, Yi Cao, Jiandong Ding, Ming Liu and Bing Qin")</f>
        <v>Zerui Chen, Heng Chang, Tianying Liu, Chuantian Zhou, Yi Cao, Jiandong Ding, Ming Liu and Bing Qin</v>
      </c>
      <c r="F18" s="166" t="s">
        <v>84</v>
      </c>
      <c r="G18" s="120"/>
    </row>
    <row r="19">
      <c r="A19" s="165" t="s">
        <v>308</v>
      </c>
      <c r="B19" s="118" t="s">
        <v>1070</v>
      </c>
      <c r="C19" s="118" t="s">
        <v>1071</v>
      </c>
      <c r="D19" s="118" t="str">
        <f t="shared" si="1"/>
        <v>NEZHA: A Zero-sacrifice and Hyperspeed Decoding Architecture for Generative Recommendations
Yejing Wang, Shengyu Zhou, Jinyu Lu, Ziwei Liu, Langming Liu, Maolin Wang, Wenlin Zhang, Feng Li, Wenbo Su, Pengjie Wang, Jian Xu and Xiangyu Zhao
</v>
      </c>
      <c r="E19" s="118" t="str">
        <f>IFERROR(__xludf.DUMMYFUNCTION("TEXTJOIN(CHAR(10), TRUE,FILTER('Industry Papers'!$D:$D,'Industry Papers'!$A:$A=C19))"),"Yejing Wang, Shengyu Zhou, Jinyu Lu, Ziwei Liu, Langming Liu, Maolin Wang, Wenlin Zhang, Feng Li, Wenbo Su, Pengjie Wang, Jian Xu and Xiangyu Zhao")</f>
        <v>Yejing Wang, Shengyu Zhou, Jinyu Lu, Ziwei Liu, Langming Liu, Maolin Wang, Wenlin Zhang, Feng Li, Wenbo Su, Pengjie Wang, Jian Xu and Xiangyu Zhao</v>
      </c>
      <c r="F19" s="166" t="s">
        <v>84</v>
      </c>
      <c r="G19" s="120"/>
    </row>
    <row r="20">
      <c r="A20" s="165" t="s">
        <v>308</v>
      </c>
      <c r="B20" s="118" t="s">
        <v>1072</v>
      </c>
      <c r="C20" s="118" t="s">
        <v>1073</v>
      </c>
      <c r="D20" s="118" t="str">
        <f t="shared" si="1"/>
        <v>OneTrans: Unified Feature Interaction and Sequence Modeling with One Transformer in Industrial Recommender
Zhaoqi Zhang, Haolei Pei, Jun Guo, Tianyu Wang, Yufei Feng, Hui Sun, Shaowei Liu and Aixin Sun
</v>
      </c>
      <c r="E20" s="118" t="str">
        <f>IFERROR(__xludf.DUMMYFUNCTION("TEXTJOIN(CHAR(10), TRUE,FILTER('Industry Papers'!$D:$D,'Industry Papers'!$A:$A=C20))"),"Zhaoqi Zhang, Haolei Pei, Jun Guo, Tianyu Wang, Yufei Feng, Hui Sun, Shaowei Liu and Aixin Sun")</f>
        <v>Zhaoqi Zhang, Haolei Pei, Jun Guo, Tianyu Wang, Yufei Feng, Hui Sun, Shaowei Liu and Aixin Sun</v>
      </c>
      <c r="F20" s="166" t="s">
        <v>84</v>
      </c>
      <c r="G20" s="120"/>
    </row>
    <row r="21">
      <c r="A21" s="165" t="s">
        <v>308</v>
      </c>
      <c r="B21" s="118" t="s">
        <v>1074</v>
      </c>
      <c r="C21" s="118" t="s">
        <v>1075</v>
      </c>
      <c r="D21" s="118" t="str">
        <f t="shared" si="1"/>
        <v>GRADE: Personalized Multi-Task Fusion via Group-Relative Reinforcement Learning with Adaptive Dirichlet Exploration
Tingfeng Hong, Pingye Ren, Xinlong Xiao, Chao Wang, Chenyi Lei, Wenwu Ou and Han Li
</v>
      </c>
      <c r="E21" s="118" t="str">
        <f>IFERROR(__xludf.DUMMYFUNCTION("TEXTJOIN(CHAR(10), TRUE,FILTER('Industry Papers'!$D:$D,'Industry Papers'!$A:$A=C21))"),"Tingfeng Hong, Pingye Ren, Xinlong Xiao, Chao Wang, Chenyi Lei, Wenwu Ou and Han Li")</f>
        <v>Tingfeng Hong, Pingye Ren, Xinlong Xiao, Chao Wang, Chenyi Lei, Wenwu Ou and Han Li</v>
      </c>
      <c r="F21" s="166" t="s">
        <v>84</v>
      </c>
      <c r="G21" s="120"/>
    </row>
    <row r="22">
      <c r="A22" s="165" t="s">
        <v>308</v>
      </c>
      <c r="B22" s="118" t="s">
        <v>1076</v>
      </c>
      <c r="C22" s="118" t="s">
        <v>1077</v>
      </c>
      <c r="D22" s="118" t="str">
        <f t="shared" si="1"/>
        <v>PI2I: A Personalized Item-Based Collaborative Filtering Retrieval Framework
Shaoqing Wang, Yingcai Ma, Kairui Fu, Ziyang Wang, Dunxian Huang, Yuliang Yan and Jian Wu
</v>
      </c>
      <c r="E22" s="118" t="str">
        <f>IFERROR(__xludf.DUMMYFUNCTION("TEXTJOIN(CHAR(10), TRUE,FILTER('Industry Papers'!$D:$D,'Industry Papers'!$A:$A=C22))"),"Shaoqing Wang, Yingcai Ma, Kairui Fu, Ziyang Wang, Dunxian Huang, Yuliang Yan and Jian Wu")</f>
        <v>Shaoqing Wang, Yingcai Ma, Kairui Fu, Ziyang Wang, Dunxian Huang, Yuliang Yan and Jian Wu</v>
      </c>
      <c r="F22" s="166" t="s">
        <v>105</v>
      </c>
      <c r="G22" s="120"/>
    </row>
    <row r="23">
      <c r="A23" s="165" t="s">
        <v>308</v>
      </c>
      <c r="B23" s="118" t="s">
        <v>1078</v>
      </c>
      <c r="C23" s="118" t="s">
        <v>1079</v>
      </c>
      <c r="D23" s="118" t="str">
        <f t="shared" si="1"/>
        <v>AliBoostV2: CTR-Growth Balanced Boosting Framework in Billion-Scale Recommendation Platform
Qijie Shen, Yuanchen Bei, Zihong Huang, Xixian Wang, Zhibo Xiao, Dimin Wang, Jialin Zhu, Yuning Jiang, Feiran Huang and Hao Chen
</v>
      </c>
      <c r="E23" s="118" t="str">
        <f>IFERROR(__xludf.DUMMYFUNCTION("TEXTJOIN(CHAR(10), TRUE,FILTER('Industry Papers'!$D:$D,'Industry Papers'!$A:$A=C23))"),"Qijie Shen, Yuanchen Bei, Zihong Huang, Xixian Wang, Zhibo Xiao, Dimin Wang, Jialin Zhu, Yuning Jiang, Feiran Huang and Hao Chen")</f>
        <v>Qijie Shen, Yuanchen Bei, Zihong Huang, Xixian Wang, Zhibo Xiao, Dimin Wang, Jialin Zhu, Yuning Jiang, Feiran Huang and Hao Chen</v>
      </c>
      <c r="F23" s="166" t="s">
        <v>105</v>
      </c>
      <c r="G23" s="120"/>
    </row>
    <row r="24">
      <c r="A24" s="165" t="s">
        <v>308</v>
      </c>
      <c r="B24" s="118" t="s">
        <v>1080</v>
      </c>
      <c r="C24" s="118" t="s">
        <v>1081</v>
      </c>
      <c r="D24" s="118" t="str">
        <f t="shared" si="1"/>
        <v>BanditLP: Large-Scale Stochastic Optimization for Personalized Recommendations
Phuc Nguyen, Benjamin Zelditch, Joyce Chen, Rohit K Patra and Changshuai Wei
</v>
      </c>
      <c r="E24" s="118" t="str">
        <f>IFERROR(__xludf.DUMMYFUNCTION("TEXTJOIN(CHAR(10), TRUE,FILTER('Industry Papers'!$D:$D,'Industry Papers'!$A:$A=C24))"),"Phuc Nguyen, Benjamin Zelditch, Joyce Chen, Rohit K Patra and Changshuai Wei")</f>
        <v>Phuc Nguyen, Benjamin Zelditch, Joyce Chen, Rohit K Patra and Changshuai Wei</v>
      </c>
      <c r="F24" s="166" t="s">
        <v>105</v>
      </c>
      <c r="G24" s="120"/>
    </row>
    <row r="25">
      <c r="A25" s="165" t="s">
        <v>308</v>
      </c>
      <c r="B25" s="118" t="s">
        <v>1082</v>
      </c>
      <c r="C25" s="118" t="s">
        <v>1083</v>
      </c>
      <c r="D25" s="118" t="str">
        <f t="shared" si="1"/>
        <v>Unleashing the Potential of Sparse Attention on Long-term Behaviors for CTR Prediction
Weijiang Lai, Beihong Jin, Di Zhang, Siru Chen, Jiongyan Zhang, Yuhang Gou, Jian Dong and Xingxing Wang
</v>
      </c>
      <c r="E25" s="118" t="str">
        <f>IFERROR(__xludf.DUMMYFUNCTION("TEXTJOIN(CHAR(10), TRUE,FILTER('Industry Papers'!$D:$D,'Industry Papers'!$A:$A=C25))"),"Weijiang Lai, Beihong Jin, Di Zhang, Siru Chen, Jiongyan Zhang, Yuhang Gou, Jian Dong and Xingxing Wang")</f>
        <v>Weijiang Lai, Beihong Jin, Di Zhang, Siru Chen, Jiongyan Zhang, Yuhang Gou, Jian Dong and Xingxing Wang</v>
      </c>
      <c r="F25" s="166" t="s">
        <v>105</v>
      </c>
      <c r="G25" s="120"/>
    </row>
    <row r="26">
      <c r="A26" s="165" t="s">
        <v>308</v>
      </c>
      <c r="B26" s="118" t="s">
        <v>1084</v>
      </c>
      <c r="C26" s="118" t="s">
        <v>1085</v>
      </c>
      <c r="D26" s="118" t="str">
        <f t="shared" si="1"/>
        <v>Improving Multi Task Recommendations via Cross User Learning with a Hybrid Pointwise and Pairwise Ranking Loss
Abhinav Naikawadi, Hedi Xia, Dafang He, Yichu Zhou, Xue Xia, Piyush Maheshwari, Bella Huang, Bowen Deng, James Li, Dhruvil Deven Badani and Yijie Dylan Wang
</v>
      </c>
      <c r="E26" s="118" t="str">
        <f>IFERROR(__xludf.DUMMYFUNCTION("TEXTJOIN(CHAR(10), TRUE,FILTER('Industry Papers'!$D:$D,'Industry Papers'!$A:$A=C26))"),"Abhinav Naikawadi, Hedi Xia, Dafang He, Yichu Zhou, Xue Xia, Piyush Maheshwari, Bella Huang, Bowen Deng, James Li, Dhruvil Deven Badani and Yijie Dylan Wang")</f>
        <v>Abhinav Naikawadi, Hedi Xia, Dafang He, Yichu Zhou, Xue Xia, Piyush Maheshwari, Bella Huang, Bowen Deng, James Li, Dhruvil Deven Badani and Yijie Dylan Wang</v>
      </c>
      <c r="F26" s="166" t="s">
        <v>105</v>
      </c>
      <c r="G26" s="120"/>
    </row>
    <row r="27">
      <c r="A27" s="165" t="s">
        <v>308</v>
      </c>
      <c r="B27" s="118" t="s">
        <v>1086</v>
      </c>
      <c r="C27" s="118" t="s">
        <v>1087</v>
      </c>
      <c r="D27" s="118" t="str">
        <f t="shared" si="1"/>
        <v>Self-Evolving LLMs via Continual Instruction Tuning
Jiazheng Kang, Le Huang, Cheng Hou, Zhe Zhao, ZhenXiang Yan and Ting Bai
</v>
      </c>
      <c r="E27" s="118" t="str">
        <f>IFERROR(__xludf.DUMMYFUNCTION("TEXTJOIN(CHAR(10), TRUE,FILTER('Industry Papers'!$D:$D,'Industry Papers'!$A:$A=C27))"),"Jiazheng Kang, Le Huang, Cheng Hou, Zhe Zhao, ZhenXiang Yan and Ting Bai")</f>
        <v>Jiazheng Kang, Le Huang, Cheng Hou, Zhe Zhao, ZhenXiang Yan and Ting Bai</v>
      </c>
      <c r="F27" s="166" t="s">
        <v>136</v>
      </c>
      <c r="G27" s="120"/>
    </row>
    <row r="28">
      <c r="A28" s="165" t="s">
        <v>308</v>
      </c>
      <c r="B28" s="118" t="s">
        <v>1088</v>
      </c>
      <c r="C28" s="118" t="s">
        <v>1089</v>
      </c>
      <c r="D28" s="118" t="str">
        <f t="shared" si="1"/>
        <v>Large Reasoning Embedding Models: Towards Next-Generation Dense Retrieval Paradigm
Jianting Tang, Dongshuai Li, Tao Wen, Fuyu Lv, Dan Ou and Linli Xu
</v>
      </c>
      <c r="E28" s="118" t="str">
        <f>IFERROR(__xludf.DUMMYFUNCTION("TEXTJOIN(CHAR(10), TRUE,FILTER('Industry Papers'!$D:$D,'Industry Papers'!$A:$A=C28))"),"Jianting Tang, Dongshuai Li, Tao Wen, Fuyu Lv, Dan Ou and Linli Xu")</f>
        <v>Jianting Tang, Dongshuai Li, Tao Wen, Fuyu Lv, Dan Ou and Linli Xu</v>
      </c>
      <c r="F28" s="166" t="s">
        <v>136</v>
      </c>
      <c r="G28" s="120"/>
    </row>
    <row r="29">
      <c r="A29" s="165" t="s">
        <v>308</v>
      </c>
      <c r="B29" s="118" t="s">
        <v>1090</v>
      </c>
      <c r="C29" s="118" t="s">
        <v>1091</v>
      </c>
      <c r="D29" s="118" t="str">
        <f t="shared" si="1"/>
        <v>Probe-and-Fetch: Dynamic KV Cache Pruning for Accelerated Long-Context Inference in Web-Scale AI Search
Yuchen Li, Rui Kong, Xinran Chen, Chengzhe Zhang, Jiamin Chen, Cheng Deng, Xinyu Ma, Haojie Zhang, Tianhao Peng, Hengyi Cai, Shuaiqiang Wang, Jiashu Zhao, Yongqi Zhang, Haoyi Xiong, Jimmy Xiangji Huang, Lei Chen, Jun Wang and Dawei Yin
</v>
      </c>
      <c r="E29" s="118" t="str">
        <f>IFERROR(__xludf.DUMMYFUNCTION("TEXTJOIN(CHAR(10), TRUE,FILTER('Industry Papers'!$D:$D,'Industry Papers'!$A:$A=C29))"),"Yuchen Li, Rui Kong, Xinran Chen, Chengzhe Zhang, Jiamin Chen, Cheng Deng, Xinyu Ma, Haojie Zhang, Tianhao Peng, Hengyi Cai, Shuaiqiang Wang, Jiashu Zhao, Yongqi Zhang, Haoyi Xiong, Jimmy Xiangji Huang, Lei Chen, Jun Wang and Dawei Yin")</f>
        <v>Yuchen Li, Rui Kong, Xinran Chen, Chengzhe Zhang, Jiamin Chen, Cheng Deng, Xinyu Ma, Haojie Zhang, Tianhao Peng, Hengyi Cai, Shuaiqiang Wang, Jiashu Zhao, Yongqi Zhang, Haoyi Xiong, Jimmy Xiangji Huang, Lei Chen, Jun Wang and Dawei Yin</v>
      </c>
      <c r="F29" s="166" t="s">
        <v>136</v>
      </c>
      <c r="G29" s="120"/>
    </row>
    <row r="30">
      <c r="A30" s="165" t="s">
        <v>308</v>
      </c>
      <c r="B30" s="118" t="s">
        <v>1092</v>
      </c>
      <c r="C30" s="118" t="s">
        <v>1093</v>
      </c>
      <c r="D30" s="118" t="str">
        <f t="shared" si="1"/>
        <v>DG-MCTS: Dual-Guidance Monte Carlo Tree Search for Adaptive Emotional Support Dialogue Planning
Benshuo Lin, Jiayu Ding, Yuelei Li, Peng Wu, Yun Xue and Yiping Song
</v>
      </c>
      <c r="E30" s="118" t="str">
        <f>IFERROR(__xludf.DUMMYFUNCTION("TEXTJOIN(CHAR(10), TRUE,FILTER('Industry Papers'!$D:$D,'Industry Papers'!$A:$A=C30))"),"Benshuo Lin, Jiayu Ding, Yuelei Li, Peng Wu, Yun Xue and Yiping Song")</f>
        <v>Benshuo Lin, Jiayu Ding, Yuelei Li, Peng Wu, Yun Xue and Yiping Song</v>
      </c>
      <c r="F30" s="166" t="s">
        <v>136</v>
      </c>
      <c r="G30" s="120"/>
    </row>
    <row r="31">
      <c r="A31" s="165" t="s">
        <v>308</v>
      </c>
      <c r="B31" s="118" t="s">
        <v>1094</v>
      </c>
      <c r="C31" s="118" t="s">
        <v>1095</v>
      </c>
      <c r="D31" s="118" t="str">
        <f t="shared" si="1"/>
        <v>LaV-CoT: Language-Aware Visual CoT with Multi-Aspect Reward Optimization for Multilingual Text-Centric VQA
Jing Huang, Zhiya Tan, Shutao Gong, Fanwei Zeng, Joey Tianyi Zhou, Changtao Miao, Huazhe Tan, Weibin Yao and Jianshu Li
</v>
      </c>
      <c r="E31" s="118" t="str">
        <f>IFERROR(__xludf.DUMMYFUNCTION("TEXTJOIN(CHAR(10), TRUE,FILTER('Industry Papers'!$D:$D,'Industry Papers'!$A:$A=C31))"),"Jing Huang, Zhiya Tan, Shutao Gong, Fanwei Zeng, Joey Tianyi Zhou, Changtao Miao, Huazhe Tan, Weibin Yao and Jianshu Li")</f>
        <v>Jing Huang, Zhiya Tan, Shutao Gong, Fanwei Zeng, Joey Tianyi Zhou, Changtao Miao, Huazhe Tan, Weibin Yao and Jianshu Li</v>
      </c>
      <c r="F31" s="166" t="s">
        <v>136</v>
      </c>
      <c r="G31" s="120"/>
    </row>
    <row r="32">
      <c r="A32" s="165" t="s">
        <v>308</v>
      </c>
      <c r="B32" s="118" t="s">
        <v>1096</v>
      </c>
      <c r="C32" s="118" t="s">
        <v>1097</v>
      </c>
      <c r="D32" s="118" t="str">
        <f t="shared" si="1"/>
        <v>A Generative Contextual Comprehension Paradigm for Takeout Ranking Model
Ziheng Ni, Congcong Liu, Cai Shang, Yiming Sun, Junjie Li, Zhiwei Fang, Guangpeng Chen, Li Jian, Zehua Zhang, Changping Peng, Zhangang Lin, Ching Law and Jingping Shao
</v>
      </c>
      <c r="E32" s="118" t="str">
        <f>IFERROR(__xludf.DUMMYFUNCTION("TEXTJOIN(CHAR(10), TRUE,FILTER('Industry Papers'!$D:$D,'Industry Papers'!$A:$A=C32))"),"Ziheng Ni, Congcong Liu, Cai Shang, Yiming Sun, Junjie Li, Zhiwei Fang, Guangpeng Chen, Li Jian, Zehua Zhang, Changping Peng, Zhangang Lin, Ching Law and Jingping Shao")</f>
        <v>Ziheng Ni, Congcong Liu, Cai Shang, Yiming Sun, Junjie Li, Zhiwei Fang, Guangpeng Chen, Li Jian, Zehua Zhang, Changping Peng, Zhangang Lin, Ching Law and Jingping Shao</v>
      </c>
      <c r="F32" s="166" t="s">
        <v>137</v>
      </c>
      <c r="G32" s="120"/>
    </row>
    <row r="33">
      <c r="A33" s="165" t="s">
        <v>308</v>
      </c>
      <c r="B33" s="118" t="s">
        <v>1098</v>
      </c>
      <c r="C33" s="118" t="s">
        <v>1099</v>
      </c>
      <c r="D33" s="118" t="str">
        <f t="shared" si="1"/>
        <v>ARADD: An Automatic Real-World API Discovery and Deployment Framework for AI Guide Service in Baidu Map
Fuling Wang, Le Zhang, Jingbo Zhou, Jindong Han, Ying Sun, Chuan Qin, Hengshu Zhu and Hui Xiong
</v>
      </c>
      <c r="E33" s="118" t="str">
        <f>IFERROR(__xludf.DUMMYFUNCTION("TEXTJOIN(CHAR(10), TRUE,FILTER('Industry Papers'!$D:$D,'Industry Papers'!$A:$A=C33))"),"Fuling Wang, Le Zhang, Jingbo Zhou, Jindong Han, Ying Sun, Chuan Qin, Hengshu Zhu and Hui Xiong")</f>
        <v>Fuling Wang, Le Zhang, Jingbo Zhou, Jindong Han, Ying Sun, Chuan Qin, Hengshu Zhu and Hui Xiong</v>
      </c>
      <c r="F33" s="166" t="s">
        <v>137</v>
      </c>
      <c r="G33" s="120"/>
    </row>
    <row r="34">
      <c r="A34" s="165" t="s">
        <v>308</v>
      </c>
      <c r="B34" s="118" t="s">
        <v>1100</v>
      </c>
      <c r="C34" s="118" t="s">
        <v>1101</v>
      </c>
      <c r="D34" s="118" t="str">
        <f t="shared" si="1"/>
        <v>TRABL: A Unified Framework for Travel Domain Aspect-Based Sentiment Analysis Applications of Large Language Models
Omer Madmon, Shiran Golan, Eran Fainman, Ofri Kleinfeld and Moran Beladev
</v>
      </c>
      <c r="E34" s="118" t="str">
        <f>IFERROR(__xludf.DUMMYFUNCTION("TEXTJOIN(CHAR(10), TRUE,FILTER('Industry Papers'!$D:$D,'Industry Papers'!$A:$A=C34))"),"Omer Madmon, Shiran Golan, Eran Fainman, Ofri Kleinfeld and Moran Beladev")</f>
        <v>Omer Madmon, Shiran Golan, Eran Fainman, Ofri Kleinfeld and Moran Beladev</v>
      </c>
      <c r="F34" s="166" t="s">
        <v>137</v>
      </c>
      <c r="G34" s="120"/>
    </row>
    <row r="35">
      <c r="A35" s="165" t="s">
        <v>308</v>
      </c>
      <c r="B35" s="118" t="s">
        <v>1102</v>
      </c>
      <c r="C35" s="118" t="s">
        <v>1103</v>
      </c>
      <c r="D35" s="118" t="str">
        <f t="shared" si="1"/>
        <v>From Sold-Out to Sales Uplift: Causal Inference for Intelligent Inventory Management on Online Travel Platforms
Fanwei Zhu, Zhuoran Zhuang, Detao Lv, Manwei Li and Yao Yu
</v>
      </c>
      <c r="E35" s="118" t="str">
        <f>IFERROR(__xludf.DUMMYFUNCTION("TEXTJOIN(CHAR(10), TRUE,FILTER('Industry Papers'!$D:$D,'Industry Papers'!$A:$A=C35))"),"Fanwei Zhu, Zhuoran Zhuang, Detao Lv, Manwei Li and Yao Yu")</f>
        <v>Fanwei Zhu, Zhuoran Zhuang, Detao Lv, Manwei Li and Yao Yu</v>
      </c>
      <c r="F35" s="166" t="s">
        <v>137</v>
      </c>
      <c r="G35" s="120"/>
    </row>
    <row r="36">
      <c r="A36" s="165" t="s">
        <v>308</v>
      </c>
      <c r="B36" s="118" t="s">
        <v>1104</v>
      </c>
      <c r="C36" s="118" t="s">
        <v>1105</v>
      </c>
      <c r="D36" s="118" t="str">
        <f t="shared" si="1"/>
        <v>Enhancing Ride-Hailing Forecasting at DiDi with Multi-View Geospatial Representation Learning from the Web
Xixuan Hao, Guicheng Li, Daiqiang Wu, Xusen Guo, Yumeng Zhu, Zhichao Zou, Peng Zhen, Yao Yao and Yuxuan Liang
</v>
      </c>
      <c r="E36" s="118" t="str">
        <f>IFERROR(__xludf.DUMMYFUNCTION("TEXTJOIN(CHAR(10), TRUE,FILTER('Industry Papers'!$D:$D,'Industry Papers'!$A:$A=C36))"),"Xixuan Hao, Guicheng Li, Daiqiang Wu, Xusen Guo, Yumeng Zhu, Zhichao Zou, Peng Zhen, Yao Yao and Yuxuan Liang")</f>
        <v>Xixuan Hao, Guicheng Li, Daiqiang Wu, Xusen Guo, Yumeng Zhu, Zhichao Zou, Peng Zhen, Yao Yao and Yuxuan Liang</v>
      </c>
      <c r="F36" s="166" t="s">
        <v>137</v>
      </c>
      <c r="G36" s="120"/>
    </row>
    <row r="37">
      <c r="A37" s="165" t="s">
        <v>308</v>
      </c>
      <c r="B37" s="118" t="s">
        <v>1106</v>
      </c>
      <c r="C37" s="118" t="s">
        <v>1107</v>
      </c>
      <c r="D37" s="118" t="str">
        <f t="shared" si="1"/>
        <v>ARCHER: Shooting Straight in Multimodal E-Commerce Search at Alibaba with Progressive Alignment
Maolin Wang, Lang Fu, Jun Chu, Kai Guo, Chenjie Qin, Xinxin Wang, Siyu Wu, Wen Jiang and Xiangyu Zhao
</v>
      </c>
      <c r="E37" s="118" t="str">
        <f>IFERROR(__xludf.DUMMYFUNCTION("TEXTJOIN(CHAR(10), TRUE,FILTER('Industry Papers'!$D:$D,'Industry Papers'!$A:$A=C37))"),"Maolin Wang, Lang Fu, Jun Chu, Kai Guo, Chenjie Qin, Xinxin Wang, Siyu Wu, Wen Jiang and Xiangyu Zhao")</f>
        <v>Maolin Wang, Lang Fu, Jun Chu, Kai Guo, Chenjie Qin, Xinxin Wang, Siyu Wu, Wen Jiang and Xiangyu Zhao</v>
      </c>
      <c r="F37" s="166" t="s">
        <v>157</v>
      </c>
      <c r="G37" s="120"/>
    </row>
    <row r="38">
      <c r="A38" s="165" t="s">
        <v>308</v>
      </c>
      <c r="B38" s="118" t="s">
        <v>1108</v>
      </c>
      <c r="C38" s="118" t="s">
        <v>1109</v>
      </c>
      <c r="D38" s="118" t="str">
        <f t="shared" si="1"/>
        <v>Aligning Query Rewriting with Human Cognition and Preference in E-Commerce Search
Ruize Ou, Kai Wang, Jianzhi Shao, Tao Zhang and Chengfu Huo
</v>
      </c>
      <c r="E38" s="118" t="str">
        <f>IFERROR(__xludf.DUMMYFUNCTION("TEXTJOIN(CHAR(10), TRUE,FILTER('Industry Papers'!$D:$D,'Industry Papers'!$A:$A=C38))"),"Ruize Ou, Kai Wang, Jianzhi Shao, Tao Zhang and Chengfu Huo")</f>
        <v>Ruize Ou, Kai Wang, Jianzhi Shao, Tao Zhang and Chengfu Huo</v>
      </c>
      <c r="F38" s="166" t="s">
        <v>157</v>
      </c>
      <c r="G38" s="120"/>
    </row>
    <row r="39">
      <c r="A39" s="165" t="s">
        <v>308</v>
      </c>
      <c r="B39" s="118" t="s">
        <v>1110</v>
      </c>
      <c r="C39" s="118" t="s">
        <v>1111</v>
      </c>
      <c r="D39" s="118" t="str">
        <f t="shared" si="1"/>
        <v>TaoSR-AGRL: Adaptive Guided Reinforcement Learning Framework for E-commerce Search Relevance
Jianhui Yang, Yiming Jin, Pengkun Jiao, Chenhe Dong, Zerui Huang, Shaowei Yao, Xiaojiang Zhou, Dan Ou and Haihong Tang
</v>
      </c>
      <c r="E39" s="118" t="str">
        <f>IFERROR(__xludf.DUMMYFUNCTION("TEXTJOIN(CHAR(10), TRUE,FILTER('Industry Papers'!$D:$D,'Industry Papers'!$A:$A=C39))"),"Jianhui Yang, Yiming Jin, Pengkun Jiao, Chenhe Dong, Zerui Huang, Shaowei Yao, Xiaojiang Zhou, Dan Ou and Haihong Tang")</f>
        <v>Jianhui Yang, Yiming Jin, Pengkun Jiao, Chenhe Dong, Zerui Huang, Shaowei Yao, Xiaojiang Zhou, Dan Ou and Haihong Tang</v>
      </c>
      <c r="F39" s="166" t="s">
        <v>157</v>
      </c>
      <c r="G39" s="120"/>
    </row>
    <row r="40">
      <c r="A40" s="165" t="s">
        <v>308</v>
      </c>
      <c r="B40" s="118" t="s">
        <v>1112</v>
      </c>
      <c r="C40" s="118" t="s">
        <v>1113</v>
      </c>
      <c r="D40" s="118" t="str">
        <f t="shared" si="1"/>
        <v>Thinking Broad, Acting Fast: Latent Reasoning Distillation from Multi-Perspective Chain-of-Thought for E-Commerce Relevance
Baopu Qiu, Hao Chen, Yuanrong Wu, Changtong Zan, Chao Wei, Weiru Zhang and Xiaoyi Zeng
</v>
      </c>
      <c r="E40" s="118" t="str">
        <f>IFERROR(__xludf.DUMMYFUNCTION("TEXTJOIN(CHAR(10), TRUE,FILTER('Industry Papers'!$D:$D,'Industry Papers'!$A:$A=C40))"),"Baopu Qiu, Hao Chen, Yuanrong Wu, Changtong Zan, Chao Wei, Weiru Zhang and Xiaoyi Zeng")</f>
        <v>Baopu Qiu, Hao Chen, Yuanrong Wu, Changtong Zan, Chao Wei, Weiru Zhang and Xiaoyi Zeng</v>
      </c>
      <c r="F40" s="166" t="s">
        <v>157</v>
      </c>
      <c r="G40" s="120"/>
    </row>
    <row r="41">
      <c r="A41" s="165" t="s">
        <v>308</v>
      </c>
      <c r="B41" s="118" t="s">
        <v>1114</v>
      </c>
      <c r="C41" s="118" t="s">
        <v>1115</v>
      </c>
      <c r="D41" s="118" t="str">
        <f t="shared" si="1"/>
        <v>From Reasoning LLMs to BERT: A Two-Stage Distillation Framework for Search Relevance
Runze Xia, Yupeng Ji, Yuxi Zhou, Haodong Liu, Teng Zhang and Piji Li
</v>
      </c>
      <c r="E41" s="118" t="str">
        <f>IFERROR(__xludf.DUMMYFUNCTION("TEXTJOIN(CHAR(10), TRUE,FILTER('Industry Papers'!$D:$D,'Industry Papers'!$A:$A=C41))"),"Runze Xia, Yupeng Ji, Yuxi Zhou, Haodong Liu, Teng Zhang and Piji Li")</f>
        <v>Runze Xia, Yupeng Ji, Yuxi Zhou, Haodong Liu, Teng Zhang and Piji Li</v>
      </c>
      <c r="F41" s="166" t="s">
        <v>157</v>
      </c>
      <c r="G41" s="120"/>
    </row>
    <row r="42">
      <c r="A42" s="165" t="s">
        <v>308</v>
      </c>
      <c r="B42" s="118" t="s">
        <v>1116</v>
      </c>
      <c r="C42" s="118" t="s">
        <v>1117</v>
      </c>
      <c r="D42" s="118" t="str">
        <f t="shared" si="1"/>
        <v>A Long-term Value Prediction Framework In Video Ranking
Huabin Chen, Xinao Wang, Huiping Chu, Keqin Xu, Chenhao Zhai, Chenyi Wang, Kai Meng and Yuning Jiang
</v>
      </c>
      <c r="E42" s="118" t="str">
        <f>IFERROR(__xludf.DUMMYFUNCTION("TEXTJOIN(CHAR(10), TRUE,FILTER('Industry Papers'!$D:$D,'Industry Papers'!$A:$A=C42))"),"Huabin Chen, Xinao Wang, Huiping Chu, Keqin Xu, Chenhao Zhai, Chenyi Wang, Kai Meng and Yuning Jiang")</f>
        <v>Huabin Chen, Xinao Wang, Huiping Chu, Keqin Xu, Chenhao Zhai, Chenyi Wang, Kai Meng and Yuning Jiang</v>
      </c>
      <c r="F42" s="166" t="s">
        <v>175</v>
      </c>
      <c r="G42" s="120"/>
    </row>
    <row r="43">
      <c r="A43" s="165" t="s">
        <v>308</v>
      </c>
      <c r="B43" s="118" t="s">
        <v>1118</v>
      </c>
      <c r="C43" s="118" t="s">
        <v>1119</v>
      </c>
      <c r="D43" s="118" t="str">
        <f t="shared" si="1"/>
        <v>GAM: A Generative Auto-Marketing Framework in Online E-commerce Platforms
Yuejia Dou, Shuai Dou, Yuchao Ma, Bingzhe Wang, Tianyu Wang, Zhilin Zhang, Chuan Yu, Jian Xu and Qi Qi
</v>
      </c>
      <c r="E43" s="118" t="str">
        <f>IFERROR(__xludf.DUMMYFUNCTION("TEXTJOIN(CHAR(10), TRUE,FILTER('Industry Papers'!$D:$D,'Industry Papers'!$A:$A=C43))"),"Yuejia Dou, Shuai Dou, Yuchao Ma, Bingzhe Wang, Tianyu Wang, Zhilin Zhang, Chuan Yu, Jian Xu and Qi Qi")</f>
        <v>Yuejia Dou, Shuai Dou, Yuchao Ma, Bingzhe Wang, Tianyu Wang, Zhilin Zhang, Chuan Yu, Jian Xu and Qi Qi</v>
      </c>
      <c r="F43" s="166" t="s">
        <v>175</v>
      </c>
      <c r="G43" s="120"/>
    </row>
    <row r="44">
      <c r="A44" s="165" t="s">
        <v>308</v>
      </c>
      <c r="B44" s="118" t="s">
        <v>1120</v>
      </c>
      <c r="C44" s="118" t="s">
        <v>1121</v>
      </c>
      <c r="D44" s="118" t="str">
        <f t="shared" si="1"/>
        <v>Make It Long, Keep It Fast: End-to-End 10k-Sequence Modeling at Billion Scale on Douyin
Lin Guan, Jia-Qi Yang, Zhishan Zhao, Beichuan Zhang, Bo Sun, Xuanyuan Luo, Jinan Ni, Xiaowen Li, Yuhang Qi, Zhifang Fan, Hangyu Wang, Qiwei Chen, Yi Cheng, Feng Zhang and Xiao Yang
</v>
      </c>
      <c r="E44" s="118" t="str">
        <f>IFERROR(__xludf.DUMMYFUNCTION("TEXTJOIN(CHAR(10), TRUE,FILTER('Industry Papers'!$D:$D,'Industry Papers'!$A:$A=C44))"),"Lin Guan, Jia-Qi Yang, Zhishan Zhao, Beichuan Zhang, Bo Sun, Xuanyuan Luo, Jinan Ni, Xiaowen Li, Yuhang Qi, Zhifang Fan, Hangyu Wang, Qiwei Chen, Yi Cheng, Feng Zhang and Xiao Yang")</f>
        <v>Lin Guan, Jia-Qi Yang, Zhishan Zhao, Beichuan Zhang, Bo Sun, Xuanyuan Luo, Jinan Ni, Xiaowen Li, Yuhang Qi, Zhifang Fan, Hangyu Wang, Qiwei Chen, Yi Cheng, Feng Zhang and Xiao Yang</v>
      </c>
      <c r="F44" s="166" t="s">
        <v>175</v>
      </c>
      <c r="G44" s="120"/>
    </row>
    <row r="45">
      <c r="A45" s="165" t="s">
        <v>308</v>
      </c>
      <c r="B45" s="118" t="s">
        <v>1122</v>
      </c>
      <c r="C45" s="118" t="s">
        <v>1123</v>
      </c>
      <c r="D45" s="118" t="str">
        <f t="shared" si="1"/>
        <v>When Rules Fall Short: Agent-Driven Discovery of Emerging Content Issues in Short Video Platforms
Chenghui Yu, Hongwei Wang, Junwen Chen, Zixuan Wang, Bingfeng Deng, Zhuolin Hao, Hongyu Xiong and Yang Song
</v>
      </c>
      <c r="E45" s="118" t="str">
        <f>IFERROR(__xludf.DUMMYFUNCTION("TEXTJOIN(CHAR(10), TRUE,FILTER('Industry Papers'!$D:$D,'Industry Papers'!$A:$A=C45))"),"Chenghui Yu, Hongwei Wang, Junwen Chen, Zixuan Wang, Bingfeng Deng, Zhuolin Hao, Hongyu Xiong and Yang Song")</f>
        <v>Chenghui Yu, Hongwei Wang, Junwen Chen, Zixuan Wang, Bingfeng Deng, Zhuolin Hao, Hongyu Xiong and Yang Song</v>
      </c>
      <c r="F45" s="166" t="s">
        <v>175</v>
      </c>
      <c r="G45" s="120"/>
    </row>
    <row r="46">
      <c r="A46" s="165" t="s">
        <v>308</v>
      </c>
      <c r="B46" s="118" t="s">
        <v>1124</v>
      </c>
      <c r="C46" s="118" t="s">
        <v>1125</v>
      </c>
      <c r="D46" s="118" t="str">
        <f t="shared" si="1"/>
        <v>Visual Content Moderation in Messaging Systems
Maria Ljubičić, Emanuel Lacić and Denis Helić
</v>
      </c>
      <c r="E46" s="118" t="str">
        <f>IFERROR(__xludf.DUMMYFUNCTION("TEXTJOIN(CHAR(10), TRUE,FILTER('Industry Papers'!$D:$D,'Industry Papers'!$A:$A=C46))"),"Maria Ljubičić, Emanuel Lacić and Denis Helić")</f>
        <v>Maria Ljubičić, Emanuel Lacić and Denis Helić</v>
      </c>
      <c r="F46" s="166" t="s">
        <v>175</v>
      </c>
      <c r="G46" s="120"/>
    </row>
    <row r="47">
      <c r="A47" s="165" t="s">
        <v>308</v>
      </c>
      <c r="B47" s="118" t="s">
        <v>1126</v>
      </c>
      <c r="C47" s="118" t="s">
        <v>1127</v>
      </c>
      <c r="D47" s="118" t="str">
        <f t="shared" si="1"/>
        <v>Multi-Domain Marker Aggregation for Threat Detection in Cloud Environments
Junshen Xu, Jiayun Zhang and Yi Fan
</v>
      </c>
      <c r="E47" s="118" t="str">
        <f>IFERROR(__xludf.DUMMYFUNCTION("TEXTJOIN(CHAR(10), TRUE,FILTER('Industry Papers'!$D:$D,'Industry Papers'!$A:$A=C47))"),"Junshen Xu, Jiayun Zhang and Yi Fan")</f>
        <v>Junshen Xu, Jiayun Zhang and Yi Fan</v>
      </c>
      <c r="F47" s="166" t="s">
        <v>202</v>
      </c>
      <c r="G47" s="120"/>
    </row>
    <row r="48">
      <c r="A48" s="165" t="s">
        <v>308</v>
      </c>
      <c r="B48" s="118" t="s">
        <v>1128</v>
      </c>
      <c r="C48" s="118" t="s">
        <v>1129</v>
      </c>
      <c r="D48" s="118" t="str">
        <f t="shared" si="1"/>
        <v>Smart Eye: LLM-Guided Proposer-Verifier Framework for Industrial-Scale Log Anomaly Detection
Changhua Pei, Hang Cui, Jingjing Li, Yuxuan Li, Zihan Liu, Xinyuan Liao, Cenjie Hu, Jiabao Wang, Zheyuan Li, Zexin Wang, Haotian Si, Ke Xiang, Gaogang Xie and Dan Pei
</v>
      </c>
      <c r="E48" s="118" t="str">
        <f>IFERROR(__xludf.DUMMYFUNCTION("TEXTJOIN(CHAR(10), TRUE,FILTER('Industry Papers'!$D:$D,'Industry Papers'!$A:$A=C48))"),"Changhua Pei, Hang Cui, Jingjing Li, Yuxuan Li, Zihan Liu, Xinyuan Liao, Cenjie Hu, Jiabao Wang, Zheyuan Li, Zexin Wang, Haotian Si, Ke Xiang, Gaogang Xie and Dan Pei")</f>
        <v>Changhua Pei, Hang Cui, Jingjing Li, Yuxuan Li, Zihan Liu, Xinyuan Liao, Cenjie Hu, Jiabao Wang, Zheyuan Li, Zexin Wang, Haotian Si, Ke Xiang, Gaogang Xie and Dan Pei</v>
      </c>
      <c r="F48" s="166" t="s">
        <v>202</v>
      </c>
      <c r="G48" s="120"/>
    </row>
    <row r="49">
      <c r="A49" s="165" t="s">
        <v>308</v>
      </c>
      <c r="B49" s="118" t="s">
        <v>1130</v>
      </c>
      <c r="C49" s="118" t="s">
        <v>1131</v>
      </c>
      <c r="D49" s="118" t="str">
        <f t="shared" si="1"/>
        <v>URLBank: Data-Driven URL Discovery via Temporal Link Graphs
Felipe Marineli, Valerio Cetorelli, Valter Crescenzi, Tim Furche and Xiaonan Guo
</v>
      </c>
      <c r="E49" s="118" t="str">
        <f>IFERROR(__xludf.DUMMYFUNCTION("TEXTJOIN(CHAR(10), TRUE,FILTER('Industry Papers'!$D:$D,'Industry Papers'!$A:$A=C49))"),"Felipe Marineli, Valerio Cetorelli, Valter Crescenzi, Tim Furche and Xiaonan Guo")</f>
        <v>Felipe Marineli, Valerio Cetorelli, Valter Crescenzi, Tim Furche and Xiaonan Guo</v>
      </c>
      <c r="F49" s="166" t="s">
        <v>202</v>
      </c>
      <c r="G49" s="120"/>
    </row>
    <row r="50">
      <c r="A50" s="165" t="s">
        <v>308</v>
      </c>
      <c r="B50" s="118" t="s">
        <v>1132</v>
      </c>
      <c r="C50" s="118" t="s">
        <v>1133</v>
      </c>
      <c r="D50" s="118" t="str">
        <f t="shared" si="1"/>
        <v>Orchestration-Free Customer Service Automation: A Privacy-Preserving and Flowchart-Guided Framework
Mengze Hong, Chen Jason Zhang, Zichang Guo, Hanlin Gu, Di Jiang and Qing Li
</v>
      </c>
      <c r="E50" s="118" t="str">
        <f>IFERROR(__xludf.DUMMYFUNCTION("TEXTJOIN(CHAR(10), TRUE,FILTER('Industry Papers'!$D:$D,'Industry Papers'!$A:$A=C50))"),"Mengze Hong, Chen Jason Zhang, Zichang Guo, Hanlin Gu, Di Jiang and Qing Li")</f>
        <v>Mengze Hong, Chen Jason Zhang, Zichang Guo, Hanlin Gu, Di Jiang and Qing Li</v>
      </c>
      <c r="F50" s="166" t="s">
        <v>202</v>
      </c>
      <c r="G50" s="120"/>
    </row>
    <row r="51">
      <c r="A51" s="165" t="s">
        <v>308</v>
      </c>
      <c r="B51" s="118" t="s">
        <v>1134</v>
      </c>
      <c r="C51" s="118" t="s">
        <v>1135</v>
      </c>
      <c r="D51" s="118" t="str">
        <f t="shared" si="1"/>
        <v>Multilingual Reference Need Assessment System for Wikipedia
Aitolkyn Baigutanova, Francisco Navas, Pablo Aragon, Mykola Trokhymovych, Muniza Aslam, Ai-Jou Chou, Miriam Redi and Diego Saez Trumper
</v>
      </c>
      <c r="E51" s="118" t="str">
        <f>IFERROR(__xludf.DUMMYFUNCTION("TEXTJOIN(CHAR(10), TRUE,FILTER('Industry Papers'!$D:$D,'Industry Papers'!$A:$A=C51))"),"Aitolkyn Baigutanova, Francisco Navas, Pablo Aragon, Mykola Trokhymovych, Muniza Aslam, Ai-Jou Chou, Miriam Redi and Diego Saez Trumper")</f>
        <v>Aitolkyn Baigutanova, Francisco Navas, Pablo Aragon, Mykola Trokhymovych, Muniza Aslam, Ai-Jou Chou, Miriam Redi and Diego Saez Trumper</v>
      </c>
      <c r="F51" s="166" t="s">
        <v>202</v>
      </c>
      <c r="G51" s="120"/>
    </row>
    <row r="52">
      <c r="A52" s="165" t="s">
        <v>308</v>
      </c>
      <c r="B52" s="118" t="s">
        <v>1136</v>
      </c>
      <c r="C52" s="118" t="s">
        <v>1137</v>
      </c>
      <c r="D52" s="118" t="str">
        <f t="shared" si="1"/>
        <v>OpenDigger: A Practical Framework for Assessing Community Health and Sustainability in Open Source Collaboration Platforms
Wei Wang, Fanyu Han, Shengyu Zhao, Xuan Zhou, Weining Qian, Aoying Zhou, Xiaoya Xia, Liyun Yang, Rong Wang, Ning Jiang and Moming Duan
</v>
      </c>
      <c r="E52" s="118" t="str">
        <f>IFERROR(__xludf.DUMMYFUNCTION("TEXTJOIN(CHAR(10), TRUE,FILTER('Industry Papers'!$D:$D,'Industry Papers'!$A:$A=C52))"),"Wei Wang, Fanyu Han, Shengyu Zhao, Xuan Zhou, Weining Qian, Aoying Zhou, Xiaoya Xia, Liyun Yang, Rong Wang, Ning Jiang and Moming Duan")</f>
        <v>Wei Wang, Fanyu Han, Shengyu Zhao, Xuan Zhou, Weining Qian, Aoying Zhou, Xiaoya Xia, Liyun Yang, Rong Wang, Ning Jiang and Moming Duan</v>
      </c>
      <c r="F52" s="118" t="s">
        <v>296</v>
      </c>
      <c r="G52" s="133" t="s">
        <v>354</v>
      </c>
    </row>
    <row r="53">
      <c r="A53" s="165" t="s">
        <v>308</v>
      </c>
      <c r="B53" s="118" t="s">
        <v>1138</v>
      </c>
      <c r="C53" s="118" t="s">
        <v>1139</v>
      </c>
      <c r="D53" s="118" t="str">
        <f t="shared" si="1"/>
        <v>GPU-accelerated Multi-relational Parallel Graph Retrieval for Web-scale Recommendations
Zhuoning Guo, Guangxing Chen, Qian Gao, Xiaochao Liao, Jianjia Zheng, Lu Shen and Hao Liu
</v>
      </c>
      <c r="E53" s="118" t="str">
        <f>IFERROR(__xludf.DUMMYFUNCTION("TEXTJOIN(CHAR(10), TRUE,FILTER('Industry Papers'!$D:$D,'Industry Papers'!$A:$A=C53))"),"Zhuoning Guo, Guangxing Chen, Qian Gao, Xiaochao Liao, Jianjia Zheng, Lu Shen and Hao Liu")</f>
        <v>Zhuoning Guo, Guangxing Chen, Qian Gao, Xiaochao Liao, Jianjia Zheng, Lu Shen and Hao Liu</v>
      </c>
      <c r="F53" s="118" t="s">
        <v>296</v>
      </c>
      <c r="G53" s="133" t="s">
        <v>120</v>
      </c>
    </row>
    <row r="54">
      <c r="A54" s="165" t="s">
        <v>308</v>
      </c>
      <c r="B54" s="118" t="s">
        <v>1140</v>
      </c>
      <c r="C54" s="118" t="s">
        <v>1141</v>
      </c>
      <c r="D54" s="118" t="str">
        <f t="shared" si="1"/>
        <v>LSIG: Long Semantic IDs for Generative Recommendation
Zhao Li, FengYang Qi, Chuanyu Xu, Tao Zhang, Chengfu Huo and Peng Zhang
</v>
      </c>
      <c r="E54" s="118" t="str">
        <f>IFERROR(__xludf.DUMMYFUNCTION("TEXTJOIN(CHAR(10), TRUE,FILTER('Industry Papers'!$D:$D,'Industry Papers'!$A:$A=C54))"),"Zhao Li, FengYang Qi, Chuanyu Xu, Tao Zhang, Chengfu Huo and Peng Zhang")</f>
        <v>Zhao Li, FengYang Qi, Chuanyu Xu, Tao Zhang, Chengfu Huo and Peng Zhang</v>
      </c>
      <c r="F54" s="118" t="s">
        <v>296</v>
      </c>
      <c r="G54" s="133" t="s">
        <v>355</v>
      </c>
    </row>
    <row r="55">
      <c r="A55" s="165" t="s">
        <v>308</v>
      </c>
      <c r="B55" s="118" t="s">
        <v>1142</v>
      </c>
      <c r="C55" s="118" t="s">
        <v>1143</v>
      </c>
      <c r="D55" s="118" t="str">
        <f t="shared" si="1"/>
        <v>GRank: Towards Target-Aware and Streamlined Industrial Retrieval with a Generate-Rank Framework
Yijia Sun, Shanshan Huang, Zhiyuan Guan, Qiang Luo, Ruiming Tang, Kun Gai and Guorui Zhou
</v>
      </c>
      <c r="E55" s="118" t="str">
        <f>IFERROR(__xludf.DUMMYFUNCTION("TEXTJOIN(CHAR(10), TRUE,FILTER('Industry Papers'!$D:$D,'Industry Papers'!$A:$A=C55))"),"Yijia Sun, Shanshan Huang, Zhiyuan Guan, Qiang Luo, Ruiming Tang, Kun Gai and Guorui Zhou")</f>
        <v>Yijia Sun, Shanshan Huang, Zhiyuan Guan, Qiang Luo, Ruiming Tang, Kun Gai and Guorui Zhou</v>
      </c>
      <c r="F55" s="118" t="s">
        <v>296</v>
      </c>
      <c r="G55" s="133" t="s">
        <v>356</v>
      </c>
    </row>
    <row r="56">
      <c r="A56" s="165" t="s">
        <v>308</v>
      </c>
      <c r="B56" s="118" t="s">
        <v>1144</v>
      </c>
      <c r="C56" s="118" t="s">
        <v>1145</v>
      </c>
      <c r="D56" s="118" t="str">
        <f t="shared" si="1"/>
        <v>Data-Driven Function Calling Improvements in Large Language Model for Online Financial QA
Xing Tang, Hao Chen, Shiwei Li, Fuyuan Lyu, Weijie Shi, Lingjie Li, Dugang Liu, Weihong Luo, Xiku Du and Xiuqiang He
</v>
      </c>
      <c r="E56" s="118" t="str">
        <f>IFERROR(__xludf.DUMMYFUNCTION("TEXTJOIN(CHAR(10), TRUE,FILTER('Industry Papers'!$D:$D,'Industry Papers'!$A:$A=C56))"),"Xing Tang, Hao Chen, Shiwei Li, Fuyuan Lyu, Weijie Shi, Lingjie Li, Dugang Liu, Weihong Luo, Xiku Du and Xiuqiang He")</f>
        <v>Xing Tang, Hao Chen, Shiwei Li, Fuyuan Lyu, Weijie Shi, Lingjie Li, Dugang Liu, Weihong Luo, Xiku Du and Xiuqiang He</v>
      </c>
      <c r="F56" s="118" t="s">
        <v>296</v>
      </c>
      <c r="G56" s="133" t="s">
        <v>188</v>
      </c>
    </row>
    <row r="57">
      <c r="A57" s="165" t="s">
        <v>308</v>
      </c>
      <c r="B57" s="118" t="s">
        <v>1146</v>
      </c>
      <c r="C57" s="118" t="s">
        <v>1147</v>
      </c>
      <c r="D57" s="118" t="str">
        <f t="shared" si="1"/>
        <v>Bridging Visual Dynamics and Narrative Reasoning: Multimodal Large Language Models for Short Drama Quality Assessment
Qingyang Liu, Jiangtong Li, Zelin Peng, Shaobo Wang, Zhaohe Liao, Shuochen Chang, Bingjie Gao, Haonan Zhao, Mu Liu, Jidong Jiang and Li Niu
</v>
      </c>
      <c r="E57" s="118" t="str">
        <f>IFERROR(__xludf.DUMMYFUNCTION("TEXTJOIN(CHAR(10), TRUE,FILTER('Industry Papers'!$D:$D,'Industry Papers'!$A:$A=C57))"),"Qingyang Liu, Jiangtong Li, Zelin Peng, Shaobo Wang, Zhaohe Liao, Shuochen Chang, Bingjie Gao, Haonan Zhao, Mu Liu, Jidong Jiang and Li Niu")</f>
        <v>Qingyang Liu, Jiangtong Li, Zelin Peng, Shaobo Wang, Zhaohe Liao, Shuochen Chang, Bingjie Gao, Haonan Zhao, Mu Liu, Jidong Jiang and Li Niu</v>
      </c>
      <c r="F57" s="118" t="s">
        <v>296</v>
      </c>
      <c r="G57" s="133" t="s">
        <v>354</v>
      </c>
    </row>
    <row r="58">
      <c r="A58" s="165" t="s">
        <v>308</v>
      </c>
      <c r="B58" s="118" t="s">
        <v>1148</v>
      </c>
      <c r="C58" s="118" t="s">
        <v>1149</v>
      </c>
      <c r="D58" s="118" t="str">
        <f t="shared" si="1"/>
        <v>Accurate and Efficient Personalized Query Rewriting in Baidu Search
Xu Chu, Angela Li, Jiaming Zhang, Wei Li, Zhijie Tan, Dawei Yin, Shuaiqiang Wang and Daiting Shi
</v>
      </c>
      <c r="E58" s="118" t="str">
        <f>IFERROR(__xludf.DUMMYFUNCTION("TEXTJOIN(CHAR(10), TRUE,FILTER('Industry Papers'!$D:$D,'Industry Papers'!$A:$A=C58))"),"Xu Chu, Angela Li, Jiaming Zhang, Wei Li, Zhijie Tan, Dawei Yin, Shuaiqiang Wang and Daiting Shi")</f>
        <v>Xu Chu, Angela Li, Jiaming Zhang, Wei Li, Zhijie Tan, Dawei Yin, Shuaiqiang Wang and Daiting Shi</v>
      </c>
      <c r="F58" s="118" t="s">
        <v>296</v>
      </c>
      <c r="G58" s="133" t="s">
        <v>120</v>
      </c>
    </row>
    <row r="59">
      <c r="A59" s="165" t="s">
        <v>308</v>
      </c>
      <c r="B59" s="118" t="s">
        <v>1150</v>
      </c>
      <c r="C59" s="118" t="s">
        <v>1151</v>
      </c>
      <c r="D59" s="118" t="str">
        <f t="shared" si="1"/>
        <v>iQ-Guard: An Effective and Noise-Resistant Framework for Graph Fraud Detection on iQIYI Platform
Yuting Huang, Ziquan Fang, Zhengjie Zhou, Tinghui Luo, Lu Chen, Surun Ji, Huimei Zheng, Mingfan Lu, Fangshu Chen and Yunjun Gao
</v>
      </c>
      <c r="E59" s="118" t="str">
        <f>IFERROR(__xludf.DUMMYFUNCTION("TEXTJOIN(CHAR(10), TRUE,FILTER('Industry Papers'!$D:$D,'Industry Papers'!$A:$A=C59))"),"Yuting Huang, Ziquan Fang, Zhengjie Zhou, Tinghui Luo, Lu Chen, Surun Ji, Huimei Zheng, Mingfan Lu, Fangshu Chen and Yunjun Gao")</f>
        <v>Yuting Huang, Ziquan Fang, Zhengjie Zhou, Tinghui Luo, Lu Chen, Surun Ji, Huimei Zheng, Mingfan Lu, Fangshu Chen and Yunjun Gao</v>
      </c>
      <c r="F59" s="118" t="s">
        <v>296</v>
      </c>
      <c r="G59" s="133" t="s">
        <v>355</v>
      </c>
    </row>
    <row r="60">
      <c r="A60" s="165" t="s">
        <v>308</v>
      </c>
      <c r="B60" s="118" t="s">
        <v>1152</v>
      </c>
      <c r="C60" s="118" t="s">
        <v>1153</v>
      </c>
      <c r="D60" s="118" t="str">
        <f t="shared" si="1"/>
        <v>Delay-Aware Graph Neural Stochastic Differential Equations for Financial Time Series Modeling and Forecasting
Mingjie You, Dawei Cheng, Meilin Zhang, Peng Zhu and Yuqi Liang
</v>
      </c>
      <c r="E60" s="118" t="str">
        <f>IFERROR(__xludf.DUMMYFUNCTION("TEXTJOIN(CHAR(10), TRUE,FILTER('Industry Papers'!$D:$D,'Industry Papers'!$A:$A=C60))"),"Mingjie You, Dawei Cheng, Meilin Zhang, Peng Zhu and Yuqi Liang")</f>
        <v>Mingjie You, Dawei Cheng, Meilin Zhang, Peng Zhu and Yuqi Liang</v>
      </c>
      <c r="F60" s="118" t="s">
        <v>296</v>
      </c>
      <c r="G60" s="133" t="s">
        <v>356</v>
      </c>
    </row>
    <row r="61">
      <c r="A61" s="165" t="s">
        <v>308</v>
      </c>
      <c r="B61" s="118" t="s">
        <v>1154</v>
      </c>
      <c r="C61" s="118" t="s">
        <v>1155</v>
      </c>
      <c r="D61" s="118" t="str">
        <f t="shared" si="1"/>
        <v>CardRewriter: Leveraging Knowledge Cards for Long-Tail Query Rewriting on Short-Video Platforms
Peiyuan Gong, Feiran Zhu, Yaqi Yin, ChengLei Dai, Chao Zhang, Kai Zheng, Wentian Bao, Jiaxin Mao and Yi Zhang
</v>
      </c>
      <c r="E61" s="118" t="str">
        <f>IFERROR(__xludf.DUMMYFUNCTION("TEXTJOIN(CHAR(10), TRUE,FILTER('Industry Papers'!$D:$D,'Industry Papers'!$A:$A=C61))"),"Peiyuan Gong, Feiran Zhu, Yaqi Yin, ChengLei Dai, Chao Zhang, Kai Zheng, Wentian Bao, Jiaxin Mao and Yi Zhang")</f>
        <v>Peiyuan Gong, Feiran Zhu, Yaqi Yin, ChengLei Dai, Chao Zhang, Kai Zheng, Wentian Bao, Jiaxin Mao and Yi Zhang</v>
      </c>
      <c r="F61" s="118" t="s">
        <v>296</v>
      </c>
      <c r="G61" s="133" t="s">
        <v>188</v>
      </c>
    </row>
    <row r="62">
      <c r="A62" s="165" t="s">
        <v>308</v>
      </c>
      <c r="B62" s="118" t="s">
        <v>1156</v>
      </c>
      <c r="C62" s="118" t="s">
        <v>1157</v>
      </c>
      <c r="D62" s="118" t="str">
        <f t="shared" si="1"/>
        <v>Not All Candidates are Created Equal: A Heterogeneity-Aware Approach to Pre-ranking in Recommender Systems
Pengfei Tong, Siyuan Chen, Chenwei Zhang, Bo Wang, Qi Pi, Pixun Li and Zuotao Liu
</v>
      </c>
      <c r="E62" s="118" t="str">
        <f>IFERROR(__xludf.DUMMYFUNCTION("TEXTJOIN(CHAR(10), TRUE,FILTER('Industry Papers'!$D:$D,'Industry Papers'!$A:$A=C62))"),"Pengfei Tong, Siyuan Chen, Chenwei Zhang, Bo Wang, Qi Pi, Pixun Li and Zuotao Liu")</f>
        <v>Pengfei Tong, Siyuan Chen, Chenwei Zhang, Bo Wang, Qi Pi, Pixun Li and Zuotao Liu</v>
      </c>
      <c r="F62" s="118" t="s">
        <v>296</v>
      </c>
      <c r="G62" s="167" t="s">
        <v>354</v>
      </c>
    </row>
    <row r="63">
      <c r="A63" s="165" t="s">
        <v>308</v>
      </c>
      <c r="B63" s="118" t="s">
        <v>1158</v>
      </c>
      <c r="C63" s="118" t="s">
        <v>1159</v>
      </c>
      <c r="D63" s="118" t="str">
        <f t="shared" si="1"/>
        <v>PLUM: Adapting Pre-trained Language Models for Industrial-scale Generative Recommendations
Ruining He, Lukasz Heldt, Lichan Hong, Raghunandan Keshavan, Shifan Mao, Nikhil Mehta, Zhengyang Su, Alicia Tsai, Yueqi Wang, Shao-Chuan Wang, Xinyang Yi, Lexi Baugher, Baykal Cakici, Ed Chi, Cristos Goodrow, Ningren Han, He Ma, Romer Rosales, Abby Van Soest, Devansh Tandon, Su-Lin Wu, Weilong Yang and Yilin Zheng
</v>
      </c>
      <c r="E63" s="118" t="str">
        <f>IFERROR(__xludf.DUMMYFUNCTION("TEXTJOIN(CHAR(10), TRUE,FILTER('Industry Papers'!$D:$D,'Industry Papers'!$A:$A=C63))"),"Ruining He, Lukasz Heldt, Lichan Hong, Raghunandan Keshavan, Shifan Mao, Nikhil Mehta, Zhengyang Su, Alicia Tsai, Yueqi Wang, Shao-Chuan Wang, Xinyang Yi, Lexi Baugher, Baykal Cakici, Ed Chi, Cristos Goodrow, Ningren Han, He Ma, Romer Rosales, Abby Van So"&amp;"est, Devansh Tandon, Su-Lin Wu, Weilong Yang and Yilin Zheng")</f>
        <v>Ruining He, Lukasz Heldt, Lichan Hong, Raghunandan Keshavan, Shifan Mao, Nikhil Mehta, Zhengyang Su, Alicia Tsai, Yueqi Wang, Shao-Chuan Wang, Xinyang Yi, Lexi Baugher, Baykal Cakici, Ed Chi, Cristos Goodrow, Ningren Han, He Ma, Romer Rosales, Abby Van Soest, Devansh Tandon, Su-Lin Wu, Weilong Yang and Yilin Zheng</v>
      </c>
      <c r="F63" s="118" t="s">
        <v>296</v>
      </c>
      <c r="G63" s="120" t="s">
        <v>120</v>
      </c>
    </row>
    <row r="64">
      <c r="A64" s="165" t="s">
        <v>308</v>
      </c>
      <c r="B64" s="118" t="s">
        <v>1160</v>
      </c>
      <c r="C64" s="118" t="s">
        <v>1161</v>
      </c>
      <c r="D64" s="118" t="str">
        <f t="shared" si="1"/>
        <v>Warmer for Less: A Cost-Efficient Strategy for Cold-Start Recommendations at Pinterest
Saeed Ebrahimi, Weijie Jiang, Jaewon Yang, Olafur Gudmundsson, Yucheng Tu and Huizhong Duan
</v>
      </c>
      <c r="E64" s="118" t="str">
        <f>IFERROR(__xludf.DUMMYFUNCTION("TEXTJOIN(CHAR(10), TRUE,FILTER('Industry Papers'!$D:$D,'Industry Papers'!$A:$A=C64))"),"Saeed Ebrahimi, Weijie Jiang, Jaewon Yang, Olafur Gudmundsson, Yucheng Tu and Huizhong Duan")</f>
        <v>Saeed Ebrahimi, Weijie Jiang, Jaewon Yang, Olafur Gudmundsson, Yucheng Tu and Huizhong Duan</v>
      </c>
      <c r="F64" s="118" t="s">
        <v>296</v>
      </c>
      <c r="G64" s="120" t="s">
        <v>355</v>
      </c>
    </row>
    <row r="65">
      <c r="A65" s="165" t="s">
        <v>308</v>
      </c>
      <c r="B65" s="118" t="s">
        <v>1162</v>
      </c>
      <c r="C65" s="118" t="s">
        <v>1163</v>
      </c>
      <c r="D65" s="118" t="str">
        <f t="shared" si="1"/>
        <v>AFE-Master: Enhancing LLM-Driven Autonomous Feature Engineering with Domain-Specific Language Parsing and Guided Local Search
Hebin Liang, Jianye Hao, Jinyi Liu, Yi Ma, Zilin Cao, Jing Liang, Kun Shao, Zhaocheng Du, Fei Ni, Yifu Yuan and Yan Zheng
</v>
      </c>
      <c r="E65" s="118" t="str">
        <f>IFERROR(__xludf.DUMMYFUNCTION("TEXTJOIN(CHAR(10), TRUE,FILTER('Industry Papers'!$D:$D,'Industry Papers'!$A:$A=C65))"),"Hebin Liang, Jianye Hao, Jinyi Liu, Yi Ma, Zilin Cao, Jing Liang, Kun Shao, Zhaocheng Du, Fei Ni, Yifu Yuan and Yan Zheng")</f>
        <v>Hebin Liang, Jianye Hao, Jinyi Liu, Yi Ma, Zilin Cao, Jing Liang, Kun Shao, Zhaocheng Du, Fei Ni, Yifu Yuan and Yan Zheng</v>
      </c>
      <c r="F65" s="118" t="s">
        <v>296</v>
      </c>
      <c r="G65" s="120" t="s">
        <v>356</v>
      </c>
    </row>
    <row r="66">
      <c r="A66" s="165" t="s">
        <v>308</v>
      </c>
      <c r="B66" s="118" t="s">
        <v>1164</v>
      </c>
      <c r="C66" s="118" t="s">
        <v>1165</v>
      </c>
      <c r="D66" s="118" t="str">
        <f t="shared" si="1"/>
        <v>From Modularity to Unity: Towards Industrial-Scale Generative Recommendation
Xiaofeng Liu, Wenliang Li, Tao Yu, Guanliang Song, Zhen Chen, Jing Zhou, Dongyue Wang, Xiwei Zhao and Sulong Xu
</v>
      </c>
      <c r="E66" s="118" t="str">
        <f>IFERROR(__xludf.DUMMYFUNCTION("TEXTJOIN(CHAR(10), TRUE,FILTER('Industry Papers'!$D:$D,'Industry Papers'!$A:$A=C66))"),"Xiaofeng Liu, Wenliang Li, Tao Yu, Guanliang Song, Zhen Chen, Jing Zhou, Dongyue Wang, Xiwei Zhao and Sulong Xu")</f>
        <v>Xiaofeng Liu, Wenliang Li, Tao Yu, Guanliang Song, Zhen Chen, Jing Zhou, Dongyue Wang, Xiwei Zhao and Sulong Xu</v>
      </c>
      <c r="F66" s="118" t="s">
        <v>296</v>
      </c>
      <c r="G66" s="120" t="s">
        <v>188</v>
      </c>
    </row>
    <row r="67">
      <c r="A67" s="165" t="s">
        <v>308</v>
      </c>
      <c r="B67" s="118" t="s">
        <v>1166</v>
      </c>
      <c r="C67" s="118" t="s">
        <v>1167</v>
      </c>
      <c r="D67" s="118" t="str">
        <f t="shared" si="1"/>
        <v>Unbiased Multimodal Reranking for Long-Tail Short-Video Search
Wenyi Xu, Feiran Zhu, Songyang Li, Renzhe Zhou, Chao Zhang, ChengLei Dai, Yuren Mao, Yunjun Gao and Yi Zhang
</v>
      </c>
      <c r="E67" s="118" t="str">
        <f>IFERROR(__xludf.DUMMYFUNCTION("TEXTJOIN(CHAR(10), TRUE,FILTER('Industry Papers'!$D:$D,'Industry Papers'!$A:$A=C67))"),"Wenyi Xu, Feiran Zhu, Songyang Li, Renzhe Zhou, Chao Zhang, ChengLei Dai, Yuren Mao, Yunjun Gao and Yi Zhang")</f>
        <v>Wenyi Xu, Feiran Zhu, Songyang Li, Renzhe Zhou, Chao Zhang, ChengLei Dai, Yuren Mao, Yunjun Gao and Yi Zhang</v>
      </c>
      <c r="F67" s="118" t="s">
        <v>296</v>
      </c>
      <c r="G67" s="120" t="s">
        <v>354</v>
      </c>
    </row>
    <row r="68">
      <c r="A68" s="165" t="s">
        <v>308</v>
      </c>
      <c r="B68" s="118" t="s">
        <v>1168</v>
      </c>
      <c r="C68" s="118" t="s">
        <v>1169</v>
      </c>
      <c r="D68" s="118" t="str">
        <f t="shared" si="1"/>
        <v>A Creator-Aware Recommendation System for Content Platforms
Wenjing Li, Jiang Rong, Yao Hu, Zhenzhe Zheng and Fan Wu
</v>
      </c>
      <c r="E68" s="118" t="str">
        <f>IFERROR(__xludf.DUMMYFUNCTION("TEXTJOIN(CHAR(10), TRUE,FILTER('Industry Papers'!$D:$D,'Industry Papers'!$A:$A=C68))"),"Wenjing Li, Jiang Rong, Yao Hu, Zhenzhe Zheng and Fan Wu")</f>
        <v>Wenjing Li, Jiang Rong, Yao Hu, Zhenzhe Zheng and Fan Wu</v>
      </c>
      <c r="F68" s="118" t="s">
        <v>296</v>
      </c>
      <c r="G68" s="118" t="s">
        <v>120</v>
      </c>
    </row>
    <row r="69">
      <c r="E69" s="168"/>
    </row>
    <row r="70">
      <c r="E70" s="168"/>
    </row>
    <row r="71">
      <c r="E71" s="168"/>
    </row>
    <row r="72">
      <c r="E72" s="168"/>
    </row>
    <row r="73">
      <c r="E73" s="168"/>
    </row>
    <row r="74">
      <c r="E74" s="168"/>
    </row>
    <row r="75">
      <c r="E75" s="168"/>
    </row>
    <row r="76">
      <c r="E76" s="168"/>
    </row>
    <row r="77">
      <c r="E77" s="168"/>
    </row>
    <row r="78">
      <c r="E78" s="168"/>
    </row>
    <row r="79">
      <c r="E79" s="168"/>
    </row>
    <row r="80">
      <c r="E80" s="168"/>
    </row>
    <row r="81">
      <c r="E81" s="168"/>
    </row>
    <row r="82">
      <c r="E82" s="168"/>
    </row>
    <row r="83">
      <c r="E83" s="168"/>
    </row>
    <row r="84">
      <c r="E84" s="168"/>
    </row>
    <row r="85">
      <c r="E85" s="168"/>
    </row>
    <row r="86">
      <c r="E86" s="168"/>
    </row>
    <row r="87">
      <c r="E87" s="168"/>
    </row>
    <row r="88">
      <c r="E88" s="168"/>
    </row>
    <row r="89">
      <c r="E89" s="168"/>
    </row>
    <row r="90">
      <c r="E90" s="168"/>
    </row>
    <row r="91">
      <c r="E91" s="168"/>
    </row>
    <row r="92">
      <c r="E92" s="168"/>
    </row>
    <row r="93">
      <c r="E93" s="168"/>
    </row>
    <row r="94">
      <c r="E94" s="168"/>
    </row>
    <row r="95">
      <c r="E95" s="168"/>
    </row>
    <row r="96">
      <c r="E96" s="168"/>
    </row>
    <row r="97">
      <c r="E97" s="168"/>
    </row>
    <row r="98">
      <c r="E98" s="168"/>
    </row>
    <row r="99">
      <c r="E99" s="168"/>
    </row>
    <row r="100">
      <c r="E100" s="168"/>
    </row>
    <row r="101">
      <c r="E101" s="168"/>
    </row>
    <row r="102">
      <c r="E102" s="168"/>
    </row>
    <row r="103">
      <c r="E103" s="168"/>
    </row>
    <row r="104">
      <c r="E104" s="168"/>
    </row>
    <row r="105">
      <c r="E105" s="168"/>
    </row>
    <row r="106">
      <c r="E106" s="168"/>
    </row>
    <row r="107">
      <c r="E107" s="168"/>
    </row>
    <row r="108">
      <c r="E108" s="168"/>
    </row>
    <row r="109">
      <c r="E109" s="168"/>
    </row>
    <row r="110">
      <c r="E110" s="168"/>
    </row>
    <row r="111">
      <c r="E111" s="168"/>
    </row>
    <row r="112">
      <c r="E112" s="168"/>
    </row>
    <row r="113">
      <c r="E113" s="168"/>
    </row>
    <row r="114">
      <c r="E114" s="168"/>
    </row>
    <row r="115">
      <c r="E115" s="168"/>
    </row>
    <row r="116">
      <c r="E116" s="168"/>
    </row>
    <row r="117">
      <c r="E117" s="168"/>
    </row>
    <row r="118">
      <c r="E118" s="168"/>
    </row>
    <row r="119">
      <c r="E119" s="168"/>
    </row>
    <row r="120">
      <c r="E120" s="168"/>
    </row>
    <row r="121">
      <c r="E121" s="168"/>
    </row>
    <row r="122">
      <c r="E122" s="168"/>
    </row>
    <row r="123">
      <c r="E123" s="168"/>
    </row>
    <row r="124">
      <c r="E124" s="168"/>
    </row>
    <row r="125">
      <c r="E125" s="168"/>
    </row>
    <row r="126">
      <c r="E126" s="168"/>
    </row>
    <row r="127">
      <c r="E127" s="168"/>
    </row>
    <row r="128">
      <c r="E128" s="168"/>
    </row>
    <row r="129">
      <c r="E129" s="168"/>
    </row>
    <row r="130">
      <c r="E130" s="168"/>
    </row>
    <row r="131">
      <c r="E131" s="168"/>
    </row>
    <row r="132">
      <c r="E132" s="168"/>
    </row>
    <row r="133">
      <c r="E133" s="168"/>
    </row>
    <row r="134">
      <c r="E134" s="168"/>
    </row>
    <row r="135">
      <c r="E135" s="168"/>
    </row>
    <row r="136">
      <c r="E136" s="168"/>
    </row>
    <row r="137">
      <c r="E137" s="168"/>
    </row>
    <row r="138">
      <c r="E138" s="168"/>
    </row>
    <row r="139">
      <c r="E139" s="168"/>
    </row>
    <row r="140">
      <c r="E140" s="168"/>
    </row>
    <row r="141">
      <c r="E141" s="168"/>
    </row>
    <row r="142">
      <c r="E142" s="168"/>
    </row>
    <row r="143">
      <c r="E143" s="168"/>
    </row>
    <row r="144">
      <c r="E144" s="168"/>
    </row>
    <row r="145">
      <c r="E145" s="168"/>
    </row>
    <row r="146">
      <c r="E146" s="168"/>
    </row>
    <row r="147">
      <c r="E147" s="168"/>
    </row>
    <row r="148">
      <c r="E148" s="168"/>
    </row>
    <row r="149">
      <c r="E149" s="168"/>
    </row>
    <row r="150">
      <c r="E150" s="168"/>
    </row>
    <row r="151">
      <c r="E151" s="168"/>
    </row>
    <row r="152">
      <c r="E152" s="168"/>
    </row>
    <row r="153">
      <c r="E153" s="168"/>
    </row>
    <row r="154">
      <c r="E154" s="168"/>
    </row>
    <row r="155">
      <c r="E155" s="168"/>
    </row>
    <row r="156">
      <c r="E156" s="168"/>
    </row>
    <row r="157">
      <c r="E157" s="168"/>
    </row>
    <row r="158">
      <c r="E158" s="168"/>
    </row>
    <row r="159">
      <c r="E159" s="168"/>
    </row>
    <row r="160">
      <c r="E160" s="168"/>
    </row>
    <row r="161">
      <c r="E161" s="168"/>
    </row>
    <row r="162">
      <c r="E162" s="168"/>
    </row>
    <row r="163">
      <c r="E163" s="168"/>
    </row>
    <row r="164">
      <c r="E164" s="168"/>
    </row>
    <row r="165">
      <c r="E165" s="168"/>
    </row>
    <row r="166">
      <c r="E166" s="168"/>
    </row>
    <row r="167">
      <c r="E167" s="168"/>
    </row>
    <row r="168">
      <c r="E168" s="168"/>
    </row>
    <row r="169">
      <c r="E169" s="168"/>
    </row>
    <row r="170">
      <c r="E170" s="168"/>
    </row>
    <row r="171">
      <c r="E171" s="168"/>
    </row>
    <row r="172">
      <c r="E172" s="168"/>
    </row>
    <row r="173">
      <c r="E173" s="168"/>
    </row>
    <row r="174">
      <c r="E174" s="168"/>
    </row>
    <row r="175">
      <c r="E175" s="168"/>
    </row>
    <row r="176">
      <c r="E176" s="168"/>
    </row>
    <row r="177">
      <c r="E177" s="168"/>
    </row>
    <row r="178">
      <c r="E178" s="168"/>
    </row>
    <row r="179">
      <c r="E179" s="168"/>
    </row>
    <row r="180">
      <c r="E180" s="168"/>
    </row>
    <row r="181">
      <c r="E181" s="168"/>
    </row>
    <row r="182">
      <c r="E182" s="168"/>
    </row>
    <row r="183">
      <c r="E183" s="168"/>
    </row>
    <row r="184">
      <c r="E184" s="168"/>
    </row>
    <row r="185">
      <c r="E185" s="168"/>
    </row>
    <row r="186">
      <c r="E186" s="168"/>
    </row>
    <row r="187">
      <c r="E187" s="168"/>
    </row>
    <row r="188">
      <c r="E188" s="168"/>
    </row>
    <row r="189">
      <c r="E189" s="168"/>
    </row>
    <row r="190">
      <c r="E190" s="168"/>
    </row>
    <row r="191">
      <c r="E191" s="168"/>
    </row>
    <row r="192">
      <c r="E192" s="168"/>
    </row>
    <row r="193">
      <c r="E193" s="168"/>
    </row>
    <row r="194">
      <c r="E194" s="168"/>
    </row>
    <row r="195">
      <c r="E195" s="168"/>
    </row>
    <row r="196">
      <c r="E196" s="168"/>
    </row>
    <row r="197">
      <c r="E197" s="168"/>
    </row>
    <row r="198">
      <c r="E198" s="168"/>
    </row>
    <row r="199">
      <c r="E199" s="168"/>
    </row>
    <row r="200">
      <c r="E200" s="168"/>
    </row>
    <row r="201">
      <c r="E201" s="168"/>
    </row>
    <row r="202">
      <c r="E202" s="168"/>
    </row>
    <row r="203">
      <c r="E203" s="168"/>
    </row>
    <row r="204">
      <c r="E204" s="168"/>
    </row>
    <row r="205">
      <c r="E205" s="168"/>
    </row>
    <row r="206">
      <c r="E206" s="168"/>
    </row>
    <row r="207">
      <c r="E207" s="168"/>
    </row>
    <row r="208">
      <c r="E208" s="168"/>
    </row>
    <row r="209">
      <c r="E209" s="168"/>
    </row>
    <row r="210">
      <c r="E210" s="168"/>
    </row>
    <row r="211">
      <c r="E211" s="168"/>
    </row>
    <row r="212">
      <c r="E212" s="168"/>
    </row>
    <row r="213">
      <c r="E213" s="168"/>
    </row>
    <row r="214">
      <c r="E214" s="168"/>
    </row>
    <row r="215">
      <c r="E215" s="168"/>
    </row>
    <row r="216">
      <c r="E216" s="168"/>
    </row>
    <row r="217">
      <c r="E217" s="168"/>
    </row>
    <row r="218">
      <c r="E218" s="168"/>
    </row>
    <row r="219">
      <c r="E219" s="168"/>
    </row>
    <row r="220">
      <c r="E220" s="168"/>
    </row>
    <row r="221">
      <c r="E221" s="168"/>
    </row>
    <row r="222">
      <c r="E222" s="168"/>
    </row>
    <row r="223">
      <c r="E223" s="168"/>
    </row>
    <row r="224">
      <c r="E224" s="168"/>
    </row>
    <row r="225">
      <c r="E225" s="168"/>
    </row>
    <row r="226">
      <c r="E226" s="168"/>
    </row>
    <row r="227">
      <c r="E227" s="168"/>
    </row>
    <row r="228">
      <c r="E228" s="168"/>
    </row>
    <row r="229">
      <c r="E229" s="168"/>
    </row>
    <row r="230">
      <c r="E230" s="168"/>
    </row>
    <row r="231">
      <c r="E231" s="168"/>
    </row>
    <row r="232">
      <c r="E232" s="168"/>
    </row>
    <row r="233">
      <c r="E233" s="168"/>
    </row>
    <row r="234">
      <c r="E234" s="168"/>
    </row>
    <row r="235">
      <c r="E235" s="168"/>
    </row>
    <row r="236">
      <c r="E236" s="168"/>
    </row>
    <row r="237">
      <c r="E237" s="168"/>
    </row>
    <row r="238">
      <c r="E238" s="168"/>
    </row>
    <row r="239">
      <c r="E239" s="168"/>
    </row>
    <row r="240">
      <c r="E240" s="168"/>
    </row>
    <row r="241">
      <c r="E241" s="168"/>
    </row>
    <row r="242">
      <c r="E242" s="168"/>
    </row>
    <row r="243">
      <c r="E243" s="168"/>
    </row>
    <row r="244">
      <c r="E244" s="168"/>
    </row>
    <row r="245">
      <c r="E245" s="168"/>
    </row>
    <row r="246">
      <c r="E246" s="168"/>
    </row>
    <row r="247">
      <c r="E247" s="168"/>
    </row>
    <row r="248">
      <c r="E248" s="168"/>
    </row>
    <row r="249">
      <c r="E249" s="168"/>
    </row>
    <row r="250">
      <c r="E250" s="168"/>
    </row>
    <row r="251">
      <c r="E251" s="168"/>
    </row>
    <row r="252">
      <c r="E252" s="168"/>
    </row>
    <row r="253">
      <c r="E253" s="168"/>
    </row>
    <row r="254">
      <c r="E254" s="168"/>
    </row>
    <row r="255">
      <c r="E255" s="168"/>
    </row>
    <row r="256">
      <c r="E256" s="168"/>
    </row>
    <row r="257">
      <c r="E257" s="168"/>
    </row>
    <row r="258">
      <c r="E258" s="168"/>
    </row>
    <row r="259">
      <c r="E259" s="168"/>
    </row>
    <row r="260">
      <c r="E260" s="168"/>
    </row>
    <row r="261">
      <c r="E261" s="168"/>
    </row>
    <row r="262">
      <c r="E262" s="168"/>
    </row>
    <row r="263">
      <c r="E263" s="168"/>
    </row>
    <row r="264">
      <c r="E264" s="168"/>
    </row>
    <row r="265">
      <c r="E265" s="168"/>
    </row>
    <row r="266">
      <c r="E266" s="168"/>
    </row>
    <row r="267">
      <c r="E267" s="168"/>
    </row>
    <row r="268">
      <c r="E268" s="168"/>
    </row>
    <row r="269">
      <c r="E269" s="168"/>
    </row>
    <row r="270">
      <c r="E270" s="168"/>
    </row>
    <row r="271">
      <c r="E271" s="168"/>
    </row>
    <row r="272">
      <c r="E272" s="168"/>
    </row>
    <row r="273">
      <c r="E273" s="168"/>
    </row>
    <row r="274">
      <c r="E274" s="168"/>
    </row>
    <row r="275">
      <c r="E275" s="168"/>
    </row>
    <row r="276">
      <c r="E276" s="168"/>
    </row>
    <row r="277">
      <c r="E277" s="168"/>
    </row>
    <row r="278">
      <c r="E278" s="168"/>
    </row>
    <row r="279">
      <c r="E279" s="168"/>
    </row>
    <row r="280">
      <c r="E280" s="168"/>
    </row>
    <row r="281">
      <c r="E281" s="168"/>
    </row>
    <row r="282">
      <c r="E282" s="168"/>
    </row>
    <row r="283">
      <c r="E283" s="168"/>
    </row>
    <row r="284">
      <c r="E284" s="168"/>
    </row>
    <row r="285">
      <c r="E285" s="168"/>
    </row>
    <row r="286">
      <c r="E286" s="168"/>
    </row>
    <row r="287">
      <c r="E287" s="168"/>
    </row>
    <row r="288">
      <c r="E288" s="168"/>
    </row>
    <row r="289">
      <c r="E289" s="168"/>
    </row>
    <row r="290">
      <c r="E290" s="168"/>
    </row>
    <row r="291">
      <c r="E291" s="168"/>
    </row>
    <row r="292">
      <c r="E292" s="168"/>
    </row>
    <row r="293">
      <c r="E293" s="168"/>
    </row>
    <row r="294">
      <c r="E294" s="168"/>
    </row>
    <row r="295">
      <c r="E295" s="168"/>
    </row>
    <row r="296">
      <c r="E296" s="168"/>
    </row>
    <row r="297">
      <c r="E297" s="168"/>
    </row>
    <row r="298">
      <c r="E298" s="168"/>
    </row>
    <row r="299">
      <c r="E299" s="168"/>
    </row>
    <row r="300">
      <c r="E300" s="168"/>
    </row>
    <row r="301">
      <c r="E301" s="168"/>
    </row>
    <row r="302">
      <c r="E302" s="168"/>
    </row>
    <row r="303">
      <c r="E303" s="168"/>
    </row>
    <row r="304">
      <c r="E304" s="168"/>
    </row>
    <row r="305">
      <c r="E305" s="168"/>
    </row>
    <row r="306">
      <c r="E306" s="168"/>
    </row>
    <row r="307">
      <c r="E307" s="168"/>
    </row>
    <row r="308">
      <c r="E308" s="168"/>
    </row>
    <row r="309">
      <c r="E309" s="168"/>
    </row>
    <row r="310">
      <c r="E310" s="168"/>
    </row>
    <row r="311">
      <c r="E311" s="168"/>
    </row>
    <row r="312">
      <c r="E312" s="168"/>
    </row>
    <row r="313">
      <c r="E313" s="168"/>
    </row>
    <row r="314">
      <c r="E314" s="168"/>
    </row>
    <row r="315">
      <c r="E315" s="168"/>
    </row>
    <row r="316">
      <c r="E316" s="168"/>
    </row>
    <row r="317">
      <c r="E317" s="168"/>
    </row>
    <row r="318">
      <c r="E318" s="168"/>
    </row>
    <row r="319">
      <c r="E319" s="168"/>
    </row>
    <row r="320">
      <c r="E320" s="168"/>
    </row>
    <row r="321">
      <c r="E321" s="168"/>
    </row>
    <row r="322">
      <c r="E322" s="168"/>
    </row>
    <row r="323">
      <c r="E323" s="168"/>
    </row>
    <row r="324">
      <c r="E324" s="168"/>
    </row>
    <row r="325">
      <c r="E325" s="168"/>
    </row>
    <row r="326">
      <c r="E326" s="168"/>
    </row>
    <row r="327">
      <c r="E327" s="168"/>
    </row>
    <row r="328">
      <c r="E328" s="168"/>
    </row>
    <row r="329">
      <c r="E329" s="168"/>
    </row>
    <row r="330">
      <c r="E330" s="168"/>
    </row>
    <row r="331">
      <c r="E331" s="168"/>
    </row>
    <row r="332">
      <c r="E332" s="168"/>
    </row>
    <row r="333">
      <c r="E333" s="168"/>
    </row>
    <row r="334">
      <c r="E334" s="168"/>
    </row>
    <row r="335">
      <c r="E335" s="168"/>
    </row>
    <row r="336">
      <c r="E336" s="168"/>
    </row>
    <row r="337">
      <c r="E337" s="168"/>
    </row>
    <row r="338">
      <c r="E338" s="168"/>
    </row>
    <row r="339">
      <c r="E339" s="168"/>
    </row>
    <row r="340">
      <c r="E340" s="168"/>
    </row>
    <row r="341">
      <c r="E341" s="168"/>
    </row>
    <row r="342">
      <c r="E342" s="168"/>
    </row>
    <row r="343">
      <c r="E343" s="168"/>
    </row>
    <row r="344">
      <c r="E344" s="168"/>
    </row>
    <row r="345">
      <c r="E345" s="168"/>
    </row>
    <row r="346">
      <c r="E346" s="168"/>
    </row>
    <row r="347">
      <c r="E347" s="168"/>
    </row>
    <row r="348">
      <c r="E348" s="168"/>
    </row>
    <row r="349">
      <c r="E349" s="168"/>
    </row>
    <row r="350">
      <c r="E350" s="168"/>
    </row>
    <row r="351">
      <c r="E351" s="168"/>
    </row>
    <row r="352">
      <c r="E352" s="168"/>
    </row>
    <row r="353">
      <c r="E353" s="168"/>
    </row>
    <row r="354">
      <c r="E354" s="168"/>
    </row>
    <row r="355">
      <c r="E355" s="168"/>
    </row>
    <row r="356">
      <c r="E356" s="168"/>
    </row>
    <row r="357">
      <c r="E357" s="168"/>
    </row>
    <row r="358">
      <c r="E358" s="168"/>
    </row>
    <row r="359">
      <c r="E359" s="168"/>
    </row>
    <row r="360">
      <c r="E360" s="168"/>
    </row>
    <row r="361">
      <c r="E361" s="168"/>
    </row>
    <row r="362">
      <c r="E362" s="168"/>
    </row>
    <row r="363">
      <c r="E363" s="168"/>
    </row>
    <row r="364">
      <c r="E364" s="168"/>
    </row>
    <row r="365">
      <c r="E365" s="168"/>
    </row>
    <row r="366">
      <c r="E366" s="168"/>
    </row>
    <row r="367">
      <c r="E367" s="168"/>
    </row>
    <row r="368">
      <c r="E368" s="168"/>
    </row>
    <row r="369">
      <c r="E369" s="168"/>
    </row>
    <row r="370">
      <c r="E370" s="168"/>
    </row>
    <row r="371">
      <c r="E371" s="168"/>
    </row>
    <row r="372">
      <c r="E372" s="168"/>
    </row>
    <row r="373">
      <c r="E373" s="168"/>
    </row>
    <row r="374">
      <c r="E374" s="168"/>
    </row>
    <row r="375">
      <c r="E375" s="168"/>
    </row>
    <row r="376">
      <c r="E376" s="168"/>
    </row>
    <row r="377">
      <c r="E377" s="168"/>
    </row>
    <row r="378">
      <c r="E378" s="168"/>
    </row>
    <row r="379">
      <c r="E379" s="168"/>
    </row>
    <row r="380">
      <c r="E380" s="168"/>
    </row>
    <row r="381">
      <c r="E381" s="168"/>
    </row>
    <row r="382">
      <c r="E382" s="168"/>
    </row>
    <row r="383">
      <c r="E383" s="168"/>
    </row>
    <row r="384">
      <c r="E384" s="168"/>
    </row>
    <row r="385">
      <c r="E385" s="168"/>
    </row>
    <row r="386">
      <c r="E386" s="168"/>
    </row>
    <row r="387">
      <c r="E387" s="168"/>
    </row>
    <row r="388">
      <c r="E388" s="168"/>
    </row>
    <row r="389">
      <c r="E389" s="168"/>
    </row>
    <row r="390">
      <c r="E390" s="168"/>
    </row>
    <row r="391">
      <c r="E391" s="168"/>
    </row>
    <row r="392">
      <c r="E392" s="168"/>
    </row>
    <row r="393">
      <c r="E393" s="168"/>
    </row>
    <row r="394">
      <c r="E394" s="168"/>
    </row>
    <row r="395">
      <c r="E395" s="168"/>
    </row>
    <row r="396">
      <c r="E396" s="168"/>
    </row>
    <row r="397">
      <c r="E397" s="168"/>
    </row>
    <row r="398">
      <c r="E398" s="168"/>
    </row>
    <row r="399">
      <c r="E399" s="168"/>
    </row>
    <row r="400">
      <c r="E400" s="168"/>
    </row>
    <row r="401">
      <c r="E401" s="168"/>
    </row>
    <row r="402">
      <c r="E402" s="168"/>
    </row>
    <row r="403">
      <c r="E403" s="168"/>
    </row>
    <row r="404">
      <c r="E404" s="168"/>
    </row>
    <row r="405">
      <c r="E405" s="168"/>
    </row>
    <row r="406">
      <c r="E406" s="168"/>
    </row>
    <row r="407">
      <c r="E407" s="168"/>
    </row>
    <row r="408">
      <c r="E408" s="168"/>
    </row>
    <row r="409">
      <c r="E409" s="168"/>
    </row>
    <row r="410">
      <c r="E410" s="168"/>
    </row>
    <row r="411">
      <c r="E411" s="168"/>
    </row>
    <row r="412">
      <c r="E412" s="168"/>
    </row>
    <row r="413">
      <c r="E413" s="168"/>
    </row>
    <row r="414">
      <c r="E414" s="168"/>
    </row>
    <row r="415">
      <c r="E415" s="168"/>
    </row>
    <row r="416">
      <c r="E416" s="168"/>
    </row>
    <row r="417">
      <c r="E417" s="168"/>
    </row>
    <row r="418">
      <c r="E418" s="168"/>
    </row>
    <row r="419">
      <c r="E419" s="168"/>
    </row>
    <row r="420">
      <c r="E420" s="168"/>
    </row>
    <row r="421">
      <c r="E421" s="168"/>
    </row>
    <row r="422">
      <c r="E422" s="168"/>
    </row>
    <row r="423">
      <c r="E423" s="168"/>
    </row>
    <row r="424">
      <c r="E424" s="168"/>
    </row>
    <row r="425">
      <c r="E425" s="168"/>
    </row>
    <row r="426">
      <c r="E426" s="168"/>
    </row>
    <row r="427">
      <c r="E427" s="168"/>
    </row>
    <row r="428">
      <c r="E428" s="168"/>
    </row>
    <row r="429">
      <c r="E429" s="168"/>
    </row>
    <row r="430">
      <c r="E430" s="168"/>
    </row>
    <row r="431">
      <c r="E431" s="168"/>
    </row>
    <row r="432">
      <c r="E432" s="168"/>
    </row>
    <row r="433">
      <c r="E433" s="168"/>
    </row>
    <row r="434">
      <c r="E434" s="168"/>
    </row>
    <row r="435">
      <c r="E435" s="168"/>
    </row>
    <row r="436">
      <c r="E436" s="168"/>
    </row>
    <row r="437">
      <c r="E437" s="168"/>
    </row>
    <row r="438">
      <c r="E438" s="168"/>
    </row>
    <row r="439">
      <c r="E439" s="168"/>
    </row>
    <row r="440">
      <c r="E440" s="168"/>
    </row>
    <row r="441">
      <c r="E441" s="168"/>
    </row>
    <row r="442">
      <c r="E442" s="168"/>
    </row>
    <row r="443">
      <c r="E443" s="168"/>
    </row>
    <row r="444">
      <c r="E444" s="168"/>
    </row>
    <row r="445">
      <c r="E445" s="168"/>
    </row>
    <row r="446">
      <c r="E446" s="168"/>
    </row>
    <row r="447">
      <c r="E447" s="168"/>
    </row>
    <row r="448">
      <c r="E448" s="168"/>
    </row>
    <row r="449">
      <c r="E449" s="168"/>
    </row>
    <row r="450">
      <c r="E450" s="168"/>
    </row>
    <row r="451">
      <c r="E451" s="168"/>
    </row>
    <row r="452">
      <c r="E452" s="168"/>
    </row>
    <row r="453">
      <c r="E453" s="168"/>
    </row>
    <row r="454">
      <c r="E454" s="168"/>
    </row>
    <row r="455">
      <c r="E455" s="168"/>
    </row>
    <row r="456">
      <c r="E456" s="168"/>
    </row>
    <row r="457">
      <c r="E457" s="168"/>
    </row>
    <row r="458">
      <c r="E458" s="168"/>
    </row>
    <row r="459">
      <c r="E459" s="168"/>
    </row>
    <row r="460">
      <c r="E460" s="168"/>
    </row>
    <row r="461">
      <c r="E461" s="168"/>
    </row>
    <row r="462">
      <c r="E462" s="168"/>
    </row>
    <row r="463">
      <c r="E463" s="168"/>
    </row>
    <row r="464">
      <c r="E464" s="168"/>
    </row>
    <row r="465">
      <c r="E465" s="168"/>
    </row>
    <row r="466">
      <c r="E466" s="168"/>
    </row>
    <row r="467">
      <c r="E467" s="168"/>
    </row>
    <row r="468">
      <c r="E468" s="168"/>
    </row>
    <row r="469">
      <c r="E469" s="168"/>
    </row>
    <row r="470">
      <c r="E470" s="168"/>
    </row>
    <row r="471">
      <c r="E471" s="168"/>
    </row>
    <row r="472">
      <c r="E472" s="168"/>
    </row>
    <row r="473">
      <c r="E473" s="168"/>
    </row>
    <row r="474">
      <c r="E474" s="168"/>
    </row>
    <row r="475">
      <c r="E475" s="168"/>
    </row>
    <row r="476">
      <c r="E476" s="168"/>
    </row>
    <row r="477">
      <c r="E477" s="168"/>
    </row>
    <row r="478">
      <c r="E478" s="168"/>
    </row>
    <row r="479">
      <c r="E479" s="168"/>
    </row>
    <row r="480">
      <c r="E480" s="168"/>
    </row>
    <row r="481">
      <c r="E481" s="168"/>
    </row>
    <row r="482">
      <c r="E482" s="168"/>
    </row>
    <row r="483">
      <c r="E483" s="168"/>
    </row>
    <row r="484">
      <c r="E484" s="168"/>
    </row>
    <row r="485">
      <c r="E485" s="168"/>
    </row>
    <row r="486">
      <c r="E486" s="168"/>
    </row>
    <row r="487">
      <c r="E487" s="168"/>
    </row>
    <row r="488">
      <c r="E488" s="168"/>
    </row>
    <row r="489">
      <c r="E489" s="168"/>
    </row>
    <row r="490">
      <c r="E490" s="168"/>
    </row>
    <row r="491">
      <c r="E491" s="168"/>
    </row>
    <row r="492">
      <c r="E492" s="168"/>
    </row>
    <row r="493">
      <c r="E493" s="168"/>
    </row>
    <row r="494">
      <c r="E494" s="168"/>
    </row>
    <row r="495">
      <c r="E495" s="168"/>
    </row>
    <row r="496">
      <c r="E496" s="168"/>
    </row>
    <row r="497">
      <c r="E497" s="168"/>
    </row>
    <row r="498">
      <c r="E498" s="168"/>
    </row>
    <row r="499">
      <c r="E499" s="168"/>
    </row>
    <row r="500">
      <c r="E500" s="168"/>
    </row>
    <row r="501">
      <c r="E501" s="168"/>
    </row>
    <row r="502">
      <c r="E502" s="168"/>
    </row>
    <row r="503">
      <c r="E503" s="168"/>
    </row>
    <row r="504">
      <c r="E504" s="168"/>
    </row>
    <row r="505">
      <c r="E505" s="168"/>
    </row>
    <row r="506">
      <c r="E506" s="168"/>
    </row>
    <row r="507">
      <c r="E507" s="168"/>
    </row>
    <row r="508">
      <c r="E508" s="168"/>
    </row>
    <row r="509">
      <c r="E509" s="168"/>
    </row>
    <row r="510">
      <c r="E510" s="168"/>
    </row>
    <row r="511">
      <c r="E511" s="168"/>
    </row>
    <row r="512">
      <c r="E512" s="168"/>
    </row>
    <row r="513">
      <c r="E513" s="168"/>
    </row>
    <row r="514">
      <c r="E514" s="168"/>
    </row>
    <row r="515">
      <c r="E515" s="168"/>
    </row>
    <row r="516">
      <c r="E516" s="168"/>
    </row>
    <row r="517">
      <c r="E517" s="168"/>
    </row>
    <row r="518">
      <c r="E518" s="168"/>
    </row>
    <row r="519">
      <c r="E519" s="168"/>
    </row>
    <row r="520">
      <c r="E520" s="168"/>
    </row>
    <row r="521">
      <c r="E521" s="168"/>
    </row>
    <row r="522">
      <c r="E522" s="168"/>
    </row>
    <row r="523">
      <c r="E523" s="168"/>
    </row>
    <row r="524">
      <c r="E524" s="168"/>
    </row>
    <row r="525">
      <c r="E525" s="168"/>
    </row>
    <row r="526">
      <c r="E526" s="168"/>
    </row>
    <row r="527">
      <c r="E527" s="168"/>
    </row>
    <row r="528">
      <c r="E528" s="168"/>
    </row>
    <row r="529">
      <c r="E529" s="168"/>
    </row>
    <row r="530">
      <c r="E530" s="168"/>
    </row>
    <row r="531">
      <c r="E531" s="168"/>
    </row>
    <row r="532">
      <c r="E532" s="168"/>
    </row>
    <row r="533">
      <c r="E533" s="168"/>
    </row>
    <row r="534">
      <c r="E534" s="168"/>
    </row>
    <row r="535">
      <c r="E535" s="168"/>
    </row>
    <row r="536">
      <c r="E536" s="168"/>
    </row>
    <row r="537">
      <c r="E537" s="168"/>
    </row>
    <row r="538">
      <c r="E538" s="168"/>
    </row>
    <row r="539">
      <c r="E539" s="168"/>
    </row>
    <row r="540">
      <c r="E540" s="168"/>
    </row>
    <row r="541">
      <c r="E541" s="168"/>
    </row>
    <row r="542">
      <c r="E542" s="168"/>
    </row>
    <row r="543">
      <c r="E543" s="168"/>
    </row>
    <row r="544">
      <c r="E544" s="168"/>
    </row>
    <row r="545">
      <c r="E545" s="168"/>
    </row>
    <row r="546">
      <c r="E546" s="168"/>
    </row>
    <row r="547">
      <c r="E547" s="168"/>
    </row>
    <row r="548">
      <c r="E548" s="168"/>
    </row>
    <row r="549">
      <c r="E549" s="168"/>
    </row>
    <row r="550">
      <c r="E550" s="168"/>
    </row>
    <row r="551">
      <c r="E551" s="168"/>
    </row>
    <row r="552">
      <c r="E552" s="168"/>
    </row>
    <row r="553">
      <c r="E553" s="168"/>
    </row>
    <row r="554">
      <c r="E554" s="168"/>
    </row>
    <row r="555">
      <c r="E555" s="168"/>
    </row>
    <row r="556">
      <c r="E556" s="168"/>
    </row>
    <row r="557">
      <c r="E557" s="168"/>
    </row>
    <row r="558">
      <c r="E558" s="168"/>
    </row>
    <row r="559">
      <c r="E559" s="168"/>
    </row>
    <row r="560">
      <c r="E560" s="168"/>
    </row>
    <row r="561">
      <c r="E561" s="168"/>
    </row>
    <row r="562">
      <c r="E562" s="168"/>
    </row>
    <row r="563">
      <c r="E563" s="168"/>
    </row>
    <row r="564">
      <c r="E564" s="168"/>
    </row>
    <row r="565">
      <c r="E565" s="168"/>
    </row>
    <row r="566">
      <c r="E566" s="168"/>
    </row>
    <row r="567">
      <c r="E567" s="168"/>
    </row>
    <row r="568">
      <c r="E568" s="168"/>
    </row>
    <row r="569">
      <c r="E569" s="168"/>
    </row>
    <row r="570">
      <c r="E570" s="168"/>
    </row>
    <row r="571">
      <c r="E571" s="168"/>
    </row>
    <row r="572">
      <c r="E572" s="168"/>
    </row>
    <row r="573">
      <c r="E573" s="168"/>
    </row>
    <row r="574">
      <c r="E574" s="168"/>
    </row>
    <row r="575">
      <c r="E575" s="168"/>
    </row>
    <row r="576">
      <c r="E576" s="168"/>
    </row>
    <row r="577">
      <c r="E577" s="168"/>
    </row>
    <row r="578">
      <c r="E578" s="168"/>
    </row>
    <row r="579">
      <c r="E579" s="168"/>
    </row>
    <row r="580">
      <c r="E580" s="168"/>
    </row>
    <row r="581">
      <c r="E581" s="168"/>
    </row>
    <row r="582">
      <c r="E582" s="168"/>
    </row>
    <row r="583">
      <c r="E583" s="168"/>
    </row>
    <row r="584">
      <c r="E584" s="168"/>
    </row>
    <row r="585">
      <c r="E585" s="168"/>
    </row>
    <row r="586">
      <c r="E586" s="168"/>
    </row>
    <row r="587">
      <c r="E587" s="168"/>
    </row>
    <row r="588">
      <c r="E588" s="168"/>
    </row>
    <row r="589">
      <c r="E589" s="168"/>
    </row>
    <row r="590">
      <c r="E590" s="168"/>
    </row>
    <row r="591">
      <c r="E591" s="168"/>
    </row>
    <row r="592">
      <c r="E592" s="168"/>
    </row>
    <row r="593">
      <c r="E593" s="168"/>
    </row>
    <row r="594">
      <c r="E594" s="168"/>
    </row>
    <row r="595">
      <c r="E595" s="168"/>
    </row>
    <row r="596">
      <c r="E596" s="168"/>
    </row>
    <row r="597">
      <c r="E597" s="168"/>
    </row>
    <row r="598">
      <c r="E598" s="168"/>
    </row>
    <row r="599">
      <c r="E599" s="168"/>
    </row>
    <row r="600">
      <c r="E600" s="168"/>
    </row>
    <row r="601">
      <c r="E601" s="168"/>
    </row>
    <row r="602">
      <c r="E602" s="168"/>
    </row>
    <row r="603">
      <c r="E603" s="168"/>
    </row>
    <row r="604">
      <c r="E604" s="168"/>
    </row>
    <row r="605">
      <c r="E605" s="168"/>
    </row>
    <row r="606">
      <c r="E606" s="168"/>
    </row>
    <row r="607">
      <c r="E607" s="168"/>
    </row>
    <row r="608">
      <c r="E608" s="168"/>
    </row>
    <row r="609">
      <c r="E609" s="168"/>
    </row>
    <row r="610">
      <c r="E610" s="168"/>
    </row>
    <row r="611">
      <c r="E611" s="168"/>
    </row>
    <row r="612">
      <c r="E612" s="168"/>
    </row>
    <row r="613">
      <c r="E613" s="168"/>
    </row>
    <row r="614">
      <c r="E614" s="168"/>
    </row>
    <row r="615">
      <c r="E615" s="168"/>
    </row>
    <row r="616">
      <c r="E616" s="168"/>
    </row>
    <row r="617">
      <c r="E617" s="168"/>
    </row>
    <row r="618">
      <c r="E618" s="168"/>
    </row>
    <row r="619">
      <c r="E619" s="168"/>
    </row>
    <row r="620">
      <c r="E620" s="168"/>
    </row>
    <row r="621">
      <c r="E621" s="168"/>
    </row>
    <row r="622">
      <c r="E622" s="168"/>
    </row>
    <row r="623">
      <c r="E623" s="168"/>
    </row>
    <row r="624">
      <c r="E624" s="168"/>
    </row>
    <row r="625">
      <c r="E625" s="168"/>
    </row>
    <row r="626">
      <c r="E626" s="168"/>
    </row>
    <row r="627">
      <c r="E627" s="168"/>
    </row>
    <row r="628">
      <c r="E628" s="168"/>
    </row>
    <row r="629">
      <c r="E629" s="168"/>
    </row>
    <row r="630">
      <c r="E630" s="168"/>
    </row>
    <row r="631">
      <c r="E631" s="168"/>
    </row>
    <row r="632">
      <c r="E632" s="168"/>
    </row>
    <row r="633">
      <c r="E633" s="168"/>
    </row>
    <row r="634">
      <c r="E634" s="168"/>
    </row>
    <row r="635">
      <c r="E635" s="168"/>
    </row>
    <row r="636">
      <c r="E636" s="168"/>
    </row>
    <row r="637">
      <c r="E637" s="168"/>
    </row>
    <row r="638">
      <c r="E638" s="168"/>
    </row>
    <row r="639">
      <c r="E639" s="168"/>
    </row>
    <row r="640">
      <c r="E640" s="168"/>
    </row>
    <row r="641">
      <c r="E641" s="168"/>
    </row>
    <row r="642">
      <c r="E642" s="168"/>
    </row>
    <row r="643">
      <c r="E643" s="168"/>
    </row>
    <row r="644">
      <c r="E644" s="168"/>
    </row>
    <row r="645">
      <c r="E645" s="168"/>
    </row>
    <row r="646">
      <c r="E646" s="168"/>
    </row>
    <row r="647">
      <c r="E647" s="168"/>
    </row>
    <row r="648">
      <c r="E648" s="168"/>
    </row>
    <row r="649">
      <c r="E649" s="168"/>
    </row>
    <row r="650">
      <c r="E650" s="168"/>
    </row>
    <row r="651">
      <c r="E651" s="168"/>
    </row>
    <row r="652">
      <c r="E652" s="168"/>
    </row>
    <row r="653">
      <c r="E653" s="168"/>
    </row>
    <row r="654">
      <c r="E654" s="168"/>
    </row>
    <row r="655">
      <c r="E655" s="168"/>
    </row>
    <row r="656">
      <c r="E656" s="168"/>
    </row>
    <row r="657">
      <c r="E657" s="168"/>
    </row>
    <row r="658">
      <c r="E658" s="168"/>
    </row>
    <row r="659">
      <c r="E659" s="168"/>
    </row>
    <row r="660">
      <c r="E660" s="168"/>
    </row>
    <row r="661">
      <c r="E661" s="168"/>
    </row>
    <row r="662">
      <c r="E662" s="168"/>
    </row>
    <row r="663">
      <c r="E663" s="168"/>
    </row>
    <row r="664">
      <c r="E664" s="168"/>
    </row>
    <row r="665">
      <c r="E665" s="168"/>
    </row>
    <row r="666">
      <c r="E666" s="168"/>
    </row>
    <row r="667">
      <c r="E667" s="168"/>
    </row>
    <row r="668">
      <c r="E668" s="168"/>
    </row>
    <row r="669">
      <c r="E669" s="168"/>
    </row>
    <row r="670">
      <c r="E670" s="168"/>
    </row>
    <row r="671">
      <c r="E671" s="168"/>
    </row>
    <row r="672">
      <c r="E672" s="168"/>
    </row>
    <row r="673">
      <c r="E673" s="168"/>
    </row>
    <row r="674">
      <c r="E674" s="168"/>
    </row>
    <row r="675">
      <c r="E675" s="168"/>
    </row>
    <row r="676">
      <c r="E676" s="168"/>
    </row>
    <row r="677">
      <c r="E677" s="168"/>
    </row>
    <row r="678">
      <c r="E678" s="168"/>
    </row>
    <row r="679">
      <c r="E679" s="168"/>
    </row>
    <row r="680">
      <c r="E680" s="168"/>
    </row>
    <row r="681">
      <c r="E681" s="168"/>
    </row>
    <row r="682">
      <c r="E682" s="168"/>
    </row>
    <row r="683">
      <c r="E683" s="168"/>
    </row>
    <row r="684">
      <c r="E684" s="168"/>
    </row>
    <row r="685">
      <c r="E685" s="168"/>
    </row>
    <row r="686">
      <c r="E686" s="168"/>
    </row>
    <row r="687">
      <c r="E687" s="168"/>
    </row>
    <row r="688">
      <c r="E688" s="168"/>
    </row>
    <row r="689">
      <c r="E689" s="168"/>
    </row>
    <row r="690">
      <c r="E690" s="168"/>
    </row>
    <row r="691">
      <c r="E691" s="168"/>
    </row>
    <row r="692">
      <c r="E692" s="168"/>
    </row>
    <row r="693">
      <c r="E693" s="168"/>
    </row>
    <row r="694">
      <c r="E694" s="168"/>
    </row>
    <row r="695">
      <c r="E695" s="168"/>
    </row>
    <row r="696">
      <c r="E696" s="168"/>
    </row>
    <row r="697">
      <c r="E697" s="168"/>
    </row>
    <row r="698">
      <c r="E698" s="168"/>
    </row>
    <row r="699">
      <c r="E699" s="168"/>
    </row>
    <row r="700">
      <c r="E700" s="168"/>
    </row>
    <row r="701">
      <c r="E701" s="168"/>
    </row>
    <row r="702">
      <c r="E702" s="168"/>
    </row>
    <row r="703">
      <c r="E703" s="168"/>
    </row>
    <row r="704">
      <c r="E704" s="168"/>
    </row>
    <row r="705">
      <c r="E705" s="168"/>
    </row>
    <row r="706">
      <c r="E706" s="168"/>
    </row>
    <row r="707">
      <c r="E707" s="168"/>
    </row>
    <row r="708">
      <c r="E708" s="168"/>
    </row>
    <row r="709">
      <c r="E709" s="168"/>
    </row>
    <row r="710">
      <c r="E710" s="168"/>
    </row>
    <row r="711">
      <c r="E711" s="168"/>
    </row>
    <row r="712">
      <c r="E712" s="168"/>
    </row>
    <row r="713">
      <c r="E713" s="168"/>
    </row>
    <row r="714">
      <c r="E714" s="168"/>
    </row>
    <row r="715">
      <c r="E715" s="168"/>
    </row>
    <row r="716">
      <c r="E716" s="168"/>
    </row>
    <row r="717">
      <c r="E717" s="168"/>
    </row>
    <row r="718">
      <c r="E718" s="168"/>
    </row>
    <row r="719">
      <c r="E719" s="168"/>
    </row>
    <row r="720">
      <c r="E720" s="168"/>
    </row>
    <row r="721">
      <c r="E721" s="168"/>
    </row>
    <row r="722">
      <c r="E722" s="168"/>
    </row>
    <row r="723">
      <c r="E723" s="168"/>
    </row>
    <row r="724">
      <c r="E724" s="168"/>
    </row>
    <row r="725">
      <c r="E725" s="168"/>
    </row>
    <row r="726">
      <c r="E726" s="168"/>
    </row>
    <row r="727">
      <c r="E727" s="168"/>
    </row>
    <row r="728">
      <c r="E728" s="168"/>
    </row>
    <row r="729">
      <c r="E729" s="168"/>
    </row>
    <row r="730">
      <c r="E730" s="168"/>
    </row>
    <row r="731">
      <c r="E731" s="168"/>
    </row>
    <row r="732">
      <c r="E732" s="168"/>
    </row>
    <row r="733">
      <c r="E733" s="168"/>
    </row>
    <row r="734">
      <c r="E734" s="168"/>
    </row>
    <row r="735">
      <c r="E735" s="168"/>
    </row>
    <row r="736">
      <c r="E736" s="168"/>
    </row>
    <row r="737">
      <c r="E737" s="168"/>
    </row>
    <row r="738">
      <c r="E738" s="168"/>
    </row>
    <row r="739">
      <c r="E739" s="168"/>
    </row>
    <row r="740">
      <c r="E740" s="168"/>
    </row>
    <row r="741">
      <c r="E741" s="168"/>
    </row>
    <row r="742">
      <c r="E742" s="168"/>
    </row>
    <row r="743">
      <c r="E743" s="168"/>
    </row>
    <row r="744">
      <c r="E744" s="168"/>
    </row>
    <row r="745">
      <c r="E745" s="168"/>
    </row>
    <row r="746">
      <c r="E746" s="168"/>
    </row>
    <row r="747">
      <c r="E747" s="168"/>
    </row>
    <row r="748">
      <c r="E748" s="168"/>
    </row>
    <row r="749">
      <c r="E749" s="168"/>
    </row>
    <row r="750">
      <c r="E750" s="168"/>
    </row>
    <row r="751">
      <c r="E751" s="168"/>
    </row>
    <row r="752">
      <c r="E752" s="168"/>
    </row>
    <row r="753">
      <c r="E753" s="168"/>
    </row>
    <row r="754">
      <c r="E754" s="168"/>
    </row>
    <row r="755">
      <c r="E755" s="168"/>
    </row>
    <row r="756">
      <c r="E756" s="168"/>
    </row>
    <row r="757">
      <c r="E757" s="168"/>
    </row>
    <row r="758">
      <c r="E758" s="168"/>
    </row>
    <row r="759">
      <c r="E759" s="168"/>
    </row>
    <row r="760">
      <c r="E760" s="168"/>
    </row>
    <row r="761">
      <c r="E761" s="168"/>
    </row>
    <row r="762">
      <c r="E762" s="168"/>
    </row>
    <row r="763">
      <c r="E763" s="168"/>
    </row>
    <row r="764">
      <c r="E764" s="168"/>
    </row>
    <row r="765">
      <c r="E765" s="168"/>
    </row>
    <row r="766">
      <c r="E766" s="168"/>
    </row>
    <row r="767">
      <c r="E767" s="168"/>
    </row>
    <row r="768">
      <c r="E768" s="168"/>
    </row>
    <row r="769">
      <c r="E769" s="168"/>
    </row>
    <row r="770">
      <c r="E770" s="168"/>
    </row>
    <row r="771">
      <c r="E771" s="168"/>
    </row>
    <row r="772">
      <c r="E772" s="168"/>
    </row>
    <row r="773">
      <c r="E773" s="168"/>
    </row>
    <row r="774">
      <c r="E774" s="168"/>
    </row>
    <row r="775">
      <c r="E775" s="168"/>
    </row>
    <row r="776">
      <c r="E776" s="168"/>
    </row>
    <row r="777">
      <c r="E777" s="168"/>
    </row>
    <row r="778">
      <c r="E778" s="168"/>
    </row>
    <row r="779">
      <c r="E779" s="168"/>
    </row>
    <row r="780">
      <c r="E780" s="168"/>
    </row>
    <row r="781">
      <c r="E781" s="168"/>
    </row>
    <row r="782">
      <c r="E782" s="168"/>
    </row>
    <row r="783">
      <c r="E783" s="168"/>
    </row>
    <row r="784">
      <c r="E784" s="168"/>
    </row>
    <row r="785">
      <c r="E785" s="168"/>
    </row>
    <row r="786">
      <c r="E786" s="168"/>
    </row>
    <row r="787">
      <c r="E787" s="168"/>
    </row>
    <row r="788">
      <c r="E788" s="168"/>
    </row>
    <row r="789">
      <c r="E789" s="168"/>
    </row>
    <row r="790">
      <c r="E790" s="168"/>
    </row>
    <row r="791">
      <c r="E791" s="168"/>
    </row>
    <row r="792">
      <c r="E792" s="168"/>
    </row>
    <row r="793">
      <c r="E793" s="168"/>
    </row>
    <row r="794">
      <c r="E794" s="168"/>
    </row>
    <row r="795">
      <c r="E795" s="168"/>
    </row>
    <row r="796">
      <c r="E796" s="168"/>
    </row>
    <row r="797">
      <c r="E797" s="168"/>
    </row>
    <row r="798">
      <c r="E798" s="168"/>
    </row>
    <row r="799">
      <c r="E799" s="168"/>
    </row>
    <row r="800">
      <c r="E800" s="168"/>
    </row>
    <row r="801">
      <c r="E801" s="168"/>
    </row>
    <row r="802">
      <c r="E802" s="168"/>
    </row>
    <row r="803">
      <c r="E803" s="168"/>
    </row>
    <row r="804">
      <c r="E804" s="168"/>
    </row>
    <row r="805">
      <c r="E805" s="168"/>
    </row>
    <row r="806">
      <c r="E806" s="168"/>
    </row>
    <row r="807">
      <c r="E807" s="168"/>
    </row>
    <row r="808">
      <c r="E808" s="168"/>
    </row>
    <row r="809">
      <c r="E809" s="168"/>
    </row>
    <row r="810">
      <c r="E810" s="168"/>
    </row>
    <row r="811">
      <c r="E811" s="168"/>
    </row>
    <row r="812">
      <c r="E812" s="168"/>
    </row>
    <row r="813">
      <c r="E813" s="168"/>
    </row>
    <row r="814">
      <c r="E814" s="168"/>
    </row>
    <row r="815">
      <c r="E815" s="168"/>
    </row>
    <row r="816">
      <c r="E816" s="168"/>
    </row>
    <row r="817">
      <c r="E817" s="168"/>
    </row>
    <row r="818">
      <c r="E818" s="168"/>
    </row>
    <row r="819">
      <c r="E819" s="168"/>
    </row>
    <row r="820">
      <c r="E820" s="168"/>
    </row>
    <row r="821">
      <c r="E821" s="168"/>
    </row>
    <row r="822">
      <c r="E822" s="168"/>
    </row>
    <row r="823">
      <c r="E823" s="168"/>
    </row>
    <row r="824">
      <c r="E824" s="168"/>
    </row>
    <row r="825">
      <c r="E825" s="168"/>
    </row>
    <row r="826">
      <c r="E826" s="168"/>
    </row>
    <row r="827">
      <c r="E827" s="168"/>
    </row>
    <row r="828">
      <c r="E828" s="168"/>
    </row>
    <row r="829">
      <c r="E829" s="168"/>
    </row>
    <row r="830">
      <c r="E830" s="168"/>
    </row>
    <row r="831">
      <c r="E831" s="168"/>
    </row>
    <row r="832">
      <c r="E832" s="168"/>
    </row>
    <row r="833">
      <c r="E833" s="168"/>
    </row>
    <row r="834">
      <c r="E834" s="168"/>
    </row>
    <row r="835">
      <c r="E835" s="168"/>
    </row>
    <row r="836">
      <c r="E836" s="168"/>
    </row>
    <row r="837">
      <c r="E837" s="168"/>
    </row>
    <row r="838">
      <c r="E838" s="168"/>
    </row>
    <row r="839">
      <c r="E839" s="168"/>
    </row>
    <row r="840">
      <c r="E840" s="168"/>
    </row>
    <row r="841">
      <c r="E841" s="168"/>
    </row>
    <row r="842">
      <c r="E842" s="168"/>
    </row>
    <row r="843">
      <c r="E843" s="168"/>
    </row>
    <row r="844">
      <c r="E844" s="168"/>
    </row>
    <row r="845">
      <c r="E845" s="168"/>
    </row>
    <row r="846">
      <c r="E846" s="168"/>
    </row>
    <row r="847">
      <c r="E847" s="168"/>
    </row>
    <row r="848">
      <c r="E848" s="168"/>
    </row>
    <row r="849">
      <c r="E849" s="168"/>
    </row>
    <row r="850">
      <c r="E850" s="168"/>
    </row>
    <row r="851">
      <c r="E851" s="168"/>
    </row>
    <row r="852">
      <c r="E852" s="168"/>
    </row>
    <row r="853">
      <c r="E853" s="168"/>
    </row>
    <row r="854">
      <c r="E854" s="168"/>
    </row>
    <row r="855">
      <c r="E855" s="168"/>
    </row>
    <row r="856">
      <c r="E856" s="168"/>
    </row>
    <row r="857">
      <c r="E857" s="168"/>
    </row>
    <row r="858">
      <c r="E858" s="168"/>
    </row>
    <row r="859">
      <c r="E859" s="168"/>
    </row>
    <row r="860">
      <c r="E860" s="168"/>
    </row>
    <row r="861">
      <c r="E861" s="168"/>
    </row>
    <row r="862">
      <c r="E862" s="168"/>
    </row>
    <row r="863">
      <c r="E863" s="168"/>
    </row>
    <row r="864">
      <c r="E864" s="168"/>
    </row>
    <row r="865">
      <c r="E865" s="168"/>
    </row>
    <row r="866">
      <c r="E866" s="168"/>
    </row>
    <row r="867">
      <c r="E867" s="168"/>
    </row>
    <row r="868">
      <c r="E868" s="168"/>
    </row>
    <row r="869">
      <c r="E869" s="168"/>
    </row>
    <row r="870">
      <c r="E870" s="168"/>
    </row>
    <row r="871">
      <c r="E871" s="168"/>
    </row>
    <row r="872">
      <c r="E872" s="168"/>
    </row>
    <row r="873">
      <c r="E873" s="168"/>
    </row>
    <row r="874">
      <c r="E874" s="168"/>
    </row>
    <row r="875">
      <c r="E875" s="168"/>
    </row>
    <row r="876">
      <c r="E876" s="168"/>
    </row>
    <row r="877">
      <c r="E877" s="168"/>
    </row>
    <row r="878">
      <c r="E878" s="168"/>
    </row>
    <row r="879">
      <c r="E879" s="168"/>
    </row>
    <row r="880">
      <c r="E880" s="168"/>
    </row>
    <row r="881">
      <c r="E881" s="168"/>
    </row>
    <row r="882">
      <c r="E882" s="168"/>
    </row>
    <row r="883">
      <c r="E883" s="168"/>
    </row>
    <row r="884">
      <c r="E884" s="168"/>
    </row>
    <row r="885">
      <c r="E885" s="168"/>
    </row>
    <row r="886">
      <c r="E886" s="168"/>
    </row>
    <row r="887">
      <c r="E887" s="168"/>
    </row>
    <row r="888">
      <c r="E888" s="168"/>
    </row>
    <row r="889">
      <c r="E889" s="168"/>
    </row>
    <row r="890">
      <c r="E890" s="168"/>
    </row>
    <row r="891">
      <c r="E891" s="168"/>
    </row>
    <row r="892">
      <c r="E892" s="168"/>
    </row>
    <row r="893">
      <c r="E893" s="168"/>
    </row>
    <row r="894">
      <c r="E894" s="168"/>
    </row>
    <row r="895">
      <c r="E895" s="168"/>
    </row>
    <row r="896">
      <c r="E896" s="168"/>
    </row>
    <row r="897">
      <c r="E897" s="168"/>
    </row>
    <row r="898">
      <c r="E898" s="168"/>
    </row>
    <row r="899">
      <c r="E899" s="168"/>
    </row>
    <row r="900">
      <c r="E900" s="168"/>
    </row>
    <row r="901">
      <c r="E901" s="168"/>
    </row>
    <row r="902">
      <c r="E902" s="168"/>
    </row>
    <row r="903">
      <c r="E903" s="168"/>
    </row>
    <row r="904">
      <c r="E904" s="168"/>
    </row>
    <row r="905">
      <c r="E905" s="168"/>
    </row>
    <row r="906">
      <c r="E906" s="168"/>
    </row>
    <row r="907">
      <c r="E907" s="168"/>
    </row>
    <row r="908">
      <c r="E908" s="168"/>
    </row>
    <row r="909">
      <c r="E909" s="168"/>
    </row>
    <row r="910">
      <c r="E910" s="168"/>
    </row>
    <row r="911">
      <c r="E911" s="168"/>
    </row>
    <row r="912">
      <c r="E912" s="168"/>
    </row>
    <row r="913">
      <c r="E913" s="168"/>
    </row>
    <row r="914">
      <c r="E914" s="168"/>
    </row>
    <row r="915">
      <c r="E915" s="168"/>
    </row>
    <row r="916">
      <c r="E916" s="168"/>
    </row>
    <row r="917">
      <c r="E917" s="168"/>
    </row>
    <row r="918">
      <c r="E918" s="168"/>
    </row>
    <row r="919">
      <c r="E919" s="168"/>
    </row>
    <row r="920">
      <c r="E920" s="168"/>
    </row>
    <row r="921">
      <c r="E921" s="168"/>
    </row>
    <row r="922">
      <c r="E922" s="168"/>
    </row>
    <row r="923">
      <c r="E923" s="168"/>
    </row>
    <row r="924">
      <c r="E924" s="168"/>
    </row>
    <row r="925">
      <c r="E925" s="168"/>
    </row>
    <row r="926">
      <c r="E926" s="168"/>
    </row>
    <row r="927">
      <c r="E927" s="168"/>
    </row>
    <row r="928">
      <c r="E928" s="168"/>
    </row>
    <row r="929">
      <c r="E929" s="168"/>
    </row>
    <row r="930">
      <c r="E930" s="168"/>
    </row>
    <row r="931">
      <c r="E931" s="168"/>
    </row>
    <row r="932">
      <c r="E932" s="168"/>
    </row>
    <row r="933">
      <c r="E933" s="168"/>
    </row>
    <row r="934">
      <c r="E934" s="168"/>
    </row>
    <row r="935">
      <c r="E935" s="168"/>
    </row>
    <row r="936">
      <c r="E936" s="168"/>
    </row>
    <row r="937">
      <c r="E937" s="168"/>
    </row>
    <row r="938">
      <c r="E938" s="168"/>
    </row>
    <row r="939">
      <c r="E939" s="168"/>
    </row>
    <row r="940">
      <c r="E940" s="168"/>
    </row>
    <row r="941">
      <c r="E941" s="168"/>
    </row>
    <row r="942">
      <c r="E942" s="168"/>
    </row>
    <row r="943">
      <c r="E943" s="168"/>
    </row>
    <row r="944">
      <c r="E944" s="168"/>
    </row>
    <row r="945">
      <c r="E945" s="168"/>
    </row>
    <row r="946">
      <c r="E946" s="168"/>
    </row>
    <row r="947">
      <c r="E947" s="168"/>
    </row>
    <row r="948">
      <c r="E948" s="168"/>
    </row>
    <row r="949">
      <c r="E949" s="168"/>
    </row>
    <row r="950">
      <c r="E950" s="168"/>
    </row>
    <row r="951">
      <c r="E951" s="168"/>
    </row>
    <row r="952">
      <c r="E952" s="168"/>
    </row>
    <row r="953">
      <c r="E953" s="168"/>
    </row>
    <row r="954">
      <c r="E954" s="168"/>
    </row>
    <row r="955">
      <c r="E955" s="168"/>
    </row>
    <row r="956">
      <c r="E956" s="168"/>
    </row>
    <row r="957">
      <c r="E957" s="168"/>
    </row>
    <row r="958">
      <c r="E958" s="168"/>
    </row>
    <row r="959">
      <c r="E959" s="168"/>
    </row>
    <row r="960">
      <c r="E960" s="168"/>
    </row>
    <row r="961">
      <c r="E961" s="168"/>
    </row>
    <row r="962">
      <c r="E962" s="168"/>
    </row>
    <row r="963">
      <c r="E963" s="168"/>
    </row>
    <row r="964">
      <c r="E964" s="168"/>
    </row>
    <row r="965">
      <c r="E965" s="168"/>
    </row>
    <row r="966">
      <c r="E966" s="168"/>
    </row>
    <row r="967">
      <c r="E967" s="168"/>
    </row>
    <row r="968">
      <c r="E968" s="168"/>
    </row>
    <row r="969">
      <c r="E969" s="168"/>
    </row>
    <row r="970">
      <c r="E970" s="168"/>
    </row>
    <row r="971">
      <c r="E971" s="168"/>
    </row>
    <row r="972">
      <c r="E972" s="168"/>
    </row>
    <row r="973">
      <c r="E973" s="168"/>
    </row>
    <row r="974">
      <c r="E974" s="168"/>
    </row>
    <row r="975">
      <c r="E975" s="168"/>
    </row>
    <row r="976">
      <c r="E976" s="168"/>
    </row>
    <row r="977">
      <c r="E977" s="168"/>
    </row>
    <row r="978">
      <c r="E978" s="168"/>
    </row>
    <row r="979">
      <c r="E979" s="168"/>
    </row>
    <row r="980">
      <c r="E980" s="168"/>
    </row>
    <row r="981">
      <c r="E981" s="168"/>
    </row>
    <row r="982">
      <c r="E982" s="168"/>
    </row>
    <row r="983">
      <c r="E983" s="168"/>
    </row>
    <row r="984">
      <c r="E984" s="168"/>
    </row>
    <row r="985">
      <c r="E985" s="168"/>
    </row>
    <row r="986">
      <c r="E986" s="168"/>
    </row>
    <row r="987">
      <c r="E987" s="168"/>
    </row>
    <row r="988">
      <c r="E988" s="168"/>
    </row>
    <row r="989">
      <c r="E989" s="168"/>
    </row>
    <row r="990">
      <c r="E990" s="168"/>
    </row>
    <row r="991">
      <c r="E991" s="168"/>
    </row>
    <row r="992">
      <c r="E992" s="168"/>
    </row>
    <row r="993">
      <c r="E993" s="168"/>
    </row>
    <row r="994">
      <c r="E994" s="168"/>
    </row>
    <row r="995">
      <c r="E995" s="168"/>
    </row>
    <row r="996">
      <c r="E996" s="168"/>
    </row>
    <row r="997">
      <c r="E997" s="168"/>
    </row>
    <row r="998">
      <c r="E998" s="168"/>
    </row>
    <row r="999">
      <c r="E999" s="168"/>
    </row>
    <row r="1000">
      <c r="E1000" s="168"/>
    </row>
  </sheetData>
  <conditionalFormatting sqref="G52:G63">
    <cfRule type="cellIs" dxfId="1" priority="1" operator="equal">
      <formula>"TRUE"</formula>
    </cfRule>
  </conditionalFormatting>
  <dataValidations>
    <dataValidation type="list" allowBlank="1" showErrorMessage="1" sqref="G52:G68">
      <formula1>"IndustryPoster1,IndustryPoster2,IndustryPoster3,IndustryPoster4,IndustryPoster5"</formula1>
    </dataValidation>
    <dataValidation type="list" allowBlank="1" showErrorMessage="1" sqref="F12:F68">
      <formula1>"IndustryPoster,Industry1,Industry2,Industry3,Industry4,Industry5,Industry6,Industry7,Industry8"</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2" max="2" width="99.5"/>
    <col customWidth="1" min="4" max="4" width="72.63"/>
    <col customWidth="1" min="5" max="5" width="87.25"/>
    <col customWidth="1" min="6" max="6" width="19.88"/>
    <col customWidth="1" min="7" max="7" width="26.88"/>
  </cols>
  <sheetData>
    <row r="1">
      <c r="A1" s="169" t="s">
        <v>207</v>
      </c>
      <c r="B1" s="169" t="s">
        <v>208</v>
      </c>
      <c r="C1" s="169" t="s">
        <v>209</v>
      </c>
      <c r="D1" s="169"/>
      <c r="E1" s="169"/>
      <c r="F1" s="149" t="s">
        <v>1049</v>
      </c>
      <c r="G1" s="149" t="s">
        <v>1050</v>
      </c>
      <c r="H1" s="170"/>
      <c r="I1" s="171"/>
      <c r="J1" s="171"/>
      <c r="K1" s="171"/>
      <c r="L1" s="171"/>
      <c r="M1" s="171"/>
      <c r="N1" s="171"/>
      <c r="O1" s="171"/>
      <c r="P1" s="171"/>
      <c r="Q1" s="171"/>
      <c r="R1" s="171"/>
      <c r="S1" s="171"/>
      <c r="T1" s="171"/>
      <c r="U1" s="171"/>
      <c r="V1" s="171"/>
      <c r="W1" s="171"/>
      <c r="X1" s="171"/>
      <c r="Y1" s="171"/>
      <c r="Z1" s="171"/>
      <c r="AA1" s="171"/>
      <c r="AB1" s="171"/>
      <c r="AC1" s="171"/>
    </row>
    <row r="2">
      <c r="A2" s="170" t="s">
        <v>138</v>
      </c>
      <c r="B2" s="172" t="s">
        <v>297</v>
      </c>
      <c r="C2" s="173">
        <f t="shared" ref="C2:C5" si="1">countif(F:F,A2)</f>
        <v>5</v>
      </c>
      <c r="D2" s="173"/>
      <c r="E2" s="173"/>
      <c r="F2" s="174"/>
      <c r="G2" s="159"/>
      <c r="H2" s="170"/>
      <c r="I2" s="171"/>
      <c r="J2" s="171"/>
      <c r="K2" s="171"/>
      <c r="L2" s="171"/>
      <c r="M2" s="171"/>
      <c r="N2" s="171"/>
      <c r="O2" s="171"/>
      <c r="P2" s="171"/>
      <c r="Q2" s="171"/>
      <c r="R2" s="171"/>
      <c r="S2" s="171"/>
      <c r="T2" s="171"/>
      <c r="U2" s="171"/>
      <c r="V2" s="171"/>
      <c r="W2" s="171"/>
      <c r="X2" s="171"/>
      <c r="Y2" s="171"/>
      <c r="Z2" s="171"/>
      <c r="AA2" s="171"/>
      <c r="AB2" s="171"/>
      <c r="AC2" s="171"/>
    </row>
    <row r="3">
      <c r="A3" s="170" t="s">
        <v>158</v>
      </c>
      <c r="B3" s="172" t="s">
        <v>298</v>
      </c>
      <c r="C3" s="173">
        <f t="shared" si="1"/>
        <v>5</v>
      </c>
      <c r="D3" s="173"/>
      <c r="E3" s="173"/>
      <c r="F3" s="174"/>
      <c r="G3" s="159"/>
      <c r="H3" s="170"/>
      <c r="I3" s="171"/>
      <c r="J3" s="171"/>
      <c r="K3" s="171"/>
      <c r="L3" s="171"/>
      <c r="M3" s="171"/>
      <c r="N3" s="171"/>
      <c r="O3" s="171"/>
      <c r="P3" s="171"/>
      <c r="Q3" s="171"/>
      <c r="R3" s="171"/>
      <c r="S3" s="171"/>
      <c r="T3" s="171"/>
      <c r="U3" s="171"/>
      <c r="V3" s="171"/>
      <c r="W3" s="171"/>
      <c r="X3" s="171"/>
      <c r="Y3" s="171"/>
      <c r="Z3" s="171"/>
      <c r="AA3" s="171"/>
      <c r="AB3" s="171"/>
      <c r="AC3" s="171"/>
    </row>
    <row r="4">
      <c r="A4" s="170" t="s">
        <v>176</v>
      </c>
      <c r="B4" s="172" t="s">
        <v>299</v>
      </c>
      <c r="C4" s="173">
        <f t="shared" si="1"/>
        <v>5</v>
      </c>
      <c r="D4" s="173"/>
      <c r="E4" s="173"/>
      <c r="F4" s="174"/>
      <c r="G4" s="159"/>
      <c r="H4" s="170"/>
      <c r="I4" s="171"/>
      <c r="J4" s="171"/>
      <c r="K4" s="171"/>
      <c r="L4" s="171"/>
      <c r="M4" s="171"/>
      <c r="N4" s="171"/>
      <c r="O4" s="171"/>
      <c r="P4" s="171"/>
      <c r="Q4" s="171"/>
      <c r="R4" s="171"/>
      <c r="S4" s="171"/>
      <c r="T4" s="171"/>
      <c r="U4" s="171"/>
      <c r="V4" s="171"/>
      <c r="W4" s="171"/>
      <c r="X4" s="171"/>
      <c r="Y4" s="171"/>
      <c r="Z4" s="171"/>
      <c r="AA4" s="171"/>
      <c r="AB4" s="171"/>
      <c r="AC4" s="171"/>
    </row>
    <row r="5">
      <c r="A5" s="170" t="s">
        <v>203</v>
      </c>
      <c r="B5" s="172" t="s">
        <v>300</v>
      </c>
      <c r="C5" s="173">
        <f t="shared" si="1"/>
        <v>5</v>
      </c>
      <c r="D5" s="173"/>
      <c r="E5" s="173"/>
      <c r="F5" s="174"/>
      <c r="G5" s="159"/>
      <c r="H5" s="170"/>
      <c r="I5" s="171"/>
      <c r="J5" s="171"/>
      <c r="K5" s="171"/>
      <c r="L5" s="171"/>
      <c r="M5" s="171"/>
      <c r="N5" s="171"/>
      <c r="O5" s="171"/>
      <c r="P5" s="171"/>
      <c r="Q5" s="171"/>
      <c r="R5" s="171"/>
      <c r="S5" s="171"/>
      <c r="T5" s="171"/>
      <c r="U5" s="171"/>
      <c r="V5" s="171"/>
      <c r="W5" s="171"/>
      <c r="X5" s="171"/>
      <c r="Y5" s="171"/>
      <c r="Z5" s="171"/>
      <c r="AA5" s="171"/>
      <c r="AB5" s="171"/>
      <c r="AC5" s="171"/>
    </row>
    <row r="6">
      <c r="A6" s="147" t="s">
        <v>1051</v>
      </c>
      <c r="B6" s="147" t="s">
        <v>1052</v>
      </c>
      <c r="C6" s="147" t="s">
        <v>1053</v>
      </c>
      <c r="D6" s="147" t="s">
        <v>1054</v>
      </c>
      <c r="E6" s="164" t="s">
        <v>366</v>
      </c>
      <c r="F6" s="147" t="s">
        <v>1055</v>
      </c>
      <c r="G6" s="148"/>
      <c r="H6" s="162"/>
      <c r="I6" s="162"/>
      <c r="J6" s="162"/>
      <c r="K6" s="162"/>
      <c r="L6" s="162"/>
      <c r="M6" s="162"/>
      <c r="N6" s="162"/>
      <c r="O6" s="162"/>
      <c r="P6" s="162"/>
      <c r="Q6" s="162"/>
      <c r="R6" s="162"/>
      <c r="S6" s="162"/>
      <c r="T6" s="162"/>
      <c r="U6" s="162"/>
      <c r="V6" s="162"/>
      <c r="W6" s="162"/>
      <c r="X6" s="162"/>
      <c r="Y6" s="162"/>
      <c r="Z6" s="162"/>
      <c r="AA6" s="162"/>
      <c r="AB6" s="162"/>
      <c r="AC6" s="171"/>
    </row>
    <row r="7">
      <c r="A7" s="118" t="s">
        <v>309</v>
      </c>
      <c r="B7" s="118" t="s">
        <v>1170</v>
      </c>
      <c r="C7" s="120" t="str">
        <f>IFERROR(__xludf.DUMMYFUNCTION("FILTER ('Web4Good Papers'!A:A,'Web4Good Papers'!B:B=B7)"),"web1159")</f>
        <v>web1159</v>
      </c>
      <c r="D7" s="120" t="str">
        <f t="shared" ref="D7:D101" si="2">concatenate(B7,char(10),E7,char(10))</f>
        <v>When to Invoke: Refining LLM Fairness with Toxicity Assessment
Jing Ren, Bowen Li, Ziqi Xu, Renqiang Luo, Shuo Yu, Xin Ye, Haytham Fayek, Xiaodong Li and Feng Xia
</v>
      </c>
      <c r="E7" s="120" t="str">
        <f>IFERROR(__xludf.DUMMYFUNCTION("TEXTJOIN(CHAR(10), TRUE,FILTER('Web4Good Papers'!$D:$D,'Web4Good Papers'!$A:$A=C7))"),"Jing Ren, Bowen Li, Ziqi Xu, Renqiang Luo, Shuo Yu, Xin Ye, Haytham Fayek, Xiaodong Li and Feng Xia")</f>
        <v>Jing Ren, Bowen Li, Ziqi Xu, Renqiang Luo, Shuo Yu, Xin Ye, Haytham Fayek, Xiaodong Li and Feng Xia</v>
      </c>
      <c r="F7" s="175" t="s">
        <v>138</v>
      </c>
      <c r="G7" s="118" t="s">
        <v>1171</v>
      </c>
      <c r="H7" s="118"/>
    </row>
    <row r="8">
      <c r="A8" s="118" t="s">
        <v>309</v>
      </c>
      <c r="B8" s="115" t="s">
        <v>1172</v>
      </c>
      <c r="C8" s="120" t="str">
        <f>IFERROR(__xludf.DUMMYFUNCTION("FILTER ('Web4Good Papers'!A:A,'Web4Good Papers'!B:B=B8)"),"web1066")</f>
        <v>web1066</v>
      </c>
      <c r="D8" s="120" t="str">
        <f t="shared" si="2"/>
        <v>Trust in One Round: Confidence Estimation for Large Language Models via Structural Signals
Pengyue Yang, Jiawen Wen, Haolin Jin, Linghan Huang, Huaming Chen and Ling Chen
</v>
      </c>
      <c r="E8" s="120" t="str">
        <f>IFERROR(__xludf.DUMMYFUNCTION("TEXTJOIN(CHAR(10), TRUE,FILTER('Web4Good Papers'!$D:$D,'Web4Good Papers'!$A:$A=C8))"),"Pengyue Yang, Jiawen Wen, Haolin Jin, Linghan Huang, Huaming Chen and Ling Chen")</f>
        <v>Pengyue Yang, Jiawen Wen, Haolin Jin, Linghan Huang, Huaming Chen and Ling Chen</v>
      </c>
      <c r="F8" s="175" t="s">
        <v>138</v>
      </c>
      <c r="G8" s="115" t="s">
        <v>1171</v>
      </c>
      <c r="H8" s="115"/>
    </row>
    <row r="9">
      <c r="A9" s="118" t="s">
        <v>309</v>
      </c>
      <c r="B9" s="115" t="s">
        <v>1173</v>
      </c>
      <c r="C9" s="120" t="str">
        <f>IFERROR(__xludf.DUMMYFUNCTION("FILTER ('Web4Good Papers'!A:A,'Web4Good Papers'!B:B=B9)"),"web0480")</f>
        <v>web0480</v>
      </c>
      <c r="D9" s="120" t="str">
        <f t="shared" si="2"/>
        <v>BalDRO: A Distributionally Robust Optimization based Framework for Large Language Model Unlearning
Pengyang Shao, Naixin Zhai, Lei Chen, Yonghui Yang, Fengbin Zhu, Xun Yang and Meng Wang
</v>
      </c>
      <c r="E9" s="120" t="str">
        <f>IFERROR(__xludf.DUMMYFUNCTION("TEXTJOIN(CHAR(10), TRUE,FILTER('Web4Good Papers'!$D:$D,'Web4Good Papers'!$A:$A=C9))"),"Pengyang Shao, Naixin Zhai, Lei Chen, Yonghui Yang, Fengbin Zhu, Xun Yang and Meng Wang")</f>
        <v>Pengyang Shao, Naixin Zhai, Lei Chen, Yonghui Yang, Fengbin Zhu, Xun Yang and Meng Wang</v>
      </c>
      <c r="F9" s="175" t="s">
        <v>138</v>
      </c>
      <c r="G9" s="115" t="s">
        <v>1171</v>
      </c>
      <c r="H9" s="115"/>
    </row>
    <row r="10">
      <c r="A10" s="118" t="s">
        <v>309</v>
      </c>
      <c r="B10" s="115" t="s">
        <v>1174</v>
      </c>
      <c r="C10" s="120" t="str">
        <f>IFERROR(__xludf.DUMMYFUNCTION("FILTER ('Web4Good Papers'!A:A,'Web4Good Papers'!B:B=B10)"),"web1255")</f>
        <v>web1255</v>
      </c>
      <c r="D10" s="120" t="str">
        <f t="shared" si="2"/>
        <v>SEP-Attack: A Simple and Effective Paradigm for Transfer-Based Textual Adversarial Attack
Han Liu, Zhi Xu, Xiaotong Zhang, Feng Zhang, Xiaoming Xu, Wei Wang, Fenglong Ma and Hong Yu
</v>
      </c>
      <c r="E10" s="120" t="str">
        <f>IFERROR(__xludf.DUMMYFUNCTION("TEXTJOIN(CHAR(10), TRUE,FILTER('Web4Good Papers'!$D:$D,'Web4Good Papers'!$A:$A=C10))"),"Han Liu, Zhi Xu, Xiaotong Zhang, Feng Zhang, Xiaoming Xu, Wei Wang, Fenglong Ma and Hong Yu")</f>
        <v>Han Liu, Zhi Xu, Xiaotong Zhang, Feng Zhang, Xiaoming Xu, Wei Wang, Fenglong Ma and Hong Yu</v>
      </c>
      <c r="F10" s="175" t="s">
        <v>138</v>
      </c>
      <c r="G10" s="115" t="s">
        <v>1171</v>
      </c>
      <c r="H10" s="115"/>
    </row>
    <row r="11">
      <c r="A11" s="118" t="s">
        <v>309</v>
      </c>
      <c r="B11" s="115" t="s">
        <v>1175</v>
      </c>
      <c r="C11" s="120" t="str">
        <f>IFERROR(__xludf.DUMMYFUNCTION("FILTER ('Web4Good Papers'!A:A,'Web4Good Papers'!B:B=B11)"),"web1298")</f>
        <v>web1298</v>
      </c>
      <c r="D11" s="120" t="str">
        <f t="shared" si="2"/>
        <v>Fine-Grained Traceability for Transparent ML Pipelines
Liping Chen, Mujie Liu and Haytham Fayek
</v>
      </c>
      <c r="E11" s="120" t="str">
        <f>IFERROR(__xludf.DUMMYFUNCTION("TEXTJOIN(CHAR(10), TRUE,FILTER('Web4Good Papers'!$D:$D,'Web4Good Papers'!$A:$A=C11))"),"Liping Chen, Mujie Liu and Haytham Fayek")</f>
        <v>Liping Chen, Mujie Liu and Haytham Fayek</v>
      </c>
      <c r="F11" s="175" t="s">
        <v>138</v>
      </c>
      <c r="G11" s="115" t="s">
        <v>1171</v>
      </c>
      <c r="H11" s="115"/>
    </row>
    <row r="12">
      <c r="A12" s="118" t="s">
        <v>309</v>
      </c>
      <c r="B12" s="115" t="s">
        <v>1176</v>
      </c>
      <c r="C12" s="120" t="str">
        <f>IFERROR(__xludf.DUMMYFUNCTION("FILTER ('Web4Good Papers'!A:A,'Web4Good Papers'!B:B=B12)"),"web1041")</f>
        <v>web1041</v>
      </c>
      <c r="D12" s="120" t="str">
        <f t="shared" si="2"/>
        <v>Concept Relationship Embedding-Based Interactive Web Application for Explainable Medical Diagnosis
Lei Zhao, Xingguo Lv, Qika Lin, Kaize Shi, Xiaoming Qi, Bin Pu and Kenli Li
</v>
      </c>
      <c r="E12" s="120" t="str">
        <f>IFERROR(__xludf.DUMMYFUNCTION("TEXTJOIN(CHAR(10), TRUE,FILTER('Web4Good Papers'!$D:$D,'Web4Good Papers'!$A:$A=C12))"),"Lei Zhao, Xingguo Lv, Qika Lin, Kaize Shi, Xiaoming Qi, Bin Pu and Kenli Li")</f>
        <v>Lei Zhao, Xingguo Lv, Qika Lin, Kaize Shi, Xiaoming Qi, Bin Pu and Kenli Li</v>
      </c>
      <c r="F12" s="176" t="s">
        <v>158</v>
      </c>
      <c r="G12" s="115" t="s">
        <v>1171</v>
      </c>
      <c r="H12" s="115"/>
    </row>
    <row r="13">
      <c r="A13" s="118" t="s">
        <v>309</v>
      </c>
      <c r="B13" s="115" t="s">
        <v>1177</v>
      </c>
      <c r="C13" s="120" t="str">
        <f>IFERROR(__xludf.DUMMYFUNCTION("FILTER ('Web4Good Papers'!A:A,'Web4Good Papers'!B:B=B13)"),"web1166")</f>
        <v>web1166</v>
      </c>
      <c r="D13" s="120" t="str">
        <f t="shared" si="2"/>
        <v>Towards Glaucoma Screening in Decentralized Clinics: A Dynamic Expert-Assisted Domain-Incremental Approach
Chenglong Fu, Jian Yao, Pengjiang Qian, Weiwei Fu, Chuang Wang and Guisong Yang
</v>
      </c>
      <c r="E13" s="120" t="str">
        <f>IFERROR(__xludf.DUMMYFUNCTION("TEXTJOIN(CHAR(10), TRUE,FILTER('Web4Good Papers'!$D:$D,'Web4Good Papers'!$A:$A=C13))"),"Chenglong Fu, Jian Yao, Pengjiang Qian, Weiwei Fu, Chuang Wang and Guisong Yang")</f>
        <v>Chenglong Fu, Jian Yao, Pengjiang Qian, Weiwei Fu, Chuang Wang and Guisong Yang</v>
      </c>
      <c r="F13" s="176" t="s">
        <v>158</v>
      </c>
      <c r="G13" s="115" t="s">
        <v>1171</v>
      </c>
      <c r="H13" s="115"/>
    </row>
    <row r="14">
      <c r="A14" s="118" t="s">
        <v>309</v>
      </c>
      <c r="B14" s="115" t="s">
        <v>1178</v>
      </c>
      <c r="C14" s="120" t="str">
        <f>IFERROR(__xludf.DUMMYFUNCTION("FILTER ('Web4Good Papers'!A:A,'Web4Good Papers'!B:B=B14)"),"web1165")</f>
        <v>web1165</v>
      </c>
      <c r="D14" s="120" t="str">
        <f t="shared" si="2"/>
        <v>XInsight: Integrative Stage-Consistent Psychological Counseling Support Agents for Digital Well-Being
Fei Wang, Jiangnan Yang, Junjie Chen, Yuxin Liu, Kun Li, Yanyan Wei, Dan Guo and Meng Wang
</v>
      </c>
      <c r="E14" s="120" t="str">
        <f>IFERROR(__xludf.DUMMYFUNCTION("TEXTJOIN(CHAR(10), TRUE,FILTER('Web4Good Papers'!$D:$D,'Web4Good Papers'!$A:$A=C14))"),"Fei Wang, Jiangnan Yang, Junjie Chen, Yuxin Liu, Kun Li, Yanyan Wei, Dan Guo and Meng Wang")</f>
        <v>Fei Wang, Jiangnan Yang, Junjie Chen, Yuxin Liu, Kun Li, Yanyan Wei, Dan Guo and Meng Wang</v>
      </c>
      <c r="F14" s="176" t="s">
        <v>158</v>
      </c>
      <c r="G14" s="115" t="s">
        <v>1171</v>
      </c>
      <c r="H14" s="115"/>
    </row>
    <row r="15">
      <c r="A15" s="118" t="s">
        <v>309</v>
      </c>
      <c r="B15" s="115" t="s">
        <v>1179</v>
      </c>
      <c r="C15" s="120" t="str">
        <f>IFERROR(__xludf.DUMMYFUNCTION("FILTER ('Web4Good Papers'!A:A,'Web4Good Papers'!B:B=B15)"),"web1102")</f>
        <v>web1102</v>
      </c>
      <c r="D15" s="120" t="str">
        <f t="shared" si="2"/>
        <v>(Mis-)Informed Consent: Predatory Apps and the Exploitation of Populations with Limited Literacy
Muhammad Muneeb Pervez, Muhammad Qasim Atiq Ullah, Ibrahim Ahmed Khan, Roshnik Rahat, Muhammad Fareed Zaffar, Rashid Tahir, Talal Rahwan and Yasir Zaki
</v>
      </c>
      <c r="E15" s="120" t="str">
        <f>IFERROR(__xludf.DUMMYFUNCTION("TEXTJOIN(CHAR(10), TRUE,FILTER('Web4Good Papers'!$D:$D,'Web4Good Papers'!$A:$A=C15))"),"Muhammad Muneeb Pervez, Muhammad Qasim Atiq Ullah, Ibrahim Ahmed Khan, Roshnik Rahat, Muhammad Fareed Zaffar, Rashid Tahir, Talal Rahwan and Yasir Zaki")</f>
        <v>Muhammad Muneeb Pervez, Muhammad Qasim Atiq Ullah, Ibrahim Ahmed Khan, Roshnik Rahat, Muhammad Fareed Zaffar, Rashid Tahir, Talal Rahwan and Yasir Zaki</v>
      </c>
      <c r="F15" s="176" t="s">
        <v>158</v>
      </c>
      <c r="H15" s="115" t="s">
        <v>1171</v>
      </c>
    </row>
    <row r="16">
      <c r="A16" s="118" t="s">
        <v>309</v>
      </c>
      <c r="B16" s="115" t="s">
        <v>1180</v>
      </c>
      <c r="C16" s="120" t="str">
        <f>IFERROR(__xludf.DUMMYFUNCTION("FILTER ('Web4Good Papers'!A:A,'Web4Good Papers'!B:B=B16)"),"web1366")</f>
        <v>web1366</v>
      </c>
      <c r="D16" s="120" t="str">
        <f t="shared" si="2"/>
        <v>LLM Use for Mental Health: Crowdsourcing Users’ Sentiment-based Perspectives and Values from Social Discussions
Lingyao Li, Xiaoshan Huang, Renkai Ma, Ben Zefeng Zhang, Haolun Wu, Fan Yang and Chen Chen
</v>
      </c>
      <c r="E16" s="120" t="str">
        <f>IFERROR(__xludf.DUMMYFUNCTION("TEXTJOIN(CHAR(10), TRUE,FILTER('Web4Good Papers'!$D:$D,'Web4Good Papers'!$A:$A=C16))"),"Lingyao Li, Xiaoshan Huang, Renkai Ma, Ben Zefeng Zhang, Haolun Wu, Fan Yang and Chen Chen")</f>
        <v>Lingyao Li, Xiaoshan Huang, Renkai Ma, Ben Zefeng Zhang, Haolun Wu, Fan Yang and Chen Chen</v>
      </c>
      <c r="F16" s="176" t="s">
        <v>158</v>
      </c>
      <c r="G16" s="115" t="s">
        <v>1171</v>
      </c>
      <c r="H16" s="115"/>
    </row>
    <row r="17">
      <c r="A17" s="118" t="s">
        <v>309</v>
      </c>
      <c r="B17" s="115" t="s">
        <v>1181</v>
      </c>
      <c r="C17" s="120" t="str">
        <f>IFERROR(__xludf.DUMMYFUNCTION("FILTER ('Web4Good Papers'!A:A,'Web4Good Papers'!B:B=B17)"),"web1047")</f>
        <v>web1047</v>
      </c>
      <c r="D17" s="120" t="str">
        <f t="shared" si="2"/>
        <v>Fairer AI Carbon Accounting: Incorporating Market-based Attribution and Uncertainty in Embodied and Operational Carbon Footprint
Xiaoyang Zhang, Yang Deng, Fang He and Dan Wang
</v>
      </c>
      <c r="E17" s="120" t="str">
        <f>IFERROR(__xludf.DUMMYFUNCTION("TEXTJOIN(CHAR(10), TRUE,FILTER('Web4Good Papers'!$D:$D,'Web4Good Papers'!$A:$A=C17))"),"Xiaoyang Zhang, Yang Deng, Fang He and Dan Wang")</f>
        <v>Xiaoyang Zhang, Yang Deng, Fang He and Dan Wang</v>
      </c>
      <c r="F17" s="177" t="s">
        <v>176</v>
      </c>
      <c r="G17" s="115" t="s">
        <v>1171</v>
      </c>
      <c r="H17" s="115"/>
    </row>
    <row r="18">
      <c r="A18" s="118" t="s">
        <v>309</v>
      </c>
      <c r="B18" s="115" t="s">
        <v>1182</v>
      </c>
      <c r="C18" s="120" t="str">
        <f>IFERROR(__xludf.DUMMYFUNCTION("FILTER ('Web4Good Papers'!A:A,'Web4Good Papers'!B:B=B18)"),"web1072")</f>
        <v>web1072</v>
      </c>
      <c r="D18" s="120" t="str">
        <f t="shared" si="2"/>
        <v>EcoThink: A Green Adaptive Inference Framework for Sustainable and Accessible Agents
Linxiao Li and Zhixiang Lu
</v>
      </c>
      <c r="E18" s="120" t="str">
        <f>IFERROR(__xludf.DUMMYFUNCTION("TEXTJOIN(CHAR(10), TRUE,FILTER('Web4Good Papers'!$D:$D,'Web4Good Papers'!$A:$A=C18))"),"Linxiao Li and Zhixiang Lu")</f>
        <v>Linxiao Li and Zhixiang Lu</v>
      </c>
      <c r="F18" s="177" t="s">
        <v>176</v>
      </c>
      <c r="G18" s="115" t="s">
        <v>1171</v>
      </c>
      <c r="H18" s="115"/>
    </row>
    <row r="19">
      <c r="A19" s="118" t="s">
        <v>309</v>
      </c>
      <c r="B19" s="115" t="s">
        <v>1183</v>
      </c>
      <c r="C19" s="120" t="str">
        <f>IFERROR(__xludf.DUMMYFUNCTION("FILTER ('Web4Good Papers'!A:A,'Web4Good Papers'!B:B=B19)"),"web1209")</f>
        <v>web1209</v>
      </c>
      <c r="D19" s="120" t="str">
        <f t="shared" si="2"/>
        <v>GreenTune: Energy-Efficient Low-Rank Tuning of LLMs with ThreeE Evaluation under 4-/8-bit Quantization
Xingrao Ma, Zongxi Li, Chengzu Dong, Kai Fang and Shao Di
</v>
      </c>
      <c r="E19" s="120" t="str">
        <f>IFERROR(__xludf.DUMMYFUNCTION("TEXTJOIN(CHAR(10), TRUE,FILTER('Web4Good Papers'!$D:$D,'Web4Good Papers'!$A:$A=C19))"),"Xingrao Ma, Zongxi Li, Chengzu Dong, Kai Fang and Shao Di")</f>
        <v>Xingrao Ma, Zongxi Li, Chengzu Dong, Kai Fang and Shao Di</v>
      </c>
      <c r="F19" s="177" t="s">
        <v>176</v>
      </c>
      <c r="G19" s="115" t="s">
        <v>1171</v>
      </c>
      <c r="H19" s="115"/>
    </row>
    <row r="20">
      <c r="A20" s="118" t="s">
        <v>309</v>
      </c>
      <c r="B20" s="115" t="s">
        <v>1184</v>
      </c>
      <c r="C20" s="120" t="str">
        <f>IFERROR(__xludf.DUMMYFUNCTION("FILTER ('Web4Good Papers'!A:A,'Web4Good Papers'!B:B=B20)"),"web1258")</f>
        <v>web1258</v>
      </c>
      <c r="D20" s="120" t="str">
        <f t="shared" si="2"/>
        <v>Route-and-Reason: Energy-Efficient Scaling of LLM Reasoning via Reinforced Model Routing
Chenyang Shao, Xinyang Liu, Yutang Lin, Fengli Xu and Yong Li
</v>
      </c>
      <c r="E20" s="120" t="str">
        <f>IFERROR(__xludf.DUMMYFUNCTION("TEXTJOIN(CHAR(10), TRUE,FILTER('Web4Good Papers'!$D:$D,'Web4Good Papers'!$A:$A=C20))"),"Chenyang Shao, Xinyang Liu, Yutang Lin, Fengli Xu and Yong Li")</f>
        <v>Chenyang Shao, Xinyang Liu, Yutang Lin, Fengli Xu and Yong Li</v>
      </c>
      <c r="F20" s="177" t="s">
        <v>176</v>
      </c>
      <c r="G20" s="115" t="s">
        <v>1171</v>
      </c>
      <c r="H20" s="115"/>
    </row>
    <row r="21">
      <c r="A21" s="118" t="s">
        <v>309</v>
      </c>
      <c r="B21" s="115" t="s">
        <v>1185</v>
      </c>
      <c r="C21" s="120" t="str">
        <f>IFERROR(__xludf.DUMMYFUNCTION("FILTER ('Web4Good Papers'!A:A,'Web4Good Papers'!B:B=B21)"),"web1138")</f>
        <v>web1138</v>
      </c>
      <c r="D21" s="120" t="str">
        <f t="shared" si="2"/>
        <v>Online GPU Energy Optimization with Switching-Aware Bandits
Xiongxiao Xu, Solomon Abera Bekele, Brice Videau and Kai Shu
</v>
      </c>
      <c r="E21" s="120" t="str">
        <f>IFERROR(__xludf.DUMMYFUNCTION("TEXTJOIN(CHAR(10), TRUE,FILTER('Web4Good Papers'!$D:$D,'Web4Good Papers'!$A:$A=C21))"),"Xiongxiao Xu, Solomon Abera Bekele, Brice Videau and Kai Shu")</f>
        <v>Xiongxiao Xu, Solomon Abera Bekele, Brice Videau and Kai Shu</v>
      </c>
      <c r="F21" s="177" t="s">
        <v>176</v>
      </c>
      <c r="G21" s="115" t="s">
        <v>1171</v>
      </c>
      <c r="H21" s="115"/>
    </row>
    <row r="22">
      <c r="A22" s="118" t="s">
        <v>309</v>
      </c>
      <c r="B22" s="115" t="s">
        <v>1186</v>
      </c>
      <c r="C22" s="120" t="str">
        <f>IFERROR(__xludf.DUMMYFUNCTION("FILTER ('Web4Good Papers'!A:A,'Web4Good Papers'!B:B=B22)"),"web1210")</f>
        <v>web1210</v>
      </c>
      <c r="D22" s="120" t="str">
        <f t="shared" si="2"/>
        <v>Belief-Driven Multi-Agent Collaboration via Approximate Perfect Bayesian Equilibrium for Social Simulation
Weiwei Fang, Lin Li, Kaize Shi, Yu Yang and Jianwei Zhang
</v>
      </c>
      <c r="E22" s="120" t="str">
        <f>IFERROR(__xludf.DUMMYFUNCTION("TEXTJOIN(CHAR(10), TRUE,FILTER('Web4Good Papers'!$D:$D,'Web4Good Papers'!$A:$A=C22))"),"Weiwei Fang, Lin Li, Kaize Shi, Yu Yang and Jianwei Zhang")</f>
        <v>Weiwei Fang, Lin Li, Kaize Shi, Yu Yang and Jianwei Zhang</v>
      </c>
      <c r="F22" s="178" t="s">
        <v>203</v>
      </c>
      <c r="G22" s="115" t="s">
        <v>1171</v>
      </c>
      <c r="H22" s="115"/>
    </row>
    <row r="23">
      <c r="A23" s="118" t="s">
        <v>309</v>
      </c>
      <c r="B23" s="115" t="s">
        <v>1187</v>
      </c>
      <c r="C23" s="120" t="str">
        <f>IFERROR(__xludf.DUMMYFUNCTION("FILTER ('Web4Good Papers'!A:A,'Web4Good Papers'!B:B=B23)"),"web1095")</f>
        <v>web1095</v>
      </c>
      <c r="D23" s="120" t="str">
        <f t="shared" si="2"/>
        <v>Think Then Recommend: An LLM-Powered Multi-Agent Framework for Personalized Conversational Recommender System in E-Commerce
Yuankun Zu, Xiangyu Cai, Chuchu Yu, Hao Peng, Jia Duan, Long Chen, Kunyao Wang, Zehua Zhang, Changping Peng, Zhangang Lin and Ching Law
</v>
      </c>
      <c r="E23" s="120" t="str">
        <f>IFERROR(__xludf.DUMMYFUNCTION("TEXTJOIN(CHAR(10), TRUE,FILTER('Web4Good Papers'!$D:$D,'Web4Good Papers'!$A:$A=C23))"),"Yuankun Zu, Xiangyu Cai, Chuchu Yu, Hao Peng, Jia Duan, Long Chen, Kunyao Wang, Zehua Zhang, Changping Peng, Zhangang Lin and Ching Law")</f>
        <v>Yuankun Zu, Xiangyu Cai, Chuchu Yu, Hao Peng, Jia Duan, Long Chen, Kunyao Wang, Zehua Zhang, Changping Peng, Zhangang Lin and Ching Law</v>
      </c>
      <c r="F23" s="178" t="s">
        <v>203</v>
      </c>
      <c r="G23" s="115" t="s">
        <v>1171</v>
      </c>
      <c r="H23" s="115"/>
    </row>
    <row r="24">
      <c r="A24" s="118" t="s">
        <v>309</v>
      </c>
      <c r="B24" s="115" t="s">
        <v>1188</v>
      </c>
      <c r="C24" s="120" t="str">
        <f>IFERROR(__xludf.DUMMYFUNCTION("FILTER ('Web4Good Papers'!A:A,'Web4Good Papers'!B:B=B24)"),"web1089")</f>
        <v>web1089</v>
      </c>
      <c r="D24" s="120" t="str">
        <f t="shared" si="2"/>
        <v>GORAG: Graph-based Online Retrieval Augmented Generation for Dynamic Few-shot Social Media Text Classification
Yubo Wang, Haoyang Li, Fei Teng and Lei Chen
</v>
      </c>
      <c r="E24" s="120" t="str">
        <f>IFERROR(__xludf.DUMMYFUNCTION("TEXTJOIN(CHAR(10), TRUE,FILTER('Web4Good Papers'!$D:$D,'Web4Good Papers'!$A:$A=C24))"),"Yubo Wang, Haoyang Li, Fei Teng and Lei Chen")</f>
        <v>Yubo Wang, Haoyang Li, Fei Teng and Lei Chen</v>
      </c>
      <c r="F24" s="178" t="s">
        <v>203</v>
      </c>
      <c r="G24" s="115" t="s">
        <v>1171</v>
      </c>
      <c r="H24" s="115"/>
    </row>
    <row r="25">
      <c r="A25" s="118" t="s">
        <v>309</v>
      </c>
      <c r="B25" s="115" t="s">
        <v>1189</v>
      </c>
      <c r="C25" s="120" t="str">
        <f>IFERROR(__xludf.DUMMYFUNCTION("FILTER ('Web4Good Papers'!A:A,'Web4Good Papers'!B:B=B25)"),"web0902")</f>
        <v>web0902</v>
      </c>
      <c r="D25" s="120" t="str">
        <f t="shared" si="2"/>
        <v>Mining Citywide Dengue Spread Patterns in Singapore Through Hotspot Dynamics from Open Web Data
Liping Huang, Gaoxi Xiao, Stefan Ma, Hechang Chen, Shisong Tang and Flora D. Salim
</v>
      </c>
      <c r="E25" s="120" t="str">
        <f>IFERROR(__xludf.DUMMYFUNCTION("TEXTJOIN(CHAR(10), TRUE,FILTER('Web4Good Papers'!$D:$D,'Web4Good Papers'!$A:$A=C25))"),"Liping Huang, Gaoxi Xiao, Stefan Ma, Hechang Chen, Shisong Tang and Flora D. Salim")</f>
        <v>Liping Huang, Gaoxi Xiao, Stefan Ma, Hechang Chen, Shisong Tang and Flora D. Salim</v>
      </c>
      <c r="F25" s="178" t="s">
        <v>203</v>
      </c>
      <c r="G25" s="115" t="s">
        <v>1171</v>
      </c>
      <c r="H25" s="115"/>
    </row>
    <row r="26">
      <c r="A26" s="118" t="s">
        <v>309</v>
      </c>
      <c r="B26" s="115" t="s">
        <v>1190</v>
      </c>
      <c r="C26" s="120" t="str">
        <f>IFERROR(__xludf.DUMMYFUNCTION("FILTER ('Web4Good Papers'!A:A,'Web4Good Papers'!B:B=B26)"),"web0505")</f>
        <v>web0505</v>
      </c>
      <c r="D26" s="120" t="str">
        <f t="shared" si="2"/>
        <v>Consensus Stability of Community Notes on X
Yuwei Chuai, Gabriele Lenzini and Nicolas Pröllochs
</v>
      </c>
      <c r="E26" s="120" t="str">
        <f>IFERROR(__xludf.DUMMYFUNCTION("TEXTJOIN(CHAR(10), TRUE,FILTER('Web4Good Papers'!$D:$D,'Web4Good Papers'!$A:$A=C26))"),"Yuwei Chuai, Gabriele Lenzini and Nicolas Pröllochs")</f>
        <v>Yuwei Chuai, Gabriele Lenzini and Nicolas Pröllochs</v>
      </c>
      <c r="F26" s="178" t="s">
        <v>203</v>
      </c>
      <c r="G26" s="115" t="s">
        <v>1171</v>
      </c>
      <c r="H26" s="115"/>
    </row>
    <row r="27">
      <c r="A27" s="118" t="s">
        <v>309</v>
      </c>
      <c r="B27" s="115" t="s">
        <v>1191</v>
      </c>
      <c r="C27" s="120" t="str">
        <f>IFERROR(__xludf.DUMMYFUNCTION("FILTER ('Web4Good Papers'!A:A,'Web4Good Papers'!B:B=B27)"),"web0019")</f>
        <v>web0019</v>
      </c>
      <c r="D27" s="120" t="str">
        <f t="shared" si="2"/>
        <v>The Chatbot Knows It’s You: Dialogue Attribution in Unauthenticated Human–LLM Sessions
Wenxuan Wang, Zirui Liu, Haoxuan Kou, Xuefeng Liu and Jiaxing Shen
</v>
      </c>
      <c r="E27" s="120" t="str">
        <f>IFERROR(__xludf.DUMMYFUNCTION("TEXTJOIN(CHAR(10), TRUE,FILTER('Web4Good Papers'!$D:$D,'Web4Good Papers'!$A:$A=C27))"),"Wenxuan Wang, Zirui Liu, Haoxuan Kou, Xuefeng Liu and Jiaxing Shen")</f>
        <v>Wenxuan Wang, Zirui Liu, Haoxuan Kou, Xuefeng Liu and Jiaxing Shen</v>
      </c>
      <c r="F27" s="163" t="s">
        <v>301</v>
      </c>
      <c r="G27" s="118" t="s">
        <v>357</v>
      </c>
      <c r="H27" s="115"/>
    </row>
    <row r="28">
      <c r="A28" s="118" t="s">
        <v>309</v>
      </c>
      <c r="B28" s="115" t="s">
        <v>1192</v>
      </c>
      <c r="C28" s="120" t="str">
        <f>IFERROR(__xludf.DUMMYFUNCTION("FILTER ('Web4Good Papers'!A:A,'Web4Good Papers'!B:B=B28)"),"web1058")</f>
        <v>web1058</v>
      </c>
      <c r="D28" s="120" t="str">
        <f t="shared" si="2"/>
        <v>Spiking Graph Predictive Coding for Reliable OOD Generalization
Jing Ren, Jiapeng Du, Bowen Li, Ziqi Xu, Xin Zheng, Hong Jia, Suyu Ma, Xiwei Xu and Feng Xia
</v>
      </c>
      <c r="E28" s="120" t="str">
        <f>IFERROR(__xludf.DUMMYFUNCTION("TEXTJOIN(CHAR(10), TRUE,FILTER('Web4Good Papers'!$D:$D,'Web4Good Papers'!$A:$A=C28))"),"Jing Ren, Jiapeng Du, Bowen Li, Ziqi Xu, Xin Zheng, Hong Jia, Suyu Ma, Xiwei Xu and Feng Xia")</f>
        <v>Jing Ren, Jiapeng Du, Bowen Li, Ziqi Xu, Xin Zheng, Hong Jia, Suyu Ma, Xiwei Xu and Feng Xia</v>
      </c>
      <c r="F28" s="163" t="s">
        <v>301</v>
      </c>
      <c r="G28" s="118" t="s">
        <v>121</v>
      </c>
      <c r="H28" s="115"/>
    </row>
    <row r="29">
      <c r="A29" s="118" t="s">
        <v>309</v>
      </c>
      <c r="B29" s="115" t="s">
        <v>1193</v>
      </c>
      <c r="C29" s="120" t="str">
        <f>IFERROR(__xludf.DUMMYFUNCTION("FILTER ('Web4Good Papers'!A:A,'Web4Good Papers'!B:B=B29)"),"web1218")</f>
        <v>web1218</v>
      </c>
      <c r="D29" s="120" t="str">
        <f t="shared" si="2"/>
        <v>STPWR: A Spatiotemporal Prediction-based Worker Pre-Recruitment Framework for Mobile Crowd Sensing
Guisong Yang, Yuchen Yang, Yunbo Shen, Xingyu He, Jianheng Tang, Yunhuai Liu and Chengji Xu
</v>
      </c>
      <c r="E29" s="120" t="str">
        <f>IFERROR(__xludf.DUMMYFUNCTION("TEXTJOIN(CHAR(10), TRUE,FILTER('Web4Good Papers'!$D:$D,'Web4Good Papers'!$A:$A=C29))"),"Guisong Yang, Yuchen Yang, Yunbo Shen, Xingyu He, Jianheng Tang, Yunhuai Liu and Chengji Xu")</f>
        <v>Guisong Yang, Yuchen Yang, Yunbo Shen, Xingyu He, Jianheng Tang, Yunhuai Liu and Chengji Xu</v>
      </c>
      <c r="F29" s="163" t="s">
        <v>301</v>
      </c>
      <c r="G29" s="118" t="s">
        <v>358</v>
      </c>
      <c r="H29" s="115"/>
    </row>
    <row r="30">
      <c r="A30" s="118" t="s">
        <v>309</v>
      </c>
      <c r="B30" s="115" t="s">
        <v>1194</v>
      </c>
      <c r="C30" s="120" t="str">
        <f>IFERROR(__xludf.DUMMYFUNCTION("FILTER ('Web4Good Papers'!A:A,'Web4Good Papers'!B:B=B30)"),"web0813")</f>
        <v>web0813</v>
      </c>
      <c r="D30" s="120" t="str">
        <f t="shared" si="2"/>
        <v>StreamSense: Streaming Social Task Detection with Selective Vision–Language Model Routing
Han Wang, Deyi Ji, Lanyun Zhu, Jiebo Luo and Roy Ka-Wei Lee
</v>
      </c>
      <c r="E30" s="120" t="str">
        <f>IFERROR(__xludf.DUMMYFUNCTION("TEXTJOIN(CHAR(10), TRUE,FILTER('Web4Good Papers'!$D:$D,'Web4Good Papers'!$A:$A=C30))"),"Han Wang, Deyi Ji, Lanyun Zhu, Jiebo Luo and Roy Ka-Wei Lee")</f>
        <v>Han Wang, Deyi Ji, Lanyun Zhu, Jiebo Luo and Roy Ka-Wei Lee</v>
      </c>
      <c r="F30" s="163" t="s">
        <v>301</v>
      </c>
      <c r="G30" s="118" t="s">
        <v>359</v>
      </c>
      <c r="H30" s="115"/>
    </row>
    <row r="31">
      <c r="A31" s="118" t="s">
        <v>309</v>
      </c>
      <c r="B31" s="115" t="s">
        <v>1195</v>
      </c>
      <c r="C31" s="120" t="str">
        <f>IFERROR(__xludf.DUMMYFUNCTION("FILTER ('Web4Good Papers'!A:A,'Web4Good Papers'!B:B=B31)"),"web1046")</f>
        <v>web1046</v>
      </c>
      <c r="D31" s="120" t="str">
        <f t="shared" si="2"/>
        <v>Bridging Cognitive Neuroscience and Graph Intelligence: Hippocampus-Inspired Multi-View Hypergraph Learning for Web Finance Fraud
Rongkun Cui, Nana Zhang, Kun Zhu and Qi Zhang
</v>
      </c>
      <c r="E31" s="120" t="str">
        <f>IFERROR(__xludf.DUMMYFUNCTION("TEXTJOIN(CHAR(10), TRUE,FILTER('Web4Good Papers'!$D:$D,'Web4Good Papers'!$A:$A=C31))"),"Rongkun Cui, Nana Zhang, Kun Zhu and Qi Zhang")</f>
        <v>Rongkun Cui, Nana Zhang, Kun Zhu and Qi Zhang</v>
      </c>
      <c r="F31" s="163" t="s">
        <v>301</v>
      </c>
      <c r="G31" s="118" t="s">
        <v>189</v>
      </c>
      <c r="H31" s="115"/>
    </row>
    <row r="32">
      <c r="A32" s="118" t="s">
        <v>309</v>
      </c>
      <c r="B32" s="115" t="s">
        <v>1196</v>
      </c>
      <c r="C32" s="120" t="str">
        <f>IFERROR(__xludf.DUMMYFUNCTION("FILTER ('Web4Good Papers'!A:A,'Web4Good Papers'!B:B=B32)"),"web1048")</f>
        <v>web1048</v>
      </c>
      <c r="D32" s="120" t="str">
        <f t="shared" si="2"/>
        <v>Toward Green Computing: General Carbon Intensity Forecasting via Dual Graph Empowered Time Series Foundation Model
Xiaoyang Zhang, Taiqi Zhou, Fang He, Yang Deng and Dan Wang
</v>
      </c>
      <c r="E32" s="120" t="str">
        <f>IFERROR(__xludf.DUMMYFUNCTION("TEXTJOIN(CHAR(10), TRUE,FILTER('Web4Good Papers'!$D:$D,'Web4Good Papers'!$A:$A=C32))"),"Xiaoyang Zhang, Taiqi Zhou, Fang He, Yang Deng and Dan Wang")</f>
        <v>Xiaoyang Zhang, Taiqi Zhou, Fang He, Yang Deng and Dan Wang</v>
      </c>
      <c r="F32" s="163" t="s">
        <v>301</v>
      </c>
      <c r="G32" s="118" t="s">
        <v>357</v>
      </c>
      <c r="H32" s="115"/>
    </row>
    <row r="33">
      <c r="A33" s="118" t="s">
        <v>309</v>
      </c>
      <c r="B33" s="115" t="s">
        <v>1197</v>
      </c>
      <c r="C33" s="120" t="str">
        <f>IFERROR(__xludf.DUMMYFUNCTION("FILTER ('Web4Good Papers'!A:A,'Web4Good Papers'!B:B=B33)"),"web1052")</f>
        <v>web1052</v>
      </c>
      <c r="D33" s="120" t="str">
        <f t="shared" si="2"/>
        <v>Boosting Large Language Models for Mental Manipulation Detection via Data Augmentation and Distillation
Yuansheng Gao, Peng Gao, Han Bao, Bin Li, Jixiang Luo, Zonghui Wang and Wenzhi Chen
</v>
      </c>
      <c r="E33" s="120" t="str">
        <f>IFERROR(__xludf.DUMMYFUNCTION("TEXTJOIN(CHAR(10), TRUE,FILTER('Web4Good Papers'!$D:$D,'Web4Good Papers'!$A:$A=C33))"),"Yuansheng Gao, Peng Gao, Han Bao, Bin Li, Jixiang Luo, Zonghui Wang and Wenzhi Chen")</f>
        <v>Yuansheng Gao, Peng Gao, Han Bao, Bin Li, Jixiang Luo, Zonghui Wang and Wenzhi Chen</v>
      </c>
      <c r="F33" s="163" t="s">
        <v>301</v>
      </c>
      <c r="G33" s="118" t="s">
        <v>121</v>
      </c>
      <c r="H33" s="115"/>
    </row>
    <row r="34">
      <c r="A34" s="118" t="s">
        <v>309</v>
      </c>
      <c r="B34" s="115" t="s">
        <v>1198</v>
      </c>
      <c r="C34" s="120" t="str">
        <f>IFERROR(__xludf.DUMMYFUNCTION("FILTER ('Web4Good Papers'!A:A,'Web4Good Papers'!B:B=B34)"),"web1067")</f>
        <v>web1067</v>
      </c>
      <c r="D34" s="120" t="str">
        <f t="shared" si="2"/>
        <v>SAGE: Sustainable Agent-Guided Expert-tuning for Culturally Attuned Translation in Low-Resource Southeast Asia
Zhixiang Lu, Chong Zhang, Yulong Li, Angelos Stefanidis, Anh Nguyen, Imran Razzak, Jionglong Su and Zhengyong Jiang
</v>
      </c>
      <c r="E34" s="120" t="str">
        <f>IFERROR(__xludf.DUMMYFUNCTION("TEXTJOIN(CHAR(10), TRUE,FILTER('Web4Good Papers'!$D:$D,'Web4Good Papers'!$A:$A=C34))"),"Zhixiang Lu, Chong Zhang, Yulong Li, Angelos Stefanidis, Anh Nguyen, Imran Razzak, Jionglong Su and Zhengyong Jiang")</f>
        <v>Zhixiang Lu, Chong Zhang, Yulong Li, Angelos Stefanidis, Anh Nguyen, Imran Razzak, Jionglong Su and Zhengyong Jiang</v>
      </c>
      <c r="F34" s="163" t="s">
        <v>301</v>
      </c>
      <c r="G34" s="118" t="s">
        <v>358</v>
      </c>
      <c r="H34" s="115"/>
    </row>
    <row r="35">
      <c r="A35" s="118" t="s">
        <v>309</v>
      </c>
      <c r="B35" s="115" t="s">
        <v>1199</v>
      </c>
      <c r="C35" s="120" t="str">
        <f>IFERROR(__xludf.DUMMYFUNCTION("FILTER ('Web4Good Papers'!A:A,'Web4Good Papers'!B:B=B35)"),"web1290")</f>
        <v>web1290</v>
      </c>
      <c r="D35" s="120" t="str">
        <f t="shared" si="2"/>
        <v>FairFRL: Fairness-aware Federated Representation Learning for Cross-domain Sequential Recommendation
Tao Tang, Mujie Liu, Botao Liu, Wei Du, Liping Chen, Xinrui Cheng, Jiaxin Du and Xiangjie Kong
</v>
      </c>
      <c r="E35" s="120" t="str">
        <f>IFERROR(__xludf.DUMMYFUNCTION("TEXTJOIN(CHAR(10), TRUE,FILTER('Web4Good Papers'!$D:$D,'Web4Good Papers'!$A:$A=C35))"),"Tao Tang, Mujie Liu, Botao Liu, Wei Du, Liping Chen, Xinrui Cheng, Jiaxin Du and Xiangjie Kong")</f>
        <v>Tao Tang, Mujie Liu, Botao Liu, Wei Du, Liping Chen, Xinrui Cheng, Jiaxin Du and Xiangjie Kong</v>
      </c>
      <c r="F35" s="163" t="s">
        <v>301</v>
      </c>
      <c r="G35" s="118" t="s">
        <v>359</v>
      </c>
      <c r="H35" s="115"/>
    </row>
    <row r="36">
      <c r="A36" s="118" t="s">
        <v>309</v>
      </c>
      <c r="B36" s="115" t="s">
        <v>1200</v>
      </c>
      <c r="C36" s="120" t="str">
        <f>IFERROR(__xludf.DUMMYFUNCTION("FILTER ('Web4Good Papers'!A:A,'Web4Good Papers'!B:B=B36)"),"web0150")</f>
        <v>web0150</v>
      </c>
      <c r="D36" s="120" t="str">
        <f t="shared" si="2"/>
        <v>Energy-Efficient Training-Free Zero-Inflation Correction for Rainfall Forecasting with Time-Series Foundation Models
Wentao Gao, Xiaojing Du, Xiongren Chen, Yifan Guo, Andres Mauricio Cifuentes-Bernal, Renqiang Luo and Ziqi Xu
</v>
      </c>
      <c r="E36" s="120" t="str">
        <f>IFERROR(__xludf.DUMMYFUNCTION("TEXTJOIN(CHAR(10), TRUE,FILTER('Web4Good Papers'!$D:$D,'Web4Good Papers'!$A:$A=C36))"),"Wentao Gao, Xiaojing Du, Xiongren Chen, Yifan Guo, Andres Mauricio Cifuentes-Bernal, Renqiang Luo and Ziqi Xu")</f>
        <v>Wentao Gao, Xiaojing Du, Xiongren Chen, Yifan Guo, Andres Mauricio Cifuentes-Bernal, Renqiang Luo and Ziqi Xu</v>
      </c>
      <c r="F36" s="163" t="s">
        <v>301</v>
      </c>
      <c r="G36" s="118" t="s">
        <v>189</v>
      </c>
      <c r="H36" s="115"/>
    </row>
    <row r="37">
      <c r="A37" s="118" t="s">
        <v>309</v>
      </c>
      <c r="B37" s="115" t="s">
        <v>1201</v>
      </c>
      <c r="C37" s="120" t="str">
        <f>IFERROR(__xludf.DUMMYFUNCTION("FILTER ('Web4Good Papers'!A:A,'Web4Good Papers'!B:B=B37)"),"web0353")</f>
        <v>web0353</v>
      </c>
      <c r="D37" s="120" t="str">
        <f t="shared" si="2"/>
        <v>Egocentric Co-Pilot: Web-Native Smart-Glasses Agents for Assistive Egocentric AI
Sicheng Yang, Yukai Huang, Weitong Cai, Shitong Sun, Fengyi Fang, You He, Yiqiao Xie, Jiankang Deng, Hang Zhang, Jifei Song and Zhensong Zhang
</v>
      </c>
      <c r="E37" s="120" t="str">
        <f>IFERROR(__xludf.DUMMYFUNCTION("TEXTJOIN(CHAR(10), TRUE,FILTER('Web4Good Papers'!$D:$D,'Web4Good Papers'!$A:$A=C37))"),"Sicheng Yang, Yukai Huang, Weitong Cai, Shitong Sun, Fengyi Fang, You He, Yiqiao Xie, Jiankang Deng, Hang Zhang, Jifei Song and Zhensong Zhang")</f>
        <v>Sicheng Yang, Yukai Huang, Weitong Cai, Shitong Sun, Fengyi Fang, You He, Yiqiao Xie, Jiankang Deng, Hang Zhang, Jifei Song and Zhensong Zhang</v>
      </c>
      <c r="F37" s="163" t="s">
        <v>301</v>
      </c>
      <c r="G37" s="118" t="s">
        <v>357</v>
      </c>
      <c r="H37" s="115"/>
    </row>
    <row r="38">
      <c r="A38" s="118" t="s">
        <v>309</v>
      </c>
      <c r="B38" s="115" t="s">
        <v>1202</v>
      </c>
      <c r="C38" s="120" t="str">
        <f>IFERROR(__xludf.DUMMYFUNCTION("FILTER ('Web4Good Papers'!A:A,'Web4Good Papers'!B:B=B38)"),"web0929")</f>
        <v>web0929</v>
      </c>
      <c r="D38" s="120" t="str">
        <f t="shared" si="2"/>
        <v>ReRule: Temporal Rule-Augmented Language Modeling for Causal Event Chain Completion
Wei Zhang, Shufeng Hao, Chongyang Shi, Usman Naseem, Jinyan Liu and Ziyu Li
</v>
      </c>
      <c r="E38" s="120" t="str">
        <f>IFERROR(__xludf.DUMMYFUNCTION("TEXTJOIN(CHAR(10), TRUE,FILTER('Web4Good Papers'!$D:$D,'Web4Good Papers'!$A:$A=C38))"),"Wei Zhang, Shufeng Hao, Chongyang Shi, Usman Naseem, Jinyan Liu and Ziyu Li")</f>
        <v>Wei Zhang, Shufeng Hao, Chongyang Shi, Usman Naseem, Jinyan Liu and Ziyu Li</v>
      </c>
      <c r="F38" s="163" t="s">
        <v>301</v>
      </c>
      <c r="G38" s="118" t="s">
        <v>121</v>
      </c>
      <c r="H38" s="115"/>
    </row>
    <row r="39">
      <c r="A39" s="118" t="s">
        <v>309</v>
      </c>
      <c r="B39" s="115" t="s">
        <v>1203</v>
      </c>
      <c r="C39" s="120" t="str">
        <f>IFERROR(__xludf.DUMMYFUNCTION("FILTER ('Web4Good Papers'!A:A,'Web4Good Papers'!B:B=B39)"),"web1055")</f>
        <v>web1055</v>
      </c>
      <c r="D39" s="120" t="str">
        <f t="shared" si="2"/>
        <v>Genomic-Informed Heterogeneous Graph Learning for Spatiotemporal Avian Influenza Outbreak Forecasting
Jing Du, Haley Stone, Yang Yang, Ashna Desai, Hao Xue, Andreas Züfle, C. Raina MacIntyre and Flora D. Salim
</v>
      </c>
      <c r="E39" s="120" t="str">
        <f>IFERROR(__xludf.DUMMYFUNCTION("TEXTJOIN(CHAR(10), TRUE,FILTER('Web4Good Papers'!$D:$D,'Web4Good Papers'!$A:$A=C39))"),"Jing Du, Haley Stone, Yang Yang, Ashna Desai, Hao Xue, Andreas Züfle, C. Raina MacIntyre and Flora D. Salim")</f>
        <v>Jing Du, Haley Stone, Yang Yang, Ashna Desai, Hao Xue, Andreas Züfle, C. Raina MacIntyre and Flora D. Salim</v>
      </c>
      <c r="F39" s="163" t="s">
        <v>301</v>
      </c>
      <c r="G39" s="118" t="s">
        <v>358</v>
      </c>
      <c r="H39" s="115"/>
    </row>
    <row r="40">
      <c r="A40" s="118" t="s">
        <v>309</v>
      </c>
      <c r="B40" s="115" t="s">
        <v>1204</v>
      </c>
      <c r="C40" s="120" t="str">
        <f>IFERROR(__xludf.DUMMYFUNCTION("FILTER ('Web4Good Papers'!A:A,'Web4Good Papers'!B:B=B40)"),"web1110")</f>
        <v>web1110</v>
      </c>
      <c r="D40" s="120" t="str">
        <f t="shared" si="2"/>
        <v>CEAT: Context-Emotion Adversarial Training Framework for Robust Emotion-Driven Fraud Detection
Chaoqun Li, Si Wu, Yijun Lu, Yuyin Ma, Jinyao Liu, Dingyi Jia, Mingda Han, Feng Li and Pengfei Hu
</v>
      </c>
      <c r="E40" s="120" t="str">
        <f>IFERROR(__xludf.DUMMYFUNCTION("TEXTJOIN(CHAR(10), TRUE,FILTER('Web4Good Papers'!$D:$D,'Web4Good Papers'!$A:$A=C40))"),"Chaoqun Li, Si Wu, Yijun Lu, Yuyin Ma, Jinyao Liu, Dingyi Jia, Mingda Han, Feng Li and Pengfei Hu")</f>
        <v>Chaoqun Li, Si Wu, Yijun Lu, Yuyin Ma, Jinyao Liu, Dingyi Jia, Mingda Han, Feng Li and Pengfei Hu</v>
      </c>
      <c r="F40" s="163" t="s">
        <v>301</v>
      </c>
      <c r="G40" s="118" t="s">
        <v>359</v>
      </c>
      <c r="H40" s="115"/>
    </row>
    <row r="41">
      <c r="A41" s="118" t="s">
        <v>309</v>
      </c>
      <c r="B41" s="115" t="s">
        <v>1205</v>
      </c>
      <c r="C41" s="120" t="str">
        <f>IFERROR(__xludf.DUMMYFUNCTION("FILTER ('Web4Good Papers'!A:A,'Web4Good Papers'!B:B=B41)"),"web1156")</f>
        <v>web1156</v>
      </c>
      <c r="D41" s="120" t="str">
        <f t="shared" si="2"/>
        <v>HAAF: Hierarchical Adaptation and Alignment of Foundation Models for Few-Shot Pathology Anomaly Detection
Chunze Yang, Wenjie Zhao, Yue Tang, Junbo Lu, Jiusong Ge, Qidong Liu, Zeyu Gao and Chen Li
</v>
      </c>
      <c r="E41" s="120" t="str">
        <f>IFERROR(__xludf.DUMMYFUNCTION("TEXTJOIN(CHAR(10), TRUE,FILTER('Web4Good Papers'!$D:$D,'Web4Good Papers'!$A:$A=C41))"),"Chunze Yang, Wenjie Zhao, Yue Tang, Junbo Lu, Jiusong Ge, Qidong Liu, Zeyu Gao and Chen Li")</f>
        <v>Chunze Yang, Wenjie Zhao, Yue Tang, Junbo Lu, Jiusong Ge, Qidong Liu, Zeyu Gao and Chen Li</v>
      </c>
      <c r="F41" s="163" t="s">
        <v>301</v>
      </c>
      <c r="G41" s="118" t="s">
        <v>189</v>
      </c>
      <c r="H41" s="115"/>
    </row>
    <row r="42">
      <c r="A42" s="118" t="s">
        <v>309</v>
      </c>
      <c r="B42" s="115" t="s">
        <v>1206</v>
      </c>
      <c r="C42" s="120" t="str">
        <f>IFERROR(__xludf.DUMMYFUNCTION("FILTER ('Web4Good Papers'!A:A,'Web4Good Papers'!B:B=B42)"),"web1161")</f>
        <v>web1161</v>
      </c>
      <c r="D42" s="120" t="str">
        <f t="shared" si="2"/>
        <v>Green Industrial Engineering on the Web: Agent-Driven Ant Colony Optimization Tuning for Energy-Efficient 3D Pipe Routing
Xuanhan Fan, Rui Ding, Haojie Liu, Jibin Zhou, Han Liu, Yuanman Li, Wei Wang and Mao Ye
</v>
      </c>
      <c r="E42" s="120" t="str">
        <f>IFERROR(__xludf.DUMMYFUNCTION("TEXTJOIN(CHAR(10), TRUE,FILTER('Web4Good Papers'!$D:$D,'Web4Good Papers'!$A:$A=C42))"),"Xuanhan Fan, Rui Ding, Haojie Liu, Jibin Zhou, Han Liu, Yuanman Li, Wei Wang and Mao Ye")</f>
        <v>Xuanhan Fan, Rui Ding, Haojie Liu, Jibin Zhou, Han Liu, Yuanman Li, Wei Wang and Mao Ye</v>
      </c>
      <c r="F42" s="163" t="s">
        <v>301</v>
      </c>
      <c r="G42" s="118" t="s">
        <v>357</v>
      </c>
      <c r="H42" s="115"/>
    </row>
    <row r="43">
      <c r="A43" s="118" t="s">
        <v>309</v>
      </c>
      <c r="B43" s="115" t="s">
        <v>1207</v>
      </c>
      <c r="C43" s="120" t="str">
        <f>IFERROR(__xludf.DUMMYFUNCTION("FILTER ('Web4Good Papers'!A:A,'Web4Good Papers'!B:B=B43)"),"web1189")</f>
        <v>web1189</v>
      </c>
      <c r="D43" s="120" t="str">
        <f t="shared" si="2"/>
        <v>IndicAG: An Explainable Agentic Framework for Indic-Multilingual Multidimensional Aggression Detection
Swapnil Mane, Rajesh Sharma and Suman Kundu
</v>
      </c>
      <c r="E43" s="120" t="str">
        <f>IFERROR(__xludf.DUMMYFUNCTION("TEXTJOIN(CHAR(10), TRUE,FILTER('Web4Good Papers'!$D:$D,'Web4Good Papers'!$A:$A=C43))"),"Swapnil Mane, Rajesh Sharma and Suman Kundu")</f>
        <v>Swapnil Mane, Rajesh Sharma and Suman Kundu</v>
      </c>
      <c r="F43" s="163" t="s">
        <v>301</v>
      </c>
      <c r="G43" s="118" t="s">
        <v>121</v>
      </c>
      <c r="H43" s="115"/>
    </row>
    <row r="44">
      <c r="A44" s="118" t="s">
        <v>309</v>
      </c>
      <c r="B44" s="115" t="s">
        <v>1208</v>
      </c>
      <c r="C44" s="120" t="str">
        <f>IFERROR(__xludf.DUMMYFUNCTION("FILTER ('Web4Good Papers'!A:A,'Web4Good Papers'!B:B=B44)"),"web1356")</f>
        <v>web1356</v>
      </c>
      <c r="D44" s="120" t="str">
        <f t="shared" si="2"/>
        <v>LEAP: LLM-Enhanced E-commerce Demand Prediction under Emergent Events
Shuxin Zhong, Hongyu Lin, Yan Fang, Jun Chen and Kaishun Wu
</v>
      </c>
      <c r="E44" s="120" t="str">
        <f>IFERROR(__xludf.DUMMYFUNCTION("TEXTJOIN(CHAR(10), TRUE,FILTER('Web4Good Papers'!$D:$D,'Web4Good Papers'!$A:$A=C44))"),"Shuxin Zhong, Hongyu Lin, Yan Fang, Jun Chen and Kaishun Wu")</f>
        <v>Shuxin Zhong, Hongyu Lin, Yan Fang, Jun Chen and Kaishun Wu</v>
      </c>
      <c r="F44" s="163" t="s">
        <v>301</v>
      </c>
      <c r="G44" s="118" t="s">
        <v>358</v>
      </c>
      <c r="H44" s="115"/>
    </row>
    <row r="45">
      <c r="A45" s="118" t="s">
        <v>309</v>
      </c>
      <c r="B45" s="115" t="s">
        <v>1209</v>
      </c>
      <c r="C45" s="120" t="str">
        <f>IFERROR(__xludf.DUMMYFUNCTION("FILTER ('Web4Good Papers'!A:A,'Web4Good Papers'!B:B=B45)"),"web1062")</f>
        <v>web1062</v>
      </c>
      <c r="D45" s="120" t="str">
        <f t="shared" si="2"/>
        <v>HCSL: Rumor Detection by Integrating Intra-Sample Curriculum Learning and Hierarchical Semantic Learning
Ping Liu, Hui Song, Shufeng Hao, Xiaoning Hao, Zexu Zhang and Usman Naseem
</v>
      </c>
      <c r="E45" s="120" t="str">
        <f>IFERROR(__xludf.DUMMYFUNCTION("TEXTJOIN(CHAR(10), TRUE,FILTER('Web4Good Papers'!$D:$D,'Web4Good Papers'!$A:$A=C45))"),"Ping Liu, Hui Song, Shufeng Hao, Xiaoning Hao, Zexu Zhang and Usman Naseem")</f>
        <v>Ping Liu, Hui Song, Shufeng Hao, Xiaoning Hao, Zexu Zhang and Usman Naseem</v>
      </c>
      <c r="F45" s="163" t="s">
        <v>301</v>
      </c>
      <c r="G45" s="118" t="s">
        <v>359</v>
      </c>
      <c r="H45" s="115"/>
    </row>
    <row r="46">
      <c r="A46" s="118" t="s">
        <v>309</v>
      </c>
      <c r="B46" s="115" t="s">
        <v>1210</v>
      </c>
      <c r="C46" s="120" t="str">
        <f>IFERROR(__xludf.DUMMYFUNCTION("FILTER ('Web4Good Papers'!A:A,'Web4Good Papers'!B:B=B46)"),"web1149")</f>
        <v>web1149</v>
      </c>
      <c r="D46" s="120" t="str">
        <f t="shared" si="2"/>
        <v>Language-Guided Game-Theoretic Fairness in Web-Enabled Energy Networks
Hao Wu, Yuhua Li, Yuntao Zou, Qianqi Zhang, Ruixuan Li, Zeling Xu and Wei Wang
</v>
      </c>
      <c r="E46" s="120" t="str">
        <f>IFERROR(__xludf.DUMMYFUNCTION("TEXTJOIN(CHAR(10), TRUE,FILTER('Web4Good Papers'!$D:$D,'Web4Good Papers'!$A:$A=C46))"),"Hao Wu, Yuhua Li, Yuntao Zou, Qianqi Zhang, Ruixuan Li, Zeling Xu and Wei Wang")</f>
        <v>Hao Wu, Yuhua Li, Yuntao Zou, Qianqi Zhang, Ruixuan Li, Zeling Xu and Wei Wang</v>
      </c>
      <c r="F46" s="163" t="s">
        <v>301</v>
      </c>
      <c r="G46" s="118" t="s">
        <v>189</v>
      </c>
      <c r="H46" s="115"/>
    </row>
    <row r="47">
      <c r="A47" s="118" t="s">
        <v>309</v>
      </c>
      <c r="B47" s="115" t="s">
        <v>1211</v>
      </c>
      <c r="C47" s="120" t="str">
        <f>IFERROR(__xludf.DUMMYFUNCTION("FILTER ('Web4Good Papers'!A:A,'Web4Good Papers'!B:B=B47)"),"web1064")</f>
        <v>web1064</v>
      </c>
      <c r="D47" s="120" t="str">
        <f t="shared" si="2"/>
        <v>Dynamic Min-Max Multi-Dimensional Reinforcement Backdoor Attacks and Orchestrated Closed-Loop Defense in Fairness-Aware Web Federated Finance
Ruixiao Zhu, Kun Zhu, Nana Zhang, Qi Zhang and Changjun Jiang
</v>
      </c>
      <c r="E47" s="120" t="str">
        <f>IFERROR(__xludf.DUMMYFUNCTION("TEXTJOIN(CHAR(10), TRUE,FILTER('Web4Good Papers'!$D:$D,'Web4Good Papers'!$A:$A=C47))"),"Ruixiao Zhu, Kun Zhu, Nana Zhang, Qi Zhang and Changjun Jiang")</f>
        <v>Ruixiao Zhu, Kun Zhu, Nana Zhang, Qi Zhang and Changjun Jiang</v>
      </c>
      <c r="F47" s="163" t="s">
        <v>301</v>
      </c>
      <c r="G47" s="118" t="s">
        <v>357</v>
      </c>
      <c r="H47" s="115"/>
    </row>
    <row r="48">
      <c r="A48" s="118" t="s">
        <v>309</v>
      </c>
      <c r="B48" s="115" t="s">
        <v>1212</v>
      </c>
      <c r="C48" s="120" t="str">
        <f>IFERROR(__xludf.DUMMYFUNCTION("FILTER ('Web4Good Papers'!A:A,'Web4Good Papers'!B:B=B48)"),"web1281")</f>
        <v>web1281</v>
      </c>
      <c r="D48" s="120" t="str">
        <f t="shared" si="2"/>
        <v>GRAND: A Robust Diffusion Framework for Multi-Granularity Graph Anomaly Detection in Web Platforms
Maolin Wang, Beining Bao, Hongyu Chen, Zichun Liu, Lang Fu, Jun Chu, Langzhang Liang and Zenglin Xu
</v>
      </c>
      <c r="E48" s="120" t="str">
        <f>IFERROR(__xludf.DUMMYFUNCTION("TEXTJOIN(CHAR(10), TRUE,FILTER('Web4Good Papers'!$D:$D,'Web4Good Papers'!$A:$A=C48))"),"Maolin Wang, Beining Bao, Hongyu Chen, Zichun Liu, Lang Fu, Jun Chu, Langzhang Liang and Zenglin Xu")</f>
        <v>Maolin Wang, Beining Bao, Hongyu Chen, Zichun Liu, Lang Fu, Jun Chu, Langzhang Liang and Zenglin Xu</v>
      </c>
      <c r="F48" s="163" t="s">
        <v>301</v>
      </c>
      <c r="G48" s="118" t="s">
        <v>121</v>
      </c>
      <c r="H48" s="115"/>
    </row>
    <row r="49">
      <c r="A49" s="118" t="s">
        <v>309</v>
      </c>
      <c r="B49" s="115" t="s">
        <v>1213</v>
      </c>
      <c r="C49" s="120" t="str">
        <f>IFERROR(__xludf.DUMMYFUNCTION("FILTER ('Web4Good Papers'!A:A,'Web4Good Papers'!B:B=B49)"),"web1447")</f>
        <v>web1447</v>
      </c>
      <c r="D49" s="120" t="str">
        <f t="shared" si="2"/>
        <v>From Native Memes to Global Moderation: Cross-Cultural Evaluation of Vision–Language Models for Hateful Meme Detection
Mo Wang, Kaixuan Ren, Pratik Jalan, Ahmed Ashraf, Tuong Vy Vu, Rahul Seetharaman, Shah Nawaz and Usman Naseem
</v>
      </c>
      <c r="E49" s="120" t="str">
        <f>IFERROR(__xludf.DUMMYFUNCTION("TEXTJOIN(CHAR(10), TRUE,FILTER('Web4Good Papers'!$D:$D,'Web4Good Papers'!$A:$A=C49))"),"Mo Wang, Kaixuan Ren, Pratik Jalan, Ahmed Ashraf, Tuong Vy Vu, Rahul Seetharaman, Shah Nawaz and Usman Naseem")</f>
        <v>Mo Wang, Kaixuan Ren, Pratik Jalan, Ahmed Ashraf, Tuong Vy Vu, Rahul Seetharaman, Shah Nawaz and Usman Naseem</v>
      </c>
      <c r="F49" s="163" t="s">
        <v>301</v>
      </c>
      <c r="G49" s="118" t="s">
        <v>358</v>
      </c>
      <c r="H49" s="115"/>
    </row>
    <row r="50">
      <c r="A50" s="118" t="s">
        <v>309</v>
      </c>
      <c r="B50" s="115" t="s">
        <v>1214</v>
      </c>
      <c r="C50" s="120" t="str">
        <f>IFERROR(__xludf.DUMMYFUNCTION("FILTER ('Web4Good Papers'!A:A,'Web4Good Papers'!B:B=B50)"),"web0052")</f>
        <v>web0052</v>
      </c>
      <c r="D50" s="120" t="str">
        <f t="shared" si="2"/>
        <v>Physics-Aware Multimodal Urban Heat Mapping with Open Web Imagery and Mobility Data
Yuanyi You, Yunke Zhang and Yong Li
</v>
      </c>
      <c r="E50" s="120" t="str">
        <f>IFERROR(__xludf.DUMMYFUNCTION("TEXTJOIN(CHAR(10), TRUE,FILTER('Web4Good Papers'!$D:$D,'Web4Good Papers'!$A:$A=C50))"),"Yuanyi You, Yunke Zhang and Yong Li")</f>
        <v>Yuanyi You, Yunke Zhang and Yong Li</v>
      </c>
      <c r="F50" s="163" t="s">
        <v>301</v>
      </c>
      <c r="G50" s="118" t="s">
        <v>359</v>
      </c>
      <c r="H50" s="115"/>
    </row>
    <row r="51">
      <c r="A51" s="118" t="s">
        <v>309</v>
      </c>
      <c r="B51" s="179" t="s">
        <v>1215</v>
      </c>
      <c r="C51" s="120" t="str">
        <f>IFERROR(__xludf.DUMMYFUNCTION("FILTER ('Web4Good Papers'!A:A,'Web4Good Papers'!B:B=B51)"),"web0137")</f>
        <v>web0137</v>
      </c>
      <c r="D51" s="120" t="str">
        <f t="shared" si="2"/>
        <v>Audit‑of‑Audits for the Web: Bayesian Meta‑Evaluation that Yields Interval‑Valued, Threshold‑Aligned Fairness Claims
Dandan Liu, Aznul Qalid Md Sabri, Pan Lihu and Guangrui Fan
</v>
      </c>
      <c r="E51" s="120" t="str">
        <f>IFERROR(__xludf.DUMMYFUNCTION("TEXTJOIN(CHAR(10), TRUE,FILTER('Web4Good Papers'!$D:$D,'Web4Good Papers'!$A:$A=C51))"),"Dandan Liu, Aznul Qalid Md Sabri, Pan Lihu and Guangrui Fan")</f>
        <v>Dandan Liu, Aznul Qalid Md Sabri, Pan Lihu and Guangrui Fan</v>
      </c>
      <c r="F51" s="163" t="s">
        <v>301</v>
      </c>
      <c r="G51" s="118" t="s">
        <v>189</v>
      </c>
      <c r="H51" s="115"/>
    </row>
    <row r="52">
      <c r="A52" s="118" t="s">
        <v>309</v>
      </c>
      <c r="B52" s="179" t="s">
        <v>1216</v>
      </c>
      <c r="C52" s="120" t="str">
        <f>IFERROR(__xludf.DUMMYFUNCTION("FILTER ('Web4Good Papers'!A:A,'Web4Good Papers'!B:B=B52)"),"web1051")</f>
        <v>web1051</v>
      </c>
      <c r="D52" s="120" t="str">
        <f t="shared" si="2"/>
        <v>MultiHateLoc: Towards Temporal Localisation of Multimodal Hate Content in Online Videos
Qiyue Sun, Tailin Chen, Yinghui Zhang, Yuchen Zhang, Jiangbei Yue, Jianbo Jiao and Zeyu Fu
</v>
      </c>
      <c r="E52" s="120" t="str">
        <f>IFERROR(__xludf.DUMMYFUNCTION("TEXTJOIN(CHAR(10), TRUE,FILTER('Web4Good Papers'!$D:$D,'Web4Good Papers'!$A:$A=C52))"),"Qiyue Sun, Tailin Chen, Yinghui Zhang, Yuchen Zhang, Jiangbei Yue, Jianbo Jiao and Zeyu Fu")</f>
        <v>Qiyue Sun, Tailin Chen, Yinghui Zhang, Yuchen Zhang, Jiangbei Yue, Jianbo Jiao and Zeyu Fu</v>
      </c>
      <c r="F52" s="163" t="s">
        <v>301</v>
      </c>
      <c r="G52" s="118" t="s">
        <v>357</v>
      </c>
      <c r="H52" s="115"/>
    </row>
    <row r="53">
      <c r="A53" s="118" t="s">
        <v>309</v>
      </c>
      <c r="B53" s="115" t="s">
        <v>1217</v>
      </c>
      <c r="C53" s="120" t="str">
        <f>IFERROR(__xludf.DUMMYFUNCTION("FILTER ('Web4Good Papers'!A:A,'Web4Good Papers'!B:B=B53)"),"web1140")</f>
        <v>web1140</v>
      </c>
      <c r="D53" s="120" t="str">
        <f t="shared" si="2"/>
        <v>Accurate Trajectory Recovery in Underserved Areas via Location Inference from Web Crowdsourced Data
Tangwei Ye, Liang Hu, Zhongyuan Lai, Qi Zhang, Yiming Wu, Jiaxing Miao, Yijun Yang and Kun Yi
</v>
      </c>
      <c r="E53" s="120" t="str">
        <f>IFERROR(__xludf.DUMMYFUNCTION("TEXTJOIN(CHAR(10), TRUE,FILTER('Web4Good Papers'!$D:$D,'Web4Good Papers'!$A:$A=C53))"),"Tangwei Ye, Liang Hu, Zhongyuan Lai, Qi Zhang, Yiming Wu, Jiaxing Miao, Yijun Yang and Kun Yi")</f>
        <v>Tangwei Ye, Liang Hu, Zhongyuan Lai, Qi Zhang, Yiming Wu, Jiaxing Miao, Yijun Yang and Kun Yi</v>
      </c>
      <c r="F53" s="163" t="s">
        <v>301</v>
      </c>
      <c r="G53" s="118" t="s">
        <v>121</v>
      </c>
      <c r="H53" s="115"/>
    </row>
    <row r="54">
      <c r="A54" s="118" t="s">
        <v>309</v>
      </c>
      <c r="B54" s="115" t="s">
        <v>1218</v>
      </c>
      <c r="C54" s="120" t="str">
        <f>IFERROR(__xludf.DUMMYFUNCTION("FILTER ('Web4Good Papers'!A:A,'Web4Good Papers'!B:B=B54)"),"web1141")</f>
        <v>web1141</v>
      </c>
      <c r="D54" s="120" t="str">
        <f t="shared" si="2"/>
        <v>Kardia-R1: Unleashing LLMs to Reason toward Understanding and Empathy for Emotional Support via Rubric-as-Judge Reinforcement Learning
Jiahao Yuan, Zhiqing Cui, Hanqing Wang, Yuansheng Gao, Yucheng Zhou and Usman Naseem
</v>
      </c>
      <c r="E54" s="120" t="str">
        <f>IFERROR(__xludf.DUMMYFUNCTION("TEXTJOIN(CHAR(10), TRUE,FILTER('Web4Good Papers'!$D:$D,'Web4Good Papers'!$A:$A=C54))"),"Jiahao Yuan, Zhiqing Cui, Hanqing Wang, Yuansheng Gao, Yucheng Zhou and Usman Naseem")</f>
        <v>Jiahao Yuan, Zhiqing Cui, Hanqing Wang, Yuansheng Gao, Yucheng Zhou and Usman Naseem</v>
      </c>
      <c r="F54" s="163" t="s">
        <v>301</v>
      </c>
      <c r="G54" s="118" t="s">
        <v>358</v>
      </c>
      <c r="H54" s="115"/>
    </row>
    <row r="55">
      <c r="A55" s="118" t="s">
        <v>309</v>
      </c>
      <c r="B55" s="115" t="s">
        <v>1219</v>
      </c>
      <c r="C55" s="120" t="str">
        <f>IFERROR(__xludf.DUMMYFUNCTION("FILTER ('Web4Good Papers'!A:A,'Web4Good Papers'!B:B=B55)"),"web1282")</f>
        <v>web1282</v>
      </c>
      <c r="D55" s="120" t="str">
        <f t="shared" si="2"/>
        <v>Safeguarding Children at Scale: Cost-Effective Multimodal LLM Detection of Inappropriate YouTube Advertising
Eman Nabeel, Haleema Jamil, Shizza Asher, Zaeem Mohtashim Khan, Nida Tanveer, Ihsan Ayyub Qazi and Zafar Ayyub Qazi
</v>
      </c>
      <c r="E55" s="120" t="str">
        <f>IFERROR(__xludf.DUMMYFUNCTION("TEXTJOIN(CHAR(10), TRUE,FILTER('Web4Good Papers'!$D:$D,'Web4Good Papers'!$A:$A=C55))"),"Eman Nabeel, Haleema Jamil, Shizza Asher, Zaeem Mohtashim Khan, Nida Tanveer, Ihsan Ayyub Qazi and Zafar Ayyub Qazi")</f>
        <v>Eman Nabeel, Haleema Jamil, Shizza Asher, Zaeem Mohtashim Khan, Nida Tanveer, Ihsan Ayyub Qazi and Zafar Ayyub Qazi</v>
      </c>
      <c r="F55" s="163" t="s">
        <v>301</v>
      </c>
      <c r="G55" s="118" t="s">
        <v>359</v>
      </c>
      <c r="H55" s="115"/>
    </row>
    <row r="56">
      <c r="A56" s="118" t="s">
        <v>309</v>
      </c>
      <c r="B56" s="115" t="s">
        <v>1220</v>
      </c>
      <c r="C56" s="120" t="str">
        <f>IFERROR(__xludf.DUMMYFUNCTION("FILTER ('Web4Good Papers'!A:A,'Web4Good Papers'!B:B=B56)"),"web1373")</f>
        <v>web1373</v>
      </c>
      <c r="D56" s="120" t="str">
        <f t="shared" si="2"/>
        <v>VC-Soup: Value-Consistency Guided Multi-Value Alignment for Large Language Models
Hefei Xu, Le Wu, Yu Wang, Min Hou, Han Wu, Zhen Zhang and Meng Wang
</v>
      </c>
      <c r="E56" s="120" t="str">
        <f>IFERROR(__xludf.DUMMYFUNCTION("TEXTJOIN(CHAR(10), TRUE,FILTER('Web4Good Papers'!$D:$D,'Web4Good Papers'!$A:$A=C56))"),"Hefei Xu, Le Wu, Yu Wang, Min Hou, Han Wu, Zhen Zhang and Meng Wang")</f>
        <v>Hefei Xu, Le Wu, Yu Wang, Min Hou, Han Wu, Zhen Zhang and Meng Wang</v>
      </c>
      <c r="F56" s="163" t="s">
        <v>301</v>
      </c>
      <c r="G56" s="118" t="s">
        <v>189</v>
      </c>
      <c r="H56" s="115"/>
    </row>
    <row r="57">
      <c r="A57" s="118" t="s">
        <v>309</v>
      </c>
      <c r="B57" s="179" t="s">
        <v>1221</v>
      </c>
      <c r="C57" s="120" t="str">
        <f>IFERROR(__xludf.DUMMYFUNCTION("FILTER ('Web4Good Papers'!A:A,'Web4Good Papers'!B:B=B57)"),"web1398")</f>
        <v>web1398</v>
      </c>
      <c r="D57" s="120" t="str">
        <f t="shared" si="2"/>
        <v>'They've Stolen My GPL-Licensed Model!': Toward Standardized and Transparent Model Licensing
Moming Duan, Rui Zhao, Linshan Jiang, Nigel Shadbolt and Bingsheng He
</v>
      </c>
      <c r="E57" s="120" t="str">
        <f>IFERROR(__xludf.DUMMYFUNCTION("TEXTJOIN(CHAR(10), TRUE,FILTER('Web4Good Papers'!$D:$D,'Web4Good Papers'!$A:$A=C57))"),"Moming Duan, Rui Zhao, Linshan Jiang, Nigel Shadbolt and Bingsheng He")</f>
        <v>Moming Duan, Rui Zhao, Linshan Jiang, Nigel Shadbolt and Bingsheng He</v>
      </c>
      <c r="F57" s="163" t="s">
        <v>301</v>
      </c>
      <c r="G57" s="118" t="s">
        <v>357</v>
      </c>
      <c r="H57" s="115"/>
    </row>
    <row r="58">
      <c r="A58" s="118" t="s">
        <v>309</v>
      </c>
      <c r="B58" s="115" t="s">
        <v>1222</v>
      </c>
      <c r="C58" s="120" t="str">
        <f>IFERROR(__xludf.DUMMYFUNCTION("FILTER ('Web4Good Papers'!A:A,'Web4Good Papers'!B:B=B58)"),"web1406")</f>
        <v>web1406</v>
      </c>
      <c r="D58" s="120" t="str">
        <f t="shared" si="2"/>
        <v>Modeling Multimodal Information Cascade on Social Media with Interpretable Mixture of Experts
Xin Jing, Zeyu Shi, Zhangtao Cheng, Yichen Jing, Yuhuan Lu, Bangchao Deng and Dingqi Yang
</v>
      </c>
      <c r="E58" s="120" t="str">
        <f>IFERROR(__xludf.DUMMYFUNCTION("TEXTJOIN(CHAR(10), TRUE,FILTER('Web4Good Papers'!$D:$D,'Web4Good Papers'!$A:$A=C58))"),"Xin Jing, Zeyu Shi, Zhangtao Cheng, Yichen Jing, Yuhuan Lu, Bangchao Deng and Dingqi Yang")</f>
        <v>Xin Jing, Zeyu Shi, Zhangtao Cheng, Yichen Jing, Yuhuan Lu, Bangchao Deng and Dingqi Yang</v>
      </c>
      <c r="F58" s="163" t="s">
        <v>301</v>
      </c>
      <c r="G58" s="118" t="s">
        <v>121</v>
      </c>
      <c r="H58" s="115"/>
    </row>
    <row r="59">
      <c r="A59" s="118" t="s">
        <v>309</v>
      </c>
      <c r="B59" s="115" t="s">
        <v>1223</v>
      </c>
      <c r="C59" s="120" t="str">
        <f>IFERROR(__xludf.DUMMYFUNCTION("FILTER ('Web4Good Papers'!A:A,'Web4Good Papers'!B:B=B59)"),"web1478")</f>
        <v>web1478</v>
      </c>
      <c r="D59" s="120" t="str">
        <f t="shared" si="2"/>
        <v>AgriGPT-Omni: A Unified Speech–Vision–Text Framework for Multilingual Agricultural Intelligence
Bo Yang, Lanfei Feng, Yunkui Chen, Yu Zhang, Jianyu Zhang, Xiao Xu, Nueraili Aierken and Shijian Li
</v>
      </c>
      <c r="E59" s="120" t="str">
        <f>IFERROR(__xludf.DUMMYFUNCTION("TEXTJOIN(CHAR(10), TRUE,FILTER('Web4Good Papers'!$D:$D,'Web4Good Papers'!$A:$A=C59))"),"Bo Yang, Lanfei Feng, Yunkui Chen, Yu Zhang, Jianyu Zhang, Xiao Xu, Nueraili Aierken and Shijian Li")</f>
        <v>Bo Yang, Lanfei Feng, Yunkui Chen, Yu Zhang, Jianyu Zhang, Xiao Xu, Nueraili Aierken and Shijian Li</v>
      </c>
      <c r="F59" s="163" t="s">
        <v>301</v>
      </c>
      <c r="G59" s="118" t="s">
        <v>358</v>
      </c>
      <c r="H59" s="115"/>
    </row>
    <row r="60">
      <c r="A60" s="118" t="s">
        <v>309</v>
      </c>
      <c r="B60" s="115" t="s">
        <v>1224</v>
      </c>
      <c r="C60" s="120" t="str">
        <f>IFERROR(__xludf.DUMMYFUNCTION("FILTER ('Web4Good Papers'!A:A,'Web4Good Papers'!B:B=B60)"),"web0149")</f>
        <v>web0149</v>
      </c>
      <c r="D60" s="120" t="str">
        <f t="shared" si="2"/>
        <v>Credit and Power Co-evolution Modeling with Dynamic Graph Learning
Wenhao Ying, Peng Zhu, Mingzhe Li, Ziyan Wang and Dawei Cheng
</v>
      </c>
      <c r="E60" s="120" t="str">
        <f>IFERROR(__xludf.DUMMYFUNCTION("TEXTJOIN(CHAR(10), TRUE,FILTER('Web4Good Papers'!$D:$D,'Web4Good Papers'!$A:$A=C60))"),"Wenhao Ying, Peng Zhu, Mingzhe Li, Ziyan Wang and Dawei Cheng")</f>
        <v>Wenhao Ying, Peng Zhu, Mingzhe Li, Ziyan Wang and Dawei Cheng</v>
      </c>
      <c r="F60" s="163" t="s">
        <v>301</v>
      </c>
      <c r="G60" s="118" t="s">
        <v>359</v>
      </c>
      <c r="H60" s="115"/>
    </row>
    <row r="61">
      <c r="A61" s="118" t="s">
        <v>309</v>
      </c>
      <c r="B61" s="115" t="s">
        <v>1225</v>
      </c>
      <c r="C61" s="120" t="str">
        <f>IFERROR(__xludf.DUMMYFUNCTION("FILTER ('Web4Good Papers'!A:A,'Web4Good Papers'!B:B=B61)"),"web1045")</f>
        <v>web1045</v>
      </c>
      <c r="D61" s="120" t="str">
        <f t="shared" si="2"/>
        <v>Communication-Efficient Federated Learning for Post-Flood Risk Assessment using UAV Swarms
Yongkang Zhao, Hailin Feng, Tingting Wang, Thippa Reddy Gadekallu, Kai Fang and Wei Wang
</v>
      </c>
      <c r="E61" s="120" t="str">
        <f>IFERROR(__xludf.DUMMYFUNCTION("TEXTJOIN(CHAR(10), TRUE,FILTER('Web4Good Papers'!$D:$D,'Web4Good Papers'!$A:$A=C61))"),"Yongkang Zhao, Hailin Feng, Tingting Wang, Thippa Reddy Gadekallu, Kai Fang and Wei Wang")</f>
        <v>Yongkang Zhao, Hailin Feng, Tingting Wang, Thippa Reddy Gadekallu, Kai Fang and Wei Wang</v>
      </c>
      <c r="F61" s="163" t="s">
        <v>301</v>
      </c>
      <c r="G61" s="118" t="s">
        <v>189</v>
      </c>
      <c r="H61" s="115"/>
    </row>
    <row r="62">
      <c r="A62" s="118" t="s">
        <v>309</v>
      </c>
      <c r="B62" s="115" t="s">
        <v>1226</v>
      </c>
      <c r="C62" s="120" t="str">
        <f>IFERROR(__xludf.DUMMYFUNCTION("FILTER ('Web4Good Papers'!A:A,'Web4Good Papers'!B:B=B62)"),"web1070")</f>
        <v>web1070</v>
      </c>
      <c r="D62" s="120" t="str">
        <f t="shared" si="2"/>
        <v>Community Fact-Checks Do Not Break Follower Loyalty
Michelle Bobek and Nicolas Pröllochs
</v>
      </c>
      <c r="E62" s="120" t="str">
        <f>IFERROR(__xludf.DUMMYFUNCTION("TEXTJOIN(CHAR(10), TRUE,FILTER('Web4Good Papers'!$D:$D,'Web4Good Papers'!$A:$A=C62))"),"Michelle Bobek and Nicolas Pröllochs")</f>
        <v>Michelle Bobek and Nicolas Pröllochs</v>
      </c>
      <c r="F62" s="163" t="s">
        <v>301</v>
      </c>
      <c r="G62" s="118" t="s">
        <v>357</v>
      </c>
      <c r="H62" s="115"/>
    </row>
    <row r="63">
      <c r="A63" s="118" t="s">
        <v>309</v>
      </c>
      <c r="B63" s="115" t="s">
        <v>1227</v>
      </c>
      <c r="C63" s="120" t="str">
        <f>IFERROR(__xludf.DUMMYFUNCTION("FILTER ('Web4Good Papers'!A:A,'Web4Good Papers'!B:B=B63)"),"web1082")</f>
        <v>web1082</v>
      </c>
      <c r="D63" s="120" t="str">
        <f t="shared" si="2"/>
        <v>TheraMind: A Strategic and Adaptive Agent for Longitudinal Psychological Counseling
He Hu, Chiyuan Ma, Qianning Wang, Liu Lin, Yucheng Zhou, Laizhong Cui, Fei Ma and Qi Tian
</v>
      </c>
      <c r="E63" s="120" t="str">
        <f>IFERROR(__xludf.DUMMYFUNCTION("TEXTJOIN(CHAR(10), TRUE,FILTER('Web4Good Papers'!$D:$D,'Web4Good Papers'!$A:$A=C63))"),"He Hu, Chiyuan Ma, Qianning Wang, Liu Lin, Yucheng Zhou, Laizhong Cui, Fei Ma and Qi Tian")</f>
        <v>He Hu, Chiyuan Ma, Qianning Wang, Liu Lin, Yucheng Zhou, Laizhong Cui, Fei Ma and Qi Tian</v>
      </c>
      <c r="F63" s="163" t="s">
        <v>301</v>
      </c>
      <c r="G63" s="118" t="s">
        <v>121</v>
      </c>
      <c r="H63" s="115"/>
    </row>
    <row r="64">
      <c r="A64" s="118" t="s">
        <v>309</v>
      </c>
      <c r="B64" s="179" t="s">
        <v>1228</v>
      </c>
      <c r="C64" s="120" t="str">
        <f>IFERROR(__xludf.DUMMYFUNCTION("FILTER ('Web4Good Papers'!A:A,'Web4Good Papers'!B:B=B64)"),"web1167")</f>
        <v>web1167</v>
      </c>
      <c r="D64" s="120" t="str">
        <f t="shared" si="2"/>
        <v>S²KT:Modeling Uncertainty in Knowledge Tracing via Semantic-aware Structured Gaussian Distributions
Wenhui Wu, Tiancheng Zhang, Hengyu Liu, Lun Du, Zikai Li, Mingxing Shao, Minghe Yu, Yifang Yin and Ge Yu
</v>
      </c>
      <c r="E64" s="120" t="str">
        <f>IFERROR(__xludf.DUMMYFUNCTION("TEXTJOIN(CHAR(10), TRUE,FILTER('Web4Good Papers'!$D:$D,'Web4Good Papers'!$A:$A=C64))"),"Wenhui Wu, Tiancheng Zhang, Hengyu Liu, Lun Du, Zikai Li, Mingxing Shao, Minghe Yu, Yifang Yin and Ge Yu")</f>
        <v>Wenhui Wu, Tiancheng Zhang, Hengyu Liu, Lun Du, Zikai Li, Mingxing Shao, Minghe Yu, Yifang Yin and Ge Yu</v>
      </c>
      <c r="F64" s="163" t="s">
        <v>301</v>
      </c>
      <c r="G64" s="118" t="s">
        <v>358</v>
      </c>
      <c r="H64" s="115"/>
    </row>
    <row r="65">
      <c r="A65" s="118" t="s">
        <v>309</v>
      </c>
      <c r="B65" s="115" t="s">
        <v>1229</v>
      </c>
      <c r="C65" s="120" t="str">
        <f>IFERROR(__xludf.DUMMYFUNCTION("FILTER ('Web4Good Papers'!A:A,'Web4Good Papers'!B:B=B65)"),"web1204")</f>
        <v>web1204</v>
      </c>
      <c r="D65" s="120" t="str">
        <f t="shared" si="2"/>
        <v>Mind the Ambiguity: Aleatoric Uncertainty Quantification in LLMs for Safe Medical Question Answering
Yaokun Liu, Yifan Liu, Phoebe Mbuvi, Zelin Li, Ruichen Yao, Gawon Lim and Dong Wang
</v>
      </c>
      <c r="E65" s="120" t="str">
        <f>IFERROR(__xludf.DUMMYFUNCTION("TEXTJOIN(CHAR(10), TRUE,FILTER('Web4Good Papers'!$D:$D,'Web4Good Papers'!$A:$A=C65))"),"Yaokun Liu, Yifan Liu, Phoebe Mbuvi, Zelin Li, Ruichen Yao, Gawon Lim and Dong Wang")</f>
        <v>Yaokun Liu, Yifan Liu, Phoebe Mbuvi, Zelin Li, Ruichen Yao, Gawon Lim and Dong Wang</v>
      </c>
      <c r="F65" s="163" t="s">
        <v>301</v>
      </c>
      <c r="G65" s="118" t="s">
        <v>359</v>
      </c>
      <c r="H65" s="115"/>
    </row>
    <row r="66">
      <c r="A66" s="118" t="s">
        <v>309</v>
      </c>
      <c r="B66" s="115" t="s">
        <v>1230</v>
      </c>
      <c r="C66" s="120" t="str">
        <f>IFERROR(__xludf.DUMMYFUNCTION("FILTER ('Web4Good Papers'!A:A,'Web4Good Papers'!B:B=B66)"),"web1211")</f>
        <v>web1211</v>
      </c>
      <c r="D66" s="120" t="str">
        <f t="shared" si="2"/>
        <v>DAPWeb: Construct-Aligned Evaluation of MLLMs for Web-Based Child Mental Screening
Rui Guo, Fengyi Wang, Ling-Yu Lin and Guolong Wang
</v>
      </c>
      <c r="E66" s="120" t="str">
        <f>IFERROR(__xludf.DUMMYFUNCTION("TEXTJOIN(CHAR(10), TRUE,FILTER('Web4Good Papers'!$D:$D,'Web4Good Papers'!$A:$A=C66))"),"Rui Guo, Fengyi Wang, Ling-Yu Lin and Guolong Wang")</f>
        <v>Rui Guo, Fengyi Wang, Ling-Yu Lin and Guolong Wang</v>
      </c>
      <c r="F66" s="163" t="s">
        <v>301</v>
      </c>
      <c r="G66" s="118" t="s">
        <v>189</v>
      </c>
      <c r="H66" s="115"/>
    </row>
    <row r="67">
      <c r="A67" s="118" t="s">
        <v>309</v>
      </c>
      <c r="B67" s="115" t="s">
        <v>1231</v>
      </c>
      <c r="C67" s="120" t="str">
        <f>IFERROR(__xludf.DUMMYFUNCTION("FILTER ('Web4Good Papers'!A:A,'Web4Good Papers'!B:B=B67)"),"web1278")</f>
        <v>web1278</v>
      </c>
      <c r="D67" s="120" t="str">
        <f t="shared" si="2"/>
        <v>Fair and Carbon-Aware LLM Routing for Web Services
Tingting Li, Ziming Zhao, Zhaoxuan Li, Xiaofei Yue and Jiongchi Yu
</v>
      </c>
      <c r="E67" s="120" t="str">
        <f>IFERROR(__xludf.DUMMYFUNCTION("TEXTJOIN(CHAR(10), TRUE,FILTER('Web4Good Papers'!$D:$D,'Web4Good Papers'!$A:$A=C67))"),"Tingting Li, Ziming Zhao, Zhaoxuan Li, Xiaofei Yue and Jiongchi Yu")</f>
        <v>Tingting Li, Ziming Zhao, Zhaoxuan Li, Xiaofei Yue and Jiongchi Yu</v>
      </c>
      <c r="F67" s="163" t="s">
        <v>301</v>
      </c>
      <c r="G67" s="118" t="s">
        <v>357</v>
      </c>
      <c r="H67" s="115"/>
    </row>
    <row r="68">
      <c r="A68" s="118" t="s">
        <v>309</v>
      </c>
      <c r="B68" s="115" t="s">
        <v>1232</v>
      </c>
      <c r="C68" s="120" t="str">
        <f>IFERROR(__xludf.DUMMYFUNCTION("FILTER ('Web4Good Papers'!A:A,'Web4Good Papers'!B:B=B68)"),"web1297")</f>
        <v>web1297</v>
      </c>
      <c r="D68" s="120" t="str">
        <f t="shared" si="2"/>
        <v>When Ads Become Profiles: Uncovering the Invisible Risk of Web Advertising at Scale with LLMs
Baiyu Chen, Benjamin Tag, Hao Xue, Daniel Angus and Flora Salim
</v>
      </c>
      <c r="E68" s="120" t="str">
        <f>IFERROR(__xludf.DUMMYFUNCTION("TEXTJOIN(CHAR(10), TRUE,FILTER('Web4Good Papers'!$D:$D,'Web4Good Papers'!$A:$A=C68))"),"Baiyu Chen, Benjamin Tag, Hao Xue, Daniel Angus and Flora Salim")</f>
        <v>Baiyu Chen, Benjamin Tag, Hao Xue, Daniel Angus and Flora Salim</v>
      </c>
      <c r="F68" s="163" t="s">
        <v>301</v>
      </c>
      <c r="G68" s="118" t="s">
        <v>121</v>
      </c>
      <c r="H68" s="115"/>
    </row>
    <row r="69">
      <c r="A69" s="118" t="s">
        <v>309</v>
      </c>
      <c r="B69" s="115" t="s">
        <v>1233</v>
      </c>
      <c r="C69" s="120" t="str">
        <f>IFERROR(__xludf.DUMMYFUNCTION("FILTER ('Web4Good Papers'!A:A,'Web4Good Papers'!B:B=B69)"),"web1303")</f>
        <v>web1303</v>
      </c>
      <c r="D69" s="120" t="str">
        <f t="shared" si="2"/>
        <v>WED-Net: A Weather-Effect Disentanglement Network with Causal Augmentation for Urban Flow Prediction
Qian Hong, Siyuan Chang and Xiao Zhou
</v>
      </c>
      <c r="E69" s="120" t="str">
        <f>IFERROR(__xludf.DUMMYFUNCTION("TEXTJOIN(CHAR(10), TRUE,FILTER('Web4Good Papers'!$D:$D,'Web4Good Papers'!$A:$A=C69))"),"Qian Hong, Siyuan Chang and Xiao Zhou")</f>
        <v>Qian Hong, Siyuan Chang and Xiao Zhou</v>
      </c>
      <c r="F69" s="163" t="s">
        <v>301</v>
      </c>
      <c r="G69" s="118" t="s">
        <v>358</v>
      </c>
      <c r="H69" s="115"/>
    </row>
    <row r="70">
      <c r="A70" s="118" t="s">
        <v>309</v>
      </c>
      <c r="B70" s="115" t="s">
        <v>1234</v>
      </c>
      <c r="C70" s="120" t="str">
        <f>IFERROR(__xludf.DUMMYFUNCTION("FILTER ('Web4Good Papers'!A:A,'Web4Good Papers'!B:B=B70)"),"web1312")</f>
        <v>web1312</v>
      </c>
      <c r="D70" s="120" t="str">
        <f t="shared" si="2"/>
        <v>SMART: A Social Movement Analysis &amp; Reasoning Tool with Case Studies on #MeToo and #BlackLivesMatter
Valerio La Gatta, Marco Postiglione, Jeremy Gilbert, Daniel W. Linna Jr., Morgan Manella Greenfield, Aaron Shaw and V.S. Subrahmanian
</v>
      </c>
      <c r="E70" s="120" t="str">
        <f>IFERROR(__xludf.DUMMYFUNCTION("TEXTJOIN(CHAR(10), TRUE,FILTER('Web4Good Papers'!$D:$D,'Web4Good Papers'!$A:$A=C70))"),"Valerio La Gatta, Marco Postiglione, Jeremy Gilbert, Daniel W. Linna Jr., Morgan Manella Greenfield, Aaron Shaw and V.S. Subrahmanian")</f>
        <v>Valerio La Gatta, Marco Postiglione, Jeremy Gilbert, Daniel W. Linna Jr., Morgan Manella Greenfield, Aaron Shaw and V.S. Subrahmanian</v>
      </c>
      <c r="F70" s="163" t="s">
        <v>301</v>
      </c>
      <c r="G70" s="118" t="s">
        <v>359</v>
      </c>
      <c r="H70" s="115"/>
    </row>
    <row r="71">
      <c r="A71" s="118" t="s">
        <v>309</v>
      </c>
      <c r="B71" s="115" t="s">
        <v>1235</v>
      </c>
      <c r="C71" s="120" t="str">
        <f>IFERROR(__xludf.DUMMYFUNCTION("FILTER ('Web4Good Papers'!A:A,'Web4Good Papers'!B:B=B71)"),"web1343")</f>
        <v>web1343</v>
      </c>
      <c r="D71" s="120" t="str">
        <f t="shared" si="2"/>
        <v>Multimodal Spatiotemporal Forecasting of Deepfake Propagation on Social Media
Seoyoon Jeong, JeeEun Kim, S. Shyam Sundar and Jinyoung Han
</v>
      </c>
      <c r="E71" s="120" t="str">
        <f>IFERROR(__xludf.DUMMYFUNCTION("TEXTJOIN(CHAR(10), TRUE,FILTER('Web4Good Papers'!$D:$D,'Web4Good Papers'!$A:$A=C71))"),"Seoyoon Jeong, JeeEun Kim, S. Shyam Sundar and Jinyoung Han")</f>
        <v>Seoyoon Jeong, JeeEun Kim, S. Shyam Sundar and Jinyoung Han</v>
      </c>
      <c r="F71" s="163" t="s">
        <v>301</v>
      </c>
      <c r="G71" s="118" t="s">
        <v>189</v>
      </c>
      <c r="H71" s="115"/>
    </row>
    <row r="72">
      <c r="A72" s="118" t="s">
        <v>309</v>
      </c>
      <c r="B72" s="115" t="s">
        <v>1236</v>
      </c>
      <c r="C72" s="120" t="str">
        <f>IFERROR(__xludf.DUMMYFUNCTION("FILTER ('Web4Good Papers'!A:A,'Web4Good Papers'!B:B=B72)"),"web1362")</f>
        <v>web1362</v>
      </c>
      <c r="D72" s="120" t="str">
        <f t="shared" si="2"/>
        <v>Towards Fair Large Language Model-based Recommender Systems without Costly Retraining
Jin Li, Huilin Gu, Shoujin Wang, Qi Zhang, Shui Yu, Chen Wang, Xiwei Xu and Fang Chen
</v>
      </c>
      <c r="E72" s="120" t="str">
        <f>IFERROR(__xludf.DUMMYFUNCTION("TEXTJOIN(CHAR(10), TRUE,FILTER('Web4Good Papers'!$D:$D,'Web4Good Papers'!$A:$A=C72))"),"Jin Li, Huilin Gu, Shoujin Wang, Qi Zhang, Shui Yu, Chen Wang, Xiwei Xu and Fang Chen")</f>
        <v>Jin Li, Huilin Gu, Shoujin Wang, Qi Zhang, Shui Yu, Chen Wang, Xiwei Xu and Fang Chen</v>
      </c>
      <c r="F72" s="163" t="s">
        <v>301</v>
      </c>
      <c r="G72" s="118" t="s">
        <v>357</v>
      </c>
      <c r="H72" s="115"/>
    </row>
    <row r="73">
      <c r="A73" s="180" t="s">
        <v>309</v>
      </c>
      <c r="B73" s="117" t="s">
        <v>1237</v>
      </c>
      <c r="C73" s="159" t="str">
        <f>IFERROR(__xludf.DUMMYFUNCTION("FILTER ('Web4Good Papers'!A:A,'Web4Good Papers'!B:B=B73)"),"web1490")</f>
        <v>web1490</v>
      </c>
      <c r="D73" s="159" t="str">
        <f t="shared" si="2"/>
        <v>Unleashing the Recommendation Power of Large Language Model via Progressive Best Subset Selection
Yicheng Di
</v>
      </c>
      <c r="E73" s="159" t="str">
        <f>IFERROR(__xludf.DUMMYFUNCTION("TEXTJOIN(CHAR(10), TRUE,FILTER('Web4Good Papers'!$D:$D,'Web4Good Papers'!$A:$A=C73))"),"Yicheng Di")</f>
        <v>Yicheng Di</v>
      </c>
      <c r="F73" s="180" t="s">
        <v>301</v>
      </c>
      <c r="G73" s="118" t="s">
        <v>189</v>
      </c>
      <c r="H73" s="117"/>
      <c r="I73" s="181"/>
      <c r="J73" s="181"/>
      <c r="K73" s="181"/>
      <c r="L73" s="181"/>
      <c r="M73" s="181"/>
      <c r="N73" s="181"/>
      <c r="O73" s="181"/>
      <c r="P73" s="181"/>
      <c r="Q73" s="181"/>
      <c r="R73" s="181"/>
      <c r="S73" s="181"/>
      <c r="T73" s="181"/>
      <c r="U73" s="181"/>
      <c r="V73" s="181"/>
      <c r="W73" s="181"/>
      <c r="X73" s="181"/>
      <c r="Y73" s="181"/>
      <c r="Z73" s="181"/>
      <c r="AA73" s="181"/>
      <c r="AB73" s="181"/>
      <c r="AC73" s="181"/>
    </row>
    <row r="74">
      <c r="A74" s="118" t="s">
        <v>309</v>
      </c>
      <c r="B74" s="115" t="s">
        <v>1238</v>
      </c>
      <c r="C74" s="120" t="str">
        <f>IFERROR(__xludf.DUMMYFUNCTION("FILTER ('Web4Good Papers'!A:A,'Web4Good Papers'!B:B=B74)"),"web1496")</f>
        <v>web1496</v>
      </c>
      <c r="D74" s="120" t="str">
        <f t="shared" si="2"/>
        <v>Enhancing Content Moderation with LLMs: A Reddit Case Study on Evaluating and Refining Human Decisions
Jiahui He, Yiluo Wei and Gareth Tyson
</v>
      </c>
      <c r="E74" s="120" t="str">
        <f>IFERROR(__xludf.DUMMYFUNCTION("TEXTJOIN(CHAR(10), TRUE,FILTER('Web4Good Papers'!$D:$D,'Web4Good Papers'!$A:$A=C74))"),"Jiahui He, Yiluo Wei and Gareth Tyson")</f>
        <v>Jiahui He, Yiluo Wei and Gareth Tyson</v>
      </c>
      <c r="F74" s="163" t="s">
        <v>301</v>
      </c>
      <c r="G74" s="118" t="s">
        <v>358</v>
      </c>
      <c r="H74" s="115"/>
    </row>
    <row r="75">
      <c r="A75" s="118" t="s">
        <v>309</v>
      </c>
      <c r="B75" s="115" t="s">
        <v>1239</v>
      </c>
      <c r="C75" s="120" t="str">
        <f>IFERROR(__xludf.DUMMYFUNCTION("FILTER ('Web4Good Papers'!A:A,'Web4Good Papers'!B:B=B75)"),"web0966")</f>
        <v>web0966</v>
      </c>
      <c r="D75" s="120" t="str">
        <f t="shared" si="2"/>
        <v>FUSED: Toward Federated Multimodal Retrieval across Sovereign Data Domains
Chi Xu, Jiaxing Li, Mengdi Jin, William I. Atlas, Mark A. Spoljaric, Edith C.H. Ngai and Jiangchuan Liu
</v>
      </c>
      <c r="E75" s="120" t="str">
        <f>IFERROR(__xludf.DUMMYFUNCTION("TEXTJOIN(CHAR(10), TRUE,FILTER('Web4Good Papers'!$D:$D,'Web4Good Papers'!$A:$A=C75))"),"Chi Xu, Jiaxing Li, Mengdi Jin, William I. Atlas, Mark A. Spoljaric, Edith C.H. Ngai and Jiangchuan Liu")</f>
        <v>Chi Xu, Jiaxing Li, Mengdi Jin, William I. Atlas, Mark A. Spoljaric, Edith C.H. Ngai and Jiangchuan Liu</v>
      </c>
      <c r="F75" s="163" t="s">
        <v>301</v>
      </c>
      <c r="G75" s="118" t="s">
        <v>359</v>
      </c>
      <c r="H75" s="115"/>
    </row>
    <row r="76">
      <c r="A76" s="118" t="s">
        <v>309</v>
      </c>
      <c r="B76" s="115" t="s">
        <v>1240</v>
      </c>
      <c r="C76" s="120" t="str">
        <f>IFERROR(__xludf.DUMMYFUNCTION("FILTER ('Web4Good Papers'!A:A,'Web4Good Papers'!B:B=B76)"),"web1169")</f>
        <v>web1169</v>
      </c>
      <c r="D76" s="120" t="str">
        <f t="shared" si="2"/>
        <v>TravelReasoner: Leveraging Large Reasoning Models to Address Mobility Data Gap
Peijie Liu, Fengli Xu and Yong Li
</v>
      </c>
      <c r="E76" s="120" t="str">
        <f>IFERROR(__xludf.DUMMYFUNCTION("TEXTJOIN(CHAR(10), TRUE,FILTER('Web4Good Papers'!$D:$D,'Web4Good Papers'!$A:$A=C76))"),"Peijie Liu, Fengli Xu and Yong Li")</f>
        <v>Peijie Liu, Fengli Xu and Yong Li</v>
      </c>
      <c r="F76" s="163" t="s">
        <v>301</v>
      </c>
      <c r="G76" s="118" t="s">
        <v>121</v>
      </c>
      <c r="H76" s="115"/>
    </row>
    <row r="77">
      <c r="A77" s="118" t="s">
        <v>309</v>
      </c>
      <c r="B77" s="115" t="s">
        <v>1241</v>
      </c>
      <c r="C77" s="120" t="str">
        <f>IFERROR(__xludf.DUMMYFUNCTION("FILTER ('Web4Good Papers'!A:A,'Web4Good Papers'!B:B=B77)"),"web1228")</f>
        <v>web1228</v>
      </c>
      <c r="D77" s="120" t="str">
        <f t="shared" si="2"/>
        <v>Enhancing Rare Event Detection via Counterfactual Generation with Exogenous Variables
Lili Tian, Dehui Du and Yikang Chen
</v>
      </c>
      <c r="E77" s="120" t="str">
        <f>IFERROR(__xludf.DUMMYFUNCTION("TEXTJOIN(CHAR(10), TRUE,FILTER('Web4Good Papers'!$D:$D,'Web4Good Papers'!$A:$A=C77))"),"Lili Tian, Dehui Du and Yikang Chen")</f>
        <v>Lili Tian, Dehui Du and Yikang Chen</v>
      </c>
      <c r="F77" s="163" t="s">
        <v>301</v>
      </c>
      <c r="G77" s="118" t="s">
        <v>357</v>
      </c>
      <c r="H77" s="115"/>
    </row>
    <row r="78">
      <c r="A78" s="118" t="s">
        <v>309</v>
      </c>
      <c r="B78" s="115" t="s">
        <v>1242</v>
      </c>
      <c r="C78" s="120" t="str">
        <f>IFERROR(__xludf.DUMMYFUNCTION("FILTER ('Web4Good Papers'!A:A,'Web4Good Papers'!B:B=B78)"),"web1236")</f>
        <v>web1236</v>
      </c>
      <c r="D78" s="120" t="str">
        <f t="shared" si="2"/>
        <v>Longitudinal Trends in Global Climate Change Discourse on Facebook
Md. Rafiul Biswas, Mabrouka Bessghaier, Shimaa Ibrahim, George Mikros and Wajdi Zaghouani
</v>
      </c>
      <c r="E78" s="120" t="str">
        <f>IFERROR(__xludf.DUMMYFUNCTION("TEXTJOIN(CHAR(10), TRUE,FILTER('Web4Good Papers'!$D:$D,'Web4Good Papers'!$A:$A=C78))"),"Md. Rafiul Biswas, Mabrouka Bessghaier, Shimaa Ibrahim, George Mikros and Wajdi Zaghouani")</f>
        <v>Md. Rafiul Biswas, Mabrouka Bessghaier, Shimaa Ibrahim, George Mikros and Wajdi Zaghouani</v>
      </c>
      <c r="F78" s="163" t="s">
        <v>301</v>
      </c>
      <c r="G78" s="118" t="s">
        <v>121</v>
      </c>
      <c r="H78" s="115"/>
    </row>
    <row r="79">
      <c r="A79" s="118" t="s">
        <v>309</v>
      </c>
      <c r="B79" s="115" t="s">
        <v>1243</v>
      </c>
      <c r="C79" s="120" t="str">
        <f>IFERROR(__xludf.DUMMYFUNCTION("FILTER ('Web4Good Papers'!A:A,'Web4Good Papers'!B:B=B79)"),"web1243")</f>
        <v>web1243</v>
      </c>
      <c r="D79" s="120" t="str">
        <f t="shared" si="2"/>
        <v>Mitigating Fine-tuning Bias: A Parameter-Efficient Debiasing Framework for Large Language Models
Qiuyu Li, Kun Zhang, Le Wu, Hao Liu, Hefei Xu, Xin Li and Si Wei
</v>
      </c>
      <c r="E79" s="120" t="str">
        <f>IFERROR(__xludf.DUMMYFUNCTION("TEXTJOIN(CHAR(10), TRUE,FILTER('Web4Good Papers'!$D:$D,'Web4Good Papers'!$A:$A=C79))"),"Qiuyu Li, Kun Zhang, Le Wu, Hao Liu, Hefei Xu, Xin Li and Si Wei")</f>
        <v>Qiuyu Li, Kun Zhang, Le Wu, Hao Liu, Hefei Xu, Xin Li and Si Wei</v>
      </c>
      <c r="F79" s="163" t="s">
        <v>301</v>
      </c>
      <c r="G79" s="118" t="s">
        <v>358</v>
      </c>
      <c r="H79" s="115"/>
    </row>
    <row r="80">
      <c r="A80" s="118" t="s">
        <v>309</v>
      </c>
      <c r="B80" s="115" t="s">
        <v>1244</v>
      </c>
      <c r="C80" s="120" t="str">
        <f>IFERROR(__xludf.DUMMYFUNCTION("FILTER ('Web4Good Papers'!A:A,'Web4Good Papers'!B:B=B80)"),"web1247")</f>
        <v>web1247</v>
      </c>
      <c r="D80" s="120" t="str">
        <f t="shared" si="2"/>
        <v>Cross-Domain Fake News Detection on Unseen Domains via LLM-Based Domain-Aware User Modeling
Xuankai Yang, Yan Wang, Jiajie Zhu, Pengfei Ding, Hongyang Liu, Xiuzhen Zhang and Huan Liu
</v>
      </c>
      <c r="E80" s="120" t="str">
        <f>IFERROR(__xludf.DUMMYFUNCTION("TEXTJOIN(CHAR(10), TRUE,FILTER('Web4Good Papers'!$D:$D,'Web4Good Papers'!$A:$A=C80))"),"Xuankai Yang, Yan Wang, Jiajie Zhu, Pengfei Ding, Hongyang Liu, Xiuzhen Zhang and Huan Liu")</f>
        <v>Xuankai Yang, Yan Wang, Jiajie Zhu, Pengfei Ding, Hongyang Liu, Xiuzhen Zhang and Huan Liu</v>
      </c>
      <c r="F80" s="163" t="s">
        <v>301</v>
      </c>
      <c r="G80" s="118" t="s">
        <v>359</v>
      </c>
      <c r="H80" s="115"/>
    </row>
    <row r="81">
      <c r="A81" s="118" t="s">
        <v>309</v>
      </c>
      <c r="B81" s="115" t="s">
        <v>1245</v>
      </c>
      <c r="C81" s="120" t="str">
        <f>IFERROR(__xludf.DUMMYFUNCTION("FILTER ('Web4Good Papers'!A:A,'Web4Good Papers'!B:B=B81)"),"web1249")</f>
        <v>web1249</v>
      </c>
      <c r="D81" s="120" t="str">
        <f t="shared" si="2"/>
        <v>K&amp;L: Penetrating Backdoor Defense with Key and Locks
Xinyi Wang, Jiayu Zhang, Zhiyu Zhu, Zhibo Jin, Dong Yuan and Huaming Chen
</v>
      </c>
      <c r="E81" s="120" t="str">
        <f>IFERROR(__xludf.DUMMYFUNCTION("TEXTJOIN(CHAR(10), TRUE,FILTER('Web4Good Papers'!$D:$D,'Web4Good Papers'!$A:$A=C81))"),"Xinyi Wang, Jiayu Zhang, Zhiyu Zhu, Zhibo Jin, Dong Yuan and Huaming Chen")</f>
        <v>Xinyi Wang, Jiayu Zhang, Zhiyu Zhu, Zhibo Jin, Dong Yuan and Huaming Chen</v>
      </c>
      <c r="F81" s="163" t="s">
        <v>301</v>
      </c>
      <c r="G81" s="118" t="s">
        <v>189</v>
      </c>
      <c r="H81" s="115"/>
    </row>
    <row r="82">
      <c r="A82" s="118" t="s">
        <v>309</v>
      </c>
      <c r="B82" s="115" t="s">
        <v>1246</v>
      </c>
      <c r="C82" s="120" t="str">
        <f>IFERROR(__xludf.DUMMYFUNCTION("FILTER ('Web4Good Papers'!A:A,'Web4Good Papers'!B:B=B82)"),"web1254")</f>
        <v>web1254</v>
      </c>
      <c r="D82" s="120" t="str">
        <f t="shared" si="2"/>
        <v>coTherapist: A Behavior-Aligned Small Language Model Framework to Support Mental Healthcare Experts
Prottay Kumar Adhikary, Reena Rawat and Tanmoy Chakraborty
</v>
      </c>
      <c r="E82" s="120" t="str">
        <f>IFERROR(__xludf.DUMMYFUNCTION("TEXTJOIN(CHAR(10), TRUE,FILTER('Web4Good Papers'!$D:$D,'Web4Good Papers'!$A:$A=C82))"),"Prottay Kumar Adhikary, Reena Rawat and Tanmoy Chakraborty")</f>
        <v>Prottay Kumar Adhikary, Reena Rawat and Tanmoy Chakraborty</v>
      </c>
      <c r="F82" s="163" t="s">
        <v>301</v>
      </c>
      <c r="G82" s="118" t="s">
        <v>357</v>
      </c>
      <c r="H82" s="115"/>
    </row>
    <row r="83">
      <c r="A83" s="118" t="s">
        <v>309</v>
      </c>
      <c r="B83" s="115" t="s">
        <v>1247</v>
      </c>
      <c r="C83" s="120" t="str">
        <f>IFERROR(__xludf.DUMMYFUNCTION("FILTER ('Web4Good Papers'!A:A,'Web4Good Papers'!B:B=B83)"),"web1381")</f>
        <v>web1381</v>
      </c>
      <c r="D83" s="120" t="str">
        <f t="shared" si="2"/>
        <v>Bowling with ChatGPT: On the Evolving User Interactions with Conversational AI Systems
Sai Keerthana Karnam, Abhisek Dash, Krishna Gummadi, Animesh Mukherjee, Ingmar Weber and Savvas Zannettou
</v>
      </c>
      <c r="E83" s="120" t="str">
        <f>IFERROR(__xludf.DUMMYFUNCTION("TEXTJOIN(CHAR(10), TRUE,FILTER('Web4Good Papers'!$D:$D,'Web4Good Papers'!$A:$A=C83))"),"Sai Keerthana Karnam, Abhisek Dash, Krishna Gummadi, Animesh Mukherjee, Ingmar Weber and Savvas Zannettou")</f>
        <v>Sai Keerthana Karnam, Abhisek Dash, Krishna Gummadi, Animesh Mukherjee, Ingmar Weber and Savvas Zannettou</v>
      </c>
      <c r="F83" s="163" t="s">
        <v>301</v>
      </c>
      <c r="G83" s="118" t="s">
        <v>121</v>
      </c>
      <c r="H83" s="115"/>
    </row>
    <row r="84">
      <c r="A84" s="118" t="s">
        <v>309</v>
      </c>
      <c r="B84" s="115" t="s">
        <v>1248</v>
      </c>
      <c r="C84" s="120" t="str">
        <f>IFERROR(__xludf.DUMMYFUNCTION("FILTER ('Web4Good Papers'!A:A,'Web4Good Papers'!B:B=B84)"),"web1397")</f>
        <v>web1397</v>
      </c>
      <c r="D84" s="120" t="str">
        <f t="shared" si="2"/>
        <v>AlignCP: Noise-Aware Preference Alignment for LLMs via Confidence and Polarity Reweighting
Chen Cheng, Hefei Xu and Le Wu
</v>
      </c>
      <c r="E84" s="120" t="str">
        <f>IFERROR(__xludf.DUMMYFUNCTION("TEXTJOIN(CHAR(10), TRUE,FILTER('Web4Good Papers'!$D:$D,'Web4Good Papers'!$A:$A=C84))"),"Chen Cheng, Hefei Xu and Le Wu")</f>
        <v>Chen Cheng, Hefei Xu and Le Wu</v>
      </c>
      <c r="F84" s="163" t="s">
        <v>301</v>
      </c>
      <c r="G84" s="118" t="s">
        <v>358</v>
      </c>
      <c r="H84" s="115"/>
    </row>
    <row r="85">
      <c r="A85" s="118" t="s">
        <v>309</v>
      </c>
      <c r="B85" s="115" t="s">
        <v>1249</v>
      </c>
      <c r="C85" s="120" t="str">
        <f>IFERROR(__xludf.DUMMYFUNCTION("FILTER ('Web4Good Papers'!A:A,'Web4Good Papers'!B:B=B85)"),"web1404")</f>
        <v>web1404</v>
      </c>
      <c r="D85" s="120" t="str">
        <f t="shared" si="2"/>
        <v>COMA: A Collaborative Multi-Role Agent Framework for Automated Lesson Plan Generation
Xiaoli Zeng, Ying Zheng, Shuyan Huang, Zitao Liu, Mi Tian, Mingliang Hou, Jiaqi Zheng and Wenzhou Dou
</v>
      </c>
      <c r="E85" s="120" t="str">
        <f>IFERROR(__xludf.DUMMYFUNCTION("TEXTJOIN(CHAR(10), TRUE,FILTER('Web4Good Papers'!$D:$D,'Web4Good Papers'!$A:$A=C85))"),"Xiaoli Zeng, Ying Zheng, Shuyan Huang, Zitao Liu, Mi Tian, Mingliang Hou, Jiaqi Zheng and Wenzhou Dou")</f>
        <v>Xiaoli Zeng, Ying Zheng, Shuyan Huang, Zitao Liu, Mi Tian, Mingliang Hou, Jiaqi Zheng and Wenzhou Dou</v>
      </c>
      <c r="F85" s="163" t="s">
        <v>301</v>
      </c>
      <c r="G85" s="118" t="s">
        <v>359</v>
      </c>
      <c r="H85" s="115"/>
    </row>
    <row r="86">
      <c r="A86" s="118" t="s">
        <v>309</v>
      </c>
      <c r="B86" s="115" t="s">
        <v>1250</v>
      </c>
      <c r="C86" s="120" t="str">
        <f>IFERROR(__xludf.DUMMYFUNCTION("FILTER ('Web4Good Papers'!A:A,'Web4Good Papers'!B:B=B86)"),"web1315")</f>
        <v>web1315</v>
      </c>
      <c r="D86" s="120" t="str">
        <f t="shared" si="2"/>
        <v>EmeraldMind: A Knowledge Graph–Augmented Framework for Greenwashing Detection
Georgios Kaoukis, Ioannis-Aris Koufopoulos, Eleni Psaroudaki, Danae Pla Karidi, Evaggelia Pitoura, George Papastefanatos and Panayiotis Tsaparas
</v>
      </c>
      <c r="E86" s="120" t="str">
        <f>IFERROR(__xludf.DUMMYFUNCTION("TEXTJOIN(CHAR(10), TRUE,FILTER('Web4Good Papers'!$D:$D,'Web4Good Papers'!$A:$A=C86))"),"Georgios Kaoukis, Ioannis-Aris Koufopoulos, Eleni Psaroudaki, Danae Pla Karidi, Evaggelia Pitoura, George Papastefanatos and Panayiotis Tsaparas")</f>
        <v>Georgios Kaoukis, Ioannis-Aris Koufopoulos, Eleni Psaroudaki, Danae Pla Karidi, Evaggelia Pitoura, George Papastefanatos and Panayiotis Tsaparas</v>
      </c>
      <c r="F86" s="163" t="s">
        <v>301</v>
      </c>
      <c r="G86" s="118" t="s">
        <v>189</v>
      </c>
      <c r="H86" s="115"/>
    </row>
    <row r="87">
      <c r="A87" s="118" t="s">
        <v>309</v>
      </c>
      <c r="B87" s="115" t="s">
        <v>1251</v>
      </c>
      <c r="C87" s="120" t="str">
        <f>IFERROR(__xludf.DUMMYFUNCTION("FILTER ('Web4Good Papers'!A:A,'Web4Good Papers'!B:B=B87)"),"web0283")</f>
        <v>web0283</v>
      </c>
      <c r="D87" s="120" t="str">
        <f t="shared" si="2"/>
        <v>Debating Truth: Debate-driven Claim Verification with Multiple Large Language Model Agents
Haorui He, Yupeng Li, Dacheng Wen, Yang Chen, Reynold Cheng, Donglong Chen and Francis C. M. Lau
</v>
      </c>
      <c r="E87" s="120" t="str">
        <f>IFERROR(__xludf.DUMMYFUNCTION("TEXTJOIN(CHAR(10), TRUE,FILTER('Web4Good Papers'!$D:$D,'Web4Good Papers'!$A:$A=C87))"),"Haorui He, Yupeng Li, Dacheng Wen, Yang Chen, Reynold Cheng, Donglong Chen and Francis C. M. Lau")</f>
        <v>Haorui He, Yupeng Li, Dacheng Wen, Yang Chen, Reynold Cheng, Donglong Chen and Francis C. M. Lau</v>
      </c>
      <c r="F87" s="163" t="s">
        <v>301</v>
      </c>
      <c r="G87" s="118" t="s">
        <v>357</v>
      </c>
      <c r="H87" s="115"/>
    </row>
    <row r="88">
      <c r="A88" s="118" t="s">
        <v>309</v>
      </c>
      <c r="B88" s="179" t="s">
        <v>1252</v>
      </c>
      <c r="C88" s="120" t="str">
        <f>IFERROR(__xludf.DUMMYFUNCTION("FILTER ('Web4Good Papers'!A:A,'Web4Good Papers'!B:B=B88)"),"web0926")</f>
        <v>web0926</v>
      </c>
      <c r="D88" s="120" t="str">
        <f t="shared" si="2"/>
        <v>Invisible Walls in Cities: Designing LLM Agent to Predict Urban Segregation Experience with Social Media Content
Bingbing Fan, Lin Chen, Songwei Li, Jian Yuan, Fengli Xu, Pan Hui and Yong Li
</v>
      </c>
      <c r="E88" s="120" t="str">
        <f>IFERROR(__xludf.DUMMYFUNCTION("TEXTJOIN(CHAR(10), TRUE,FILTER('Web4Good Papers'!$D:$D,'Web4Good Papers'!$A:$A=C88))"),"Bingbing Fan, Lin Chen, Songwei Li, Jian Yuan, Fengli Xu, Pan Hui and Yong Li")</f>
        <v>Bingbing Fan, Lin Chen, Songwei Li, Jian Yuan, Fengli Xu, Pan Hui and Yong Li</v>
      </c>
      <c r="F88" s="163" t="s">
        <v>301</v>
      </c>
      <c r="G88" s="118" t="s">
        <v>121</v>
      </c>
      <c r="H88" s="115"/>
    </row>
    <row r="89">
      <c r="A89" s="118" t="s">
        <v>309</v>
      </c>
      <c r="B89" s="115" t="s">
        <v>1253</v>
      </c>
      <c r="C89" s="120" t="str">
        <f>IFERROR(__xludf.DUMMYFUNCTION("FILTER ('Web4Good Papers'!A:A,'Web4Good Papers'!B:B=B89)"),"web0939")</f>
        <v>web0939</v>
      </c>
      <c r="D89" s="120" t="str">
        <f t="shared" si="2"/>
        <v>Bringing Reasoning to Generative Recommendation Through the Lens of Cascaded Ranking
Xinyu Lin, Pengyuan Liu, Wenjie Wang, Yicheng Hu, Chen Xu, Fuli Feng, Qifan Wang and Tat-Seng Chua
</v>
      </c>
      <c r="E89" s="120" t="str">
        <f>IFERROR(__xludf.DUMMYFUNCTION("TEXTJOIN(CHAR(10), TRUE,FILTER('Web4Good Papers'!$D:$D,'Web4Good Papers'!$A:$A=C89))"),"Xinyu Lin, Pengyuan Liu, Wenjie Wang, Yicheng Hu, Chen Xu, Fuli Feng, Qifan Wang and Tat-Seng Chua")</f>
        <v>Xinyu Lin, Pengyuan Liu, Wenjie Wang, Yicheng Hu, Chen Xu, Fuli Feng, Qifan Wang and Tat-Seng Chua</v>
      </c>
      <c r="F89" s="163" t="s">
        <v>301</v>
      </c>
      <c r="G89" s="118" t="s">
        <v>358</v>
      </c>
      <c r="H89" s="115"/>
    </row>
    <row r="90">
      <c r="A90" s="118" t="s">
        <v>309</v>
      </c>
      <c r="B90" s="115" t="s">
        <v>1254</v>
      </c>
      <c r="C90" s="120" t="str">
        <f>IFERROR(__xludf.DUMMYFUNCTION("FILTER ('Web4Good Papers'!A:A,'Web4Good Papers'!B:B=B90)"),"web1008")</f>
        <v>web1008</v>
      </c>
      <c r="D90" s="120" t="str">
        <f t="shared" si="2"/>
        <v>From Words to Worlds: Measuring Cultural Narrative Bias in LLMs via a Structural–Value Pipeline
Fangjian Shen, Yifan Zeng, Dechen Lyu and Wushao Wen
</v>
      </c>
      <c r="E90" s="120" t="str">
        <f>IFERROR(__xludf.DUMMYFUNCTION("TEXTJOIN(CHAR(10), TRUE,FILTER('Web4Good Papers'!$D:$D,'Web4Good Papers'!$A:$A=C90))"),"Fangjian Shen, Yifan Zeng, Dechen Lyu and Wushao Wen")</f>
        <v>Fangjian Shen, Yifan Zeng, Dechen Lyu and Wushao Wen</v>
      </c>
      <c r="F90" s="163" t="s">
        <v>301</v>
      </c>
      <c r="G90" s="118" t="s">
        <v>359</v>
      </c>
      <c r="H90" s="115"/>
    </row>
    <row r="91">
      <c r="A91" s="118" t="s">
        <v>309</v>
      </c>
      <c r="B91" s="115" t="s">
        <v>1255</v>
      </c>
      <c r="C91" s="120" t="str">
        <f>IFERROR(__xludf.DUMMYFUNCTION("FILTER ('Web4Good Papers'!A:A,'Web4Good Papers'!B:B=B91)"),"web1104")</f>
        <v>web1104</v>
      </c>
      <c r="D91" s="120" t="str">
        <f t="shared" si="2"/>
        <v>Understanding the Consequences of VTuber Reincarnation
Yiluo Wei and Gareth Tyson
</v>
      </c>
      <c r="E91" s="120" t="str">
        <f>IFERROR(__xludf.DUMMYFUNCTION("TEXTJOIN(CHAR(10), TRUE,FILTER('Web4Good Papers'!$D:$D,'Web4Good Papers'!$A:$A=C91))"),"Yiluo Wei and Gareth Tyson")</f>
        <v>Yiluo Wei and Gareth Tyson</v>
      </c>
      <c r="F91" s="163" t="s">
        <v>301</v>
      </c>
      <c r="G91" s="118" t="s">
        <v>189</v>
      </c>
      <c r="H91" s="115"/>
    </row>
    <row r="92">
      <c r="A92" s="118" t="s">
        <v>309</v>
      </c>
      <c r="B92" s="115" t="s">
        <v>1256</v>
      </c>
      <c r="C92" s="120" t="str">
        <f>IFERROR(__xludf.DUMMYFUNCTION("FILTER ('Web4Good Papers'!A:A,'Web4Good Papers'!B:B=B92)"),"web1113")</f>
        <v>web1113</v>
      </c>
      <c r="D92" s="120" t="str">
        <f t="shared" si="2"/>
        <v>Sustainable and Responsible ECG-Based AI Diagnostics: Masked Frequency Reconstruction with Peak-Aware Transformers
Wei Wang, Jian Chen, Junxin Chen, Zeling Xu, Yuntao Zou and Henry H. Y. Tong
</v>
      </c>
      <c r="E92" s="120" t="str">
        <f>IFERROR(__xludf.DUMMYFUNCTION("TEXTJOIN(CHAR(10), TRUE,FILTER('Web4Good Papers'!$D:$D,'Web4Good Papers'!$A:$A=C92))"),"Wei Wang, Jian Chen, Junxin Chen, Zeling Xu, Yuntao Zou and Henry H. Y. Tong")</f>
        <v>Wei Wang, Jian Chen, Junxin Chen, Zeling Xu, Yuntao Zou and Henry H. Y. Tong</v>
      </c>
      <c r="F92" s="163" t="s">
        <v>301</v>
      </c>
      <c r="G92" s="118" t="s">
        <v>357</v>
      </c>
      <c r="H92" s="115"/>
    </row>
    <row r="93">
      <c r="A93" s="118" t="s">
        <v>309</v>
      </c>
      <c r="B93" s="115" t="s">
        <v>1257</v>
      </c>
      <c r="C93" s="120" t="str">
        <f>IFERROR(__xludf.DUMMYFUNCTION("FILTER ('Web4Good Papers'!A:A,'Web4Good Papers'!B:B=B93)"),"web1150")</f>
        <v>web1150</v>
      </c>
      <c r="D93" s="120" t="str">
        <f t="shared" si="2"/>
        <v>How Green Is Your Login? A Cross-Protocol Benchmark of Authentication Energy &amp; Latency
Weizheng Wang, Qipeng Xie, Shiyu Wang, Qingqing Ye, Kaishun Wu and Haibo Hu
</v>
      </c>
      <c r="E93" s="120" t="str">
        <f>IFERROR(__xludf.DUMMYFUNCTION("TEXTJOIN(CHAR(10), TRUE,FILTER('Web4Good Papers'!$D:$D,'Web4Good Papers'!$A:$A=C93))"),"Weizheng Wang, Qipeng Xie, Shiyu Wang, Qingqing Ye, Kaishun Wu and Haibo Hu")</f>
        <v>Weizheng Wang, Qipeng Xie, Shiyu Wang, Qingqing Ye, Kaishun Wu and Haibo Hu</v>
      </c>
      <c r="F93" s="163" t="s">
        <v>301</v>
      </c>
      <c r="G93" s="118" t="s">
        <v>121</v>
      </c>
      <c r="H93" s="115"/>
    </row>
    <row r="94">
      <c r="A94" s="118" t="s">
        <v>309</v>
      </c>
      <c r="B94" s="115" t="s">
        <v>1258</v>
      </c>
      <c r="C94" s="120" t="str">
        <f>IFERROR(__xludf.DUMMYFUNCTION("FILTER ('Web4Good Papers'!A:A,'Web4Good Papers'!B:B=B94)"),"web1168")</f>
        <v>web1168</v>
      </c>
      <c r="D94" s="120" t="str">
        <f t="shared" si="2"/>
        <v>AMID: Model-Agnostic Dataset Distillation by Adversarial Mutual Information Minimization
Aoqi Wu, Junming Liu, Yuwei Zhang, Weiquan Huang, Liang Hu, Yifan Yang, Qi Zhang, Jiaxing Miao, Yuhan Tang and Zhongyuan Lai
</v>
      </c>
      <c r="E94" s="120" t="str">
        <f>IFERROR(__xludf.DUMMYFUNCTION("TEXTJOIN(CHAR(10), TRUE,FILTER('Web4Good Papers'!$D:$D,'Web4Good Papers'!$A:$A=C94))"),"Aoqi Wu, Junming Liu, Yuwei Zhang, Weiquan Huang, Liang Hu, Yifan Yang, Qi Zhang, Jiaxing Miao, Yuhan Tang and Zhongyuan Lai")</f>
        <v>Aoqi Wu, Junming Liu, Yuwei Zhang, Weiquan Huang, Liang Hu, Yifan Yang, Qi Zhang, Jiaxing Miao, Yuhan Tang and Zhongyuan Lai</v>
      </c>
      <c r="F94" s="163" t="s">
        <v>301</v>
      </c>
      <c r="G94" s="118" t="s">
        <v>358</v>
      </c>
      <c r="H94" s="115"/>
    </row>
    <row r="95">
      <c r="A95" s="118" t="s">
        <v>309</v>
      </c>
      <c r="B95" s="115" t="s">
        <v>1259</v>
      </c>
      <c r="C95" s="120" t="str">
        <f>IFERROR(__xludf.DUMMYFUNCTION("FILTER ('Web4Good Papers'!A:A,'Web4Good Papers'!B:B=B95)"),"web1185")</f>
        <v>web1185</v>
      </c>
      <c r="D95" s="120" t="str">
        <f t="shared" si="2"/>
        <v>CompTox Ontology: Leveraging Knowledge Graphs for PFAS Monitoring and Decision-Making
Yinglun Zhang, Sonia Moavenzadeh, Jarrar Amjad, Onur Apul, Adrita Barua, Fatih Evrendilek, Torsten Hahmann, Ganga Hettiarachchi, Pascal Hitzler, David Kedrowski, Vasu Kilaru, Prayas Lashkari, Katrina Schweikert, Antony Williams and Hande McGinty
</v>
      </c>
      <c r="E95" s="120" t="str">
        <f>IFERROR(__xludf.DUMMYFUNCTION("TEXTJOIN(CHAR(10), TRUE,FILTER('Web4Good Papers'!$D:$D,'Web4Good Papers'!$A:$A=C95))"),"Yinglun Zhang, Sonia Moavenzadeh, Jarrar Amjad, Onur Apul, Adrita Barua, Fatih Evrendilek, Torsten Hahmann, Ganga Hettiarachchi, Pascal Hitzler, David Kedrowski, Vasu Kilaru, Prayas Lashkari, Katrina Schweikert, Antony Williams and Hande McGinty")</f>
        <v>Yinglun Zhang, Sonia Moavenzadeh, Jarrar Amjad, Onur Apul, Adrita Barua, Fatih Evrendilek, Torsten Hahmann, Ganga Hettiarachchi, Pascal Hitzler, David Kedrowski, Vasu Kilaru, Prayas Lashkari, Katrina Schweikert, Antony Williams and Hande McGinty</v>
      </c>
      <c r="F95" s="163" t="s">
        <v>301</v>
      </c>
      <c r="G95" s="118" t="s">
        <v>359</v>
      </c>
      <c r="H95" s="115"/>
    </row>
    <row r="96">
      <c r="A96" s="118" t="s">
        <v>309</v>
      </c>
      <c r="B96" s="115" t="s">
        <v>1260</v>
      </c>
      <c r="C96" s="120" t="str">
        <f>IFERROR(__xludf.DUMMYFUNCTION("FILTER ('Web4Good Papers'!A:A,'Web4Good Papers'!B:B=B96)"),"web1207")</f>
        <v>web1207</v>
      </c>
      <c r="D96" s="120" t="str">
        <f t="shared" si="2"/>
        <v>Intelli-Planner: Towards Customized Urban Planning via Large Language Model Empowered Reinforcement Learning
Xixian Yong, Peilin Sun, Zihe Wang and Xiao Zhou
</v>
      </c>
      <c r="E96" s="120" t="str">
        <f>IFERROR(__xludf.DUMMYFUNCTION("TEXTJOIN(CHAR(10), TRUE,FILTER('Web4Good Papers'!$D:$D,'Web4Good Papers'!$A:$A=C96))"),"Xixian Yong, Peilin Sun, Zihe Wang and Xiao Zhou")</f>
        <v>Xixian Yong, Peilin Sun, Zihe Wang and Xiao Zhou</v>
      </c>
      <c r="F96" s="163" t="s">
        <v>301</v>
      </c>
      <c r="G96" s="118" t="s">
        <v>189</v>
      </c>
      <c r="H96" s="115"/>
    </row>
    <row r="97">
      <c r="A97" s="118" t="s">
        <v>309</v>
      </c>
      <c r="B97" s="115" t="s">
        <v>1261</v>
      </c>
      <c r="C97" s="120" t="str">
        <f>IFERROR(__xludf.DUMMYFUNCTION("FILTER ('Web4Good Papers'!A:A,'Web4Good Papers'!B:B=B97)"),"web1219")</f>
        <v>web1219</v>
      </c>
      <c r="D97" s="120" t="str">
        <f t="shared" si="2"/>
        <v>FairGU: Fairness-aware Graph Unlearning in Social Networks
Renqiang Luo, Yongshuai Yang, Huafei Huang, Qing Qing, Mingliang Hou, Ziqi Xu, Yi Yu, Jingjing Zhou and Feng Xia
</v>
      </c>
      <c r="E97" s="120" t="str">
        <f>IFERROR(__xludf.DUMMYFUNCTION("TEXTJOIN(CHAR(10), TRUE,FILTER('Web4Good Papers'!$D:$D,'Web4Good Papers'!$A:$A=C97))"),"Renqiang Luo, Yongshuai Yang, Huafei Huang, Qing Qing, Mingliang Hou, Ziqi Xu, Yi Yu, Jingjing Zhou and Feng Xia")</f>
        <v>Renqiang Luo, Yongshuai Yang, Huafei Huang, Qing Qing, Mingliang Hou, Ziqi Xu, Yi Yu, Jingjing Zhou and Feng Xia</v>
      </c>
      <c r="F97" s="163" t="s">
        <v>301</v>
      </c>
      <c r="G97" s="118" t="s">
        <v>357</v>
      </c>
      <c r="H97" s="115"/>
    </row>
    <row r="98">
      <c r="A98" s="118" t="s">
        <v>309</v>
      </c>
      <c r="B98" s="115" t="s">
        <v>1262</v>
      </c>
      <c r="C98" s="120" t="str">
        <f>IFERROR(__xludf.DUMMYFUNCTION("FILTER ('Web4Good Papers'!A:A,'Web4Good Papers'!B:B=B98)"),"web1250")</f>
        <v>web1250</v>
      </c>
      <c r="D98" s="120" t="str">
        <f t="shared" si="2"/>
        <v>MultiCheck: Strengthening Web Trust with Unified Multimodal Fact Verification
Aditya Kishore, Gaurav Kumar and Jasabanta Patro
</v>
      </c>
      <c r="E98" s="120" t="str">
        <f>IFERROR(__xludf.DUMMYFUNCTION("TEXTJOIN(CHAR(10), TRUE,FILTER('Web4Good Papers'!$D:$D,'Web4Good Papers'!$A:$A=C98))"),"Aditya Kishore, Gaurav Kumar and Jasabanta Patro")</f>
        <v>Aditya Kishore, Gaurav Kumar and Jasabanta Patro</v>
      </c>
      <c r="F98" s="163" t="s">
        <v>301</v>
      </c>
      <c r="G98" s="118" t="s">
        <v>121</v>
      </c>
      <c r="H98" s="115"/>
    </row>
    <row r="99">
      <c r="A99" s="118" t="s">
        <v>309</v>
      </c>
      <c r="B99" s="115" t="s">
        <v>1263</v>
      </c>
      <c r="C99" s="120" t="str">
        <f>IFERROR(__xludf.DUMMYFUNCTION("FILTER ('Web4Good Papers'!A:A,'Web4Good Papers'!B:B=B99)"),"web1408")</f>
        <v>web1408</v>
      </c>
      <c r="D99" s="120" t="str">
        <f t="shared" si="2"/>
        <v>From Insight to Intervention: Interpretable Neuron Steering for Controlling Popularity Bias in Recommender Systems
Parviz Ahmadov and Masoud Mansoury
</v>
      </c>
      <c r="E99" s="120" t="str">
        <f>IFERROR(__xludf.DUMMYFUNCTION("TEXTJOIN(CHAR(10), TRUE,FILTER('Web4Good Papers'!$D:$D,'Web4Good Papers'!$A:$A=C99))"),"Parviz Ahmadov and Masoud Mansoury")</f>
        <v>Parviz Ahmadov and Masoud Mansoury</v>
      </c>
      <c r="F99" s="163" t="s">
        <v>301</v>
      </c>
      <c r="G99" s="118" t="s">
        <v>358</v>
      </c>
      <c r="H99" s="115"/>
    </row>
    <row r="100">
      <c r="A100" s="118" t="s">
        <v>309</v>
      </c>
      <c r="B100" s="115" t="s">
        <v>1264</v>
      </c>
      <c r="C100" s="120" t="str">
        <f>IFERROR(__xludf.DUMMYFUNCTION("FILTER ('Web4Good Papers'!A:A,'Web4Good Papers'!B:B=B100)"),"web1410")</f>
        <v>web1410</v>
      </c>
      <c r="D100" s="120" t="str">
        <f t="shared" si="2"/>
        <v>RegimeGuard: Continual Learning Queue Scheduling for Socially Critical Web Services
Zhipeng Liu, Ziming Zhao and Fan Zhang
</v>
      </c>
      <c r="E100" s="120" t="str">
        <f>IFERROR(__xludf.DUMMYFUNCTION("TEXTJOIN(CHAR(10), TRUE,FILTER('Web4Good Papers'!$D:$D,'Web4Good Papers'!$A:$A=C100))"),"Zhipeng Liu, Ziming Zhao and Fan Zhang")</f>
        <v>Zhipeng Liu, Ziming Zhao and Fan Zhang</v>
      </c>
      <c r="F100" s="163" t="s">
        <v>301</v>
      </c>
      <c r="G100" s="118" t="s">
        <v>359</v>
      </c>
      <c r="H100" s="115"/>
    </row>
    <row r="101">
      <c r="A101" s="118" t="s">
        <v>309</v>
      </c>
      <c r="B101" s="115" t="s">
        <v>1265</v>
      </c>
      <c r="C101" s="120" t="str">
        <f>IFERROR(__xludf.DUMMYFUNCTION("FILTER ('Web4Good Papers'!A:A,'Web4Good Papers'!B:B=B101)"),"web1223")</f>
        <v>web1223</v>
      </c>
      <c r="D101" s="120" t="str">
        <f t="shared" si="2"/>
        <v>Cross-Modal Rationale Transfer for Explainable Humanitarian Classification on Social Media
Thi Huyen Nguyen, Koustav Rudra and Wolfgang Nejdl
</v>
      </c>
      <c r="E101" s="120" t="str">
        <f>IFERROR(__xludf.DUMMYFUNCTION("TEXTJOIN(CHAR(10), TRUE,FILTER('Web4Good Papers'!$D:$D,'Web4Good Papers'!$A:$A=C101))"),"Thi Huyen Nguyen, Koustav Rudra and Wolfgang Nejdl")</f>
        <v>Thi Huyen Nguyen, Koustav Rudra and Wolfgang Nejdl</v>
      </c>
      <c r="F101" s="163" t="s">
        <v>301</v>
      </c>
      <c r="G101" s="118" t="s">
        <v>189</v>
      </c>
      <c r="H101" s="115"/>
    </row>
  </sheetData>
  <conditionalFormatting sqref="F7:F11">
    <cfRule type="cellIs" dxfId="1" priority="1" operator="equal">
      <formula>"TRUE"</formula>
    </cfRule>
  </conditionalFormatting>
  <dataValidations>
    <dataValidation type="list" allowBlank="1" showErrorMessage="1" sqref="G27:G101">
      <formula1>"Web4GoodPoster1,Web4GoodPoster2,Web4GoodPoster3,Web4GoodPoster4,Web4GoodPoster5,Web4GoodPoster"</formula1>
    </dataValidation>
    <dataValidation type="list" allowBlank="1" showErrorMessage="1" sqref="F7:F101">
      <formula1>"Web4GoodPoster,Web4Good1,Web4Good2,Web4Good3,Web4Good4"</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87.75"/>
    <col customWidth="1" min="3" max="3" width="20.5"/>
    <col customWidth="1" min="4" max="4" width="108.13"/>
    <col customWidth="1" min="5" max="5" width="72.38"/>
  </cols>
  <sheetData>
    <row r="1">
      <c r="A1" s="168" t="s">
        <v>1051</v>
      </c>
      <c r="B1" s="168"/>
      <c r="C1" s="182" t="s">
        <v>364</v>
      </c>
      <c r="D1" s="182" t="s">
        <v>1266</v>
      </c>
      <c r="E1" s="111" t="s">
        <v>1267</v>
      </c>
      <c r="F1" s="168" t="s">
        <v>207</v>
      </c>
    </row>
    <row r="2">
      <c r="A2" s="118" t="s">
        <v>1268</v>
      </c>
      <c r="B2" s="115"/>
      <c r="C2" s="183"/>
      <c r="D2" s="183" t="str">
        <f>CONCATENATE("Welcome by History of Web Chairs",char(10),E2,char(10))</f>
        <v>Welcome by History of Web Chairs
Wendy Hall and Oshani Seneviratne
</v>
      </c>
      <c r="E2" s="184" t="s">
        <v>1269</v>
      </c>
      <c r="F2" s="115" t="s">
        <v>85</v>
      </c>
      <c r="H2" s="185"/>
      <c r="I2" s="186"/>
    </row>
    <row r="3">
      <c r="A3" s="118" t="s">
        <v>1268</v>
      </c>
      <c r="B3" s="115" t="s">
        <v>1270</v>
      </c>
      <c r="C3" s="183" t="s">
        <v>1271</v>
      </c>
      <c r="D3" s="187" t="str">
        <f t="shared" ref="D3:D9" si="1">concatenate(B3,char(10),E3,char(10))</f>
        <v>Seoul Test of Time Winner Presentation - LINE: Large-scale Information Network Embedding
Jian Tang
</v>
      </c>
      <c r="E3" s="184" t="s">
        <v>1272</v>
      </c>
      <c r="F3" s="115" t="s">
        <v>85</v>
      </c>
      <c r="H3" s="185"/>
      <c r="I3" s="186"/>
    </row>
    <row r="4">
      <c r="A4" s="118" t="s">
        <v>1268</v>
      </c>
      <c r="B4" s="115" t="s">
        <v>1273</v>
      </c>
      <c r="C4" s="183" t="s">
        <v>1274</v>
      </c>
      <c r="D4" s="187" t="str">
        <f t="shared" si="1"/>
        <v>The Semantic Web’s Second Act: Why Everything Old is New Again in Agentic AI
Natasha Noy
</v>
      </c>
      <c r="E4" s="115" t="s">
        <v>1275</v>
      </c>
      <c r="F4" s="115" t="s">
        <v>995</v>
      </c>
      <c r="H4" s="185"/>
      <c r="I4" s="188"/>
    </row>
    <row r="5">
      <c r="A5" s="118" t="s">
        <v>1268</v>
      </c>
      <c r="B5" s="115" t="s">
        <v>1276</v>
      </c>
      <c r="C5" s="183" t="s">
        <v>1274</v>
      </c>
      <c r="D5" s="187" t="str">
        <f t="shared" si="1"/>
        <v>The Pendulum of Verbosity: The Evolution of Search from Blue Links to Agents
Evgeniy Gabrilovich
</v>
      </c>
      <c r="E5" s="115" t="s">
        <v>1277</v>
      </c>
      <c r="F5" s="115" t="s">
        <v>85</v>
      </c>
      <c r="H5" s="185"/>
      <c r="I5" s="186"/>
    </row>
    <row r="6">
      <c r="A6" s="118" t="s">
        <v>1268</v>
      </c>
      <c r="B6" s="115" t="s">
        <v>1278</v>
      </c>
      <c r="C6" s="189" t="s">
        <v>1279</v>
      </c>
      <c r="D6" s="187" t="str">
        <f t="shared" si="1"/>
        <v>On the historic roots of Agentic AI in Semantic Web Services
Axel Polleres
</v>
      </c>
      <c r="E6" s="115" t="s">
        <v>1280</v>
      </c>
      <c r="F6" s="115" t="s">
        <v>106</v>
      </c>
      <c r="H6" s="185"/>
      <c r="I6" s="186"/>
    </row>
    <row r="7">
      <c r="A7" s="118" t="s">
        <v>1268</v>
      </c>
      <c r="B7" s="115" t="s">
        <v>1281</v>
      </c>
      <c r="C7" s="189" t="s">
        <v>1282</v>
      </c>
      <c r="D7" s="187" t="str">
        <f t="shared" si="1"/>
        <v>From Lexical and Semantic to Predictive Search: Evolution or Involution?
Ricardo Baeza-Yates
</v>
      </c>
      <c r="E7" s="115" t="s">
        <v>1283</v>
      </c>
      <c r="F7" s="115" t="s">
        <v>106</v>
      </c>
    </row>
    <row r="8">
      <c r="A8" s="118" t="s">
        <v>1268</v>
      </c>
      <c r="B8" s="115" t="s">
        <v>1284</v>
      </c>
      <c r="C8" s="189" t="s">
        <v>1285</v>
      </c>
      <c r="D8" s="187" t="str">
        <f t="shared" si="1"/>
        <v>Evolving Notions of Success on the Web: From Retrieval to Experience
Mounia Lalmas
</v>
      </c>
      <c r="E8" s="115" t="s">
        <v>1286</v>
      </c>
      <c r="F8" s="115" t="s">
        <v>106</v>
      </c>
      <c r="H8" s="185"/>
      <c r="I8" s="186"/>
    </row>
    <row r="9">
      <c r="A9" s="118" t="s">
        <v>1268</v>
      </c>
      <c r="B9" s="115" t="s">
        <v>1287</v>
      </c>
      <c r="C9" s="190"/>
      <c r="D9" s="187" t="str">
        <f t="shared" si="1"/>
        <v>Panel
Yoelle Maarek, Ricardo Baeza-Yates, Wendy Hall moderated by Oshani Seneviratne
</v>
      </c>
      <c r="E9" s="115" t="s">
        <v>1288</v>
      </c>
      <c r="F9" s="115" t="s">
        <v>106</v>
      </c>
    </row>
    <row r="10">
      <c r="C10" s="190"/>
      <c r="D10" s="190"/>
    </row>
    <row r="11">
      <c r="C11" s="190"/>
      <c r="D11" s="190"/>
    </row>
    <row r="12">
      <c r="C12" s="190"/>
      <c r="D12" s="190"/>
    </row>
    <row r="13">
      <c r="C13" s="190"/>
      <c r="D13" s="190"/>
    </row>
    <row r="14">
      <c r="C14" s="190"/>
      <c r="D14" s="190"/>
    </row>
    <row r="15">
      <c r="C15" s="190"/>
      <c r="D15" s="190"/>
    </row>
    <row r="16">
      <c r="C16" s="190"/>
      <c r="D16" s="191"/>
    </row>
    <row r="17">
      <c r="C17" s="190"/>
      <c r="D17" s="192"/>
    </row>
    <row r="18">
      <c r="C18" s="190"/>
      <c r="D18" s="191"/>
    </row>
    <row r="19">
      <c r="C19" s="190"/>
      <c r="D19" s="192"/>
    </row>
    <row r="20">
      <c r="C20" s="190"/>
      <c r="D20" s="191"/>
    </row>
    <row r="21">
      <c r="C21" s="190"/>
      <c r="D21" s="192"/>
    </row>
    <row r="22">
      <c r="C22" s="190"/>
      <c r="D22" s="191"/>
    </row>
    <row r="23">
      <c r="C23" s="190"/>
      <c r="D23" s="192"/>
    </row>
    <row r="24">
      <c r="C24" s="190"/>
      <c r="D24" s="191"/>
    </row>
    <row r="25">
      <c r="C25" s="190"/>
      <c r="D25" s="192"/>
    </row>
    <row r="26">
      <c r="C26" s="190"/>
      <c r="D26" s="191"/>
    </row>
    <row r="27">
      <c r="C27" s="190"/>
      <c r="D27" s="192"/>
    </row>
    <row r="28">
      <c r="C28" s="190"/>
      <c r="D28" s="191"/>
    </row>
    <row r="29">
      <c r="C29" s="190"/>
      <c r="D29" s="190"/>
    </row>
    <row r="30">
      <c r="C30" s="190"/>
      <c r="D30" s="190"/>
    </row>
    <row r="31">
      <c r="C31" s="190"/>
      <c r="D31" s="190"/>
    </row>
    <row r="32">
      <c r="C32" s="190"/>
      <c r="D32" s="190"/>
    </row>
    <row r="33">
      <c r="C33" s="190"/>
      <c r="D33" s="190"/>
    </row>
    <row r="34">
      <c r="C34" s="190"/>
      <c r="D34" s="190"/>
    </row>
    <row r="35">
      <c r="C35" s="190"/>
      <c r="D35" s="190"/>
    </row>
    <row r="36">
      <c r="C36" s="190"/>
      <c r="D36" s="190"/>
    </row>
    <row r="37">
      <c r="C37" s="190"/>
      <c r="D37" s="190"/>
    </row>
    <row r="38">
      <c r="C38" s="190"/>
      <c r="D38" s="190"/>
    </row>
    <row r="39">
      <c r="C39" s="190"/>
      <c r="D39" s="190"/>
    </row>
    <row r="40">
      <c r="C40" s="190"/>
      <c r="D40" s="190"/>
    </row>
    <row r="41">
      <c r="C41" s="190"/>
      <c r="D41" s="190"/>
    </row>
    <row r="42">
      <c r="C42" s="190"/>
      <c r="D42" s="190"/>
    </row>
    <row r="43">
      <c r="C43" s="190"/>
      <c r="D43" s="190"/>
    </row>
    <row r="44">
      <c r="C44" s="190"/>
      <c r="D44" s="190"/>
    </row>
    <row r="45">
      <c r="C45" s="190"/>
      <c r="D45" s="190"/>
    </row>
    <row r="46">
      <c r="C46" s="190"/>
      <c r="D46" s="190"/>
    </row>
    <row r="47">
      <c r="C47" s="190"/>
      <c r="D47" s="190"/>
    </row>
    <row r="48">
      <c r="C48" s="190"/>
      <c r="D48" s="190"/>
    </row>
    <row r="49">
      <c r="C49" s="190"/>
      <c r="D49" s="190"/>
    </row>
    <row r="50">
      <c r="C50" s="190"/>
      <c r="D50" s="190"/>
    </row>
    <row r="51">
      <c r="C51" s="190"/>
      <c r="D51" s="190"/>
    </row>
    <row r="52">
      <c r="C52" s="190"/>
      <c r="D52" s="190"/>
    </row>
    <row r="53">
      <c r="C53" s="190"/>
      <c r="D53" s="190"/>
    </row>
    <row r="54">
      <c r="C54" s="190"/>
      <c r="D54" s="190"/>
    </row>
    <row r="55">
      <c r="C55" s="190"/>
      <c r="D55" s="190"/>
    </row>
    <row r="56">
      <c r="C56" s="190"/>
      <c r="D56" s="190"/>
    </row>
    <row r="57">
      <c r="C57" s="190"/>
      <c r="D57" s="190"/>
    </row>
    <row r="58">
      <c r="C58" s="190"/>
      <c r="D58" s="190"/>
    </row>
    <row r="59">
      <c r="C59" s="190"/>
      <c r="D59" s="190"/>
    </row>
    <row r="60">
      <c r="C60" s="190"/>
      <c r="D60" s="190"/>
    </row>
    <row r="61">
      <c r="C61" s="190"/>
      <c r="D61" s="190"/>
    </row>
    <row r="62">
      <c r="C62" s="190"/>
      <c r="D62" s="190"/>
    </row>
    <row r="63">
      <c r="C63" s="190"/>
      <c r="D63" s="190"/>
    </row>
    <row r="64">
      <c r="C64" s="190"/>
      <c r="D64" s="190"/>
    </row>
    <row r="65">
      <c r="C65" s="190"/>
      <c r="D65" s="190"/>
    </row>
    <row r="66">
      <c r="C66" s="190"/>
      <c r="D66" s="190"/>
    </row>
    <row r="67">
      <c r="C67" s="190"/>
      <c r="D67" s="190"/>
    </row>
    <row r="68">
      <c r="C68" s="190"/>
      <c r="D68" s="190"/>
    </row>
    <row r="69">
      <c r="C69" s="190"/>
      <c r="D69" s="190"/>
    </row>
    <row r="70">
      <c r="C70" s="190"/>
      <c r="D70" s="190"/>
    </row>
    <row r="71">
      <c r="C71" s="190"/>
      <c r="D71" s="190"/>
    </row>
    <row r="72">
      <c r="C72" s="190"/>
      <c r="D72" s="190"/>
    </row>
    <row r="73">
      <c r="C73" s="190"/>
      <c r="D73" s="190"/>
    </row>
    <row r="74">
      <c r="C74" s="190"/>
      <c r="D74" s="190"/>
    </row>
    <row r="75">
      <c r="C75" s="190"/>
      <c r="D75" s="190"/>
    </row>
    <row r="76">
      <c r="C76" s="190"/>
      <c r="D76" s="190"/>
    </row>
    <row r="77">
      <c r="C77" s="190"/>
      <c r="D77" s="190"/>
    </row>
    <row r="78">
      <c r="C78" s="190"/>
      <c r="D78" s="190"/>
    </row>
    <row r="79">
      <c r="C79" s="190"/>
      <c r="D79" s="190"/>
    </row>
    <row r="80">
      <c r="C80" s="190"/>
      <c r="D80" s="190"/>
    </row>
    <row r="81">
      <c r="C81" s="190"/>
      <c r="D81" s="190"/>
    </row>
    <row r="82">
      <c r="C82" s="190"/>
      <c r="D82" s="190"/>
    </row>
    <row r="83">
      <c r="C83" s="190"/>
      <c r="D83" s="190"/>
    </row>
    <row r="84">
      <c r="C84" s="190"/>
      <c r="D84" s="190"/>
    </row>
    <row r="85">
      <c r="C85" s="190"/>
      <c r="D85" s="190"/>
    </row>
    <row r="86">
      <c r="C86" s="190"/>
      <c r="D86" s="190"/>
    </row>
    <row r="87">
      <c r="C87" s="190"/>
      <c r="D87" s="190"/>
    </row>
    <row r="88">
      <c r="C88" s="190"/>
      <c r="D88" s="190"/>
    </row>
    <row r="89">
      <c r="C89" s="190"/>
      <c r="D89" s="190"/>
    </row>
    <row r="90">
      <c r="C90" s="190"/>
      <c r="D90" s="190"/>
    </row>
    <row r="91">
      <c r="C91" s="190"/>
      <c r="D91" s="190"/>
    </row>
    <row r="92">
      <c r="C92" s="190"/>
      <c r="D92" s="190"/>
    </row>
    <row r="93">
      <c r="C93" s="190"/>
      <c r="D93" s="190"/>
    </row>
    <row r="94">
      <c r="C94" s="190"/>
      <c r="D94" s="190"/>
    </row>
    <row r="95">
      <c r="C95" s="190"/>
      <c r="D95" s="190"/>
    </row>
    <row r="96">
      <c r="C96" s="190"/>
      <c r="D96" s="190"/>
    </row>
    <row r="97">
      <c r="C97" s="190"/>
      <c r="D97" s="190"/>
    </row>
    <row r="98">
      <c r="C98" s="190"/>
      <c r="D98" s="190"/>
    </row>
    <row r="99">
      <c r="C99" s="190"/>
      <c r="D99" s="190"/>
    </row>
    <row r="100">
      <c r="C100" s="190"/>
      <c r="D100" s="190"/>
    </row>
    <row r="101">
      <c r="C101" s="190"/>
      <c r="D101" s="190"/>
    </row>
    <row r="102">
      <c r="C102" s="190"/>
      <c r="D102" s="190"/>
    </row>
    <row r="103">
      <c r="C103" s="190"/>
      <c r="D103" s="190"/>
    </row>
    <row r="104">
      <c r="C104" s="190"/>
      <c r="D104" s="190"/>
    </row>
    <row r="105">
      <c r="C105" s="190"/>
      <c r="D105" s="190"/>
    </row>
    <row r="106">
      <c r="C106" s="190"/>
      <c r="D106" s="190"/>
    </row>
    <row r="107">
      <c r="C107" s="190"/>
      <c r="D107" s="190"/>
    </row>
    <row r="108">
      <c r="C108" s="190"/>
      <c r="D108" s="190"/>
    </row>
    <row r="109">
      <c r="C109" s="190"/>
      <c r="D109" s="190"/>
    </row>
    <row r="110">
      <c r="C110" s="190"/>
      <c r="D110" s="190"/>
    </row>
    <row r="111">
      <c r="C111" s="190"/>
      <c r="D111" s="190"/>
    </row>
    <row r="112">
      <c r="C112" s="190"/>
      <c r="D112" s="190"/>
    </row>
    <row r="113">
      <c r="C113" s="190"/>
      <c r="D113" s="190"/>
    </row>
    <row r="114">
      <c r="C114" s="190"/>
      <c r="D114" s="190"/>
    </row>
    <row r="115">
      <c r="C115" s="190"/>
      <c r="D115" s="190"/>
    </row>
    <row r="116">
      <c r="C116" s="190"/>
      <c r="D116" s="190"/>
    </row>
    <row r="117">
      <c r="C117" s="190"/>
      <c r="D117" s="190"/>
    </row>
    <row r="118">
      <c r="C118" s="190"/>
      <c r="D118" s="190"/>
    </row>
    <row r="119">
      <c r="C119" s="190"/>
      <c r="D119" s="190"/>
    </row>
    <row r="120">
      <c r="C120" s="190"/>
      <c r="D120" s="190"/>
    </row>
    <row r="121">
      <c r="C121" s="190"/>
      <c r="D121" s="190"/>
    </row>
    <row r="122">
      <c r="C122" s="190"/>
      <c r="D122" s="190"/>
    </row>
    <row r="123">
      <c r="C123" s="190"/>
      <c r="D123" s="190"/>
    </row>
    <row r="124">
      <c r="C124" s="190"/>
      <c r="D124" s="190"/>
    </row>
    <row r="125">
      <c r="C125" s="190"/>
      <c r="D125" s="190"/>
    </row>
    <row r="126">
      <c r="C126" s="190"/>
      <c r="D126" s="190"/>
    </row>
    <row r="127">
      <c r="C127" s="190"/>
      <c r="D127" s="190"/>
    </row>
    <row r="128">
      <c r="C128" s="190"/>
      <c r="D128" s="190"/>
    </row>
    <row r="129">
      <c r="C129" s="190"/>
      <c r="D129" s="190"/>
    </row>
    <row r="130">
      <c r="C130" s="190"/>
      <c r="D130" s="190"/>
    </row>
    <row r="131">
      <c r="C131" s="190"/>
      <c r="D131" s="190"/>
    </row>
    <row r="132">
      <c r="C132" s="190"/>
      <c r="D132" s="190"/>
    </row>
    <row r="133">
      <c r="C133" s="190"/>
      <c r="D133" s="190"/>
    </row>
    <row r="134">
      <c r="C134" s="190"/>
      <c r="D134" s="190"/>
    </row>
    <row r="135">
      <c r="C135" s="190"/>
      <c r="D135" s="190"/>
    </row>
    <row r="136">
      <c r="C136" s="190"/>
      <c r="D136" s="190"/>
    </row>
    <row r="137">
      <c r="C137" s="190"/>
      <c r="D137" s="190"/>
    </row>
    <row r="138">
      <c r="C138" s="190"/>
      <c r="D138" s="190"/>
    </row>
    <row r="139">
      <c r="C139" s="190"/>
      <c r="D139" s="190"/>
    </row>
    <row r="140">
      <c r="C140" s="190"/>
      <c r="D140" s="190"/>
    </row>
    <row r="141">
      <c r="C141" s="190"/>
      <c r="D141" s="190"/>
    </row>
    <row r="142">
      <c r="C142" s="190"/>
      <c r="D142" s="190"/>
    </row>
    <row r="143">
      <c r="C143" s="190"/>
      <c r="D143" s="190"/>
    </row>
    <row r="144">
      <c r="C144" s="190"/>
      <c r="D144" s="190"/>
    </row>
    <row r="145">
      <c r="C145" s="190"/>
      <c r="D145" s="190"/>
    </row>
    <row r="146">
      <c r="C146" s="190"/>
      <c r="D146" s="190"/>
    </row>
    <row r="147">
      <c r="C147" s="190"/>
      <c r="D147" s="190"/>
    </row>
    <row r="148">
      <c r="C148" s="190"/>
      <c r="D148" s="190"/>
    </row>
    <row r="149">
      <c r="C149" s="190"/>
      <c r="D149" s="190"/>
    </row>
    <row r="150">
      <c r="C150" s="190"/>
      <c r="D150" s="190"/>
    </row>
    <row r="151">
      <c r="C151" s="190"/>
      <c r="D151" s="190"/>
    </row>
    <row r="152">
      <c r="C152" s="190"/>
      <c r="D152" s="190"/>
    </row>
    <row r="153">
      <c r="C153" s="190"/>
      <c r="D153" s="190"/>
    </row>
    <row r="154">
      <c r="C154" s="190"/>
      <c r="D154" s="190"/>
    </row>
    <row r="155">
      <c r="C155" s="190"/>
      <c r="D155" s="190"/>
    </row>
    <row r="156">
      <c r="C156" s="190"/>
      <c r="D156" s="190"/>
    </row>
    <row r="157">
      <c r="C157" s="190"/>
      <c r="D157" s="190"/>
    </row>
    <row r="158">
      <c r="C158" s="190"/>
      <c r="D158" s="190"/>
    </row>
    <row r="159">
      <c r="C159" s="190"/>
      <c r="D159" s="190"/>
    </row>
    <row r="160">
      <c r="C160" s="190"/>
      <c r="D160" s="190"/>
    </row>
    <row r="161">
      <c r="C161" s="190"/>
      <c r="D161" s="190"/>
    </row>
    <row r="162">
      <c r="C162" s="190"/>
      <c r="D162" s="190"/>
    </row>
    <row r="163">
      <c r="C163" s="190"/>
      <c r="D163" s="190"/>
    </row>
    <row r="164">
      <c r="C164" s="190"/>
      <c r="D164" s="190"/>
    </row>
    <row r="165">
      <c r="C165" s="190"/>
      <c r="D165" s="190"/>
    </row>
    <row r="166">
      <c r="C166" s="190"/>
      <c r="D166" s="190"/>
    </row>
    <row r="167">
      <c r="C167" s="190"/>
      <c r="D167" s="190"/>
    </row>
    <row r="168">
      <c r="C168" s="190"/>
      <c r="D168" s="190"/>
    </row>
    <row r="169">
      <c r="C169" s="190"/>
      <c r="D169" s="190"/>
    </row>
    <row r="170">
      <c r="C170" s="190"/>
      <c r="D170" s="190"/>
    </row>
    <row r="171">
      <c r="C171" s="190"/>
      <c r="D171" s="190"/>
    </row>
    <row r="172">
      <c r="C172" s="190"/>
      <c r="D172" s="190"/>
    </row>
    <row r="173">
      <c r="C173" s="190"/>
      <c r="D173" s="190"/>
    </row>
    <row r="174">
      <c r="C174" s="190"/>
      <c r="D174" s="190"/>
    </row>
    <row r="175">
      <c r="C175" s="190"/>
      <c r="D175" s="190"/>
    </row>
    <row r="176">
      <c r="C176" s="190"/>
      <c r="D176" s="190"/>
    </row>
    <row r="177">
      <c r="C177" s="190"/>
      <c r="D177" s="190"/>
    </row>
    <row r="178">
      <c r="C178" s="190"/>
      <c r="D178" s="190"/>
    </row>
    <row r="179">
      <c r="C179" s="190"/>
      <c r="D179" s="190"/>
    </row>
    <row r="180">
      <c r="C180" s="190"/>
      <c r="D180" s="190"/>
    </row>
    <row r="181">
      <c r="C181" s="190"/>
      <c r="D181" s="190"/>
    </row>
    <row r="182">
      <c r="C182" s="190"/>
      <c r="D182" s="190"/>
    </row>
    <row r="183">
      <c r="C183" s="190"/>
      <c r="D183" s="190"/>
    </row>
    <row r="184">
      <c r="C184" s="190"/>
      <c r="D184" s="190"/>
    </row>
    <row r="185">
      <c r="C185" s="190"/>
      <c r="D185" s="190"/>
    </row>
    <row r="186">
      <c r="C186" s="190"/>
      <c r="D186" s="190"/>
    </row>
    <row r="187">
      <c r="C187" s="190"/>
      <c r="D187" s="190"/>
    </row>
    <row r="188">
      <c r="C188" s="190"/>
      <c r="D188" s="190"/>
    </row>
    <row r="189">
      <c r="C189" s="190"/>
      <c r="D189" s="190"/>
    </row>
    <row r="190">
      <c r="C190" s="190"/>
      <c r="D190" s="190"/>
    </row>
    <row r="191">
      <c r="C191" s="190"/>
      <c r="D191" s="190"/>
    </row>
    <row r="192">
      <c r="C192" s="190"/>
      <c r="D192" s="190"/>
    </row>
    <row r="193">
      <c r="C193" s="190"/>
      <c r="D193" s="190"/>
    </row>
    <row r="194">
      <c r="C194" s="190"/>
      <c r="D194" s="190"/>
    </row>
    <row r="195">
      <c r="C195" s="190"/>
      <c r="D195" s="190"/>
    </row>
    <row r="196">
      <c r="C196" s="190"/>
      <c r="D196" s="190"/>
    </row>
    <row r="197">
      <c r="C197" s="190"/>
      <c r="D197" s="190"/>
    </row>
    <row r="198">
      <c r="C198" s="190"/>
      <c r="D198" s="190"/>
    </row>
    <row r="199">
      <c r="C199" s="190"/>
      <c r="D199" s="190"/>
    </row>
    <row r="200">
      <c r="C200" s="190"/>
      <c r="D200" s="190"/>
    </row>
    <row r="201">
      <c r="C201" s="190"/>
      <c r="D201" s="190"/>
    </row>
    <row r="202">
      <c r="C202" s="190"/>
      <c r="D202" s="190"/>
    </row>
    <row r="203">
      <c r="C203" s="190"/>
      <c r="D203" s="190"/>
    </row>
    <row r="204">
      <c r="C204" s="190"/>
      <c r="D204" s="190"/>
    </row>
    <row r="205">
      <c r="C205" s="190"/>
      <c r="D205" s="190"/>
    </row>
    <row r="206">
      <c r="C206" s="190"/>
      <c r="D206" s="190"/>
    </row>
    <row r="207">
      <c r="C207" s="190"/>
      <c r="D207" s="190"/>
    </row>
    <row r="208">
      <c r="C208" s="190"/>
      <c r="D208" s="190"/>
    </row>
    <row r="209">
      <c r="C209" s="190"/>
      <c r="D209" s="190"/>
    </row>
    <row r="210">
      <c r="C210" s="190"/>
      <c r="D210" s="190"/>
    </row>
    <row r="211">
      <c r="C211" s="190"/>
      <c r="D211" s="190"/>
    </row>
    <row r="212">
      <c r="C212" s="190"/>
      <c r="D212" s="190"/>
    </row>
    <row r="213">
      <c r="C213" s="190"/>
      <c r="D213" s="190"/>
    </row>
    <row r="214">
      <c r="C214" s="190"/>
      <c r="D214" s="190"/>
    </row>
    <row r="215">
      <c r="C215" s="190"/>
      <c r="D215" s="190"/>
    </row>
    <row r="216">
      <c r="C216" s="190"/>
      <c r="D216" s="190"/>
    </row>
    <row r="217">
      <c r="C217" s="190"/>
      <c r="D217" s="190"/>
    </row>
    <row r="218">
      <c r="C218" s="190"/>
      <c r="D218" s="190"/>
    </row>
    <row r="219">
      <c r="C219" s="190"/>
      <c r="D219" s="190"/>
    </row>
    <row r="220">
      <c r="C220" s="190"/>
      <c r="D220" s="190"/>
    </row>
    <row r="221">
      <c r="C221" s="190"/>
      <c r="D221" s="190"/>
    </row>
    <row r="222">
      <c r="C222" s="190"/>
      <c r="D222" s="190"/>
    </row>
    <row r="223">
      <c r="C223" s="190"/>
      <c r="D223" s="190"/>
    </row>
    <row r="224">
      <c r="C224" s="190"/>
      <c r="D224" s="190"/>
    </row>
    <row r="225">
      <c r="C225" s="190"/>
      <c r="D225" s="190"/>
    </row>
    <row r="226">
      <c r="C226" s="190"/>
      <c r="D226" s="190"/>
    </row>
    <row r="227">
      <c r="C227" s="190"/>
      <c r="D227" s="190"/>
    </row>
    <row r="228">
      <c r="C228" s="190"/>
      <c r="D228" s="190"/>
    </row>
    <row r="229">
      <c r="C229" s="190"/>
      <c r="D229" s="190"/>
    </row>
    <row r="230">
      <c r="C230" s="190"/>
      <c r="D230" s="190"/>
    </row>
    <row r="231">
      <c r="C231" s="190"/>
      <c r="D231" s="190"/>
    </row>
    <row r="232">
      <c r="C232" s="190"/>
      <c r="D232" s="190"/>
    </row>
    <row r="233">
      <c r="C233" s="190"/>
      <c r="D233" s="190"/>
    </row>
    <row r="234">
      <c r="C234" s="190"/>
      <c r="D234" s="190"/>
    </row>
    <row r="235">
      <c r="C235" s="190"/>
      <c r="D235" s="190"/>
    </row>
    <row r="236">
      <c r="C236" s="190"/>
      <c r="D236" s="190"/>
    </row>
    <row r="237">
      <c r="C237" s="190"/>
      <c r="D237" s="190"/>
    </row>
    <row r="238">
      <c r="C238" s="190"/>
      <c r="D238" s="190"/>
    </row>
    <row r="239">
      <c r="C239" s="190"/>
      <c r="D239" s="190"/>
    </row>
    <row r="240">
      <c r="C240" s="190"/>
      <c r="D240" s="190"/>
    </row>
    <row r="241">
      <c r="C241" s="190"/>
      <c r="D241" s="190"/>
    </row>
    <row r="242">
      <c r="C242" s="190"/>
      <c r="D242" s="190"/>
    </row>
    <row r="243">
      <c r="C243" s="190"/>
      <c r="D243" s="190"/>
    </row>
    <row r="244">
      <c r="C244" s="190"/>
      <c r="D244" s="190"/>
    </row>
    <row r="245">
      <c r="C245" s="190"/>
      <c r="D245" s="190"/>
    </row>
    <row r="246">
      <c r="C246" s="190"/>
      <c r="D246" s="190"/>
    </row>
    <row r="247">
      <c r="C247" s="190"/>
      <c r="D247" s="190"/>
    </row>
    <row r="248">
      <c r="C248" s="190"/>
      <c r="D248" s="190"/>
    </row>
    <row r="249">
      <c r="C249" s="190"/>
      <c r="D249" s="190"/>
    </row>
    <row r="250">
      <c r="C250" s="190"/>
      <c r="D250" s="190"/>
    </row>
    <row r="251">
      <c r="C251" s="190"/>
      <c r="D251" s="190"/>
    </row>
    <row r="252">
      <c r="C252" s="190"/>
      <c r="D252" s="190"/>
    </row>
    <row r="253">
      <c r="C253" s="190"/>
      <c r="D253" s="190"/>
    </row>
    <row r="254">
      <c r="C254" s="190"/>
      <c r="D254" s="190"/>
    </row>
    <row r="255">
      <c r="C255" s="190"/>
      <c r="D255" s="190"/>
    </row>
    <row r="256">
      <c r="C256" s="190"/>
      <c r="D256" s="190"/>
    </row>
    <row r="257">
      <c r="C257" s="190"/>
      <c r="D257" s="190"/>
    </row>
    <row r="258">
      <c r="C258" s="190"/>
      <c r="D258" s="190"/>
    </row>
    <row r="259">
      <c r="C259" s="190"/>
      <c r="D259" s="190"/>
    </row>
    <row r="260">
      <c r="C260" s="190"/>
      <c r="D260" s="190"/>
    </row>
    <row r="261">
      <c r="C261" s="190"/>
      <c r="D261" s="190"/>
    </row>
    <row r="262">
      <c r="C262" s="190"/>
      <c r="D262" s="190"/>
    </row>
    <row r="263">
      <c r="C263" s="190"/>
      <c r="D263" s="190"/>
    </row>
    <row r="264">
      <c r="C264" s="190"/>
      <c r="D264" s="190"/>
    </row>
    <row r="265">
      <c r="C265" s="190"/>
      <c r="D265" s="190"/>
    </row>
    <row r="266">
      <c r="C266" s="190"/>
      <c r="D266" s="190"/>
    </row>
    <row r="267">
      <c r="C267" s="190"/>
      <c r="D267" s="190"/>
    </row>
    <row r="268">
      <c r="C268" s="190"/>
      <c r="D268" s="190"/>
    </row>
    <row r="269">
      <c r="C269" s="190"/>
      <c r="D269" s="190"/>
    </row>
    <row r="270">
      <c r="C270" s="190"/>
      <c r="D270" s="190"/>
    </row>
    <row r="271">
      <c r="C271" s="190"/>
      <c r="D271" s="190"/>
    </row>
    <row r="272">
      <c r="C272" s="190"/>
      <c r="D272" s="190"/>
    </row>
    <row r="273">
      <c r="C273" s="190"/>
      <c r="D273" s="190"/>
    </row>
    <row r="274">
      <c r="C274" s="190"/>
      <c r="D274" s="190"/>
    </row>
    <row r="275">
      <c r="C275" s="190"/>
      <c r="D275" s="190"/>
    </row>
    <row r="276">
      <c r="C276" s="190"/>
      <c r="D276" s="190"/>
    </row>
    <row r="277">
      <c r="C277" s="190"/>
      <c r="D277" s="190"/>
    </row>
    <row r="278">
      <c r="C278" s="190"/>
      <c r="D278" s="190"/>
    </row>
    <row r="279">
      <c r="C279" s="190"/>
      <c r="D279" s="190"/>
    </row>
    <row r="280">
      <c r="C280" s="190"/>
      <c r="D280" s="190"/>
    </row>
    <row r="281">
      <c r="C281" s="190"/>
      <c r="D281" s="190"/>
    </row>
    <row r="282">
      <c r="C282" s="190"/>
      <c r="D282" s="190"/>
    </row>
    <row r="283">
      <c r="C283" s="190"/>
      <c r="D283" s="190"/>
    </row>
    <row r="284">
      <c r="C284" s="190"/>
      <c r="D284" s="190"/>
    </row>
    <row r="285">
      <c r="C285" s="190"/>
      <c r="D285" s="190"/>
    </row>
    <row r="286">
      <c r="C286" s="190"/>
      <c r="D286" s="190"/>
    </row>
    <row r="287">
      <c r="C287" s="190"/>
      <c r="D287" s="190"/>
    </row>
    <row r="288">
      <c r="C288" s="190"/>
      <c r="D288" s="190"/>
    </row>
    <row r="289">
      <c r="C289" s="190"/>
      <c r="D289" s="190"/>
    </row>
    <row r="290">
      <c r="C290" s="190"/>
      <c r="D290" s="190"/>
    </row>
    <row r="291">
      <c r="C291" s="190"/>
      <c r="D291" s="190"/>
    </row>
    <row r="292">
      <c r="C292" s="190"/>
      <c r="D292" s="190"/>
    </row>
    <row r="293">
      <c r="C293" s="190"/>
      <c r="D293" s="190"/>
    </row>
    <row r="294">
      <c r="C294" s="190"/>
      <c r="D294" s="190"/>
    </row>
    <row r="295">
      <c r="C295" s="190"/>
      <c r="D295" s="190"/>
    </row>
    <row r="296">
      <c r="C296" s="190"/>
      <c r="D296" s="190"/>
    </row>
    <row r="297">
      <c r="C297" s="190"/>
      <c r="D297" s="190"/>
    </row>
    <row r="298">
      <c r="C298" s="190"/>
      <c r="D298" s="190"/>
    </row>
    <row r="299">
      <c r="C299" s="190"/>
      <c r="D299" s="190"/>
    </row>
    <row r="300">
      <c r="C300" s="190"/>
      <c r="D300" s="190"/>
    </row>
    <row r="301">
      <c r="C301" s="190"/>
      <c r="D301" s="190"/>
    </row>
    <row r="302">
      <c r="C302" s="190"/>
      <c r="D302" s="190"/>
    </row>
    <row r="303">
      <c r="C303" s="190"/>
      <c r="D303" s="190"/>
    </row>
    <row r="304">
      <c r="C304" s="190"/>
      <c r="D304" s="190"/>
    </row>
    <row r="305">
      <c r="C305" s="190"/>
      <c r="D305" s="190"/>
    </row>
    <row r="306">
      <c r="C306" s="190"/>
      <c r="D306" s="190"/>
    </row>
    <row r="307">
      <c r="C307" s="190"/>
      <c r="D307" s="190"/>
    </row>
    <row r="308">
      <c r="C308" s="190"/>
      <c r="D308" s="190"/>
    </row>
    <row r="309">
      <c r="C309" s="190"/>
      <c r="D309" s="190"/>
    </row>
    <row r="310">
      <c r="C310" s="190"/>
      <c r="D310" s="190"/>
    </row>
    <row r="311">
      <c r="C311" s="190"/>
      <c r="D311" s="190"/>
    </row>
    <row r="312">
      <c r="C312" s="190"/>
      <c r="D312" s="190"/>
    </row>
    <row r="313">
      <c r="C313" s="190"/>
      <c r="D313" s="190"/>
    </row>
    <row r="314">
      <c r="C314" s="190"/>
      <c r="D314" s="190"/>
    </row>
    <row r="315">
      <c r="C315" s="190"/>
      <c r="D315" s="190"/>
    </row>
    <row r="316">
      <c r="C316" s="190"/>
      <c r="D316" s="190"/>
    </row>
    <row r="317">
      <c r="C317" s="190"/>
      <c r="D317" s="190"/>
    </row>
    <row r="318">
      <c r="C318" s="190"/>
      <c r="D318" s="190"/>
    </row>
    <row r="319">
      <c r="C319" s="190"/>
      <c r="D319" s="190"/>
    </row>
    <row r="320">
      <c r="C320" s="190"/>
      <c r="D320" s="190"/>
    </row>
    <row r="321">
      <c r="C321" s="190"/>
      <c r="D321" s="190"/>
    </row>
    <row r="322">
      <c r="C322" s="190"/>
      <c r="D322" s="190"/>
    </row>
    <row r="323">
      <c r="C323" s="190"/>
      <c r="D323" s="190"/>
    </row>
    <row r="324">
      <c r="C324" s="190"/>
      <c r="D324" s="190"/>
    </row>
    <row r="325">
      <c r="C325" s="190"/>
      <c r="D325" s="190"/>
    </row>
    <row r="326">
      <c r="C326" s="190"/>
      <c r="D326" s="190"/>
    </row>
    <row r="327">
      <c r="C327" s="190"/>
      <c r="D327" s="190"/>
    </row>
    <row r="328">
      <c r="C328" s="190"/>
      <c r="D328" s="190"/>
    </row>
    <row r="329">
      <c r="C329" s="190"/>
      <c r="D329" s="190"/>
    </row>
    <row r="330">
      <c r="C330" s="190"/>
      <c r="D330" s="190"/>
    </row>
    <row r="331">
      <c r="C331" s="190"/>
      <c r="D331" s="190"/>
    </row>
    <row r="332">
      <c r="C332" s="190"/>
      <c r="D332" s="190"/>
    </row>
    <row r="333">
      <c r="C333" s="190"/>
      <c r="D333" s="190"/>
    </row>
    <row r="334">
      <c r="C334" s="190"/>
      <c r="D334" s="190"/>
    </row>
    <row r="335">
      <c r="C335" s="190"/>
      <c r="D335" s="190"/>
    </row>
    <row r="336">
      <c r="C336" s="190"/>
      <c r="D336" s="190"/>
    </row>
    <row r="337">
      <c r="C337" s="190"/>
      <c r="D337" s="190"/>
    </row>
    <row r="338">
      <c r="C338" s="190"/>
      <c r="D338" s="190"/>
    </row>
    <row r="339">
      <c r="C339" s="190"/>
      <c r="D339" s="190"/>
    </row>
    <row r="340">
      <c r="C340" s="190"/>
      <c r="D340" s="190"/>
    </row>
    <row r="341">
      <c r="C341" s="190"/>
      <c r="D341" s="190"/>
    </row>
    <row r="342">
      <c r="C342" s="190"/>
      <c r="D342" s="190"/>
    </row>
    <row r="343">
      <c r="C343" s="190"/>
      <c r="D343" s="190"/>
    </row>
    <row r="344">
      <c r="C344" s="190"/>
      <c r="D344" s="190"/>
    </row>
    <row r="345">
      <c r="C345" s="190"/>
      <c r="D345" s="190"/>
    </row>
    <row r="346">
      <c r="C346" s="190"/>
      <c r="D346" s="190"/>
    </row>
    <row r="347">
      <c r="C347" s="190"/>
      <c r="D347" s="190"/>
    </row>
    <row r="348">
      <c r="C348" s="190"/>
      <c r="D348" s="190"/>
    </row>
    <row r="349">
      <c r="C349" s="190"/>
      <c r="D349" s="190"/>
    </row>
    <row r="350">
      <c r="C350" s="190"/>
      <c r="D350" s="190"/>
    </row>
    <row r="351">
      <c r="C351" s="190"/>
      <c r="D351" s="190"/>
    </row>
    <row r="352">
      <c r="C352" s="190"/>
      <c r="D352" s="190"/>
    </row>
    <row r="353">
      <c r="C353" s="190"/>
      <c r="D353" s="190"/>
    </row>
    <row r="354">
      <c r="C354" s="190"/>
      <c r="D354" s="190"/>
    </row>
    <row r="355">
      <c r="C355" s="190"/>
      <c r="D355" s="190"/>
    </row>
    <row r="356">
      <c r="C356" s="190"/>
      <c r="D356" s="190"/>
    </row>
    <row r="357">
      <c r="C357" s="190"/>
      <c r="D357" s="190"/>
    </row>
    <row r="358">
      <c r="C358" s="190"/>
      <c r="D358" s="190"/>
    </row>
    <row r="359">
      <c r="C359" s="190"/>
      <c r="D359" s="190"/>
    </row>
    <row r="360">
      <c r="C360" s="190"/>
      <c r="D360" s="190"/>
    </row>
    <row r="361">
      <c r="C361" s="190"/>
      <c r="D361" s="190"/>
    </row>
    <row r="362">
      <c r="C362" s="190"/>
      <c r="D362" s="190"/>
    </row>
    <row r="363">
      <c r="C363" s="190"/>
      <c r="D363" s="190"/>
    </row>
    <row r="364">
      <c r="C364" s="190"/>
      <c r="D364" s="190"/>
    </row>
    <row r="365">
      <c r="C365" s="190"/>
      <c r="D365" s="190"/>
    </row>
    <row r="366">
      <c r="C366" s="190"/>
      <c r="D366" s="190"/>
    </row>
    <row r="367">
      <c r="C367" s="190"/>
      <c r="D367" s="190"/>
    </row>
    <row r="368">
      <c r="C368" s="190"/>
      <c r="D368" s="190"/>
    </row>
    <row r="369">
      <c r="C369" s="190"/>
      <c r="D369" s="190"/>
    </row>
    <row r="370">
      <c r="C370" s="190"/>
      <c r="D370" s="190"/>
    </row>
    <row r="371">
      <c r="C371" s="190"/>
      <c r="D371" s="190"/>
    </row>
    <row r="372">
      <c r="C372" s="190"/>
      <c r="D372" s="190"/>
    </row>
    <row r="373">
      <c r="C373" s="190"/>
      <c r="D373" s="190"/>
    </row>
    <row r="374">
      <c r="C374" s="190"/>
      <c r="D374" s="190"/>
    </row>
    <row r="375">
      <c r="C375" s="190"/>
      <c r="D375" s="190"/>
    </row>
    <row r="376">
      <c r="C376" s="190"/>
      <c r="D376" s="190"/>
    </row>
    <row r="377">
      <c r="C377" s="190"/>
      <c r="D377" s="190"/>
    </row>
    <row r="378">
      <c r="C378" s="190"/>
      <c r="D378" s="190"/>
    </row>
    <row r="379">
      <c r="C379" s="190"/>
      <c r="D379" s="190"/>
    </row>
    <row r="380">
      <c r="C380" s="190"/>
      <c r="D380" s="190"/>
    </row>
    <row r="381">
      <c r="C381" s="190"/>
      <c r="D381" s="190"/>
    </row>
    <row r="382">
      <c r="C382" s="190"/>
      <c r="D382" s="190"/>
    </row>
    <row r="383">
      <c r="C383" s="190"/>
      <c r="D383" s="190"/>
    </row>
    <row r="384">
      <c r="C384" s="190"/>
      <c r="D384" s="190"/>
    </row>
    <row r="385">
      <c r="C385" s="190"/>
      <c r="D385" s="190"/>
    </row>
    <row r="386">
      <c r="C386" s="190"/>
      <c r="D386" s="190"/>
    </row>
    <row r="387">
      <c r="C387" s="190"/>
      <c r="D387" s="190"/>
    </row>
    <row r="388">
      <c r="C388" s="190"/>
      <c r="D388" s="190"/>
    </row>
    <row r="389">
      <c r="C389" s="190"/>
      <c r="D389" s="190"/>
    </row>
    <row r="390">
      <c r="C390" s="190"/>
      <c r="D390" s="190"/>
    </row>
    <row r="391">
      <c r="C391" s="190"/>
      <c r="D391" s="190"/>
    </row>
    <row r="392">
      <c r="C392" s="190"/>
      <c r="D392" s="190"/>
    </row>
    <row r="393">
      <c r="C393" s="190"/>
      <c r="D393" s="190"/>
    </row>
    <row r="394">
      <c r="C394" s="190"/>
      <c r="D394" s="190"/>
    </row>
    <row r="395">
      <c r="C395" s="190"/>
      <c r="D395" s="190"/>
    </row>
    <row r="396">
      <c r="C396" s="190"/>
      <c r="D396" s="190"/>
    </row>
    <row r="397">
      <c r="C397" s="190"/>
      <c r="D397" s="190"/>
    </row>
    <row r="398">
      <c r="C398" s="190"/>
      <c r="D398" s="190"/>
    </row>
    <row r="399">
      <c r="C399" s="190"/>
      <c r="D399" s="190"/>
    </row>
    <row r="400">
      <c r="C400" s="190"/>
      <c r="D400" s="190"/>
    </row>
    <row r="401">
      <c r="C401" s="190"/>
      <c r="D401" s="190"/>
    </row>
    <row r="402">
      <c r="C402" s="190"/>
      <c r="D402" s="190"/>
    </row>
    <row r="403">
      <c r="C403" s="190"/>
      <c r="D403" s="190"/>
    </row>
    <row r="404">
      <c r="C404" s="190"/>
      <c r="D404" s="190"/>
    </row>
    <row r="405">
      <c r="C405" s="190"/>
      <c r="D405" s="190"/>
    </row>
    <row r="406">
      <c r="C406" s="190"/>
      <c r="D406" s="190"/>
    </row>
    <row r="407">
      <c r="C407" s="190"/>
      <c r="D407" s="190"/>
    </row>
    <row r="408">
      <c r="C408" s="190"/>
      <c r="D408" s="190"/>
    </row>
    <row r="409">
      <c r="C409" s="190"/>
      <c r="D409" s="190"/>
    </row>
    <row r="410">
      <c r="C410" s="190"/>
      <c r="D410" s="190"/>
    </row>
    <row r="411">
      <c r="C411" s="190"/>
      <c r="D411" s="190"/>
    </row>
    <row r="412">
      <c r="C412" s="190"/>
      <c r="D412" s="190"/>
    </row>
    <row r="413">
      <c r="C413" s="190"/>
      <c r="D413" s="190"/>
    </row>
    <row r="414">
      <c r="C414" s="190"/>
      <c r="D414" s="190"/>
    </row>
    <row r="415">
      <c r="C415" s="190"/>
      <c r="D415" s="190"/>
    </row>
    <row r="416">
      <c r="C416" s="190"/>
      <c r="D416" s="190"/>
    </row>
    <row r="417">
      <c r="C417" s="190"/>
      <c r="D417" s="190"/>
    </row>
    <row r="418">
      <c r="C418" s="190"/>
      <c r="D418" s="190"/>
    </row>
    <row r="419">
      <c r="C419" s="190"/>
      <c r="D419" s="190"/>
    </row>
    <row r="420">
      <c r="C420" s="190"/>
      <c r="D420" s="190"/>
    </row>
    <row r="421">
      <c r="C421" s="190"/>
      <c r="D421" s="190"/>
    </row>
    <row r="422">
      <c r="C422" s="190"/>
      <c r="D422" s="190"/>
    </row>
    <row r="423">
      <c r="C423" s="190"/>
      <c r="D423" s="190"/>
    </row>
    <row r="424">
      <c r="C424" s="190"/>
      <c r="D424" s="190"/>
    </row>
    <row r="425">
      <c r="C425" s="190"/>
      <c r="D425" s="190"/>
    </row>
    <row r="426">
      <c r="C426" s="190"/>
      <c r="D426" s="190"/>
    </row>
    <row r="427">
      <c r="C427" s="190"/>
      <c r="D427" s="190"/>
    </row>
    <row r="428">
      <c r="C428" s="190"/>
      <c r="D428" s="190"/>
    </row>
    <row r="429">
      <c r="C429" s="190"/>
      <c r="D429" s="190"/>
    </row>
    <row r="430">
      <c r="C430" s="190"/>
      <c r="D430" s="190"/>
    </row>
    <row r="431">
      <c r="C431" s="190"/>
      <c r="D431" s="190"/>
    </row>
    <row r="432">
      <c r="C432" s="190"/>
      <c r="D432" s="190"/>
    </row>
    <row r="433">
      <c r="C433" s="190"/>
      <c r="D433" s="190"/>
    </row>
    <row r="434">
      <c r="C434" s="190"/>
      <c r="D434" s="190"/>
    </row>
    <row r="435">
      <c r="C435" s="190"/>
      <c r="D435" s="190"/>
    </row>
    <row r="436">
      <c r="C436" s="190"/>
      <c r="D436" s="190"/>
    </row>
    <row r="437">
      <c r="C437" s="190"/>
      <c r="D437" s="190"/>
    </row>
    <row r="438">
      <c r="C438" s="190"/>
      <c r="D438" s="190"/>
    </row>
    <row r="439">
      <c r="C439" s="190"/>
      <c r="D439" s="190"/>
    </row>
    <row r="440">
      <c r="C440" s="190"/>
      <c r="D440" s="190"/>
    </row>
    <row r="441">
      <c r="C441" s="190"/>
      <c r="D441" s="190"/>
    </row>
    <row r="442">
      <c r="C442" s="190"/>
      <c r="D442" s="190"/>
    </row>
    <row r="443">
      <c r="C443" s="190"/>
      <c r="D443" s="190"/>
    </row>
    <row r="444">
      <c r="C444" s="190"/>
      <c r="D444" s="190"/>
    </row>
    <row r="445">
      <c r="C445" s="190"/>
      <c r="D445" s="190"/>
    </row>
    <row r="446">
      <c r="C446" s="190"/>
      <c r="D446" s="190"/>
    </row>
    <row r="447">
      <c r="C447" s="190"/>
      <c r="D447" s="190"/>
    </row>
    <row r="448">
      <c r="C448" s="190"/>
      <c r="D448" s="190"/>
    </row>
    <row r="449">
      <c r="C449" s="190"/>
      <c r="D449" s="190"/>
    </row>
    <row r="450">
      <c r="C450" s="190"/>
      <c r="D450" s="190"/>
    </row>
    <row r="451">
      <c r="C451" s="190"/>
      <c r="D451" s="190"/>
    </row>
    <row r="452">
      <c r="C452" s="190"/>
      <c r="D452" s="190"/>
    </row>
    <row r="453">
      <c r="C453" s="190"/>
      <c r="D453" s="190"/>
    </row>
    <row r="454">
      <c r="C454" s="190"/>
      <c r="D454" s="190"/>
    </row>
    <row r="455">
      <c r="C455" s="190"/>
      <c r="D455" s="190"/>
    </row>
    <row r="456">
      <c r="C456" s="190"/>
      <c r="D456" s="190"/>
    </row>
    <row r="457">
      <c r="C457" s="190"/>
      <c r="D457" s="190"/>
    </row>
    <row r="458">
      <c r="C458" s="190"/>
      <c r="D458" s="190"/>
    </row>
    <row r="459">
      <c r="C459" s="190"/>
      <c r="D459" s="190"/>
    </row>
    <row r="460">
      <c r="C460" s="190"/>
      <c r="D460" s="190"/>
    </row>
    <row r="461">
      <c r="C461" s="190"/>
      <c r="D461" s="190"/>
    </row>
    <row r="462">
      <c r="C462" s="190"/>
      <c r="D462" s="190"/>
    </row>
    <row r="463">
      <c r="C463" s="190"/>
      <c r="D463" s="190"/>
    </row>
    <row r="464">
      <c r="C464" s="190"/>
      <c r="D464" s="190"/>
    </row>
    <row r="465">
      <c r="C465" s="190"/>
      <c r="D465" s="190"/>
    </row>
    <row r="466">
      <c r="C466" s="190"/>
      <c r="D466" s="190"/>
    </row>
    <row r="467">
      <c r="C467" s="190"/>
      <c r="D467" s="190"/>
    </row>
    <row r="468">
      <c r="C468" s="190"/>
      <c r="D468" s="190"/>
    </row>
    <row r="469">
      <c r="C469" s="190"/>
      <c r="D469" s="190"/>
    </row>
    <row r="470">
      <c r="C470" s="190"/>
      <c r="D470" s="190"/>
    </row>
    <row r="471">
      <c r="C471" s="190"/>
      <c r="D471" s="190"/>
    </row>
    <row r="472">
      <c r="C472" s="190"/>
      <c r="D472" s="190"/>
    </row>
    <row r="473">
      <c r="C473" s="190"/>
      <c r="D473" s="190"/>
    </row>
    <row r="474">
      <c r="C474" s="190"/>
      <c r="D474" s="190"/>
    </row>
    <row r="475">
      <c r="C475" s="190"/>
      <c r="D475" s="190"/>
    </row>
    <row r="476">
      <c r="C476" s="190"/>
      <c r="D476" s="190"/>
    </row>
    <row r="477">
      <c r="C477" s="190"/>
      <c r="D477" s="190"/>
    </row>
    <row r="478">
      <c r="C478" s="190"/>
      <c r="D478" s="190"/>
    </row>
    <row r="479">
      <c r="C479" s="190"/>
      <c r="D479" s="190"/>
    </row>
    <row r="480">
      <c r="C480" s="190"/>
      <c r="D480" s="190"/>
    </row>
    <row r="481">
      <c r="C481" s="190"/>
      <c r="D481" s="190"/>
    </row>
    <row r="482">
      <c r="C482" s="190"/>
      <c r="D482" s="190"/>
    </row>
    <row r="483">
      <c r="C483" s="190"/>
      <c r="D483" s="190"/>
    </row>
    <row r="484">
      <c r="C484" s="190"/>
      <c r="D484" s="190"/>
    </row>
    <row r="485">
      <c r="C485" s="190"/>
      <c r="D485" s="190"/>
    </row>
    <row r="486">
      <c r="C486" s="190"/>
      <c r="D486" s="190"/>
    </row>
    <row r="487">
      <c r="C487" s="190"/>
      <c r="D487" s="190"/>
    </row>
    <row r="488">
      <c r="C488" s="190"/>
      <c r="D488" s="190"/>
    </row>
    <row r="489">
      <c r="C489" s="190"/>
      <c r="D489" s="190"/>
    </row>
    <row r="490">
      <c r="C490" s="190"/>
      <c r="D490" s="190"/>
    </row>
    <row r="491">
      <c r="C491" s="190"/>
      <c r="D491" s="190"/>
    </row>
    <row r="492">
      <c r="C492" s="190"/>
      <c r="D492" s="190"/>
    </row>
    <row r="493">
      <c r="C493" s="190"/>
      <c r="D493" s="190"/>
    </row>
    <row r="494">
      <c r="C494" s="190"/>
      <c r="D494" s="190"/>
    </row>
    <row r="495">
      <c r="C495" s="190"/>
      <c r="D495" s="190"/>
    </row>
    <row r="496">
      <c r="C496" s="190"/>
      <c r="D496" s="190"/>
    </row>
    <row r="497">
      <c r="C497" s="190"/>
      <c r="D497" s="190"/>
    </row>
    <row r="498">
      <c r="C498" s="190"/>
      <c r="D498" s="190"/>
    </row>
    <row r="499">
      <c r="C499" s="190"/>
      <c r="D499" s="190"/>
    </row>
    <row r="500">
      <c r="C500" s="190"/>
      <c r="D500" s="190"/>
    </row>
    <row r="501">
      <c r="C501" s="190"/>
      <c r="D501" s="190"/>
    </row>
    <row r="502">
      <c r="C502" s="190"/>
      <c r="D502" s="190"/>
    </row>
    <row r="503">
      <c r="C503" s="190"/>
      <c r="D503" s="190"/>
    </row>
    <row r="504">
      <c r="C504" s="190"/>
      <c r="D504" s="190"/>
    </row>
    <row r="505">
      <c r="C505" s="190"/>
      <c r="D505" s="190"/>
    </row>
    <row r="506">
      <c r="C506" s="190"/>
      <c r="D506" s="190"/>
    </row>
    <row r="507">
      <c r="C507" s="190"/>
      <c r="D507" s="190"/>
    </row>
    <row r="508">
      <c r="C508" s="190"/>
      <c r="D508" s="190"/>
    </row>
    <row r="509">
      <c r="C509" s="190"/>
      <c r="D509" s="190"/>
    </row>
    <row r="510">
      <c r="C510" s="190"/>
      <c r="D510" s="190"/>
    </row>
    <row r="511">
      <c r="C511" s="190"/>
      <c r="D511" s="190"/>
    </row>
    <row r="512">
      <c r="C512" s="190"/>
      <c r="D512" s="190"/>
    </row>
    <row r="513">
      <c r="C513" s="190"/>
      <c r="D513" s="190"/>
    </row>
    <row r="514">
      <c r="C514" s="190"/>
      <c r="D514" s="190"/>
    </row>
    <row r="515">
      <c r="C515" s="190"/>
      <c r="D515" s="190"/>
    </row>
    <row r="516">
      <c r="C516" s="190"/>
      <c r="D516" s="190"/>
    </row>
    <row r="517">
      <c r="C517" s="190"/>
      <c r="D517" s="190"/>
    </row>
    <row r="518">
      <c r="C518" s="190"/>
      <c r="D518" s="190"/>
    </row>
    <row r="519">
      <c r="C519" s="190"/>
      <c r="D519" s="190"/>
    </row>
    <row r="520">
      <c r="C520" s="190"/>
      <c r="D520" s="190"/>
    </row>
    <row r="521">
      <c r="C521" s="190"/>
      <c r="D521" s="190"/>
    </row>
    <row r="522">
      <c r="C522" s="190"/>
      <c r="D522" s="190"/>
    </row>
    <row r="523">
      <c r="C523" s="190"/>
      <c r="D523" s="190"/>
    </row>
    <row r="524">
      <c r="C524" s="190"/>
      <c r="D524" s="190"/>
    </row>
    <row r="525">
      <c r="C525" s="190"/>
      <c r="D525" s="190"/>
    </row>
    <row r="526">
      <c r="C526" s="190"/>
      <c r="D526" s="190"/>
    </row>
    <row r="527">
      <c r="C527" s="190"/>
      <c r="D527" s="190"/>
    </row>
    <row r="528">
      <c r="C528" s="190"/>
      <c r="D528" s="190"/>
    </row>
    <row r="529">
      <c r="C529" s="190"/>
      <c r="D529" s="190"/>
    </row>
    <row r="530">
      <c r="C530" s="190"/>
      <c r="D530" s="190"/>
    </row>
    <row r="531">
      <c r="C531" s="190"/>
      <c r="D531" s="190"/>
    </row>
    <row r="532">
      <c r="C532" s="190"/>
      <c r="D532" s="190"/>
    </row>
    <row r="533">
      <c r="C533" s="190"/>
      <c r="D533" s="190"/>
    </row>
    <row r="534">
      <c r="C534" s="190"/>
      <c r="D534" s="190"/>
    </row>
    <row r="535">
      <c r="C535" s="190"/>
      <c r="D535" s="190"/>
    </row>
    <row r="536">
      <c r="C536" s="190"/>
      <c r="D536" s="190"/>
    </row>
    <row r="537">
      <c r="C537" s="190"/>
      <c r="D537" s="190"/>
    </row>
    <row r="538">
      <c r="C538" s="190"/>
      <c r="D538" s="190"/>
    </row>
    <row r="539">
      <c r="C539" s="190"/>
      <c r="D539" s="190"/>
    </row>
    <row r="540">
      <c r="C540" s="190"/>
      <c r="D540" s="190"/>
    </row>
    <row r="541">
      <c r="C541" s="190"/>
      <c r="D541" s="190"/>
    </row>
    <row r="542">
      <c r="C542" s="190"/>
      <c r="D542" s="190"/>
    </row>
    <row r="543">
      <c r="C543" s="190"/>
      <c r="D543" s="190"/>
    </row>
    <row r="544">
      <c r="C544" s="190"/>
      <c r="D544" s="190"/>
    </row>
    <row r="545">
      <c r="C545" s="190"/>
      <c r="D545" s="190"/>
    </row>
    <row r="546">
      <c r="C546" s="190"/>
      <c r="D546" s="190"/>
    </row>
    <row r="547">
      <c r="C547" s="190"/>
      <c r="D547" s="190"/>
    </row>
    <row r="548">
      <c r="C548" s="190"/>
      <c r="D548" s="190"/>
    </row>
    <row r="549">
      <c r="C549" s="190"/>
      <c r="D549" s="190"/>
    </row>
    <row r="550">
      <c r="C550" s="190"/>
      <c r="D550" s="190"/>
    </row>
    <row r="551">
      <c r="C551" s="190"/>
      <c r="D551" s="190"/>
    </row>
    <row r="552">
      <c r="C552" s="190"/>
      <c r="D552" s="190"/>
    </row>
    <row r="553">
      <c r="C553" s="190"/>
      <c r="D553" s="190"/>
    </row>
    <row r="554">
      <c r="C554" s="190"/>
      <c r="D554" s="190"/>
    </row>
    <row r="555">
      <c r="C555" s="190"/>
      <c r="D555" s="190"/>
    </row>
    <row r="556">
      <c r="C556" s="190"/>
      <c r="D556" s="190"/>
    </row>
    <row r="557">
      <c r="C557" s="190"/>
      <c r="D557" s="190"/>
    </row>
    <row r="558">
      <c r="C558" s="190"/>
      <c r="D558" s="190"/>
    </row>
    <row r="559">
      <c r="C559" s="190"/>
      <c r="D559" s="190"/>
    </row>
    <row r="560">
      <c r="C560" s="190"/>
      <c r="D560" s="190"/>
    </row>
    <row r="561">
      <c r="C561" s="190"/>
      <c r="D561" s="190"/>
    </row>
    <row r="562">
      <c r="C562" s="190"/>
      <c r="D562" s="190"/>
    </row>
    <row r="563">
      <c r="C563" s="190"/>
      <c r="D563" s="190"/>
    </row>
    <row r="564">
      <c r="C564" s="190"/>
      <c r="D564" s="190"/>
    </row>
    <row r="565">
      <c r="C565" s="190"/>
      <c r="D565" s="190"/>
    </row>
    <row r="566">
      <c r="C566" s="190"/>
      <c r="D566" s="190"/>
    </row>
    <row r="567">
      <c r="C567" s="190"/>
      <c r="D567" s="190"/>
    </row>
    <row r="568">
      <c r="C568" s="190"/>
      <c r="D568" s="190"/>
    </row>
    <row r="569">
      <c r="C569" s="190"/>
      <c r="D569" s="190"/>
    </row>
    <row r="570">
      <c r="C570" s="190"/>
      <c r="D570" s="190"/>
    </row>
    <row r="571">
      <c r="C571" s="190"/>
      <c r="D571" s="190"/>
    </row>
    <row r="572">
      <c r="C572" s="190"/>
      <c r="D572" s="190"/>
    </row>
    <row r="573">
      <c r="C573" s="190"/>
      <c r="D573" s="190"/>
    </row>
    <row r="574">
      <c r="C574" s="190"/>
      <c r="D574" s="190"/>
    </row>
    <row r="575">
      <c r="C575" s="190"/>
      <c r="D575" s="190"/>
    </row>
    <row r="576">
      <c r="C576" s="190"/>
      <c r="D576" s="190"/>
    </row>
    <row r="577">
      <c r="C577" s="190"/>
      <c r="D577" s="190"/>
    </row>
    <row r="578">
      <c r="C578" s="190"/>
      <c r="D578" s="190"/>
    </row>
    <row r="579">
      <c r="C579" s="190"/>
      <c r="D579" s="190"/>
    </row>
    <row r="580">
      <c r="C580" s="190"/>
      <c r="D580" s="190"/>
    </row>
    <row r="581">
      <c r="C581" s="190"/>
      <c r="D581" s="190"/>
    </row>
    <row r="582">
      <c r="C582" s="190"/>
      <c r="D582" s="190"/>
    </row>
    <row r="583">
      <c r="C583" s="190"/>
      <c r="D583" s="190"/>
    </row>
    <row r="584">
      <c r="C584" s="190"/>
      <c r="D584" s="190"/>
    </row>
    <row r="585">
      <c r="C585" s="190"/>
      <c r="D585" s="190"/>
    </row>
    <row r="586">
      <c r="C586" s="190"/>
      <c r="D586" s="190"/>
    </row>
    <row r="587">
      <c r="C587" s="190"/>
      <c r="D587" s="190"/>
    </row>
    <row r="588">
      <c r="C588" s="190"/>
      <c r="D588" s="190"/>
    </row>
    <row r="589">
      <c r="C589" s="190"/>
      <c r="D589" s="190"/>
    </row>
    <row r="590">
      <c r="C590" s="190"/>
      <c r="D590" s="190"/>
    </row>
    <row r="591">
      <c r="C591" s="190"/>
      <c r="D591" s="190"/>
    </row>
    <row r="592">
      <c r="C592" s="190"/>
      <c r="D592" s="190"/>
    </row>
    <row r="593">
      <c r="C593" s="190"/>
      <c r="D593" s="190"/>
    </row>
    <row r="594">
      <c r="C594" s="190"/>
      <c r="D594" s="190"/>
    </row>
    <row r="595">
      <c r="C595" s="190"/>
      <c r="D595" s="190"/>
    </row>
    <row r="596">
      <c r="C596" s="190"/>
      <c r="D596" s="190"/>
    </row>
    <row r="597">
      <c r="C597" s="190"/>
      <c r="D597" s="190"/>
    </row>
    <row r="598">
      <c r="C598" s="190"/>
      <c r="D598" s="190"/>
    </row>
    <row r="599">
      <c r="C599" s="190"/>
      <c r="D599" s="190"/>
    </row>
    <row r="600">
      <c r="C600" s="190"/>
      <c r="D600" s="190"/>
    </row>
    <row r="601">
      <c r="C601" s="190"/>
      <c r="D601" s="190"/>
    </row>
    <row r="602">
      <c r="C602" s="190"/>
      <c r="D602" s="190"/>
    </row>
    <row r="603">
      <c r="C603" s="190"/>
      <c r="D603" s="190"/>
    </row>
    <row r="604">
      <c r="C604" s="190"/>
      <c r="D604" s="190"/>
    </row>
    <row r="605">
      <c r="C605" s="190"/>
      <c r="D605" s="190"/>
    </row>
    <row r="606">
      <c r="C606" s="190"/>
      <c r="D606" s="190"/>
    </row>
    <row r="607">
      <c r="C607" s="190"/>
      <c r="D607" s="190"/>
    </row>
    <row r="608">
      <c r="C608" s="190"/>
      <c r="D608" s="190"/>
    </row>
    <row r="609">
      <c r="C609" s="190"/>
      <c r="D609" s="190"/>
    </row>
    <row r="610">
      <c r="C610" s="190"/>
      <c r="D610" s="190"/>
    </row>
    <row r="611">
      <c r="C611" s="190"/>
      <c r="D611" s="190"/>
    </row>
    <row r="612">
      <c r="C612" s="190"/>
      <c r="D612" s="190"/>
    </row>
    <row r="613">
      <c r="C613" s="190"/>
      <c r="D613" s="190"/>
    </row>
    <row r="614">
      <c r="C614" s="190"/>
      <c r="D614" s="190"/>
    </row>
    <row r="615">
      <c r="C615" s="190"/>
      <c r="D615" s="190"/>
    </row>
    <row r="616">
      <c r="C616" s="190"/>
      <c r="D616" s="190"/>
    </row>
    <row r="617">
      <c r="C617" s="190"/>
      <c r="D617" s="190"/>
    </row>
    <row r="618">
      <c r="C618" s="190"/>
      <c r="D618" s="190"/>
    </row>
    <row r="619">
      <c r="C619" s="190"/>
      <c r="D619" s="190"/>
    </row>
    <row r="620">
      <c r="C620" s="190"/>
      <c r="D620" s="190"/>
    </row>
    <row r="621">
      <c r="C621" s="190"/>
      <c r="D621" s="190"/>
    </row>
    <row r="622">
      <c r="C622" s="190"/>
      <c r="D622" s="190"/>
    </row>
    <row r="623">
      <c r="C623" s="190"/>
      <c r="D623" s="190"/>
    </row>
    <row r="624">
      <c r="C624" s="190"/>
      <c r="D624" s="190"/>
    </row>
    <row r="625">
      <c r="C625" s="190"/>
      <c r="D625" s="190"/>
    </row>
    <row r="626">
      <c r="C626" s="190"/>
      <c r="D626" s="190"/>
    </row>
    <row r="627">
      <c r="C627" s="190"/>
      <c r="D627" s="190"/>
    </row>
    <row r="628">
      <c r="C628" s="190"/>
      <c r="D628" s="190"/>
    </row>
    <row r="629">
      <c r="C629" s="190"/>
      <c r="D629" s="190"/>
    </row>
    <row r="630">
      <c r="C630" s="190"/>
      <c r="D630" s="190"/>
    </row>
    <row r="631">
      <c r="C631" s="190"/>
      <c r="D631" s="190"/>
    </row>
    <row r="632">
      <c r="C632" s="190"/>
      <c r="D632" s="190"/>
    </row>
    <row r="633">
      <c r="C633" s="190"/>
      <c r="D633" s="190"/>
    </row>
    <row r="634">
      <c r="C634" s="190"/>
      <c r="D634" s="190"/>
    </row>
    <row r="635">
      <c r="C635" s="190"/>
      <c r="D635" s="190"/>
    </row>
    <row r="636">
      <c r="C636" s="190"/>
      <c r="D636" s="190"/>
    </row>
    <row r="637">
      <c r="C637" s="190"/>
      <c r="D637" s="190"/>
    </row>
    <row r="638">
      <c r="C638" s="190"/>
      <c r="D638" s="190"/>
    </row>
    <row r="639">
      <c r="C639" s="190"/>
      <c r="D639" s="190"/>
    </row>
    <row r="640">
      <c r="C640" s="190"/>
      <c r="D640" s="190"/>
    </row>
    <row r="641">
      <c r="C641" s="190"/>
      <c r="D641" s="190"/>
    </row>
    <row r="642">
      <c r="C642" s="190"/>
      <c r="D642" s="190"/>
    </row>
    <row r="643">
      <c r="C643" s="190"/>
      <c r="D643" s="190"/>
    </row>
    <row r="644">
      <c r="C644" s="190"/>
      <c r="D644" s="190"/>
    </row>
    <row r="645">
      <c r="C645" s="190"/>
      <c r="D645" s="190"/>
    </row>
    <row r="646">
      <c r="C646" s="190"/>
      <c r="D646" s="190"/>
    </row>
    <row r="647">
      <c r="C647" s="190"/>
      <c r="D647" s="190"/>
    </row>
    <row r="648">
      <c r="C648" s="190"/>
      <c r="D648" s="190"/>
    </row>
    <row r="649">
      <c r="C649" s="190"/>
      <c r="D649" s="190"/>
    </row>
    <row r="650">
      <c r="C650" s="190"/>
      <c r="D650" s="190"/>
    </row>
    <row r="651">
      <c r="C651" s="190"/>
      <c r="D651" s="190"/>
    </row>
    <row r="652">
      <c r="C652" s="190"/>
      <c r="D652" s="190"/>
    </row>
    <row r="653">
      <c r="C653" s="190"/>
      <c r="D653" s="190"/>
    </row>
    <row r="654">
      <c r="C654" s="190"/>
      <c r="D654" s="190"/>
    </row>
    <row r="655">
      <c r="C655" s="190"/>
      <c r="D655" s="190"/>
    </row>
    <row r="656">
      <c r="C656" s="190"/>
      <c r="D656" s="190"/>
    </row>
    <row r="657">
      <c r="C657" s="190"/>
      <c r="D657" s="190"/>
    </row>
    <row r="658">
      <c r="C658" s="190"/>
      <c r="D658" s="190"/>
    </row>
    <row r="659">
      <c r="C659" s="190"/>
      <c r="D659" s="190"/>
    </row>
    <row r="660">
      <c r="C660" s="190"/>
      <c r="D660" s="190"/>
    </row>
    <row r="661">
      <c r="C661" s="190"/>
      <c r="D661" s="190"/>
    </row>
    <row r="662">
      <c r="C662" s="190"/>
      <c r="D662" s="190"/>
    </row>
    <row r="663">
      <c r="C663" s="190"/>
      <c r="D663" s="190"/>
    </row>
    <row r="664">
      <c r="C664" s="190"/>
      <c r="D664" s="190"/>
    </row>
    <row r="665">
      <c r="C665" s="190"/>
      <c r="D665" s="190"/>
    </row>
    <row r="666">
      <c r="C666" s="190"/>
      <c r="D666" s="190"/>
    </row>
    <row r="667">
      <c r="C667" s="190"/>
      <c r="D667" s="190"/>
    </row>
    <row r="668">
      <c r="C668" s="190"/>
      <c r="D668" s="190"/>
    </row>
    <row r="669">
      <c r="C669" s="190"/>
      <c r="D669" s="190"/>
    </row>
    <row r="670">
      <c r="C670" s="190"/>
      <c r="D670" s="190"/>
    </row>
    <row r="671">
      <c r="C671" s="190"/>
      <c r="D671" s="190"/>
    </row>
    <row r="672">
      <c r="C672" s="190"/>
      <c r="D672" s="190"/>
    </row>
    <row r="673">
      <c r="C673" s="190"/>
      <c r="D673" s="190"/>
    </row>
    <row r="674">
      <c r="C674" s="190"/>
      <c r="D674" s="190"/>
    </row>
    <row r="675">
      <c r="C675" s="190"/>
      <c r="D675" s="190"/>
    </row>
    <row r="676">
      <c r="C676" s="190"/>
      <c r="D676" s="190"/>
    </row>
    <row r="677">
      <c r="C677" s="190"/>
      <c r="D677" s="190"/>
    </row>
    <row r="678">
      <c r="C678" s="190"/>
      <c r="D678" s="190"/>
    </row>
    <row r="679">
      <c r="C679" s="190"/>
      <c r="D679" s="190"/>
    </row>
    <row r="680">
      <c r="C680" s="190"/>
      <c r="D680" s="190"/>
    </row>
    <row r="681">
      <c r="C681" s="190"/>
      <c r="D681" s="190"/>
    </row>
    <row r="682">
      <c r="C682" s="190"/>
      <c r="D682" s="190"/>
    </row>
    <row r="683">
      <c r="C683" s="190"/>
      <c r="D683" s="190"/>
    </row>
    <row r="684">
      <c r="C684" s="190"/>
      <c r="D684" s="190"/>
    </row>
    <row r="685">
      <c r="C685" s="190"/>
      <c r="D685" s="190"/>
    </row>
    <row r="686">
      <c r="C686" s="190"/>
      <c r="D686" s="190"/>
    </row>
    <row r="687">
      <c r="C687" s="190"/>
      <c r="D687" s="190"/>
    </row>
    <row r="688">
      <c r="C688" s="190"/>
      <c r="D688" s="190"/>
    </row>
    <row r="689">
      <c r="C689" s="190"/>
      <c r="D689" s="190"/>
    </row>
    <row r="690">
      <c r="C690" s="190"/>
      <c r="D690" s="190"/>
    </row>
    <row r="691">
      <c r="C691" s="190"/>
      <c r="D691" s="190"/>
    </row>
    <row r="692">
      <c r="C692" s="190"/>
      <c r="D692" s="190"/>
    </row>
    <row r="693">
      <c r="C693" s="190"/>
      <c r="D693" s="190"/>
    </row>
    <row r="694">
      <c r="C694" s="190"/>
      <c r="D694" s="190"/>
    </row>
    <row r="695">
      <c r="C695" s="190"/>
      <c r="D695" s="190"/>
    </row>
    <row r="696">
      <c r="C696" s="190"/>
      <c r="D696" s="190"/>
    </row>
    <row r="697">
      <c r="C697" s="190"/>
      <c r="D697" s="190"/>
    </row>
    <row r="698">
      <c r="C698" s="190"/>
      <c r="D698" s="190"/>
    </row>
    <row r="699">
      <c r="C699" s="190"/>
      <c r="D699" s="190"/>
    </row>
    <row r="700">
      <c r="C700" s="190"/>
      <c r="D700" s="190"/>
    </row>
    <row r="701">
      <c r="C701" s="190"/>
      <c r="D701" s="190"/>
    </row>
    <row r="702">
      <c r="C702" s="190"/>
      <c r="D702" s="190"/>
    </row>
    <row r="703">
      <c r="C703" s="190"/>
      <c r="D703" s="190"/>
    </row>
    <row r="704">
      <c r="C704" s="190"/>
      <c r="D704" s="190"/>
    </row>
    <row r="705">
      <c r="C705" s="190"/>
      <c r="D705" s="190"/>
    </row>
    <row r="706">
      <c r="C706" s="190"/>
      <c r="D706" s="190"/>
    </row>
    <row r="707">
      <c r="C707" s="190"/>
      <c r="D707" s="190"/>
    </row>
    <row r="708">
      <c r="C708" s="190"/>
      <c r="D708" s="190"/>
    </row>
    <row r="709">
      <c r="C709" s="190"/>
      <c r="D709" s="190"/>
    </row>
    <row r="710">
      <c r="C710" s="190"/>
      <c r="D710" s="190"/>
    </row>
    <row r="711">
      <c r="C711" s="190"/>
      <c r="D711" s="190"/>
    </row>
    <row r="712">
      <c r="C712" s="190"/>
      <c r="D712" s="190"/>
    </row>
    <row r="713">
      <c r="C713" s="190"/>
      <c r="D713" s="190"/>
    </row>
    <row r="714">
      <c r="C714" s="190"/>
      <c r="D714" s="190"/>
    </row>
    <row r="715">
      <c r="C715" s="190"/>
      <c r="D715" s="190"/>
    </row>
    <row r="716">
      <c r="C716" s="190"/>
      <c r="D716" s="190"/>
    </row>
    <row r="717">
      <c r="C717" s="190"/>
      <c r="D717" s="190"/>
    </row>
    <row r="718">
      <c r="C718" s="190"/>
      <c r="D718" s="190"/>
    </row>
    <row r="719">
      <c r="C719" s="190"/>
      <c r="D719" s="190"/>
    </row>
    <row r="720">
      <c r="C720" s="190"/>
      <c r="D720" s="190"/>
    </row>
    <row r="721">
      <c r="C721" s="190"/>
      <c r="D721" s="190"/>
    </row>
    <row r="722">
      <c r="C722" s="190"/>
      <c r="D722" s="190"/>
    </row>
    <row r="723">
      <c r="C723" s="190"/>
      <c r="D723" s="190"/>
    </row>
    <row r="724">
      <c r="C724" s="190"/>
      <c r="D724" s="190"/>
    </row>
    <row r="725">
      <c r="C725" s="190"/>
      <c r="D725" s="190"/>
    </row>
    <row r="726">
      <c r="C726" s="190"/>
      <c r="D726" s="190"/>
    </row>
    <row r="727">
      <c r="C727" s="190"/>
      <c r="D727" s="190"/>
    </row>
    <row r="728">
      <c r="C728" s="190"/>
      <c r="D728" s="190"/>
    </row>
    <row r="729">
      <c r="C729" s="190"/>
      <c r="D729" s="190"/>
    </row>
    <row r="730">
      <c r="C730" s="190"/>
      <c r="D730" s="190"/>
    </row>
    <row r="731">
      <c r="C731" s="190"/>
      <c r="D731" s="190"/>
    </row>
    <row r="732">
      <c r="C732" s="190"/>
      <c r="D732" s="190"/>
    </row>
    <row r="733">
      <c r="C733" s="190"/>
      <c r="D733" s="190"/>
    </row>
    <row r="734">
      <c r="C734" s="190"/>
      <c r="D734" s="190"/>
    </row>
    <row r="735">
      <c r="C735" s="190"/>
      <c r="D735" s="190"/>
    </row>
    <row r="736">
      <c r="C736" s="190"/>
      <c r="D736" s="190"/>
    </row>
    <row r="737">
      <c r="C737" s="190"/>
      <c r="D737" s="190"/>
    </row>
    <row r="738">
      <c r="C738" s="190"/>
      <c r="D738" s="190"/>
    </row>
    <row r="739">
      <c r="C739" s="190"/>
      <c r="D739" s="190"/>
    </row>
    <row r="740">
      <c r="C740" s="190"/>
      <c r="D740" s="190"/>
    </row>
    <row r="741">
      <c r="C741" s="190"/>
      <c r="D741" s="190"/>
    </row>
    <row r="742">
      <c r="C742" s="190"/>
      <c r="D742" s="190"/>
    </row>
    <row r="743">
      <c r="C743" s="190"/>
      <c r="D743" s="190"/>
    </row>
    <row r="744">
      <c r="C744" s="190"/>
      <c r="D744" s="190"/>
    </row>
    <row r="745">
      <c r="C745" s="190"/>
      <c r="D745" s="190"/>
    </row>
    <row r="746">
      <c r="C746" s="190"/>
      <c r="D746" s="190"/>
    </row>
    <row r="747">
      <c r="C747" s="190"/>
      <c r="D747" s="190"/>
    </row>
    <row r="748">
      <c r="C748" s="190"/>
      <c r="D748" s="190"/>
    </row>
    <row r="749">
      <c r="C749" s="190"/>
      <c r="D749" s="190"/>
    </row>
    <row r="750">
      <c r="C750" s="190"/>
      <c r="D750" s="190"/>
    </row>
    <row r="751">
      <c r="C751" s="190"/>
      <c r="D751" s="190"/>
    </row>
    <row r="752">
      <c r="C752" s="190"/>
      <c r="D752" s="190"/>
    </row>
    <row r="753">
      <c r="C753" s="190"/>
      <c r="D753" s="190"/>
    </row>
    <row r="754">
      <c r="C754" s="190"/>
      <c r="D754" s="190"/>
    </row>
    <row r="755">
      <c r="C755" s="190"/>
      <c r="D755" s="190"/>
    </row>
    <row r="756">
      <c r="C756" s="190"/>
      <c r="D756" s="190"/>
    </row>
    <row r="757">
      <c r="C757" s="190"/>
      <c r="D757" s="190"/>
    </row>
    <row r="758">
      <c r="C758" s="190"/>
      <c r="D758" s="190"/>
    </row>
    <row r="759">
      <c r="C759" s="190"/>
      <c r="D759" s="190"/>
    </row>
    <row r="760">
      <c r="C760" s="190"/>
      <c r="D760" s="190"/>
    </row>
    <row r="761">
      <c r="C761" s="190"/>
      <c r="D761" s="190"/>
    </row>
    <row r="762">
      <c r="C762" s="190"/>
      <c r="D762" s="190"/>
    </row>
    <row r="763">
      <c r="C763" s="190"/>
      <c r="D763" s="190"/>
    </row>
    <row r="764">
      <c r="C764" s="190"/>
      <c r="D764" s="190"/>
    </row>
    <row r="765">
      <c r="C765" s="190"/>
      <c r="D765" s="190"/>
    </row>
    <row r="766">
      <c r="C766" s="190"/>
      <c r="D766" s="190"/>
    </row>
    <row r="767">
      <c r="C767" s="190"/>
      <c r="D767" s="190"/>
    </row>
    <row r="768">
      <c r="C768" s="190"/>
      <c r="D768" s="190"/>
    </row>
    <row r="769">
      <c r="C769" s="190"/>
      <c r="D769" s="190"/>
    </row>
    <row r="770">
      <c r="C770" s="190"/>
      <c r="D770" s="190"/>
    </row>
    <row r="771">
      <c r="C771" s="190"/>
      <c r="D771" s="190"/>
    </row>
    <row r="772">
      <c r="C772" s="190"/>
      <c r="D772" s="190"/>
    </row>
    <row r="773">
      <c r="C773" s="190"/>
      <c r="D773" s="190"/>
    </row>
    <row r="774">
      <c r="C774" s="190"/>
      <c r="D774" s="190"/>
    </row>
    <row r="775">
      <c r="C775" s="190"/>
      <c r="D775" s="190"/>
    </row>
    <row r="776">
      <c r="C776" s="190"/>
      <c r="D776" s="190"/>
    </row>
    <row r="777">
      <c r="C777" s="190"/>
      <c r="D777" s="190"/>
    </row>
    <row r="778">
      <c r="C778" s="190"/>
      <c r="D778" s="190"/>
    </row>
    <row r="779">
      <c r="C779" s="190"/>
      <c r="D779" s="190"/>
    </row>
    <row r="780">
      <c r="C780" s="190"/>
      <c r="D780" s="190"/>
    </row>
    <row r="781">
      <c r="C781" s="190"/>
      <c r="D781" s="190"/>
    </row>
    <row r="782">
      <c r="C782" s="190"/>
      <c r="D782" s="190"/>
    </row>
    <row r="783">
      <c r="C783" s="190"/>
      <c r="D783" s="190"/>
    </row>
    <row r="784">
      <c r="C784" s="190"/>
      <c r="D784" s="190"/>
    </row>
    <row r="785">
      <c r="C785" s="190"/>
      <c r="D785" s="190"/>
    </row>
    <row r="786">
      <c r="C786" s="190"/>
      <c r="D786" s="190"/>
    </row>
    <row r="787">
      <c r="C787" s="190"/>
      <c r="D787" s="190"/>
    </row>
    <row r="788">
      <c r="C788" s="190"/>
      <c r="D788" s="190"/>
    </row>
    <row r="789">
      <c r="C789" s="190"/>
      <c r="D789" s="190"/>
    </row>
    <row r="790">
      <c r="C790" s="190"/>
      <c r="D790" s="190"/>
    </row>
    <row r="791">
      <c r="C791" s="190"/>
      <c r="D791" s="190"/>
    </row>
    <row r="792">
      <c r="C792" s="190"/>
      <c r="D792" s="190"/>
    </row>
    <row r="793">
      <c r="C793" s="190"/>
      <c r="D793" s="190"/>
    </row>
    <row r="794">
      <c r="C794" s="190"/>
      <c r="D794" s="190"/>
    </row>
    <row r="795">
      <c r="C795" s="190"/>
      <c r="D795" s="190"/>
    </row>
    <row r="796">
      <c r="C796" s="190"/>
      <c r="D796" s="190"/>
    </row>
    <row r="797">
      <c r="C797" s="190"/>
      <c r="D797" s="190"/>
    </row>
    <row r="798">
      <c r="C798" s="190"/>
      <c r="D798" s="190"/>
    </row>
    <row r="799">
      <c r="C799" s="190"/>
      <c r="D799" s="190"/>
    </row>
    <row r="800">
      <c r="C800" s="190"/>
      <c r="D800" s="190"/>
    </row>
    <row r="801">
      <c r="C801" s="190"/>
      <c r="D801" s="190"/>
    </row>
    <row r="802">
      <c r="C802" s="190"/>
      <c r="D802" s="190"/>
    </row>
    <row r="803">
      <c r="C803" s="190"/>
      <c r="D803" s="190"/>
    </row>
    <row r="804">
      <c r="C804" s="190"/>
      <c r="D804" s="190"/>
    </row>
    <row r="805">
      <c r="C805" s="190"/>
      <c r="D805" s="190"/>
    </row>
    <row r="806">
      <c r="C806" s="190"/>
      <c r="D806" s="190"/>
    </row>
    <row r="807">
      <c r="C807" s="190"/>
      <c r="D807" s="190"/>
    </row>
    <row r="808">
      <c r="C808" s="190"/>
      <c r="D808" s="190"/>
    </row>
    <row r="809">
      <c r="C809" s="190"/>
      <c r="D809" s="190"/>
    </row>
    <row r="810">
      <c r="C810" s="190"/>
      <c r="D810" s="190"/>
    </row>
    <row r="811">
      <c r="C811" s="190"/>
      <c r="D811" s="190"/>
    </row>
    <row r="812">
      <c r="C812" s="190"/>
      <c r="D812" s="190"/>
    </row>
    <row r="813">
      <c r="C813" s="190"/>
      <c r="D813" s="190"/>
    </row>
    <row r="814">
      <c r="C814" s="190"/>
      <c r="D814" s="190"/>
    </row>
    <row r="815">
      <c r="C815" s="190"/>
      <c r="D815" s="190"/>
    </row>
    <row r="816">
      <c r="C816" s="190"/>
      <c r="D816" s="190"/>
    </row>
    <row r="817">
      <c r="C817" s="190"/>
      <c r="D817" s="190"/>
    </row>
    <row r="818">
      <c r="C818" s="190"/>
      <c r="D818" s="190"/>
    </row>
    <row r="819">
      <c r="C819" s="190"/>
      <c r="D819" s="190"/>
    </row>
    <row r="820">
      <c r="C820" s="190"/>
      <c r="D820" s="190"/>
    </row>
    <row r="821">
      <c r="C821" s="190"/>
      <c r="D821" s="190"/>
    </row>
    <row r="822">
      <c r="C822" s="190"/>
      <c r="D822" s="190"/>
    </row>
    <row r="823">
      <c r="C823" s="190"/>
      <c r="D823" s="190"/>
    </row>
    <row r="824">
      <c r="C824" s="190"/>
      <c r="D824" s="190"/>
    </row>
    <row r="825">
      <c r="C825" s="190"/>
      <c r="D825" s="190"/>
    </row>
    <row r="826">
      <c r="C826" s="190"/>
      <c r="D826" s="190"/>
    </row>
    <row r="827">
      <c r="C827" s="190"/>
      <c r="D827" s="190"/>
    </row>
    <row r="828">
      <c r="C828" s="190"/>
      <c r="D828" s="190"/>
    </row>
    <row r="829">
      <c r="C829" s="190"/>
      <c r="D829" s="190"/>
    </row>
    <row r="830">
      <c r="C830" s="190"/>
      <c r="D830" s="190"/>
    </row>
    <row r="831">
      <c r="C831" s="190"/>
      <c r="D831" s="190"/>
    </row>
    <row r="832">
      <c r="C832" s="190"/>
      <c r="D832" s="190"/>
    </row>
    <row r="833">
      <c r="C833" s="190"/>
      <c r="D833" s="190"/>
    </row>
    <row r="834">
      <c r="C834" s="190"/>
      <c r="D834" s="190"/>
    </row>
    <row r="835">
      <c r="C835" s="190"/>
      <c r="D835" s="190"/>
    </row>
    <row r="836">
      <c r="C836" s="190"/>
      <c r="D836" s="190"/>
    </row>
    <row r="837">
      <c r="C837" s="190"/>
      <c r="D837" s="190"/>
    </row>
    <row r="838">
      <c r="C838" s="190"/>
      <c r="D838" s="190"/>
    </row>
    <row r="839">
      <c r="C839" s="190"/>
      <c r="D839" s="190"/>
    </row>
    <row r="840">
      <c r="C840" s="190"/>
      <c r="D840" s="190"/>
    </row>
    <row r="841">
      <c r="C841" s="190"/>
      <c r="D841" s="190"/>
    </row>
    <row r="842">
      <c r="C842" s="190"/>
      <c r="D842" s="190"/>
    </row>
    <row r="843">
      <c r="C843" s="190"/>
      <c r="D843" s="190"/>
    </row>
    <row r="844">
      <c r="C844" s="190"/>
      <c r="D844" s="190"/>
    </row>
    <row r="845">
      <c r="C845" s="190"/>
      <c r="D845" s="190"/>
    </row>
    <row r="846">
      <c r="C846" s="190"/>
      <c r="D846" s="190"/>
    </row>
    <row r="847">
      <c r="C847" s="190"/>
      <c r="D847" s="190"/>
    </row>
    <row r="848">
      <c r="C848" s="190"/>
      <c r="D848" s="190"/>
    </row>
    <row r="849">
      <c r="C849" s="190"/>
      <c r="D849" s="190"/>
    </row>
    <row r="850">
      <c r="C850" s="190"/>
      <c r="D850" s="190"/>
    </row>
    <row r="851">
      <c r="C851" s="190"/>
      <c r="D851" s="190"/>
    </row>
    <row r="852">
      <c r="C852" s="190"/>
      <c r="D852" s="190"/>
    </row>
    <row r="853">
      <c r="C853" s="190"/>
      <c r="D853" s="190"/>
    </row>
    <row r="854">
      <c r="C854" s="190"/>
      <c r="D854" s="190"/>
    </row>
    <row r="855">
      <c r="C855" s="190"/>
      <c r="D855" s="190"/>
    </row>
    <row r="856">
      <c r="C856" s="190"/>
      <c r="D856" s="190"/>
    </row>
    <row r="857">
      <c r="C857" s="190"/>
      <c r="D857" s="190"/>
    </row>
    <row r="858">
      <c r="C858" s="190"/>
      <c r="D858" s="190"/>
    </row>
    <row r="859">
      <c r="C859" s="190"/>
      <c r="D859" s="190"/>
    </row>
    <row r="860">
      <c r="C860" s="190"/>
      <c r="D860" s="190"/>
    </row>
    <row r="861">
      <c r="C861" s="190"/>
      <c r="D861" s="190"/>
    </row>
    <row r="862">
      <c r="C862" s="190"/>
      <c r="D862" s="190"/>
    </row>
    <row r="863">
      <c r="C863" s="190"/>
      <c r="D863" s="190"/>
    </row>
    <row r="864">
      <c r="C864" s="190"/>
      <c r="D864" s="190"/>
    </row>
    <row r="865">
      <c r="C865" s="190"/>
      <c r="D865" s="190"/>
    </row>
    <row r="866">
      <c r="C866" s="190"/>
      <c r="D866" s="190"/>
    </row>
    <row r="867">
      <c r="C867" s="190"/>
      <c r="D867" s="190"/>
    </row>
    <row r="868">
      <c r="C868" s="190"/>
      <c r="D868" s="190"/>
    </row>
    <row r="869">
      <c r="C869" s="190"/>
      <c r="D869" s="190"/>
    </row>
    <row r="870">
      <c r="C870" s="190"/>
      <c r="D870" s="190"/>
    </row>
    <row r="871">
      <c r="C871" s="190"/>
      <c r="D871" s="190"/>
    </row>
    <row r="872">
      <c r="C872" s="190"/>
      <c r="D872" s="190"/>
    </row>
    <row r="873">
      <c r="C873" s="190"/>
      <c r="D873" s="190"/>
    </row>
    <row r="874">
      <c r="C874" s="190"/>
      <c r="D874" s="190"/>
    </row>
    <row r="875">
      <c r="C875" s="190"/>
      <c r="D875" s="190"/>
    </row>
    <row r="876">
      <c r="C876" s="190"/>
      <c r="D876" s="190"/>
    </row>
    <row r="877">
      <c r="C877" s="190"/>
      <c r="D877" s="190"/>
    </row>
    <row r="878">
      <c r="C878" s="190"/>
      <c r="D878" s="190"/>
    </row>
    <row r="879">
      <c r="C879" s="190"/>
      <c r="D879" s="190"/>
    </row>
    <row r="880">
      <c r="C880" s="190"/>
      <c r="D880" s="190"/>
    </row>
    <row r="881">
      <c r="C881" s="190"/>
      <c r="D881" s="190"/>
    </row>
    <row r="882">
      <c r="C882" s="190"/>
      <c r="D882" s="190"/>
    </row>
    <row r="883">
      <c r="C883" s="190"/>
      <c r="D883" s="190"/>
    </row>
    <row r="884">
      <c r="C884" s="190"/>
      <c r="D884" s="190"/>
    </row>
    <row r="885">
      <c r="C885" s="190"/>
      <c r="D885" s="190"/>
    </row>
    <row r="886">
      <c r="C886" s="190"/>
      <c r="D886" s="190"/>
    </row>
    <row r="887">
      <c r="C887" s="190"/>
      <c r="D887" s="190"/>
    </row>
    <row r="888">
      <c r="C888" s="190"/>
      <c r="D888" s="190"/>
    </row>
    <row r="889">
      <c r="C889" s="190"/>
      <c r="D889" s="190"/>
    </row>
    <row r="890">
      <c r="C890" s="190"/>
      <c r="D890" s="190"/>
    </row>
    <row r="891">
      <c r="C891" s="190"/>
      <c r="D891" s="190"/>
    </row>
    <row r="892">
      <c r="C892" s="190"/>
      <c r="D892" s="190"/>
    </row>
    <row r="893">
      <c r="C893" s="190"/>
      <c r="D893" s="190"/>
    </row>
    <row r="894">
      <c r="C894" s="190"/>
      <c r="D894" s="190"/>
    </row>
    <row r="895">
      <c r="C895" s="190"/>
      <c r="D895" s="190"/>
    </row>
    <row r="896">
      <c r="C896" s="190"/>
      <c r="D896" s="190"/>
    </row>
    <row r="897">
      <c r="C897" s="190"/>
      <c r="D897" s="190"/>
    </row>
    <row r="898">
      <c r="C898" s="190"/>
      <c r="D898" s="190"/>
    </row>
    <row r="899">
      <c r="C899" s="190"/>
      <c r="D899" s="190"/>
    </row>
    <row r="900">
      <c r="C900" s="190"/>
      <c r="D900" s="190"/>
    </row>
    <row r="901">
      <c r="C901" s="190"/>
      <c r="D901" s="190"/>
    </row>
    <row r="902">
      <c r="C902" s="190"/>
      <c r="D902" s="190"/>
    </row>
    <row r="903">
      <c r="C903" s="190"/>
      <c r="D903" s="190"/>
    </row>
    <row r="904">
      <c r="C904" s="190"/>
      <c r="D904" s="190"/>
    </row>
    <row r="905">
      <c r="C905" s="190"/>
      <c r="D905" s="190"/>
    </row>
    <row r="906">
      <c r="C906" s="190"/>
      <c r="D906" s="190"/>
    </row>
    <row r="907">
      <c r="C907" s="190"/>
      <c r="D907" s="190"/>
    </row>
    <row r="908">
      <c r="C908" s="190"/>
      <c r="D908" s="190"/>
    </row>
    <row r="909">
      <c r="C909" s="190"/>
      <c r="D909" s="190"/>
    </row>
    <row r="910">
      <c r="C910" s="190"/>
      <c r="D910" s="190"/>
    </row>
    <row r="911">
      <c r="C911" s="190"/>
      <c r="D911" s="190"/>
    </row>
    <row r="912">
      <c r="C912" s="190"/>
      <c r="D912" s="190"/>
    </row>
    <row r="913">
      <c r="C913" s="190"/>
      <c r="D913" s="190"/>
    </row>
    <row r="914">
      <c r="C914" s="190"/>
      <c r="D914" s="190"/>
    </row>
    <row r="915">
      <c r="C915" s="190"/>
      <c r="D915" s="190"/>
    </row>
    <row r="916">
      <c r="C916" s="190"/>
      <c r="D916" s="190"/>
    </row>
    <row r="917">
      <c r="C917" s="190"/>
      <c r="D917" s="190"/>
    </row>
    <row r="918">
      <c r="C918" s="190"/>
      <c r="D918" s="190"/>
    </row>
    <row r="919">
      <c r="C919" s="190"/>
      <c r="D919" s="190"/>
    </row>
    <row r="920">
      <c r="C920" s="190"/>
      <c r="D920" s="190"/>
    </row>
    <row r="921">
      <c r="C921" s="190"/>
      <c r="D921" s="190"/>
    </row>
    <row r="922">
      <c r="C922" s="190"/>
      <c r="D922" s="190"/>
    </row>
    <row r="923">
      <c r="C923" s="190"/>
      <c r="D923" s="190"/>
    </row>
    <row r="924">
      <c r="C924" s="190"/>
      <c r="D924" s="190"/>
    </row>
    <row r="925">
      <c r="C925" s="190"/>
      <c r="D925" s="190"/>
    </row>
    <row r="926">
      <c r="C926" s="190"/>
      <c r="D926" s="190"/>
    </row>
    <row r="927">
      <c r="C927" s="190"/>
      <c r="D927" s="190"/>
    </row>
    <row r="928">
      <c r="C928" s="190"/>
      <c r="D928" s="190"/>
    </row>
    <row r="929">
      <c r="C929" s="190"/>
      <c r="D929" s="190"/>
    </row>
    <row r="930">
      <c r="C930" s="190"/>
      <c r="D930" s="190"/>
    </row>
    <row r="931">
      <c r="C931" s="190"/>
      <c r="D931" s="190"/>
    </row>
    <row r="932">
      <c r="C932" s="190"/>
      <c r="D932" s="190"/>
    </row>
    <row r="933">
      <c r="C933" s="190"/>
      <c r="D933" s="190"/>
    </row>
    <row r="934">
      <c r="C934" s="190"/>
      <c r="D934" s="190"/>
    </row>
    <row r="935">
      <c r="C935" s="190"/>
      <c r="D935" s="190"/>
    </row>
    <row r="936">
      <c r="C936" s="190"/>
      <c r="D936" s="190"/>
    </row>
    <row r="937">
      <c r="C937" s="190"/>
      <c r="D937" s="190"/>
    </row>
    <row r="938">
      <c r="C938" s="190"/>
      <c r="D938" s="190"/>
    </row>
    <row r="939">
      <c r="C939" s="190"/>
      <c r="D939" s="190"/>
    </row>
    <row r="940">
      <c r="C940" s="190"/>
      <c r="D940" s="190"/>
    </row>
    <row r="941">
      <c r="C941" s="190"/>
      <c r="D941" s="190"/>
    </row>
    <row r="942">
      <c r="C942" s="190"/>
      <c r="D942" s="190"/>
    </row>
    <row r="943">
      <c r="C943" s="190"/>
      <c r="D943" s="190"/>
    </row>
    <row r="944">
      <c r="C944" s="190"/>
      <c r="D944" s="190"/>
    </row>
    <row r="945">
      <c r="C945" s="190"/>
      <c r="D945" s="190"/>
    </row>
    <row r="946">
      <c r="C946" s="190"/>
      <c r="D946" s="190"/>
    </row>
    <row r="947">
      <c r="C947" s="190"/>
      <c r="D947" s="190"/>
    </row>
    <row r="948">
      <c r="C948" s="190"/>
      <c r="D948" s="190"/>
    </row>
    <row r="949">
      <c r="C949" s="190"/>
      <c r="D949" s="190"/>
    </row>
    <row r="950">
      <c r="C950" s="190"/>
      <c r="D950" s="190"/>
    </row>
    <row r="951">
      <c r="C951" s="190"/>
      <c r="D951" s="190"/>
    </row>
    <row r="952">
      <c r="C952" s="190"/>
      <c r="D952" s="190"/>
    </row>
    <row r="953">
      <c r="C953" s="190"/>
      <c r="D953" s="190"/>
    </row>
    <row r="954">
      <c r="C954" s="190"/>
      <c r="D954" s="190"/>
    </row>
    <row r="955">
      <c r="C955" s="190"/>
      <c r="D955" s="190"/>
    </row>
    <row r="956">
      <c r="C956" s="190"/>
      <c r="D956" s="190"/>
    </row>
    <row r="957">
      <c r="C957" s="190"/>
      <c r="D957" s="190"/>
    </row>
    <row r="958">
      <c r="C958" s="190"/>
      <c r="D958" s="190"/>
    </row>
    <row r="959">
      <c r="C959" s="190"/>
      <c r="D959" s="190"/>
    </row>
    <row r="960">
      <c r="C960" s="190"/>
      <c r="D960" s="190"/>
    </row>
    <row r="961">
      <c r="C961" s="190"/>
      <c r="D961" s="190"/>
    </row>
    <row r="962">
      <c r="C962" s="190"/>
      <c r="D962" s="190"/>
    </row>
    <row r="963">
      <c r="C963" s="190"/>
      <c r="D963" s="190"/>
    </row>
    <row r="964">
      <c r="C964" s="190"/>
      <c r="D964" s="190"/>
    </row>
    <row r="965">
      <c r="C965" s="190"/>
      <c r="D965" s="190"/>
    </row>
    <row r="966">
      <c r="C966" s="190"/>
      <c r="D966" s="190"/>
    </row>
    <row r="967">
      <c r="C967" s="190"/>
      <c r="D967" s="190"/>
    </row>
    <row r="968">
      <c r="C968" s="190"/>
      <c r="D968" s="190"/>
    </row>
    <row r="969">
      <c r="C969" s="190"/>
      <c r="D969" s="190"/>
    </row>
    <row r="970">
      <c r="C970" s="190"/>
      <c r="D970" s="190"/>
    </row>
    <row r="971">
      <c r="C971" s="190"/>
      <c r="D971" s="190"/>
    </row>
    <row r="972">
      <c r="C972" s="190"/>
      <c r="D972" s="190"/>
    </row>
    <row r="973">
      <c r="C973" s="190"/>
      <c r="D973" s="190"/>
    </row>
    <row r="974">
      <c r="C974" s="190"/>
      <c r="D974" s="190"/>
    </row>
    <row r="975">
      <c r="C975" s="190"/>
      <c r="D975" s="190"/>
    </row>
    <row r="976">
      <c r="C976" s="190"/>
      <c r="D976" s="190"/>
    </row>
    <row r="977">
      <c r="C977" s="190"/>
      <c r="D977" s="190"/>
    </row>
    <row r="978">
      <c r="C978" s="190"/>
      <c r="D978" s="190"/>
    </row>
    <row r="979">
      <c r="C979" s="190"/>
      <c r="D979" s="190"/>
    </row>
    <row r="980">
      <c r="C980" s="190"/>
      <c r="D980" s="190"/>
    </row>
    <row r="981">
      <c r="C981" s="190"/>
      <c r="D981" s="190"/>
    </row>
    <row r="982">
      <c r="C982" s="190"/>
      <c r="D982" s="190"/>
    </row>
    <row r="983">
      <c r="C983" s="190"/>
      <c r="D983" s="190"/>
    </row>
    <row r="984">
      <c r="C984" s="190"/>
      <c r="D984" s="190"/>
    </row>
    <row r="985">
      <c r="C985" s="190"/>
      <c r="D985" s="190"/>
    </row>
    <row r="986">
      <c r="C986" s="190"/>
      <c r="D986" s="190"/>
    </row>
  </sheetData>
  <conditionalFormatting sqref="F2:F9">
    <cfRule type="cellIs" dxfId="1" priority="1" operator="equal">
      <formula>"TRUE"</formula>
    </cfRule>
  </conditionalFormatting>
  <dataValidations>
    <dataValidation type="list" allowBlank="1" showErrorMessage="1" sqref="F2:F3 F5:F9">
      <formula1>"History1,History2"</formula1>
    </dataValidation>
    <dataValidation type="list" allowBlank="1" showErrorMessage="1" sqref="F4">
      <formula1>"History1,History2,Canceled"</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8.0" topLeftCell="A9" activePane="bottomLeft" state="frozen"/>
      <selection activeCell="B10" sqref="B10" pane="bottomLeft"/>
    </sheetView>
  </sheetViews>
  <sheetFormatPr customHeight="1" defaultColWidth="12.63" defaultRowHeight="15.75"/>
  <cols>
    <col customWidth="1" min="2" max="2" width="65.0"/>
    <col customWidth="1" min="3" max="3" width="44.13"/>
    <col customWidth="1" min="4" max="4" width="50.63"/>
  </cols>
  <sheetData>
    <row r="1">
      <c r="A1" s="193" t="s">
        <v>1289</v>
      </c>
      <c r="B1" s="194" t="s">
        <v>209</v>
      </c>
      <c r="C1" s="112"/>
      <c r="D1" s="112"/>
      <c r="E1" s="112"/>
      <c r="F1" s="112"/>
      <c r="G1" s="112"/>
      <c r="H1" s="112"/>
      <c r="I1" s="112"/>
      <c r="J1" s="112"/>
      <c r="K1" s="112"/>
      <c r="L1" s="112"/>
      <c r="M1" s="112"/>
      <c r="N1" s="112"/>
      <c r="O1" s="112"/>
      <c r="P1" s="112"/>
      <c r="Q1" s="112"/>
      <c r="R1" s="112"/>
      <c r="S1" s="112"/>
      <c r="T1" s="112"/>
      <c r="U1" s="112"/>
      <c r="V1" s="112"/>
      <c r="W1" s="112"/>
      <c r="X1" s="112"/>
      <c r="Y1" s="112"/>
      <c r="Z1" s="112"/>
    </row>
    <row r="2">
      <c r="A2" s="193" t="s">
        <v>89</v>
      </c>
      <c r="B2" s="186">
        <f t="shared" ref="B2:B6" si="1">countif(E:E,A2)</f>
        <v>25</v>
      </c>
      <c r="C2" s="112"/>
      <c r="D2" s="112"/>
      <c r="E2" s="112"/>
      <c r="F2" s="112"/>
      <c r="G2" s="112"/>
      <c r="H2" s="112"/>
      <c r="I2" s="112"/>
      <c r="J2" s="112"/>
      <c r="K2" s="112"/>
      <c r="L2" s="112"/>
      <c r="M2" s="112"/>
      <c r="N2" s="112"/>
      <c r="O2" s="112"/>
      <c r="P2" s="112"/>
      <c r="Q2" s="112"/>
      <c r="R2" s="112"/>
      <c r="S2" s="112"/>
      <c r="T2" s="112"/>
      <c r="U2" s="112"/>
      <c r="V2" s="112"/>
      <c r="W2" s="112"/>
      <c r="X2" s="112"/>
      <c r="Y2" s="112"/>
      <c r="Z2" s="112"/>
    </row>
    <row r="3">
      <c r="A3" s="193" t="s">
        <v>110</v>
      </c>
      <c r="B3" s="186">
        <f t="shared" si="1"/>
        <v>25</v>
      </c>
      <c r="C3" s="112"/>
      <c r="D3" s="112"/>
      <c r="E3" s="112"/>
      <c r="F3" s="112"/>
      <c r="G3" s="112"/>
      <c r="H3" s="112"/>
      <c r="I3" s="112"/>
      <c r="J3" s="112"/>
      <c r="K3" s="112"/>
      <c r="L3" s="112"/>
      <c r="M3" s="112"/>
      <c r="N3" s="112"/>
      <c r="O3" s="112"/>
      <c r="P3" s="112"/>
      <c r="Q3" s="112"/>
      <c r="R3" s="112"/>
      <c r="S3" s="112"/>
      <c r="T3" s="112"/>
      <c r="U3" s="112"/>
      <c r="V3" s="112"/>
      <c r="W3" s="112"/>
      <c r="X3" s="112"/>
      <c r="Y3" s="112"/>
      <c r="Z3" s="112"/>
    </row>
    <row r="4">
      <c r="A4" s="193" t="s">
        <v>141</v>
      </c>
      <c r="B4" s="186">
        <f t="shared" si="1"/>
        <v>25</v>
      </c>
      <c r="C4" s="112"/>
      <c r="D4" s="112"/>
      <c r="E4" s="112"/>
      <c r="F4" s="112"/>
      <c r="G4" s="112"/>
      <c r="H4" s="112"/>
      <c r="I4" s="112"/>
      <c r="J4" s="112"/>
      <c r="K4" s="112"/>
      <c r="L4" s="112"/>
      <c r="M4" s="112"/>
      <c r="N4" s="112"/>
      <c r="O4" s="112"/>
      <c r="P4" s="112"/>
      <c r="Q4" s="112"/>
      <c r="R4" s="112"/>
      <c r="S4" s="112"/>
      <c r="T4" s="112"/>
      <c r="U4" s="112"/>
      <c r="V4" s="112"/>
      <c r="W4" s="112"/>
      <c r="X4" s="112"/>
      <c r="Y4" s="112"/>
      <c r="Z4" s="112"/>
    </row>
    <row r="5">
      <c r="A5" s="193" t="s">
        <v>162</v>
      </c>
      <c r="B5" s="186">
        <f t="shared" si="1"/>
        <v>24</v>
      </c>
      <c r="C5" s="112"/>
      <c r="D5" s="112"/>
      <c r="E5" s="112"/>
      <c r="F5" s="112"/>
      <c r="G5" s="112"/>
      <c r="H5" s="112"/>
      <c r="I5" s="112"/>
      <c r="J5" s="112"/>
      <c r="K5" s="112"/>
      <c r="L5" s="112"/>
      <c r="M5" s="112"/>
      <c r="N5" s="112"/>
      <c r="O5" s="112"/>
      <c r="P5" s="112"/>
      <c r="Q5" s="112"/>
      <c r="R5" s="112"/>
      <c r="S5" s="112"/>
      <c r="T5" s="112"/>
      <c r="U5" s="112"/>
      <c r="V5" s="112"/>
      <c r="W5" s="112"/>
      <c r="X5" s="112"/>
      <c r="Y5" s="112"/>
      <c r="Z5" s="112"/>
    </row>
    <row r="6">
      <c r="A6" s="193" t="s">
        <v>179</v>
      </c>
      <c r="B6" s="186">
        <f t="shared" si="1"/>
        <v>24</v>
      </c>
      <c r="C6" s="112"/>
      <c r="D6" s="112"/>
      <c r="E6" s="112"/>
      <c r="F6" s="112"/>
      <c r="G6" s="112"/>
      <c r="H6" s="112"/>
      <c r="I6" s="112"/>
      <c r="J6" s="112"/>
      <c r="K6" s="112"/>
      <c r="L6" s="112"/>
      <c r="M6" s="112"/>
      <c r="N6" s="112"/>
      <c r="O6" s="112"/>
      <c r="P6" s="112"/>
      <c r="Q6" s="112"/>
      <c r="R6" s="112"/>
      <c r="S6" s="112"/>
      <c r="T6" s="112"/>
      <c r="U6" s="112"/>
      <c r="V6" s="112"/>
      <c r="W6" s="112"/>
      <c r="X6" s="112"/>
      <c r="Y6" s="112"/>
      <c r="Z6" s="112"/>
    </row>
    <row r="7">
      <c r="A7" s="193" t="s">
        <v>310</v>
      </c>
      <c r="B7" s="186">
        <f>sum(B2:B6)</f>
        <v>123</v>
      </c>
      <c r="C7" s="112"/>
      <c r="D7" s="112"/>
      <c r="E7" s="112"/>
      <c r="F7" s="112"/>
      <c r="G7" s="112"/>
      <c r="H7" s="112"/>
      <c r="I7" s="112"/>
      <c r="J7" s="112"/>
      <c r="K7" s="112"/>
      <c r="L7" s="112"/>
      <c r="M7" s="112"/>
      <c r="N7" s="112"/>
      <c r="O7" s="112"/>
      <c r="P7" s="112"/>
      <c r="Q7" s="112"/>
      <c r="R7" s="112"/>
      <c r="S7" s="112"/>
      <c r="T7" s="112"/>
      <c r="U7" s="112"/>
      <c r="V7" s="112"/>
      <c r="W7" s="112"/>
      <c r="X7" s="112"/>
      <c r="Y7" s="112"/>
      <c r="Z7" s="112"/>
    </row>
    <row r="8">
      <c r="A8" s="193" t="s">
        <v>1053</v>
      </c>
      <c r="B8" s="194" t="s">
        <v>1290</v>
      </c>
      <c r="C8" s="111" t="s">
        <v>366</v>
      </c>
      <c r="D8" s="111" t="s">
        <v>1266</v>
      </c>
      <c r="E8" s="111" t="s">
        <v>207</v>
      </c>
      <c r="F8" s="112"/>
      <c r="G8" s="112"/>
      <c r="H8" s="112"/>
      <c r="I8" s="112"/>
      <c r="J8" s="112"/>
      <c r="K8" s="112"/>
      <c r="L8" s="112"/>
      <c r="M8" s="112"/>
      <c r="N8" s="112"/>
      <c r="O8" s="112"/>
      <c r="P8" s="112"/>
      <c r="Q8" s="112"/>
      <c r="R8" s="112"/>
      <c r="S8" s="112"/>
      <c r="T8" s="112"/>
      <c r="U8" s="112"/>
      <c r="V8" s="112"/>
      <c r="W8" s="112"/>
      <c r="X8" s="112"/>
      <c r="Y8" s="112"/>
      <c r="Z8" s="112"/>
    </row>
    <row r="9">
      <c r="A9" s="195" t="s">
        <v>1291</v>
      </c>
      <c r="B9" s="195" t="s">
        <v>1292</v>
      </c>
      <c r="C9" s="196" t="s">
        <v>1293</v>
      </c>
      <c r="D9" s="116" t="str">
        <f t="shared" ref="D9:D131" si="2">CONCATENATE(B9,char(10),C9,char(10))</f>
        <v>DOS: Dual-Flow Orthogonal Semantic IDs for Recommendation in Meituan
Junwei Yin, Senjie Kou, Changhao Li, Shuli Wang, Yinqiu Huang, Xue Wei, Yinhua Zhu, Haitao Wang and Xingxing Wang
</v>
      </c>
      <c r="E9" s="115" t="s">
        <v>89</v>
      </c>
    </row>
    <row r="10">
      <c r="A10" s="195" t="s">
        <v>1294</v>
      </c>
      <c r="B10" s="195" t="s">
        <v>1295</v>
      </c>
      <c r="C10" s="196" t="s">
        <v>1296</v>
      </c>
      <c r="D10" s="116" t="str">
        <f t="shared" si="2"/>
        <v>RASTP: Representation-Aware Semantic Token Pruning for Generative Recommendation with Semantic Identifiers
Tianyu Zhan, Kairui Fu, Zheqi Lv and Shengyu Zhang
</v>
      </c>
      <c r="E10" s="115" t="s">
        <v>89</v>
      </c>
    </row>
    <row r="11">
      <c r="A11" s="195" t="s">
        <v>1297</v>
      </c>
      <c r="B11" s="195" t="s">
        <v>1298</v>
      </c>
      <c r="C11" s="196" t="s">
        <v>1299</v>
      </c>
      <c r="D11" s="116" t="str">
        <f t="shared" si="2"/>
        <v>Few-shot and Zero-shot Audience Expansion with User and Task Model Pre-training on Tabular Data
Siwei Qiang, Pengyu Li, Zhe Yu, Mengyao Sun, Jun Chen and Bo Zheng
</v>
      </c>
      <c r="E11" s="115" t="s">
        <v>89</v>
      </c>
    </row>
    <row r="12">
      <c r="A12" s="195" t="s">
        <v>1300</v>
      </c>
      <c r="B12" s="195" t="s">
        <v>1301</v>
      </c>
      <c r="C12" s="196" t="s">
        <v>1302</v>
      </c>
      <c r="D12" s="116" t="str">
        <f t="shared" si="2"/>
        <v>Learning To Generate Effective Health Advertisements
Yuval Saadaty and Elad Yom-Tov
</v>
      </c>
      <c r="E12" s="115" t="s">
        <v>89</v>
      </c>
    </row>
    <row r="13">
      <c r="A13" s="195" t="s">
        <v>1303</v>
      </c>
      <c r="B13" s="195" t="s">
        <v>1304</v>
      </c>
      <c r="C13" s="196" t="s">
        <v>1305</v>
      </c>
      <c r="D13" s="116" t="str">
        <f t="shared" si="2"/>
        <v>Decentralized in Name Only: The Centralization of DAO Labor
Lingling Zhang, Morteza Zihayat and Ebrahim Bagheri
</v>
      </c>
      <c r="E13" s="115" t="s">
        <v>89</v>
      </c>
    </row>
    <row r="14">
      <c r="A14" s="195" t="s">
        <v>1306</v>
      </c>
      <c r="B14" s="195" t="s">
        <v>1307</v>
      </c>
      <c r="C14" s="196" t="s">
        <v>1308</v>
      </c>
      <c r="D14" s="116" t="str">
        <f t="shared" si="2"/>
        <v>A Reinforcement Learning Based Hyper-Parameter Generation System Guided by LLM-Powered Virtual Users
Changlin Qiu, Bang Lin, Tao Zhang and Chengfu Huo
</v>
      </c>
      <c r="E14" s="115" t="s">
        <v>89</v>
      </c>
    </row>
    <row r="15">
      <c r="A15" s="195" t="s">
        <v>1309</v>
      </c>
      <c r="B15" s="195" t="s">
        <v>1310</v>
      </c>
      <c r="C15" s="196" t="s">
        <v>1311</v>
      </c>
      <c r="D15" s="116" t="str">
        <f t="shared" si="2"/>
        <v>DualGR: Generative Retrieval with Long and Short-Term Interests Modeling
Zhongchao Yi, Kai Feng, Xiaojian Ma, Yalong Wang, Yongqi Liu, Han Li, Zhengyang Zhou and Yang Wang
</v>
      </c>
      <c r="E15" s="115" t="s">
        <v>89</v>
      </c>
    </row>
    <row r="16">
      <c r="A16" s="195" t="s">
        <v>1312</v>
      </c>
      <c r="B16" s="195" t="s">
        <v>1313</v>
      </c>
      <c r="C16" s="196" t="s">
        <v>1314</v>
      </c>
      <c r="D16" s="116" t="str">
        <f t="shared" si="2"/>
        <v>Cascaded Verification Framework: A Progressive Approach for Mitigating Hallucinations in Large Language Models
Shu Zhou, Yufei Song, Jinman Leng, Xin Wang, Tao Fan and Hao Wang
</v>
      </c>
      <c r="E16" s="115" t="s">
        <v>89</v>
      </c>
    </row>
    <row r="17">
      <c r="A17" s="195" t="s">
        <v>1315</v>
      </c>
      <c r="B17" s="195" t="s">
        <v>1316</v>
      </c>
      <c r="C17" s="196" t="s">
        <v>1317</v>
      </c>
      <c r="D17" s="116" t="str">
        <f t="shared" si="2"/>
        <v>Hidden-in-Plain-Text: A Benchmark for Social-Web Indirect Prompt Injection in RAG
Haoze Guo and Ziqi Wei
</v>
      </c>
      <c r="E17" s="115" t="s">
        <v>89</v>
      </c>
    </row>
    <row r="18">
      <c r="A18" s="195" t="s">
        <v>1318</v>
      </c>
      <c r="B18" s="195" t="s">
        <v>1319</v>
      </c>
      <c r="C18" s="196" t="s">
        <v>1314</v>
      </c>
      <c r="D18" s="116" t="str">
        <f t="shared" si="2"/>
        <v>Activation Caching for Retrieval-Augmented Generation
Shu Zhou, Yufei Song, Jinman Leng, Xin Wang, Tao Fan and Hao Wang
</v>
      </c>
      <c r="E18" s="115" t="s">
        <v>89</v>
      </c>
    </row>
    <row r="19">
      <c r="A19" s="195" t="s">
        <v>1320</v>
      </c>
      <c r="B19" s="195" t="s">
        <v>1321</v>
      </c>
      <c r="C19" s="196" t="s">
        <v>1322</v>
      </c>
      <c r="D19" s="116" t="str">
        <f t="shared" si="2"/>
        <v>PH-EMO: Decoding Emotions from the Brain Inward – EEG-Grounded Multimodal Reasoning with LLMs
Kehong Liu, Yang Liu and Jiming Liu
</v>
      </c>
      <c r="E19" s="115" t="s">
        <v>89</v>
      </c>
    </row>
    <row r="20">
      <c r="A20" s="195" t="s">
        <v>1323</v>
      </c>
      <c r="B20" s="195" t="s">
        <v>1324</v>
      </c>
      <c r="C20" s="196" t="s">
        <v>1325</v>
      </c>
      <c r="D20" s="116" t="str">
        <f t="shared" si="2"/>
        <v>GPR: Empowering Generation with Graph-Pretrained Retriever
Xiaochen Wang, Zongyu Wu, Yuan Zhong, Xiang Zhang, Suhang Wang and Fenglong Ma
</v>
      </c>
      <c r="E20" s="115" t="s">
        <v>89</v>
      </c>
    </row>
    <row r="21">
      <c r="A21" s="195" t="s">
        <v>1326</v>
      </c>
      <c r="B21" s="195" t="s">
        <v>1327</v>
      </c>
      <c r="C21" s="196" t="s">
        <v>1328</v>
      </c>
      <c r="D21" s="116" t="str">
        <f t="shared" si="2"/>
        <v>Graph Discrete Prompt Optimization for Knowledge Graph Question Answering
Wooyoung Kim, Haemin Jung, Byeongjin Kim, Suhyeon Kwon and Wooju Kim
</v>
      </c>
      <c r="E21" s="115" t="s">
        <v>89</v>
      </c>
    </row>
    <row r="22">
      <c r="A22" s="195" t="s">
        <v>1329</v>
      </c>
      <c r="B22" s="195" t="s">
        <v>1330</v>
      </c>
      <c r="C22" s="196" t="s">
        <v>1331</v>
      </c>
      <c r="D22" s="116" t="str">
        <f t="shared" si="2"/>
        <v>WITHDRAWN 1/29/26, email from chairs -- Exploring Latent Preference with Interest-Guided Collaborative Expansion for Multimodal Recommendation
Jiuqiang Li and Hongjun Wang
</v>
      </c>
      <c r="E22" s="115" t="s">
        <v>89</v>
      </c>
    </row>
    <row r="23">
      <c r="A23" s="195" t="s">
        <v>1332</v>
      </c>
      <c r="B23" s="195" t="s">
        <v>1333</v>
      </c>
      <c r="C23" s="196" t="s">
        <v>1334</v>
      </c>
      <c r="D23" s="116" t="str">
        <f t="shared" si="2"/>
        <v>Improving the Accuracy of Community Detection on Signed Networks via Community Refinement and Contrastive Learning
Hyunuk Shin, Hojin Kim, Chanyoung Lee, Yeon-Chang Lee and David Yoon Suk Kang
</v>
      </c>
      <c r="E23" s="115" t="s">
        <v>89</v>
      </c>
    </row>
    <row r="24">
      <c r="A24" s="195" t="s">
        <v>1335</v>
      </c>
      <c r="B24" s="195" t="s">
        <v>1336</v>
      </c>
      <c r="C24" s="196" t="s">
        <v>1337</v>
      </c>
      <c r="D24" s="116" t="str">
        <f t="shared" si="2"/>
        <v>AIMER: Affective Intention-guided Multimodal Emotion Reasoner for Visual Emotion Analysis in Social Media
Yubeen Lee, Shinyu Park, Jiwon Park and Eunil Park
</v>
      </c>
      <c r="E24" s="115" t="s">
        <v>89</v>
      </c>
    </row>
    <row r="25">
      <c r="A25" s="195" t="s">
        <v>1338</v>
      </c>
      <c r="B25" s="195" t="s">
        <v>1339</v>
      </c>
      <c r="C25" s="196" t="s">
        <v>1340</v>
      </c>
      <c r="D25" s="116" t="str">
        <f t="shared" si="2"/>
        <v>SIR-Teach: Student-Implicit Reward Teaching
Haochen You and Baojing Liu
</v>
      </c>
      <c r="E25" s="115" t="s">
        <v>89</v>
      </c>
    </row>
    <row r="26">
      <c r="A26" s="195" t="s">
        <v>1341</v>
      </c>
      <c r="B26" s="195" t="s">
        <v>1342</v>
      </c>
      <c r="C26" s="196" t="s">
        <v>1343</v>
      </c>
      <c r="D26" s="116" t="str">
        <f t="shared" si="2"/>
        <v>Generative Retrieval for E‑commerce: Jointly Learning Embedding and Codebook with Same Product Cluster
Songtao Fang, Zihao Xu, Shaowei Wei, Jin Zhang and Zhuojun Wang
</v>
      </c>
      <c r="E26" s="115" t="s">
        <v>89</v>
      </c>
    </row>
    <row r="27">
      <c r="A27" s="195" t="s">
        <v>1344</v>
      </c>
      <c r="B27" s="195" t="s">
        <v>1345</v>
      </c>
      <c r="C27" s="196" t="s">
        <v>1346</v>
      </c>
      <c r="D27" s="116" t="str">
        <f t="shared" si="2"/>
        <v>Rethink Web Service Resilience in Space: A Radiation-Aware and Sustainable Transmission Solution
Long Chen, Hao Fang, Yi Ching Chou, Haoyuan Zhao, Xiaoyi Fan, Zhe Chen, Hengzhi Wang and Jiangchuan Liu
</v>
      </c>
      <c r="E27" s="115" t="s">
        <v>89</v>
      </c>
    </row>
    <row r="28">
      <c r="A28" s="195" t="s">
        <v>1347</v>
      </c>
      <c r="B28" s="195" t="s">
        <v>1348</v>
      </c>
      <c r="C28" s="196" t="s">
        <v>1349</v>
      </c>
      <c r="D28" s="116" t="str">
        <f t="shared" si="2"/>
        <v>Access Controlled Website Interaction for Agentic AI with Delegated Critical Tasks
Sunyoung Kim and Hokeun Kim
</v>
      </c>
      <c r="E28" s="115" t="s">
        <v>89</v>
      </c>
    </row>
    <row r="29">
      <c r="A29" s="195" t="s">
        <v>1350</v>
      </c>
      <c r="B29" s="195" t="s">
        <v>1351</v>
      </c>
      <c r="C29" s="196" t="s">
        <v>1352</v>
      </c>
      <c r="D29" s="116" t="str">
        <f t="shared" si="2"/>
        <v>Infer As You Train: A Symmetric Paradigm of Masked Generative for Click-Through Rate Prediction
Moyu Zhang, Yujun Jin, Yun Chen, Jinxin Hu, Yu Zhang and Xiaoyi Zeng
</v>
      </c>
      <c r="E29" s="115" t="s">
        <v>89</v>
      </c>
    </row>
    <row r="30">
      <c r="A30" s="195" t="s">
        <v>1353</v>
      </c>
      <c r="B30" s="195" t="s">
        <v>1354</v>
      </c>
      <c r="C30" s="196" t="s">
        <v>1355</v>
      </c>
      <c r="D30" s="116" t="str">
        <f t="shared" si="2"/>
        <v>Learning Probabilistic Distributions for CTR Uncertainty
Biho Kim
</v>
      </c>
      <c r="E30" s="115" t="s">
        <v>89</v>
      </c>
    </row>
    <row r="31">
      <c r="A31" s="195" t="s">
        <v>1356</v>
      </c>
      <c r="B31" s="195" t="s">
        <v>1357</v>
      </c>
      <c r="C31" s="196" t="s">
        <v>1358</v>
      </c>
      <c r="D31" s="116" t="str">
        <f t="shared" si="2"/>
        <v>Structure Over Scale: Diagnosing Liquidity Fragility in Concentrated-Liquidity AMMs
Qiangqiang Liu, Runfa Jiang, Qian Huang, Frank Fan, Kunpeng Ren and Wei Cai
</v>
      </c>
      <c r="E31" s="115" t="s">
        <v>89</v>
      </c>
    </row>
    <row r="32">
      <c r="A32" s="195" t="s">
        <v>1359</v>
      </c>
      <c r="B32" s="195" t="s">
        <v>1360</v>
      </c>
      <c r="C32" s="196" t="s">
        <v>1361</v>
      </c>
      <c r="D32" s="116" t="str">
        <f t="shared" si="2"/>
        <v>Fedivertex: a Graph Dataset based on Decentralized Social Media
Marc Damie and Edwige Cyffers
</v>
      </c>
      <c r="E32" s="115" t="s">
        <v>89</v>
      </c>
    </row>
    <row r="33">
      <c r="A33" s="195" t="s">
        <v>1362</v>
      </c>
      <c r="B33" s="195" t="s">
        <v>1363</v>
      </c>
      <c r="C33" s="196" t="s">
        <v>1364</v>
      </c>
      <c r="D33" s="116" t="str">
        <f t="shared" si="2"/>
        <v>Cost Ratio Aware Algorithm for Representative Subset Selection
Tong Cheng and Xueyan Tang
</v>
      </c>
      <c r="E33" s="115" t="s">
        <v>89</v>
      </c>
    </row>
    <row r="34">
      <c r="A34" s="195" t="s">
        <v>1365</v>
      </c>
      <c r="B34" s="195" t="s">
        <v>1366</v>
      </c>
      <c r="C34" s="196" t="s">
        <v>1367</v>
      </c>
      <c r="D34" s="116" t="str">
        <f t="shared" si="2"/>
        <v>Let It Try First: Uncertainty-Guided Retrieval Switching for Retrieval-Augmented Question Answering
Xiaohai Wang, Yu Liang, Wei Zhou and Sixing Wu
</v>
      </c>
      <c r="E34" s="115" t="s">
        <v>110</v>
      </c>
    </row>
    <row r="35">
      <c r="A35" s="195" t="s">
        <v>1368</v>
      </c>
      <c r="B35" s="195" t="s">
        <v>1369</v>
      </c>
      <c r="C35" s="196" t="s">
        <v>1370</v>
      </c>
      <c r="D35" s="116" t="str">
        <f t="shared" si="2"/>
        <v>DiffusionGS: Generative Search with Query Conditioned Diffusion in Kuaishou
Qinyao Li, Xiaoyang Zheng, Qihang Zhao, Ke Xu, Zhongbo Sun, Chao Wang, Chenyi Lei, Han Li and Wenwu Ou
</v>
      </c>
      <c r="E35" s="115" t="s">
        <v>110</v>
      </c>
    </row>
    <row r="36">
      <c r="A36" s="195" t="s">
        <v>1371</v>
      </c>
      <c r="B36" s="195" t="s">
        <v>1372</v>
      </c>
      <c r="C36" s="196" t="s">
        <v>1373</v>
      </c>
      <c r="D36" s="116" t="str">
        <f t="shared" si="2"/>
        <v>LLM Reasoning for Cold-Start Item Recommendation
Shijun Li, Yu Wang, Jin Wang, Ying Li, Joydeep Ghosh and Anne Cocos
</v>
      </c>
      <c r="E36" s="115" t="s">
        <v>110</v>
      </c>
    </row>
    <row r="37">
      <c r="A37" s="195" t="s">
        <v>1374</v>
      </c>
      <c r="B37" s="195" t="s">
        <v>1375</v>
      </c>
      <c r="C37" s="196" t="s">
        <v>1376</v>
      </c>
      <c r="D37" s="116" t="str">
        <f t="shared" si="2"/>
        <v>Hierarchical Layer Attention with Contrastive Learning for Robust Audio Deepfake Detection
Zhili Nicholas Liang, Soyeon Caren Han, Qizhou Wang and Christopher Leckie
</v>
      </c>
      <c r="E37" s="115" t="s">
        <v>110</v>
      </c>
    </row>
    <row r="38">
      <c r="A38" s="195" t="s">
        <v>1377</v>
      </c>
      <c r="B38" s="195" t="s">
        <v>1378</v>
      </c>
      <c r="C38" s="196" t="s">
        <v>1379</v>
      </c>
      <c r="D38" s="116" t="str">
        <f t="shared" si="2"/>
        <v>Online Bidding Algorithms with Strict Return on Spend (ROS) Constraint
Rahul Vaze and Abhishek Sinha
</v>
      </c>
      <c r="E38" s="115" t="s">
        <v>110</v>
      </c>
    </row>
    <row r="39">
      <c r="A39" s="195" t="s">
        <v>1380</v>
      </c>
      <c r="B39" s="195" t="s">
        <v>1381</v>
      </c>
      <c r="C39" s="196" t="s">
        <v>1382</v>
      </c>
      <c r="D39" s="116" t="str">
        <f t="shared" si="2"/>
        <v>OMGRec: One-time Matching-based Generative Rerank with Permutation-level Modeling in E-commerce
Junwei Xu, Zhibo Xiao, Chuxin Chen, Chengyu Lai, Qijie Shen, Jiuning Lin, Dimin Wang, Jialin Zhu and Xiao-Ping Zhang
</v>
      </c>
      <c r="E39" s="115" t="s">
        <v>110</v>
      </c>
    </row>
    <row r="40">
      <c r="A40" s="195" t="s">
        <v>1383</v>
      </c>
      <c r="B40" s="195" t="s">
        <v>1384</v>
      </c>
      <c r="C40" s="196" t="s">
        <v>1385</v>
      </c>
      <c r="D40" s="116" t="str">
        <f t="shared" si="2"/>
        <v>LPEdit: Locality-Preserving Knowledge Editing for MultiModal Large Language Models
Tianyu Zhang, Junfeng Fang, Houcheng Jiang, Xingyu Zhu, Xiang Wang and Xiangnan He
</v>
      </c>
      <c r="E40" s="115" t="s">
        <v>110</v>
      </c>
    </row>
    <row r="41">
      <c r="A41" s="195" t="s">
        <v>1386</v>
      </c>
      <c r="B41" s="195" t="s">
        <v>1387</v>
      </c>
      <c r="C41" s="196" t="s">
        <v>1388</v>
      </c>
      <c r="D41" s="116" t="str">
        <f t="shared" si="2"/>
        <v>Img2KG: Ontology-Driven Correction of Visual Triples
Christina Kanetou and Yannis Tzitzikas
</v>
      </c>
      <c r="E41" s="115" t="s">
        <v>110</v>
      </c>
    </row>
    <row r="42">
      <c r="A42" s="195" t="s">
        <v>1389</v>
      </c>
      <c r="B42" s="195" t="s">
        <v>1390</v>
      </c>
      <c r="C42" s="196" t="s">
        <v>1391</v>
      </c>
      <c r="D42" s="116" t="str">
        <f t="shared" si="2"/>
        <v>A Life‑Cycle Assessment of the Hidden Environmental Cost of Selfies
Tilen Hliš, Urška Butolen, Iztok Fister and Iztok Fister
</v>
      </c>
      <c r="E42" s="115" t="s">
        <v>110</v>
      </c>
    </row>
    <row r="43">
      <c r="A43" s="195" t="s">
        <v>1392</v>
      </c>
      <c r="B43" s="195" t="s">
        <v>1393</v>
      </c>
      <c r="C43" s="196" t="s">
        <v>1394</v>
      </c>
      <c r="D43" s="116" t="str">
        <f t="shared" si="2"/>
        <v>We May Not Need Much Visual Encoding of Web Data for Question Answering
Tan Yue, Qiong Wu and Dongyan Zhao
</v>
      </c>
      <c r="E43" s="115" t="s">
        <v>110</v>
      </c>
    </row>
    <row r="44">
      <c r="A44" s="195" t="s">
        <v>1395</v>
      </c>
      <c r="B44" s="195" t="s">
        <v>1396</v>
      </c>
      <c r="C44" s="196" t="s">
        <v>1397</v>
      </c>
      <c r="D44" s="116" t="str">
        <f t="shared" si="2"/>
        <v>CityVerse: A Unified Data Framework for Evaluating Large Language Models in Urban Computing
Yaqiao Zhu, Hongkai Wen, Mark Birkin and Man Luo
</v>
      </c>
      <c r="E44" s="115" t="s">
        <v>110</v>
      </c>
    </row>
    <row r="45">
      <c r="A45" s="195" t="s">
        <v>1398</v>
      </c>
      <c r="B45" s="195" t="s">
        <v>1399</v>
      </c>
      <c r="C45" s="196" t="s">
        <v>1400</v>
      </c>
      <c r="D45" s="116" t="str">
        <f t="shared" si="2"/>
        <v>An Improved Combinatorial Algorithm for Edge-Colored Clustering in Hypergraphs
Seongjune Han and Nate Veldt
</v>
      </c>
      <c r="E45" s="115" t="s">
        <v>110</v>
      </c>
    </row>
    <row r="46">
      <c r="A46" s="195" t="s">
        <v>1401</v>
      </c>
      <c r="B46" s="195" t="s">
        <v>1402</v>
      </c>
      <c r="C46" s="196" t="s">
        <v>1403</v>
      </c>
      <c r="D46" s="116" t="str">
        <f t="shared" si="2"/>
        <v>BitHeteroNet: A Heterogeneous Network Benchmark for Enhanced Anomaly Detection in Bitcoin Transactions
Zheng Gong, Shuheng Shen, Changhua Meng and Ying Sun
</v>
      </c>
      <c r="E46" s="115" t="s">
        <v>110</v>
      </c>
    </row>
    <row r="47">
      <c r="A47" s="195" t="s">
        <v>1404</v>
      </c>
      <c r="B47" s="195" t="s">
        <v>1405</v>
      </c>
      <c r="C47" s="196" t="s">
        <v>1406</v>
      </c>
      <c r="D47" s="116" t="str">
        <f t="shared" si="2"/>
        <v>Feature-PI: A Data Repository for Learning-based Feature Importance Estimation
Yin Lou
</v>
      </c>
      <c r="E47" s="115" t="s">
        <v>110</v>
      </c>
    </row>
    <row r="48">
      <c r="A48" s="195" t="s">
        <v>1407</v>
      </c>
      <c r="B48" s="195" t="s">
        <v>1408</v>
      </c>
      <c r="C48" s="196" t="s">
        <v>1409</v>
      </c>
      <c r="D48" s="116" t="str">
        <f t="shared" si="2"/>
        <v>BiCare: Bi-Objective Set Similarity with Box Embeddings for Safe and Effective Healthcare Decision Support
Guofang Ma, Pengxiang Zhan, Haoze Huang and Yanchao Tan
</v>
      </c>
      <c r="E48" s="115" t="s">
        <v>110</v>
      </c>
    </row>
    <row r="49">
      <c r="A49" s="195" t="s">
        <v>1410</v>
      </c>
      <c r="B49" s="195" t="s">
        <v>1411</v>
      </c>
      <c r="C49" s="196" t="s">
        <v>1412</v>
      </c>
      <c r="D49" s="116" t="str">
        <f t="shared" si="2"/>
        <v>ReMi-ReMath: A Reverse-Mutual Reasoning Framework for Enhancing Mathematical Thinking in Small Language Models
Dae Kyoo Kim, Sang Kyu Moon and Eunil Park
</v>
      </c>
      <c r="E49" s="115" t="s">
        <v>110</v>
      </c>
    </row>
    <row r="50">
      <c r="A50" s="195" t="s">
        <v>1413</v>
      </c>
      <c r="B50" s="195" t="s">
        <v>1414</v>
      </c>
      <c r="C50" s="196" t="s">
        <v>1415</v>
      </c>
      <c r="D50" s="116" t="str">
        <f t="shared" si="2"/>
        <v>Beyond Isolated Clients: Integrating Graph-Based Embeddings into Event Sequence Models
Harry Proshian, Nikita Severin, Sergey Nikolenko, Ivan Kireev, Andrey Savchenko, Ivan Sergeev, Maria Postnova and Ilya Makarov
</v>
      </c>
      <c r="E50" s="115" t="s">
        <v>110</v>
      </c>
    </row>
    <row r="51">
      <c r="A51" s="195" t="s">
        <v>1416</v>
      </c>
      <c r="B51" s="195" t="s">
        <v>1417</v>
      </c>
      <c r="C51" s="196" t="s">
        <v>1418</v>
      </c>
      <c r="D51" s="116" t="str">
        <f t="shared" si="2"/>
        <v>GlotWeb: Web Indexing for Minority Languages
Abdullah Al Sefat, Amir Hossein Kargaran, François Yvon and Hinrich Schütze
</v>
      </c>
      <c r="E51" s="115" t="s">
        <v>110</v>
      </c>
    </row>
    <row r="52">
      <c r="A52" s="195" t="s">
        <v>1419</v>
      </c>
      <c r="B52" s="195" t="s">
        <v>1420</v>
      </c>
      <c r="C52" s="196" t="s">
        <v>1421</v>
      </c>
      <c r="D52" s="116" t="str">
        <f t="shared" si="2"/>
        <v>Graph Poisoning for Node Rank Manipulation
Seyed Mohammad Hosseini, Radin Hamidi Rad, Morteza Zihayat and Ebrahim Bagheri
</v>
      </c>
      <c r="E52" s="115" t="s">
        <v>110</v>
      </c>
    </row>
    <row r="53">
      <c r="A53" s="195" t="s">
        <v>1422</v>
      </c>
      <c r="B53" s="195" t="s">
        <v>1423</v>
      </c>
      <c r="C53" s="196" t="s">
        <v>1424</v>
      </c>
      <c r="D53" s="116" t="str">
        <f t="shared" si="2"/>
        <v>P-Aligner: Pre-Aligning LLMs via Principled Instruction Synthesis
Feifan Song, Bofei Gao, Yifan Song, Yi Liu, Weimin Xiong, Yuyang Song, Tianyu Liu, Guoyin Wang and Houfeng Wang
</v>
      </c>
      <c r="E53" s="115" t="s">
        <v>110</v>
      </c>
    </row>
    <row r="54">
      <c r="A54" s="195" t="s">
        <v>1425</v>
      </c>
      <c r="B54" s="195" t="s">
        <v>1426</v>
      </c>
      <c r="C54" s="196" t="s">
        <v>1427</v>
      </c>
      <c r="D54" s="116" t="str">
        <f t="shared" si="2"/>
        <v>Interaction-level Membership Inference Attack for Recommender Systems via Cluster-based User Modeling
Danyang Zong, Kaike Zhang, Qi Cao, Du Su and Fei Sun
</v>
      </c>
      <c r="E54" s="115" t="s">
        <v>110</v>
      </c>
    </row>
    <row r="55">
      <c r="A55" s="195" t="s">
        <v>1428</v>
      </c>
      <c r="B55" s="195" t="s">
        <v>1429</v>
      </c>
      <c r="C55" s="196" t="s">
        <v>1430</v>
      </c>
      <c r="D55" s="116" t="str">
        <f t="shared" si="2"/>
        <v>CytoCrowd: A Multi-Annotator Benchmark Dataset for Cytology Image Analysis
Yonghao Si, Xingyuan Zeng, Zhao Chen, Libin Zheng, Caleb Chen Cao, Chen Lei and Jian Yin
</v>
      </c>
      <c r="E55" s="115" t="s">
        <v>110</v>
      </c>
    </row>
    <row r="56">
      <c r="A56" s="195" t="s">
        <v>1431</v>
      </c>
      <c r="B56" s="195" t="s">
        <v>1432</v>
      </c>
      <c r="C56" s="196" t="s">
        <v>1433</v>
      </c>
      <c r="D56" s="116" t="str">
        <f t="shared" si="2"/>
        <v>FilterRec: An Intent-Aware Framework for Dynamic Filter Recommendation
Dingxian Wang, Jiacheng Dong, Jiaqi Deng, Jing Long, Ted Liu, George Barelas, Arya Taylor, Spyros Kapnissis, Frank Yang, Andrew Rabinovich and Guandong Xu
</v>
      </c>
      <c r="E56" s="115" t="s">
        <v>110</v>
      </c>
    </row>
    <row r="57">
      <c r="A57" s="195" t="s">
        <v>1434</v>
      </c>
      <c r="B57" s="195" t="s">
        <v>1435</v>
      </c>
      <c r="C57" s="196" t="s">
        <v>1436</v>
      </c>
      <c r="D57" s="116" t="str">
        <f t="shared" si="2"/>
        <v>MCP vs RAG vs NLWeb vs HTML: A Comparison of the Effectiveness and Efficiency of Different Agent Interfaces to the Web
Aaron Steiner, Ralph Peeters and Christian Bizer
</v>
      </c>
      <c r="E57" s="115" t="s">
        <v>110</v>
      </c>
    </row>
    <row r="58">
      <c r="A58" s="195" t="s">
        <v>1437</v>
      </c>
      <c r="B58" s="195" t="s">
        <v>1438</v>
      </c>
      <c r="C58" s="196" t="s">
        <v>1439</v>
      </c>
      <c r="D58" s="116" t="str">
        <f t="shared" si="2"/>
        <v>SIT-KGED: Simply Inject Topology into LLM for Knowledge Graph Error Detection
Ting Li, Xingyi Mao, Yipeng Yu and Liang Yao
</v>
      </c>
      <c r="E58" s="115" t="s">
        <v>110</v>
      </c>
    </row>
    <row r="59">
      <c r="A59" s="195" t="s">
        <v>1440</v>
      </c>
      <c r="B59" s="195" t="s">
        <v>1441</v>
      </c>
      <c r="C59" s="196" t="s">
        <v>1442</v>
      </c>
      <c r="D59" s="116" t="str">
        <f t="shared" si="2"/>
        <v>ReFuGe: Feature Generation for Prediction Tasks on Relational Databases with LLM Agents
Kyungho Kim, Geon Lee, Juyeon Kim, Dongwon Choi, Shinhwan Kang and Kijung Shin
</v>
      </c>
      <c r="E59" s="115" t="s">
        <v>141</v>
      </c>
    </row>
    <row r="60">
      <c r="A60" s="195" t="s">
        <v>1443</v>
      </c>
      <c r="B60" s="195" t="s">
        <v>1444</v>
      </c>
      <c r="C60" s="196" t="s">
        <v>1445</v>
      </c>
      <c r="D60" s="116" t="str">
        <f t="shared" si="2"/>
        <v>Suppression or Deletion: A Restoration-Based Representation-Level Analysis of Machine Unlearning
Yurim Jang, Jaeung Lee, Dohyun Kim, Jaemin Jo and Simon S Woo
</v>
      </c>
      <c r="E60" s="115" t="s">
        <v>141</v>
      </c>
    </row>
    <row r="61">
      <c r="A61" s="195" t="s">
        <v>1446</v>
      </c>
      <c r="B61" s="195" t="s">
        <v>1447</v>
      </c>
      <c r="C61" s="196" t="s">
        <v>1448</v>
      </c>
      <c r="D61" s="116" t="str">
        <f t="shared" si="2"/>
        <v>C^2-SFL:Class-Balanced and Cost-Aware Split Federated Learning for Mobile Edge Computing
Kai Cheng, Zhengyu Zhang, Tong Wu, Huan Zhou and Xinggang Fan
</v>
      </c>
      <c r="E61" s="115" t="s">
        <v>141</v>
      </c>
    </row>
    <row r="62">
      <c r="A62" s="195" t="s">
        <v>1449</v>
      </c>
      <c r="B62" s="195" t="s">
        <v>1450</v>
      </c>
      <c r="C62" s="196" t="s">
        <v>1451</v>
      </c>
      <c r="D62" s="116" t="str">
        <f t="shared" si="2"/>
        <v>SAGE-Prompt: Structured Attribution Guarded Explanation for Explainable Deepfake Question Answering
Jong-Chan Park, Myeongjun Kim, So-Hee Lim, Sang-Min Choi and Gun-Woo Kim
</v>
      </c>
      <c r="E62" s="115" t="s">
        <v>141</v>
      </c>
    </row>
    <row r="63">
      <c r="A63" s="195" t="s">
        <v>1452</v>
      </c>
      <c r="B63" s="195" t="s">
        <v>1453</v>
      </c>
      <c r="C63" s="196" t="s">
        <v>1454</v>
      </c>
      <c r="D63" s="116" t="str">
        <f t="shared" si="2"/>
        <v>Multi-source Multi-level Multi-token Ethereum Dataset and Benchmark Platform
Haoyuan Li, Mengxiao Zhang, Maoyuan Li, Jianzheng Li, Zijian Zhang, Junyi Yang, Shuangyan Deng and Jiamou Liu
</v>
      </c>
      <c r="E63" s="115" t="s">
        <v>141</v>
      </c>
    </row>
    <row r="64">
      <c r="A64" s="195" t="s">
        <v>1455</v>
      </c>
      <c r="B64" s="195" t="s">
        <v>1456</v>
      </c>
      <c r="C64" s="196" t="s">
        <v>1457</v>
      </c>
      <c r="D64" s="116" t="str">
        <f t="shared" si="2"/>
        <v>Is More Context Always Better? Examining LLM Reasoning Capability for Time Interval Prediction
Yanan Cao, Farnaz Fallahi, Murali Mohana Krishna Dandu, Lalitesh Morishetti, Kai Zhao, Luyi Ma, Sinduja Subramaniam, Jianpeng Xu, Evren Korpeoglu, Kaushiki Nag, Sushant Kumar and Kannan Achan
</v>
      </c>
      <c r="E64" s="115" t="s">
        <v>141</v>
      </c>
    </row>
    <row r="65">
      <c r="A65" s="195" t="s">
        <v>1458</v>
      </c>
      <c r="B65" s="195" t="s">
        <v>1459</v>
      </c>
      <c r="C65" s="196" t="s">
        <v>1460</v>
      </c>
      <c r="D65" s="116" t="str">
        <f t="shared" si="2"/>
        <v>Beyond Playtesting: A Generative Multi-Agent Simulation System for Massively Multiplayer Online Games
Zhang Ran, Kun Ouyang, Tiancheng Ma, Yida Yang and Dong Fang
</v>
      </c>
      <c r="E65" s="115" t="s">
        <v>141</v>
      </c>
    </row>
    <row r="66">
      <c r="A66" s="195" t="s">
        <v>1461</v>
      </c>
      <c r="B66" s="195" t="s">
        <v>1462</v>
      </c>
      <c r="C66" s="196" t="s">
        <v>1463</v>
      </c>
      <c r="D66" s="116" t="str">
        <f t="shared" si="2"/>
        <v>COINS: Semantic Ids Enhanced Cold Item Representation for Click-through Rate Prediction in E-commerce Search
Qihang Zhao, Zhongbo Sun, Xiaoyang Zheng, Xian Guo, Siyuan Wang, Zihan Liang, Mingcan Peng, Ben Chen and Chenyi Lei
</v>
      </c>
      <c r="E66" s="115" t="s">
        <v>141</v>
      </c>
    </row>
    <row r="67">
      <c r="A67" s="195" t="s">
        <v>1464</v>
      </c>
      <c r="B67" s="195" t="s">
        <v>1465</v>
      </c>
      <c r="C67" s="196" t="s">
        <v>1466</v>
      </c>
      <c r="D67" s="116" t="str">
        <f t="shared" si="2"/>
        <v>AWMA-MoE: Attention-Guided Watermark Adapter with MoE for Latent Diffusion Models
Yicheng Huang, Xinyu Xiao, Jian Zhang, Shuhan Qi, Yulin Wu and Xuan Wang
</v>
      </c>
      <c r="E67" s="115" t="s">
        <v>141</v>
      </c>
    </row>
    <row r="68">
      <c r="A68" s="195" t="s">
        <v>1467</v>
      </c>
      <c r="B68" s="195" t="s">
        <v>1468</v>
      </c>
      <c r="C68" s="196" t="s">
        <v>1469</v>
      </c>
      <c r="D68" s="116" t="str">
        <f t="shared" si="2"/>
        <v>Towards Responsible Recommendations: A Daily Updated Ranking Model for Content Issue Detection
Haoze Wu, Chenghui Yu, Bingfeng Deng and Daniel Chen
</v>
      </c>
      <c r="E68" s="115" t="s">
        <v>141</v>
      </c>
    </row>
    <row r="69">
      <c r="A69" s="195" t="s">
        <v>1470</v>
      </c>
      <c r="B69" s="195" t="s">
        <v>1471</v>
      </c>
      <c r="C69" s="196" t="s">
        <v>1472</v>
      </c>
      <c r="D69" s="116" t="str">
        <f t="shared" si="2"/>
        <v>ThinkTank-ME: A Multi-Expert Framework for Middle East Event Forecasting
Haoxuan Li, He Chang, Yunshan Ma, Yi Bin, Yang Yang, See-Kiong Ng and Tat-Seng Chua
</v>
      </c>
      <c r="E69" s="115" t="s">
        <v>141</v>
      </c>
    </row>
    <row r="70">
      <c r="A70" s="195" t="s">
        <v>1473</v>
      </c>
      <c r="B70" s="195" t="s">
        <v>1474</v>
      </c>
      <c r="C70" s="196" t="s">
        <v>1475</v>
      </c>
      <c r="D70" s="116" t="str">
        <f t="shared" si="2"/>
        <v>An 8-Way Taxonomy for Multimodal Disinformation and Detection Benchmark
Shuhan Cui, Ruimin Chu, Hanrui Wang, Patrick H. Chen, Ching-Chun Chang and Isao Echizen
</v>
      </c>
      <c r="E70" s="115" t="s">
        <v>141</v>
      </c>
    </row>
    <row r="71">
      <c r="A71" s="195" t="s">
        <v>1476</v>
      </c>
      <c r="B71" s="195" t="s">
        <v>1477</v>
      </c>
      <c r="C71" s="196" t="s">
        <v>1478</v>
      </c>
      <c r="D71" s="116" t="str">
        <f t="shared" si="2"/>
        <v>DTRec: Learning Dynamic Reasoning Trajectories for Sequential Recommendation
Yifan Shao, Peilin Zhou, Shoujin Wang, Weizhi Zhang, Sunghun Kim and Xu Cai
</v>
      </c>
      <c r="E71" s="115" t="s">
        <v>141</v>
      </c>
    </row>
    <row r="72">
      <c r="A72" s="195" t="s">
        <v>1479</v>
      </c>
      <c r="B72" s="195" t="s">
        <v>1480</v>
      </c>
      <c r="C72" s="196" t="s">
        <v>1481</v>
      </c>
      <c r="D72" s="116" t="str">
        <f t="shared" si="2"/>
        <v>Machine Learning as a Service (MLaaS) Dataset Generator Framework for IoT Environments
Deepak Kanneganti, Sajib Mistry, Sheik Mohammad Mostakim Fattah, Joshua Boland and Aneesh Krishna
</v>
      </c>
      <c r="E72" s="115" t="s">
        <v>141</v>
      </c>
    </row>
    <row r="73">
      <c r="A73" s="195" t="s">
        <v>1482</v>
      </c>
      <c r="B73" s="195" t="s">
        <v>1483</v>
      </c>
      <c r="C73" s="196" t="s">
        <v>1484</v>
      </c>
      <c r="D73" s="116" t="str">
        <f t="shared" si="2"/>
        <v>Explainable Graph Sparsification with Shapley Values
Selahattin Akkas and Ariful Azad
</v>
      </c>
      <c r="E73" s="115" t="s">
        <v>141</v>
      </c>
    </row>
    <row r="74">
      <c r="A74" s="195" t="s">
        <v>1485</v>
      </c>
      <c r="B74" s="195" t="s">
        <v>1486</v>
      </c>
      <c r="C74" s="196" t="s">
        <v>1487</v>
      </c>
      <c r="D74" s="116" t="str">
        <f t="shared" si="2"/>
        <v>Coarse-Fine: A Novel VPA Strategy for Boosting Resource Utilization of Transient Offline Tasks
Yingying Wen, Yingzhi Chu, Zhongyu Wang, Zhecheng Lin, Fan Jiang, Wu Xiang and Rui Shi
</v>
      </c>
      <c r="E74" s="115" t="s">
        <v>141</v>
      </c>
    </row>
    <row r="75">
      <c r="A75" s="195" t="s">
        <v>1488</v>
      </c>
      <c r="B75" s="195" t="s">
        <v>1489</v>
      </c>
      <c r="C75" s="196" t="s">
        <v>1490</v>
      </c>
      <c r="D75" s="116" t="str">
        <f t="shared" si="2"/>
        <v>PAOSC: Plug-and-play Attention Optimization for Semantic Consistency in LLMs
Chang Li, Yawei Liu, Chun Long, Jing Zhao and Guanyao Du
</v>
      </c>
      <c r="E75" s="115" t="s">
        <v>141</v>
      </c>
    </row>
    <row r="76">
      <c r="A76" s="195" t="s">
        <v>1491</v>
      </c>
      <c r="B76" s="195" t="s">
        <v>1492</v>
      </c>
      <c r="C76" s="196" t="s">
        <v>1493</v>
      </c>
      <c r="D76" s="116" t="str">
        <f t="shared" si="2"/>
        <v>Breaking Semantic-Aware Watermarks via LLM-Guided Coherence-Preserving Semantic Injection
Zheng Gao, Xiaoyu Li, Zhicheng Bao, Xiaoyan Feng and Jiaojiao Jiang
</v>
      </c>
      <c r="E76" s="115" t="s">
        <v>141</v>
      </c>
    </row>
    <row r="77">
      <c r="A77" s="195" t="s">
        <v>1494</v>
      </c>
      <c r="B77" s="195" t="s">
        <v>1495</v>
      </c>
      <c r="C77" s="196" t="s">
        <v>1496</v>
      </c>
      <c r="D77" s="116" t="str">
        <f t="shared" si="2"/>
        <v>Anonymous Linear Bandits for Multi-User Systems
Mohammad Reza Badri, Hossein Esfandiari, Samira Hossein Ghorban and Alireza Rezaeimoghadam
</v>
      </c>
      <c r="E77" s="115" t="s">
        <v>141</v>
      </c>
    </row>
    <row r="78">
      <c r="A78" s="195" t="s">
        <v>1497</v>
      </c>
      <c r="B78" s="195" t="s">
        <v>1498</v>
      </c>
      <c r="C78" s="196" t="s">
        <v>1499</v>
      </c>
      <c r="D78" s="116" t="str">
        <f t="shared" si="2"/>
        <v>Efficient Learning of Sparse Representations from Interactions
Vojtech Vancura, Martin Spišák, Rodrigo Alves and Ladislav Peska
</v>
      </c>
      <c r="E78" s="115" t="s">
        <v>141</v>
      </c>
    </row>
    <row r="79">
      <c r="A79" s="195" t="s">
        <v>1500</v>
      </c>
      <c r="B79" s="195" t="s">
        <v>1501</v>
      </c>
      <c r="C79" s="196" t="s">
        <v>1502</v>
      </c>
      <c r="D79" s="116" t="str">
        <f t="shared" si="2"/>
        <v>Back to the Future: Look-ahead Augmentation and Parallel Self-Refinement for Time Series Forecasting
Sunho Kim and Susik Yoon
</v>
      </c>
      <c r="E79" s="115" t="s">
        <v>141</v>
      </c>
    </row>
    <row r="80">
      <c r="A80" s="195" t="s">
        <v>1503</v>
      </c>
      <c r="B80" s="195" t="s">
        <v>1504</v>
      </c>
      <c r="C80" s="196" t="s">
        <v>1505</v>
      </c>
      <c r="D80" s="116" t="str">
        <f t="shared" si="2"/>
        <v>CGPT: Cluster-Guided Partial Tables with LLM-Generated Supervision for Table Retrieval
Tsung-Hsiang Chou, Chen-Jui Yu, Shui-Hsiang Hsu and Yao-Chung Fan
</v>
      </c>
      <c r="E80" s="115" t="s">
        <v>141</v>
      </c>
    </row>
    <row r="81">
      <c r="A81" s="195" t="s">
        <v>1506</v>
      </c>
      <c r="B81" s="195" t="s">
        <v>1507</v>
      </c>
      <c r="C81" s="196" t="s">
        <v>1508</v>
      </c>
      <c r="D81" s="116" t="str">
        <f t="shared" si="2"/>
        <v>EDTF: A Plug-and-Play Learning Framework for Estimated Delivery Time Task
Yichen Song, Jianfeng Zhou, Renhao Cao and Jian-Ya Ding
</v>
      </c>
      <c r="E81" s="115" t="s">
        <v>141</v>
      </c>
    </row>
    <row r="82">
      <c r="A82" s="195" t="s">
        <v>1509</v>
      </c>
      <c r="B82" s="195" t="s">
        <v>1510</v>
      </c>
      <c r="C82" s="196" t="s">
        <v>1511</v>
      </c>
      <c r="D82" s="116" t="str">
        <f t="shared" si="2"/>
        <v>Understanding Post-Exploit Laundering Behavior on Ethereum
Xihan Xiong and Junliang Luo
</v>
      </c>
      <c r="E82" s="115" t="s">
        <v>141</v>
      </c>
    </row>
    <row r="83">
      <c r="A83" s="195" t="s">
        <v>1512</v>
      </c>
      <c r="B83" s="195" t="s">
        <v>1513</v>
      </c>
      <c r="C83" s="196" t="s">
        <v>1514</v>
      </c>
      <c r="D83" s="116" t="str">
        <f t="shared" si="2"/>
        <v>HAUTE: Harmonizing Action Units with Temporal-contextual Embeddings for Deepfake Detection
Chaewon Kang, Youjin Lee and Jinyoung Han
</v>
      </c>
      <c r="E83" s="115" t="s">
        <v>141</v>
      </c>
    </row>
    <row r="84">
      <c r="A84" s="195" t="s">
        <v>1515</v>
      </c>
      <c r="B84" s="195" t="s">
        <v>1516</v>
      </c>
      <c r="C84" s="196" t="s">
        <v>1517</v>
      </c>
      <c r="D84" s="116" t="str">
        <f t="shared" si="2"/>
        <v>Auditing Textual Context in Sequence-Aware Explainable Recommendation
Alejandro Ariza-Casabona, Maria Salamó and Ludovico Boratto
</v>
      </c>
      <c r="E84" s="115" t="s">
        <v>162</v>
      </c>
    </row>
    <row r="85">
      <c r="A85" s="195" t="s">
        <v>1518</v>
      </c>
      <c r="B85" s="195" t="s">
        <v>1519</v>
      </c>
      <c r="C85" s="196" t="s">
        <v>1520</v>
      </c>
      <c r="D85" s="116" t="str">
        <f t="shared" si="2"/>
        <v>MACA: A Multi-Agent Cognitive Adaptation Framework for Human–Agent Collaborative Decision Making
Youn Jun Seong and Ha Young Oh
</v>
      </c>
      <c r="E85" s="115" t="s">
        <v>162</v>
      </c>
    </row>
    <row r="86">
      <c r="A86" s="195" t="s">
        <v>1521</v>
      </c>
      <c r="B86" s="195" t="s">
        <v>1522</v>
      </c>
      <c r="C86" s="196" t="s">
        <v>1523</v>
      </c>
      <c r="D86" s="116" t="str">
        <f t="shared" si="2"/>
        <v>Rethinking MoE with Retrieval-Memory Synergy: Towards Efficient Expert Coordination
Wanjie Tao, Qun Dai, Yantong Lv, Quan Lu, Ning Jiang and Zulong Chen
</v>
      </c>
      <c r="E86" s="115" t="s">
        <v>162</v>
      </c>
    </row>
    <row r="87">
      <c r="A87" s="195" t="s">
        <v>1524</v>
      </c>
      <c r="B87" s="195" t="s">
        <v>1525</v>
      </c>
      <c r="C87" s="196" t="s">
        <v>1526</v>
      </c>
      <c r="D87" s="116" t="str">
        <f t="shared" si="2"/>
        <v>Exploring Fine-Tuning for Tabular Foundation Models
Aditya Tanna, Pratinav Seth, Mohamed Bouadi and Vinay Kumar Sankarapu
</v>
      </c>
      <c r="E87" s="115" t="s">
        <v>162</v>
      </c>
    </row>
    <row r="88">
      <c r="A88" s="195" t="s">
        <v>1527</v>
      </c>
      <c r="B88" s="195" t="s">
        <v>1528</v>
      </c>
      <c r="C88" s="196" t="s">
        <v>1529</v>
      </c>
      <c r="D88" s="116" t="str">
        <f t="shared" si="2"/>
        <v>MGK-RAG: Multi-Granularity Knowledge Guided Retrieval-Augmented Generation for Radiology Report
Jiaqing Ma, Xiaodong Yue, Yufei Chen, Jie Shi, Zhipeng Wei and Zeyu Jia
</v>
      </c>
      <c r="E88" s="115" t="s">
        <v>162</v>
      </c>
    </row>
    <row r="89">
      <c r="A89" s="195" t="s">
        <v>1530</v>
      </c>
      <c r="B89" s="195" t="s">
        <v>1531</v>
      </c>
      <c r="C89" s="196" t="s">
        <v>1532</v>
      </c>
      <c r="D89" s="116" t="str">
        <f t="shared" si="2"/>
        <v>Do You Trust Me? Cognitive–Affective Signatures of Trustworthiness in Large Language Models
Gerard C. Yeo, Svetlana Churina and Kokil Jaidka
</v>
      </c>
      <c r="E89" s="115" t="s">
        <v>162</v>
      </c>
    </row>
    <row r="90">
      <c r="A90" s="195" t="s">
        <v>1533</v>
      </c>
      <c r="B90" s="195" t="s">
        <v>1534</v>
      </c>
      <c r="C90" s="196" t="s">
        <v>1535</v>
      </c>
      <c r="D90" s="116" t="str">
        <f t="shared" si="2"/>
        <v>Active Retrieval-Augmented Generation with Conflict-Fused Uncertainty Quantification
Tao Tang, Xiaodong Yue, Yufei Chen, Jie Shi and Shijie Ding
</v>
      </c>
      <c r="E90" s="115" t="s">
        <v>162</v>
      </c>
    </row>
    <row r="91">
      <c r="A91" s="195" t="s">
        <v>1536</v>
      </c>
      <c r="B91" s="195" t="s">
        <v>1537</v>
      </c>
      <c r="C91" s="196" t="s">
        <v>1538</v>
      </c>
      <c r="D91" s="116" t="str">
        <f t="shared" si="2"/>
        <v>Fact-Checking Strategies in Web: Lateral Navigation in the Browser Boosts Health Misinformation Detection Even Under Confirmation Bias
Elena Artemenko, Olessia Koltsova, Maksim Terpilovskii and Natalia Khazova
</v>
      </c>
      <c r="E91" s="115" t="s">
        <v>162</v>
      </c>
    </row>
    <row r="92">
      <c r="A92" s="195" t="s">
        <v>1539</v>
      </c>
      <c r="B92" s="195" t="s">
        <v>1540</v>
      </c>
      <c r="C92" s="196" t="s">
        <v>1541</v>
      </c>
      <c r="D92" s="116" t="str">
        <f t="shared" si="2"/>
        <v>Revisiting IPS-based Algorithms for Off-Policy Evaluation of Contextual Bandits
Daria Korovaitceva, Marina Sheshukova, Evgeny Frolov and Sergey Samsonov
</v>
      </c>
      <c r="E92" s="115" t="s">
        <v>162</v>
      </c>
    </row>
    <row r="93">
      <c r="A93" s="195" t="s">
        <v>1542</v>
      </c>
      <c r="B93" s="195" t="s">
        <v>1543</v>
      </c>
      <c r="C93" s="196" t="s">
        <v>1544</v>
      </c>
      <c r="D93" s="116" t="str">
        <f t="shared" si="2"/>
        <v>SAGE-RAI: Design Patterns for Transparent RAG Systems
Joseph Kwarteng, Aisling Third, Alexander Mikroyannidis, David Tarrant and John Domingue
</v>
      </c>
      <c r="E93" s="115" t="s">
        <v>162</v>
      </c>
    </row>
    <row r="94">
      <c r="A94" s="195" t="s">
        <v>1545</v>
      </c>
      <c r="B94" s="195" t="s">
        <v>1546</v>
      </c>
      <c r="C94" s="196" t="s">
        <v>1547</v>
      </c>
      <c r="D94" s="116" t="str">
        <f t="shared" si="2"/>
        <v>Towards Efficient and Interpretable Medical Concept Representation via Ontology-driven Residual Vector Quantization
Hang Lv, Kaisong Zhang, Yanchao Tan and Xing Chen
</v>
      </c>
      <c r="E94" s="115" t="s">
        <v>162</v>
      </c>
    </row>
    <row r="95">
      <c r="A95" s="195" t="s">
        <v>1548</v>
      </c>
      <c r="B95" s="195" t="s">
        <v>1549</v>
      </c>
      <c r="C95" s="196" t="s">
        <v>1550</v>
      </c>
      <c r="D95" s="116" t="str">
        <f t="shared" si="2"/>
        <v>Multi-Agent Collaborative Filtering: Orchestrating Users and Items for Agentic Recommendations
Yu Xia, Sungchul Kim, Tong Yu, Ryan A. Rossi and Julian McAuley
</v>
      </c>
      <c r="E95" s="115" t="s">
        <v>162</v>
      </c>
    </row>
    <row r="96">
      <c r="A96" s="195" t="s">
        <v>1551</v>
      </c>
      <c r="B96" s="195" t="s">
        <v>1552</v>
      </c>
      <c r="C96" s="196" t="s">
        <v>1553</v>
      </c>
      <c r="D96" s="116" t="str">
        <f t="shared" si="2"/>
        <v>Tuning Qwen2.5-VL to Improve Its Web Interaction Skills
Alexandra Yakovleva, Henrik Pärssinen, Harri Valpola, Juho Kannala and Alexander Ilin
</v>
      </c>
      <c r="E96" s="115" t="s">
        <v>162</v>
      </c>
    </row>
    <row r="97">
      <c r="A97" s="195" t="s">
        <v>1554</v>
      </c>
      <c r="B97" s="195" t="s">
        <v>1555</v>
      </c>
      <c r="C97" s="196" t="s">
        <v>1556</v>
      </c>
      <c r="D97" s="116" t="str">
        <f t="shared" si="2"/>
        <v>VK-LSVD: A Large-Scale Industrial Dataset for Short-Video Recommendation
Aleksandr Poslavsky, Alexander D'yakonov, Yuriy Dorn and Andrey Zimovnov
</v>
      </c>
      <c r="E97" s="115" t="s">
        <v>162</v>
      </c>
    </row>
    <row r="98">
      <c r="A98" s="195" t="s">
        <v>1557</v>
      </c>
      <c r="B98" s="195" t="s">
        <v>1558</v>
      </c>
      <c r="C98" s="196" t="s">
        <v>1559</v>
      </c>
      <c r="D98" s="116" t="str">
        <f t="shared" si="2"/>
        <v>NERdME: A Named Entity Recognition Dataset for Indexing Research Artifacts in Code Repositories
Genet Asefa Gesese, Zongxiong Chen, Shufan Jiang, Mary Ann Tan, Zhaotai Liu, Sonja Schimmler and Harald Sack
</v>
      </c>
      <c r="E98" s="115" t="s">
        <v>162</v>
      </c>
    </row>
    <row r="99">
      <c r="A99" s="195" t="s">
        <v>1560</v>
      </c>
      <c r="B99" s="195" t="s">
        <v>1561</v>
      </c>
      <c r="C99" s="196" t="s">
        <v>1562</v>
      </c>
      <c r="D99" s="116" t="str">
        <f t="shared" si="2"/>
        <v>Beyond Item-Level Prediction: Fine-Grained CVR Modeling with Price SKU in E-Commerce Recommendation
Huiling Wu, Ao Zhang, Junwei Xu, Boya Du, Jialin Zhu, Yuning Jiang and Dakai Zhai
</v>
      </c>
      <c r="E99" s="115" t="s">
        <v>162</v>
      </c>
    </row>
    <row r="100">
      <c r="A100" s="195" t="s">
        <v>1563</v>
      </c>
      <c r="B100" s="195" t="s">
        <v>1564</v>
      </c>
      <c r="C100" s="196" t="s">
        <v>1565</v>
      </c>
      <c r="D100" s="116" t="str">
        <f t="shared" si="2"/>
        <v>Enhancing Trusted Multi-View Classification via Adaptive Regularization Guided by View-Specific Biases
Zhiyuan Liu, Xiaodong Yue, Yufei Chen, Shijie Ding and Jie Shi
</v>
      </c>
      <c r="E100" s="115" t="s">
        <v>162</v>
      </c>
    </row>
    <row r="101">
      <c r="A101" s="195" t="s">
        <v>1566</v>
      </c>
      <c r="B101" s="195" t="s">
        <v>1567</v>
      </c>
      <c r="C101" s="196" t="s">
        <v>1568</v>
      </c>
      <c r="D101" s="116" t="str">
        <f t="shared" si="2"/>
        <v>Orion-Bix: Bi-Axial Attention for Tabular In-Context Learning
Mohamed Bouadi, Pratinav Seth, Aditya Tanna and Vinay Kumar Sankarapu
</v>
      </c>
      <c r="E101" s="115" t="s">
        <v>162</v>
      </c>
    </row>
    <row r="102">
      <c r="A102" s="195" t="s">
        <v>1569</v>
      </c>
      <c r="B102" s="195" t="s">
        <v>1570</v>
      </c>
      <c r="C102" s="196" t="s">
        <v>1571</v>
      </c>
      <c r="D102" s="116" t="str">
        <f t="shared" si="2"/>
        <v>Truth with a Twist: The Rhetoric of Persuasion in Professional vs. Community-Authored Fact-Checks
Olesya Razuvayevskaya and Kalina Bontcheva
</v>
      </c>
      <c r="E102" s="115" t="s">
        <v>162</v>
      </c>
    </row>
    <row r="103">
      <c r="A103" s="195" t="s">
        <v>1572</v>
      </c>
      <c r="B103" s="195" t="s">
        <v>1573</v>
      </c>
      <c r="C103" s="196" t="s">
        <v>1574</v>
      </c>
      <c r="D103" s="116" t="str">
        <f t="shared" si="2"/>
        <v>Multi-Behavior Sequential Modeling with Transition-Aware Graph Attention Network for E-Commerce Recommendation
Hanqi Jin, Gaoming Yang, Zhangming Chan, Yapeng Yuan, Longbin Li, Fei Sun, Yeqiu Yang, Jian Wu, Yuning Jiang and Bo Zheng
</v>
      </c>
      <c r="E103" s="115" t="s">
        <v>162</v>
      </c>
    </row>
    <row r="104">
      <c r="A104" s="195" t="s">
        <v>1575</v>
      </c>
      <c r="B104" s="195" t="s">
        <v>1576</v>
      </c>
      <c r="C104" s="196" t="s">
        <v>1577</v>
      </c>
      <c r="D104" s="116" t="str">
        <f t="shared" si="2"/>
        <v>Vertical Semi-Federated Learning for Efficient Online Advertising
Wenjie Li, Shu-Tao Xia, Jiangke Fan, Teng Zhang and Xingxing Wang
</v>
      </c>
      <c r="E104" s="115" t="s">
        <v>162</v>
      </c>
    </row>
    <row r="105">
      <c r="A105" s="195" t="s">
        <v>1578</v>
      </c>
      <c r="B105" s="195" t="s">
        <v>1579</v>
      </c>
      <c r="C105" s="196" t="s">
        <v>1580</v>
      </c>
      <c r="D105" s="116" t="str">
        <f t="shared" si="2"/>
        <v>MiniAMIE: Quick and Dirty Rule Mining on Knowledge Graphs
Luis Galárraga, Julianne Guerbette, Isseïnie Sinouvassane and Paul Viallard
</v>
      </c>
      <c r="E105" s="115" t="s">
        <v>162</v>
      </c>
    </row>
    <row r="106">
      <c r="A106" s="195" t="s">
        <v>1581</v>
      </c>
      <c r="B106" s="195" t="s">
        <v>1582</v>
      </c>
      <c r="C106" s="196" t="s">
        <v>1583</v>
      </c>
      <c r="D106" s="116" t="str">
        <f t="shared" si="2"/>
        <v>How Graphs Can Help You Stay Informed in an Evolving World
MohammadHossein Bateni, Lin Chen, Hossein Esfandiari and Sasan Tavakkol
</v>
      </c>
      <c r="E106" s="115" t="s">
        <v>162</v>
      </c>
    </row>
    <row r="107">
      <c r="A107" s="195" t="s">
        <v>1584</v>
      </c>
      <c r="B107" s="195" t="s">
        <v>1585</v>
      </c>
      <c r="C107" s="196" t="s">
        <v>1586</v>
      </c>
      <c r="D107" s="116" t="str">
        <f t="shared" si="2"/>
        <v>What Is Your AI Agent Buying? Evaluation, Biases, Model Dependence, &amp; Emerging Implications of Agentic E-Commerce
Amine Allouah, Omar Besbes, Josué D. Figueroa, Yash Kanoria and Akshit Kumar
</v>
      </c>
      <c r="E107" s="115" t="s">
        <v>162</v>
      </c>
    </row>
    <row r="108">
      <c r="A108" s="195" t="s">
        <v>1587</v>
      </c>
      <c r="B108" s="195" t="s">
        <v>1588</v>
      </c>
      <c r="C108" s="196" t="s">
        <v>1589</v>
      </c>
      <c r="D108" s="116" t="str">
        <f t="shared" si="2"/>
        <v>PRISM: LLM-Guided Semantic Clustering for High-Precision Topics
Connor Douglas, Utkucan Balci and Joseph Aylett-Bullock
</v>
      </c>
      <c r="E108" s="115" t="s">
        <v>179</v>
      </c>
    </row>
    <row r="109">
      <c r="A109" s="195" t="s">
        <v>1590</v>
      </c>
      <c r="B109" s="195" t="s">
        <v>1591</v>
      </c>
      <c r="C109" s="196" t="s">
        <v>1592</v>
      </c>
      <c r="D109" s="116" t="str">
        <f t="shared" si="2"/>
        <v>CitiLink-Summ: A Dataset of Discussion Subjects Summaries in European Portuguese Municipal Meeting Minutes
Miguel Marques, Ana Luísa Fernandes, Ana Filipa Pacheco, Rute Rebouças, Inês Cantante, José Isidro, Luís Filipe Cunha, Alípio Jorge, Nuno Guimarães, Sérgio Nunes, António Leal, Purificação Silvano and Ricardo Campos
</v>
      </c>
      <c r="E109" s="115" t="s">
        <v>179</v>
      </c>
    </row>
    <row r="110">
      <c r="A110" s="195" t="s">
        <v>1593</v>
      </c>
      <c r="B110" s="195" t="s">
        <v>1594</v>
      </c>
      <c r="C110" s="196" t="s">
        <v>1595</v>
      </c>
      <c r="D110" s="116" t="str">
        <f t="shared" si="2"/>
        <v>Multi-Modal Enhanced Graph Transfer Learning for Digital Finance Fraud Detection
Yuxin Liu, Stephen Chan, Jeffrey Chu, Yuanyuan Zhang, Chenguang Yang, Zihao Wang, Yulia R. Gel and Yuzhou Chen
</v>
      </c>
      <c r="E110" s="115" t="s">
        <v>179</v>
      </c>
    </row>
    <row r="111">
      <c r="A111" s="195" t="s">
        <v>1596</v>
      </c>
      <c r="B111" s="195" t="s">
        <v>1597</v>
      </c>
      <c r="C111" s="196" t="s">
        <v>1598</v>
      </c>
      <c r="D111" s="116" t="str">
        <f t="shared" si="2"/>
        <v>Designing for the Next Click: Bandits for Real-Time Page Layout
Bhavtosh Rath, Harshith Narasimhamurthy, Bob Eisinger, Cole Stiegler, Adnan Awow and Amit Pande
</v>
      </c>
      <c r="E111" s="115" t="s">
        <v>179</v>
      </c>
    </row>
    <row r="112">
      <c r="A112" s="195" t="s">
        <v>1599</v>
      </c>
      <c r="B112" s="195" t="s">
        <v>1600</v>
      </c>
      <c r="C112" s="196" t="s">
        <v>1601</v>
      </c>
      <c r="D112" s="116" t="str">
        <f t="shared" si="2"/>
        <v>Deepfakes in the 2025 Canadian Election: Prevalence, Partisanship, and Platform Dynamics
Victor Livernoche, Andreea Musulan, Zachary Yang, Jean-François Godbout and Reihaneh Rabbany
</v>
      </c>
      <c r="E112" s="115" t="s">
        <v>179</v>
      </c>
    </row>
    <row r="113">
      <c r="A113" s="195" t="s">
        <v>1602</v>
      </c>
      <c r="B113" s="195" t="s">
        <v>1603</v>
      </c>
      <c r="C113" s="196" t="s">
        <v>1604</v>
      </c>
      <c r="D113" s="116" t="str">
        <f t="shared" si="2"/>
        <v>Edit-Level Tracking of Narrative Changes in 10-K Filings
Xiao Li, Changhong Jin, Yingjie Niu, Jingyi Wang and Ruihai Dong
</v>
      </c>
      <c r="E113" s="115" t="s">
        <v>179</v>
      </c>
    </row>
    <row r="114">
      <c r="A114" s="195" t="s">
        <v>1605</v>
      </c>
      <c r="B114" s="195" t="s">
        <v>1606</v>
      </c>
      <c r="C114" s="196" t="s">
        <v>1607</v>
      </c>
      <c r="D114" s="116" t="str">
        <f t="shared" si="2"/>
        <v>Real-Time Trend Prediction via Continually-Aligned LLM Query Generation
Zijing Hui, Wenhan Lyu, Shusen Wang, Li Chen and Chu Wang
</v>
      </c>
      <c r="E114" s="115" t="s">
        <v>179</v>
      </c>
    </row>
    <row r="115">
      <c r="A115" s="195" t="s">
        <v>1608</v>
      </c>
      <c r="B115" s="195" t="s">
        <v>1609</v>
      </c>
      <c r="C115" s="196" t="s">
        <v>1610</v>
      </c>
      <c r="D115" s="116" t="str">
        <f t="shared" si="2"/>
        <v>Uncertainty-Aware Web-Conditioned Scientific Fact-Checking
Ashwin Vinod and Katrin Erk
</v>
      </c>
      <c r="E115" s="115" t="s">
        <v>179</v>
      </c>
    </row>
    <row r="116">
      <c r="A116" s="195" t="s">
        <v>1611</v>
      </c>
      <c r="B116" s="195" t="s">
        <v>1612</v>
      </c>
      <c r="C116" s="196" t="s">
        <v>1613</v>
      </c>
      <c r="D116" s="116" t="str">
        <f t="shared" si="2"/>
        <v>Towards Token-Level Text Anomaly Detection
Yang Cao, Bicheng Yu, Sikun Yang, Ming Liu and Yujiu Yang
</v>
      </c>
      <c r="E116" s="115" t="s">
        <v>179</v>
      </c>
    </row>
    <row r="117">
      <c r="A117" s="195" t="s">
        <v>1614</v>
      </c>
      <c r="B117" s="195" t="s">
        <v>1615</v>
      </c>
      <c r="C117" s="196" t="s">
        <v>1616</v>
      </c>
      <c r="D117" s="116" t="str">
        <f t="shared" si="2"/>
        <v>llm-tuna - Hyperparameter Optimization for LLM Inference
Thameem Abbas Ibrahim Bathusha, Aanya Sharma, Andy Huynh, Rehan Samaratunga and Ashish Kamra
</v>
      </c>
      <c r="E117" s="115" t="s">
        <v>179</v>
      </c>
    </row>
    <row r="118">
      <c r="A118" s="195" t="s">
        <v>1617</v>
      </c>
      <c r="B118" s="195" t="s">
        <v>1618</v>
      </c>
      <c r="C118" s="196" t="s">
        <v>1619</v>
      </c>
      <c r="D118" s="116" t="str">
        <f t="shared" si="2"/>
        <v>From Random Forget-Sets to Realistic Natural-Language Deletion Requests
Imran Ahsan, Jinsung Kim and Mucheol Kim
</v>
      </c>
      <c r="E118" s="115" t="s">
        <v>179</v>
      </c>
    </row>
    <row r="119">
      <c r="A119" s="195" t="s">
        <v>1620</v>
      </c>
      <c r="B119" s="195" t="s">
        <v>1621</v>
      </c>
      <c r="C119" s="196" t="s">
        <v>1622</v>
      </c>
      <c r="D119" s="116" t="str">
        <f t="shared" si="2"/>
        <v>Retrieval Collapses When AI Pollutes the Web
Hongyeon Yu, Dongchan Kim and Young-Bum Kim
</v>
      </c>
      <c r="E119" s="115" t="s">
        <v>179</v>
      </c>
    </row>
    <row r="120">
      <c r="A120" s="195" t="s">
        <v>1623</v>
      </c>
      <c r="B120" s="195" t="s">
        <v>1624</v>
      </c>
      <c r="C120" s="196" t="s">
        <v>1625</v>
      </c>
      <c r="D120" s="116" t="str">
        <f t="shared" si="2"/>
        <v>Multimodal Topic Discovery in Web Media via von Mises-Fisher Mixture Neural Topic Models
Dayu Guo, Zhiwen Luo, Nizar Bouguila and Wentao Fan
</v>
      </c>
      <c r="E120" s="115" t="s">
        <v>179</v>
      </c>
    </row>
    <row r="121">
      <c r="A121" s="195" t="s">
        <v>1626</v>
      </c>
      <c r="B121" s="195" t="s">
        <v>1627</v>
      </c>
      <c r="C121" s="196" t="s">
        <v>1628</v>
      </c>
      <c r="D121" s="116" t="str">
        <f t="shared" si="2"/>
        <v>Predicting Expectancy Violations Using Eye-Tracking Features: A Machine Learning Approach
Sakrapee Paisalnan and Yashar Moshfeghi
</v>
      </c>
      <c r="E121" s="115" t="s">
        <v>179</v>
      </c>
    </row>
    <row r="122">
      <c r="A122" s="195" t="s">
        <v>1629</v>
      </c>
      <c r="B122" s="195" t="s">
        <v>1630</v>
      </c>
      <c r="C122" s="196" t="s">
        <v>1631</v>
      </c>
      <c r="D122" s="116" t="str">
        <f t="shared" si="2"/>
        <v>SEER: Set Encoding for Efficient Representation in Large-Scale E-commerce
Yining Lin, Yuming Shen, Yipeng Zhang and Canran Xu
</v>
      </c>
      <c r="E122" s="115" t="s">
        <v>179</v>
      </c>
    </row>
    <row r="123">
      <c r="A123" s="195" t="s">
        <v>1632</v>
      </c>
      <c r="B123" s="195" t="s">
        <v>1633</v>
      </c>
      <c r="C123" s="196" t="s">
        <v>1634</v>
      </c>
      <c r="D123" s="116" t="str">
        <f t="shared" si="2"/>
        <v>ReSuMe: Retriever-Summarizer Mutual Enhancement via Reinforcement Learning
Owais Makroo, Nikhil Pattisapu, Karan Gupta, Ankit Gandhi, Vijay Huddar and Atul Saroop
</v>
      </c>
      <c r="E123" s="115" t="s">
        <v>179</v>
      </c>
    </row>
    <row r="124">
      <c r="A124" s="195" t="s">
        <v>1635</v>
      </c>
      <c r="B124" s="195" t="s">
        <v>1636</v>
      </c>
      <c r="C124" s="196" t="s">
        <v>1637</v>
      </c>
      <c r="D124" s="116" t="str">
        <f t="shared" si="2"/>
        <v>Agent-Enhanced Heterogeneous Graph RAG for Academic Question Answering
Runsong Jia, Mengjia Wu, Ying Ding, Jie Lu and Yi Zhang
</v>
      </c>
      <c r="E124" s="115" t="s">
        <v>179</v>
      </c>
    </row>
    <row r="125">
      <c r="A125" s="195" t="s">
        <v>1638</v>
      </c>
      <c r="B125" s="195" t="s">
        <v>1639</v>
      </c>
      <c r="C125" s="196" t="s">
        <v>1640</v>
      </c>
      <c r="D125" s="116" t="str">
        <f t="shared" si="2"/>
        <v>Causal Pre-training Under the Fairness Lens: An Empirical Study of TabPFN
Qinyi Liu, Mohammad Khalil and Naman Goel
</v>
      </c>
      <c r="E125" s="115" t="s">
        <v>179</v>
      </c>
    </row>
    <row r="126">
      <c r="A126" s="195" t="s">
        <v>1641</v>
      </c>
      <c r="B126" s="195" t="s">
        <v>1642</v>
      </c>
      <c r="C126" s="196" t="s">
        <v>1643</v>
      </c>
      <c r="D126" s="116" t="str">
        <f t="shared" si="2"/>
        <v>STAR: Semantic Table Representation with Header-Aware Clustering and Adaptive Weighted Fusion
Shui-Hsiang Hsu, Tsung-Hsiang Chou, Chen-Jui Yu and Yao-Chung Fan
</v>
      </c>
      <c r="E126" s="115" t="s">
        <v>179</v>
      </c>
    </row>
    <row r="127">
      <c r="A127" s="195" t="s">
        <v>1644</v>
      </c>
      <c r="B127" s="195" t="s">
        <v>1645</v>
      </c>
      <c r="C127" s="196" t="s">
        <v>1646</v>
      </c>
      <c r="D127" s="116" t="str">
        <f t="shared" si="2"/>
        <v>ULoR: Uncertainty-Aware Leave-One-Out Refinement Framework for Diagnosis Prediction
Jie Zhang, Wanzi Shao and Tan Yanchao
</v>
      </c>
      <c r="E127" s="115" t="s">
        <v>179</v>
      </c>
    </row>
    <row r="128">
      <c r="A128" s="195" t="s">
        <v>1647</v>
      </c>
      <c r="B128" s="195" t="s">
        <v>1648</v>
      </c>
      <c r="C128" s="196" t="s">
        <v>1649</v>
      </c>
      <c r="D128" s="116" t="str">
        <f t="shared" si="2"/>
        <v>Lurkers, Interactors, Creators: Modeling Behavioral and Ideological Diversity on X
Cai Yang, Kokil Jaidka, Yphtach Lelkes and Subhayan Mukerjee
</v>
      </c>
      <c r="E128" s="115" t="s">
        <v>179</v>
      </c>
    </row>
    <row r="129">
      <c r="A129" s="195" t="s">
        <v>1650</v>
      </c>
      <c r="B129" s="195" t="s">
        <v>1651</v>
      </c>
      <c r="C129" s="196" t="s">
        <v>1652</v>
      </c>
      <c r="D129" s="116" t="str">
        <f t="shared" si="2"/>
        <v>Tabular Foundation Models are Strong Graph Anomaly Detectors
Yunhui Liu, Tieke He, Yongchao Liu, Can Yi, Hong Jin and Chuntao Hong
</v>
      </c>
      <c r="E129" s="115" t="s">
        <v>179</v>
      </c>
    </row>
    <row r="130">
      <c r="A130" s="195" t="s">
        <v>1653</v>
      </c>
      <c r="B130" s="195" t="s">
        <v>1654</v>
      </c>
      <c r="C130" s="196" t="s">
        <v>1655</v>
      </c>
      <c r="D130" s="116" t="str">
        <f t="shared" si="2"/>
        <v>Weighted Reservoir Sampling with Replacement from Data Streams
Adriano Meligrana and Adriano Fazzone
</v>
      </c>
      <c r="E130" s="115" t="s">
        <v>179</v>
      </c>
    </row>
    <row r="131">
      <c r="A131" s="195" t="s">
        <v>1656</v>
      </c>
      <c r="B131" s="195" t="s">
        <v>1657</v>
      </c>
      <c r="C131" s="196" t="s">
        <v>1658</v>
      </c>
      <c r="D131" s="116" t="str">
        <f t="shared" si="2"/>
        <v>Multi-field Balance-aware Calibration of Predictions in Online Advertising
Zi-Kang Wang, Lei Gong, Shu-Ting Shi, Lan-Zhe Guo and Mu-Yu Zhang
</v>
      </c>
      <c r="E131" s="115" t="s">
        <v>179</v>
      </c>
    </row>
  </sheetData>
  <conditionalFormatting sqref="E9:E131">
    <cfRule type="cellIs" dxfId="1" priority="1" operator="equal">
      <formula>"TRUE"</formula>
    </cfRule>
  </conditionalFormatting>
  <dataValidations>
    <dataValidation type="list" allowBlank="1" showErrorMessage="1" sqref="E9:E131">
      <formula1>"ShortPapers1,ShortPapers2,ShortPapers3,ShortPapers4,ShortPapers5"</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4.13"/>
    <col customWidth="1" min="4" max="4" width="65.75"/>
    <col customWidth="1" min="5" max="5" width="76.75"/>
  </cols>
  <sheetData>
    <row r="1">
      <c r="A1" s="197" t="s">
        <v>1659</v>
      </c>
      <c r="B1" s="198" t="s">
        <v>1660</v>
      </c>
      <c r="C1" s="198" t="s">
        <v>1661</v>
      </c>
      <c r="D1" s="199" t="s">
        <v>1662</v>
      </c>
      <c r="E1" s="120"/>
      <c r="F1" s="120"/>
      <c r="G1" s="120"/>
      <c r="H1" s="120"/>
      <c r="I1" s="120"/>
      <c r="J1" s="120"/>
      <c r="K1" s="120"/>
      <c r="L1" s="120"/>
      <c r="M1" s="120"/>
      <c r="N1" s="120"/>
      <c r="O1" s="120"/>
      <c r="P1" s="120"/>
      <c r="Q1" s="120"/>
      <c r="R1" s="120"/>
      <c r="S1" s="120"/>
      <c r="T1" s="120"/>
      <c r="U1" s="120"/>
      <c r="V1" s="120"/>
      <c r="W1" s="120"/>
      <c r="X1" s="120"/>
      <c r="Y1" s="120"/>
      <c r="Z1" s="120"/>
      <c r="AA1" s="120"/>
    </row>
    <row r="2">
      <c r="A2" s="200" t="s">
        <v>1663</v>
      </c>
      <c r="B2" s="201">
        <v>3.0</v>
      </c>
      <c r="C2" s="201">
        <f t="shared" ref="C2:C5" si="1">countif(B:B,A2)</f>
        <v>0</v>
      </c>
      <c r="D2" s="202" t="s">
        <v>1664</v>
      </c>
      <c r="E2" s="120"/>
      <c r="F2" s="120"/>
      <c r="G2" s="120"/>
      <c r="H2" s="120"/>
      <c r="I2" s="120"/>
      <c r="J2" s="120"/>
      <c r="K2" s="120"/>
      <c r="L2" s="120"/>
      <c r="M2" s="120"/>
      <c r="N2" s="120"/>
      <c r="O2" s="120"/>
      <c r="P2" s="120"/>
      <c r="Q2" s="120"/>
      <c r="R2" s="120"/>
      <c r="S2" s="120"/>
      <c r="T2" s="120"/>
      <c r="U2" s="120"/>
      <c r="V2" s="120"/>
      <c r="W2" s="120"/>
      <c r="X2" s="120"/>
      <c r="Y2" s="120"/>
      <c r="Z2" s="120"/>
      <c r="AA2" s="120"/>
    </row>
    <row r="3">
      <c r="A3" s="200" t="s">
        <v>1665</v>
      </c>
      <c r="B3" s="201">
        <v>3.0</v>
      </c>
      <c r="C3" s="201">
        <f t="shared" si="1"/>
        <v>0</v>
      </c>
      <c r="D3" s="202" t="s">
        <v>1664</v>
      </c>
      <c r="E3" s="120"/>
      <c r="F3" s="120"/>
      <c r="G3" s="120"/>
      <c r="H3" s="120"/>
      <c r="I3" s="120"/>
      <c r="J3" s="120"/>
      <c r="K3" s="120"/>
      <c r="L3" s="120"/>
      <c r="M3" s="120"/>
      <c r="N3" s="120"/>
      <c r="O3" s="120"/>
      <c r="P3" s="120"/>
      <c r="Q3" s="120"/>
      <c r="R3" s="120"/>
      <c r="S3" s="120"/>
      <c r="T3" s="120"/>
      <c r="U3" s="120"/>
      <c r="V3" s="120"/>
      <c r="W3" s="120"/>
      <c r="X3" s="120"/>
      <c r="Y3" s="120"/>
      <c r="Z3" s="120"/>
      <c r="AA3" s="120"/>
    </row>
    <row r="4">
      <c r="A4" s="200" t="s">
        <v>1666</v>
      </c>
      <c r="B4" s="201">
        <v>3.0</v>
      </c>
      <c r="C4" s="201">
        <f t="shared" si="1"/>
        <v>0</v>
      </c>
      <c r="D4" s="202" t="s">
        <v>1664</v>
      </c>
      <c r="E4" s="120"/>
      <c r="F4" s="120"/>
      <c r="G4" s="120"/>
      <c r="H4" s="120"/>
      <c r="I4" s="120"/>
      <c r="J4" s="120"/>
      <c r="K4" s="120"/>
      <c r="L4" s="120"/>
      <c r="M4" s="120"/>
      <c r="N4" s="120"/>
      <c r="O4" s="120"/>
      <c r="P4" s="120"/>
      <c r="Q4" s="120"/>
      <c r="R4" s="120"/>
      <c r="S4" s="120"/>
      <c r="T4" s="120"/>
      <c r="U4" s="120"/>
      <c r="V4" s="120"/>
      <c r="W4" s="120"/>
      <c r="X4" s="120"/>
      <c r="Y4" s="120"/>
      <c r="Z4" s="120"/>
      <c r="AA4" s="120"/>
    </row>
    <row r="5">
      <c r="A5" s="200" t="s">
        <v>1667</v>
      </c>
      <c r="B5" s="201">
        <v>4.0</v>
      </c>
      <c r="C5" s="201">
        <f t="shared" si="1"/>
        <v>0</v>
      </c>
      <c r="D5" s="202" t="s">
        <v>1664</v>
      </c>
      <c r="E5" s="120"/>
      <c r="F5" s="120"/>
      <c r="G5" s="120"/>
      <c r="H5" s="120"/>
      <c r="I5" s="120"/>
      <c r="J5" s="120"/>
      <c r="K5" s="120"/>
      <c r="L5" s="120"/>
      <c r="M5" s="120"/>
      <c r="N5" s="120"/>
      <c r="O5" s="120"/>
      <c r="P5" s="120"/>
      <c r="Q5" s="120"/>
      <c r="R5" s="120"/>
      <c r="S5" s="120"/>
      <c r="T5" s="120"/>
      <c r="U5" s="120"/>
      <c r="V5" s="120"/>
      <c r="W5" s="120"/>
      <c r="X5" s="120"/>
      <c r="Y5" s="120"/>
      <c r="Z5" s="120"/>
      <c r="AA5" s="120"/>
    </row>
    <row r="6">
      <c r="A6" s="168" t="s">
        <v>1668</v>
      </c>
      <c r="B6" s="120"/>
      <c r="C6" s="182" t="s">
        <v>1669</v>
      </c>
      <c r="D6" s="115" t="s">
        <v>1670</v>
      </c>
      <c r="E6" s="182" t="s">
        <v>1266</v>
      </c>
      <c r="F6" s="168" t="s">
        <v>207</v>
      </c>
    </row>
    <row r="7">
      <c r="A7" s="203" t="s">
        <v>17</v>
      </c>
      <c r="B7" s="120"/>
      <c r="C7" s="203" t="s">
        <v>1671</v>
      </c>
      <c r="D7" s="204" t="s">
        <v>1672</v>
      </c>
      <c r="E7" s="120" t="str">
        <f t="shared" ref="E7:E19" si="2">CONCATENATE(C7,char(10),D7)</f>
        <v>Temporal Information Retrieval And Question Answering in the Age of LLMs
Bhawna Piryani, Avishek Anand and Adam Jatowt</v>
      </c>
      <c r="F7" s="205" t="s">
        <v>1663</v>
      </c>
      <c r="G7" s="120"/>
      <c r="H7" s="120"/>
      <c r="I7" s="120"/>
      <c r="J7" s="120"/>
      <c r="K7" s="120"/>
      <c r="L7" s="120"/>
      <c r="M7" s="120"/>
      <c r="N7" s="120"/>
      <c r="O7" s="120"/>
      <c r="P7" s="120"/>
      <c r="Q7" s="120"/>
      <c r="R7" s="120"/>
      <c r="S7" s="120"/>
      <c r="T7" s="120"/>
      <c r="U7" s="120"/>
      <c r="V7" s="120"/>
      <c r="W7" s="120"/>
      <c r="X7" s="120"/>
      <c r="Y7" s="120"/>
      <c r="Z7" s="120"/>
      <c r="AA7" s="120"/>
    </row>
    <row r="8">
      <c r="A8" s="203" t="s">
        <v>18</v>
      </c>
      <c r="B8" s="120"/>
      <c r="C8" s="203" t="s">
        <v>1673</v>
      </c>
      <c r="D8" s="204" t="s">
        <v>1674</v>
      </c>
      <c r="E8" s="120" t="str">
        <f t="shared" si="2"/>
        <v>Out-of-distribution Generalized Generative AI
Xin Wang, Yuwei Zhou, Zirui Pan and Wenwu Zhu</v>
      </c>
      <c r="F8" s="205" t="s">
        <v>1663</v>
      </c>
      <c r="G8" s="120"/>
      <c r="H8" s="120"/>
      <c r="I8" s="120"/>
      <c r="J8" s="120"/>
      <c r="K8" s="120"/>
      <c r="L8" s="120"/>
      <c r="M8" s="120"/>
      <c r="N8" s="120"/>
      <c r="O8" s="120"/>
      <c r="P8" s="120"/>
      <c r="Q8" s="120"/>
      <c r="R8" s="120"/>
      <c r="S8" s="120"/>
      <c r="T8" s="120"/>
      <c r="U8" s="120"/>
      <c r="V8" s="120"/>
      <c r="W8" s="120"/>
      <c r="X8" s="120"/>
      <c r="Y8" s="120"/>
      <c r="Z8" s="120"/>
      <c r="AA8" s="120"/>
    </row>
    <row r="9">
      <c r="A9" s="203" t="s">
        <v>19</v>
      </c>
      <c r="B9" s="120"/>
      <c r="C9" s="203" t="s">
        <v>1675</v>
      </c>
      <c r="D9" s="204" t="s">
        <v>1676</v>
      </c>
      <c r="E9" s="120" t="str">
        <f t="shared" si="2"/>
        <v>Towards a Responsible Web: Economic Perspectives on Fairness in Information Retrieval
Chen Xu, Clara Rus, Yuanna Liu, Marleen de Jonge, Jun Xu and Maarten de Rijke</v>
      </c>
      <c r="F9" s="205" t="s">
        <v>1663</v>
      </c>
      <c r="G9" s="120"/>
      <c r="H9" s="120"/>
      <c r="I9" s="120"/>
      <c r="J9" s="120"/>
      <c r="K9" s="120"/>
      <c r="L9" s="120"/>
      <c r="M9" s="120"/>
      <c r="N9" s="120"/>
      <c r="O9" s="120"/>
      <c r="P9" s="120"/>
      <c r="Q9" s="120"/>
      <c r="R9" s="120"/>
      <c r="S9" s="120"/>
      <c r="T9" s="120"/>
      <c r="U9" s="120"/>
      <c r="V9" s="120"/>
      <c r="W9" s="120"/>
      <c r="X9" s="120"/>
      <c r="Y9" s="120"/>
      <c r="Z9" s="120"/>
      <c r="AA9" s="120"/>
    </row>
    <row r="10">
      <c r="A10" s="203" t="s">
        <v>43</v>
      </c>
      <c r="B10" s="120"/>
      <c r="C10" s="203" t="s">
        <v>1677</v>
      </c>
      <c r="D10" s="204" t="s">
        <v>1678</v>
      </c>
      <c r="E10" s="120" t="str">
        <f t="shared" si="2"/>
        <v>Next-Gen Code Development with Collaborative AI Agents
Shweta Garg, Behrooz Omidvar-Tehrani, Shengyu Fu, Gauthier Guinet and Baishakhi Ray</v>
      </c>
      <c r="F10" s="205" t="s">
        <v>1666</v>
      </c>
      <c r="G10" s="120"/>
      <c r="H10" s="120"/>
      <c r="I10" s="120"/>
      <c r="J10" s="120"/>
      <c r="K10" s="120"/>
      <c r="L10" s="120"/>
      <c r="M10" s="120"/>
      <c r="N10" s="120"/>
      <c r="O10" s="120"/>
      <c r="P10" s="120"/>
      <c r="Q10" s="120"/>
      <c r="R10" s="120"/>
      <c r="S10" s="120"/>
      <c r="T10" s="120"/>
      <c r="U10" s="120"/>
      <c r="V10" s="120"/>
      <c r="W10" s="120"/>
      <c r="X10" s="120"/>
      <c r="Y10" s="120"/>
      <c r="Z10" s="120"/>
      <c r="AA10" s="120"/>
    </row>
    <row r="11">
      <c r="A11" s="203" t="s">
        <v>56</v>
      </c>
      <c r="B11" s="120"/>
      <c r="C11" s="203" t="s">
        <v>1679</v>
      </c>
      <c r="D11" s="204" t="s">
        <v>1680</v>
      </c>
      <c r="E11" s="120" t="str">
        <f t="shared" si="2"/>
        <v>LLM-Enhanced Web-Centric Spatio-Temporal Intelligence: Methods, Applications, and Frontier Research
Zijian Zhang, Hao Miao, Yuxuan Liang, Yan Zhao and Irwin King</v>
      </c>
      <c r="F11" s="205" t="s">
        <v>1667</v>
      </c>
      <c r="G11" s="120"/>
      <c r="H11" s="120"/>
      <c r="I11" s="120"/>
      <c r="J11" s="120"/>
      <c r="K11" s="120"/>
      <c r="L11" s="120"/>
      <c r="M11" s="120"/>
      <c r="N11" s="120"/>
      <c r="O11" s="120"/>
      <c r="P11" s="120"/>
      <c r="Q11" s="120"/>
      <c r="R11" s="120"/>
      <c r="S11" s="120"/>
      <c r="T11" s="120"/>
      <c r="U11" s="120"/>
      <c r="V11" s="120"/>
      <c r="W11" s="120"/>
      <c r="X11" s="120"/>
      <c r="Y11" s="120"/>
      <c r="Z11" s="120"/>
      <c r="AA11" s="120"/>
    </row>
    <row r="12">
      <c r="A12" s="203" t="s">
        <v>33</v>
      </c>
      <c r="B12" s="120"/>
      <c r="C12" s="203" t="s">
        <v>1681</v>
      </c>
      <c r="D12" s="204" t="s">
        <v>1682</v>
      </c>
      <c r="E12" s="120" t="str">
        <f t="shared" si="2"/>
        <v>Quantum-Safe, Efficient, and AI-Enhanced Blockchains for the Web: A Cooperative Tutorial on Quantum Computing, Blockchain Applications, and Data Standards
Dongping Liu, Aoyu Zhang and Luyao Zhang</v>
      </c>
      <c r="F12" s="205" t="s">
        <v>1665</v>
      </c>
      <c r="G12" s="120"/>
      <c r="H12" s="120"/>
      <c r="I12" s="120"/>
      <c r="J12" s="120"/>
      <c r="K12" s="120"/>
      <c r="L12" s="120"/>
      <c r="M12" s="120"/>
      <c r="N12" s="120"/>
      <c r="O12" s="120"/>
      <c r="P12" s="120"/>
      <c r="Q12" s="120"/>
      <c r="R12" s="120"/>
      <c r="S12" s="120"/>
      <c r="T12" s="120"/>
      <c r="U12" s="120"/>
      <c r="V12" s="120"/>
      <c r="W12" s="120"/>
      <c r="X12" s="120"/>
      <c r="Y12" s="120"/>
      <c r="Z12" s="120"/>
      <c r="AA12" s="120"/>
    </row>
    <row r="13">
      <c r="A13" s="203" t="s">
        <v>44</v>
      </c>
      <c r="B13" s="120"/>
      <c r="C13" s="203" t="s">
        <v>1683</v>
      </c>
      <c r="D13" s="204" t="s">
        <v>1684</v>
      </c>
      <c r="E13" s="120" t="str">
        <f t="shared" si="2"/>
        <v>Conversational Search: From Fundamentals to Frontiers in the Age of Agents
Chuan Meng, Fengran Mo, Mohammad Aliannejadi, Jeff Dalton and Jian-Yun Nie</v>
      </c>
      <c r="F13" s="205" t="s">
        <v>1666</v>
      </c>
      <c r="G13" s="120"/>
      <c r="H13" s="120"/>
      <c r="I13" s="120"/>
      <c r="J13" s="120"/>
      <c r="K13" s="120"/>
      <c r="L13" s="120"/>
      <c r="M13" s="120"/>
      <c r="N13" s="120"/>
      <c r="O13" s="120"/>
      <c r="P13" s="120"/>
      <c r="Q13" s="120"/>
      <c r="R13" s="120"/>
      <c r="S13" s="120"/>
      <c r="T13" s="120"/>
      <c r="U13" s="120"/>
      <c r="V13" s="120"/>
      <c r="W13" s="120"/>
      <c r="X13" s="120"/>
      <c r="Y13" s="120"/>
      <c r="Z13" s="120"/>
      <c r="AA13" s="120"/>
    </row>
    <row r="14">
      <c r="A14" s="203" t="s">
        <v>34</v>
      </c>
      <c r="B14" s="120"/>
      <c r="C14" s="203" t="s">
        <v>1685</v>
      </c>
      <c r="D14" s="204" t="s">
        <v>1686</v>
      </c>
      <c r="E14" s="120" t="str">
        <f t="shared" si="2"/>
        <v>Bandits, LLMs, and Agentic Web
Djallel Bouneffouf and Raphael Feraud</v>
      </c>
      <c r="F14" s="205" t="s">
        <v>1665</v>
      </c>
      <c r="G14" s="120"/>
      <c r="H14" s="120"/>
      <c r="I14" s="120"/>
      <c r="J14" s="120"/>
      <c r="K14" s="120"/>
      <c r="L14" s="120"/>
      <c r="M14" s="120"/>
      <c r="N14" s="120"/>
      <c r="O14" s="120"/>
      <c r="P14" s="120"/>
      <c r="Q14" s="120"/>
      <c r="R14" s="120"/>
      <c r="S14" s="120"/>
      <c r="T14" s="120"/>
      <c r="U14" s="120"/>
      <c r="V14" s="120"/>
      <c r="W14" s="120"/>
      <c r="X14" s="120"/>
      <c r="Y14" s="120"/>
      <c r="Z14" s="120"/>
      <c r="AA14" s="120"/>
    </row>
    <row r="15">
      <c r="A15" s="203" t="s">
        <v>35</v>
      </c>
      <c r="B15" s="120"/>
      <c r="C15" s="203" t="s">
        <v>1687</v>
      </c>
      <c r="D15" s="203" t="s">
        <v>1688</v>
      </c>
      <c r="E15" s="120" t="str">
        <f t="shared" si="2"/>
        <v>Unstructured to Structured: Building Knowledge Graphs from Documents for Web Applications
Qiang Sun, Yihao Ding, Sirui Li and Wei Liu</v>
      </c>
      <c r="F15" s="205" t="s">
        <v>1665</v>
      </c>
      <c r="G15" s="120"/>
      <c r="H15" s="120"/>
      <c r="I15" s="120"/>
      <c r="J15" s="120"/>
      <c r="K15" s="120"/>
      <c r="L15" s="120"/>
      <c r="M15" s="120"/>
      <c r="N15" s="120"/>
      <c r="O15" s="120"/>
      <c r="P15" s="120"/>
      <c r="Q15" s="120"/>
      <c r="R15" s="120"/>
      <c r="S15" s="120"/>
      <c r="T15" s="120"/>
      <c r="U15" s="120"/>
      <c r="V15" s="120"/>
      <c r="W15" s="120"/>
      <c r="X15" s="120"/>
      <c r="Y15" s="120"/>
      <c r="Z15" s="120"/>
      <c r="AA15" s="120"/>
    </row>
    <row r="16">
      <c r="A16" s="203" t="s">
        <v>45</v>
      </c>
      <c r="B16" s="120"/>
      <c r="C16" s="203" t="s">
        <v>1689</v>
      </c>
      <c r="D16" s="204" t="s">
        <v>1690</v>
      </c>
      <c r="E16" s="120" t="str">
        <f t="shared" si="2"/>
        <v>Foundations for the Agentic Web: Infrastructure, Economics, and Society
Ramesh Raskar and Pradyumna Chari</v>
      </c>
      <c r="F16" s="205" t="s">
        <v>1666</v>
      </c>
      <c r="G16" s="120"/>
      <c r="H16" s="120"/>
      <c r="I16" s="120"/>
      <c r="J16" s="120"/>
      <c r="K16" s="120"/>
      <c r="L16" s="120"/>
      <c r="M16" s="120"/>
      <c r="N16" s="120"/>
      <c r="O16" s="120"/>
      <c r="P16" s="120"/>
      <c r="Q16" s="120"/>
      <c r="R16" s="120"/>
      <c r="S16" s="120"/>
      <c r="T16" s="120"/>
      <c r="U16" s="120"/>
      <c r="V16" s="120"/>
      <c r="W16" s="120"/>
      <c r="X16" s="120"/>
      <c r="Y16" s="120"/>
      <c r="Z16" s="120"/>
      <c r="AA16" s="120"/>
    </row>
    <row r="17">
      <c r="A17" s="203" t="s">
        <v>57</v>
      </c>
      <c r="B17" s="120"/>
      <c r="C17" s="203" t="s">
        <v>1691</v>
      </c>
      <c r="D17" s="204" t="s">
        <v>1692</v>
      </c>
      <c r="E17" s="120" t="str">
        <f t="shared" si="2"/>
        <v>Generalist Model for Structured Data: Foundations, Frontiers and Applications
Peng Cui, Xingxuan Zhang, Han-Jia Ye, Jintai Chen and Shuyang Li</v>
      </c>
      <c r="F17" s="205" t="s">
        <v>1667</v>
      </c>
      <c r="G17" s="120"/>
      <c r="H17" s="120"/>
      <c r="I17" s="120"/>
      <c r="J17" s="120"/>
      <c r="K17" s="120"/>
      <c r="L17" s="120"/>
      <c r="M17" s="120"/>
      <c r="N17" s="120"/>
      <c r="O17" s="120"/>
      <c r="P17" s="120"/>
      <c r="Q17" s="120"/>
      <c r="R17" s="120"/>
      <c r="S17" s="120"/>
      <c r="T17" s="120"/>
      <c r="U17" s="120"/>
      <c r="V17" s="120"/>
      <c r="W17" s="120"/>
      <c r="X17" s="120"/>
      <c r="Y17" s="120"/>
      <c r="Z17" s="120"/>
      <c r="AA17" s="120"/>
    </row>
    <row r="18">
      <c r="A18" s="203" t="s">
        <v>58</v>
      </c>
      <c r="B18" s="120"/>
      <c r="C18" s="203" t="s">
        <v>1693</v>
      </c>
      <c r="D18" s="204" t="s">
        <v>1694</v>
      </c>
      <c r="E18" s="120" t="str">
        <f t="shared" si="2"/>
        <v>Robust Graph Learning on the Web: Challenges, Methods, and Applications
Xiang Ao, Yang Liu, Guansong Pang, Yuanhao Ding, Hezhe Qiao, Dawei Cheng and Qing He</v>
      </c>
      <c r="F18" s="205" t="s">
        <v>1667</v>
      </c>
      <c r="G18" s="120"/>
      <c r="H18" s="120"/>
      <c r="I18" s="120"/>
      <c r="J18" s="120"/>
      <c r="K18" s="120"/>
      <c r="L18" s="120"/>
      <c r="M18" s="120"/>
      <c r="N18" s="120"/>
      <c r="O18" s="120"/>
      <c r="P18" s="120"/>
      <c r="Q18" s="120"/>
      <c r="R18" s="120"/>
      <c r="S18" s="120"/>
      <c r="T18" s="120"/>
      <c r="U18" s="120"/>
      <c r="V18" s="120"/>
      <c r="W18" s="120"/>
      <c r="X18" s="120"/>
      <c r="Y18" s="120"/>
      <c r="Z18" s="120"/>
      <c r="AA18" s="120"/>
    </row>
    <row r="19">
      <c r="A19" s="203" t="s">
        <v>59</v>
      </c>
      <c r="B19" s="120"/>
      <c r="C19" s="203" t="s">
        <v>1695</v>
      </c>
      <c r="D19" s="203" t="s">
        <v>1696</v>
      </c>
      <c r="E19" s="120" t="str">
        <f t="shared" si="2"/>
        <v>Responsible Prompting on the Web: Governance, Mini-Evaluation, and Readiness with ChatGPT
Manali Sharma and Ayush Garg</v>
      </c>
      <c r="F19" s="205" t="s">
        <v>1667</v>
      </c>
      <c r="G19" s="120"/>
      <c r="H19" s="120"/>
      <c r="I19" s="120"/>
      <c r="J19" s="120"/>
      <c r="K19" s="120"/>
      <c r="L19" s="120"/>
      <c r="M19" s="120"/>
      <c r="N19" s="120"/>
      <c r="O19" s="120"/>
      <c r="P19" s="120"/>
      <c r="Q19" s="120"/>
      <c r="R19" s="120"/>
      <c r="S19" s="120"/>
      <c r="T19" s="120"/>
      <c r="U19" s="120"/>
      <c r="V19" s="120"/>
      <c r="W19" s="120"/>
      <c r="X19" s="120"/>
      <c r="Y19" s="120"/>
      <c r="Z19" s="120"/>
      <c r="AA19" s="120"/>
    </row>
    <row r="20">
      <c r="A20" s="120"/>
      <c r="B20" s="120"/>
      <c r="C20" s="120"/>
      <c r="D20" s="120"/>
      <c r="E20" s="120"/>
      <c r="F20" s="120"/>
      <c r="G20" s="120"/>
      <c r="H20" s="120"/>
      <c r="I20" s="120"/>
      <c r="J20" s="120"/>
      <c r="K20" s="120"/>
      <c r="L20" s="120"/>
      <c r="M20" s="120"/>
      <c r="N20" s="120"/>
      <c r="O20" s="120"/>
      <c r="P20" s="120"/>
      <c r="Q20" s="120"/>
      <c r="R20" s="120"/>
      <c r="S20" s="120"/>
      <c r="T20" s="120"/>
      <c r="U20" s="120"/>
      <c r="V20" s="120"/>
      <c r="W20" s="120"/>
      <c r="X20" s="120"/>
      <c r="Y20" s="120"/>
      <c r="Z20" s="120"/>
      <c r="AA20" s="120"/>
    </row>
    <row r="21">
      <c r="A21" s="120"/>
      <c r="B21" s="120"/>
      <c r="C21" s="120"/>
      <c r="D21" s="120"/>
      <c r="E21" s="120"/>
      <c r="F21" s="120"/>
      <c r="G21" s="120"/>
      <c r="H21" s="120"/>
      <c r="I21" s="120"/>
      <c r="J21" s="120"/>
      <c r="K21" s="120"/>
      <c r="L21" s="120"/>
      <c r="M21" s="120"/>
      <c r="N21" s="120"/>
      <c r="O21" s="120"/>
      <c r="P21" s="120"/>
      <c r="Q21" s="120"/>
      <c r="R21" s="120"/>
      <c r="S21" s="120"/>
      <c r="T21" s="120"/>
      <c r="U21" s="120"/>
      <c r="V21" s="120"/>
      <c r="W21" s="120"/>
      <c r="X21" s="120"/>
      <c r="Y21" s="120"/>
      <c r="Z21" s="120"/>
      <c r="AA21" s="120"/>
    </row>
    <row r="22">
      <c r="A22" s="120"/>
      <c r="B22" s="120"/>
      <c r="C22" s="120"/>
      <c r="D22" s="120"/>
      <c r="E22" s="120"/>
      <c r="F22" s="120"/>
      <c r="G22" s="120"/>
      <c r="H22" s="120"/>
      <c r="I22" s="120"/>
      <c r="J22" s="120"/>
      <c r="K22" s="120"/>
      <c r="L22" s="120"/>
      <c r="M22" s="120"/>
      <c r="N22" s="120"/>
      <c r="O22" s="120"/>
      <c r="P22" s="120"/>
      <c r="Q22" s="120"/>
      <c r="R22" s="120"/>
      <c r="S22" s="120"/>
      <c r="T22" s="120"/>
      <c r="U22" s="120"/>
      <c r="V22" s="120"/>
      <c r="W22" s="120"/>
      <c r="X22" s="120"/>
      <c r="Y22" s="120"/>
      <c r="Z22" s="120"/>
      <c r="AA22" s="120"/>
    </row>
    <row r="23">
      <c r="A23" s="120"/>
      <c r="B23" s="120"/>
      <c r="C23" s="120"/>
      <c r="D23" s="120"/>
      <c r="E23" s="120"/>
      <c r="F23" s="120"/>
      <c r="G23" s="120"/>
      <c r="H23" s="120"/>
      <c r="I23" s="120"/>
      <c r="J23" s="120"/>
      <c r="K23" s="120"/>
      <c r="L23" s="120"/>
      <c r="M23" s="120"/>
      <c r="N23" s="120"/>
      <c r="O23" s="120"/>
      <c r="P23" s="120"/>
      <c r="Q23" s="120"/>
      <c r="R23" s="120"/>
      <c r="S23" s="120"/>
      <c r="T23" s="120"/>
      <c r="U23" s="120"/>
      <c r="V23" s="120"/>
      <c r="W23" s="120"/>
      <c r="X23" s="120"/>
      <c r="Y23" s="120"/>
      <c r="Z23" s="120"/>
      <c r="AA23" s="120"/>
    </row>
    <row r="24">
      <c r="A24" s="120"/>
      <c r="B24" s="120"/>
      <c r="C24" s="206"/>
      <c r="D24" s="120"/>
      <c r="E24" s="120"/>
      <c r="F24" s="120"/>
      <c r="G24" s="120"/>
      <c r="H24" s="120"/>
      <c r="I24" s="120"/>
      <c r="J24" s="120"/>
      <c r="K24" s="120"/>
      <c r="L24" s="120"/>
      <c r="M24" s="120"/>
      <c r="N24" s="120"/>
      <c r="O24" s="120"/>
      <c r="P24" s="120"/>
      <c r="Q24" s="120"/>
      <c r="R24" s="120"/>
      <c r="S24" s="120"/>
      <c r="T24" s="120"/>
      <c r="U24" s="120"/>
      <c r="V24" s="120"/>
      <c r="W24" s="120"/>
      <c r="X24" s="120"/>
      <c r="Y24" s="120"/>
      <c r="Z24" s="120"/>
      <c r="AA24" s="120"/>
    </row>
    <row r="25">
      <c r="A25" s="120"/>
      <c r="B25" s="120"/>
      <c r="C25" s="206"/>
      <c r="D25" s="120"/>
      <c r="E25" s="120"/>
      <c r="F25" s="120"/>
      <c r="G25" s="120"/>
      <c r="H25" s="120"/>
      <c r="I25" s="120"/>
      <c r="J25" s="120"/>
      <c r="K25" s="120"/>
      <c r="L25" s="120"/>
      <c r="M25" s="120"/>
      <c r="N25" s="120"/>
      <c r="O25" s="120"/>
      <c r="P25" s="120"/>
      <c r="Q25" s="120"/>
      <c r="R25" s="120"/>
      <c r="S25" s="120"/>
      <c r="T25" s="120"/>
      <c r="U25" s="120"/>
      <c r="V25" s="120"/>
      <c r="W25" s="120"/>
      <c r="X25" s="120"/>
      <c r="Y25" s="120"/>
      <c r="Z25" s="120"/>
      <c r="AA25" s="120"/>
    </row>
    <row r="26">
      <c r="A26" s="120"/>
      <c r="B26" s="120"/>
      <c r="C26" s="206"/>
      <c r="D26" s="120"/>
      <c r="E26" s="120"/>
      <c r="F26" s="120"/>
      <c r="G26" s="120"/>
      <c r="H26" s="120"/>
      <c r="I26" s="120"/>
      <c r="J26" s="120"/>
      <c r="K26" s="120"/>
      <c r="L26" s="120"/>
      <c r="M26" s="120"/>
      <c r="N26" s="120"/>
      <c r="O26" s="120"/>
      <c r="P26" s="120"/>
      <c r="Q26" s="120"/>
      <c r="R26" s="120"/>
      <c r="S26" s="120"/>
      <c r="T26" s="120"/>
      <c r="U26" s="120"/>
      <c r="V26" s="120"/>
      <c r="W26" s="120"/>
      <c r="X26" s="120"/>
      <c r="Y26" s="120"/>
      <c r="Z26" s="120"/>
      <c r="AA26" s="120"/>
    </row>
    <row r="27">
      <c r="A27" s="120"/>
      <c r="B27" s="120"/>
      <c r="C27" s="206"/>
      <c r="D27" s="120"/>
      <c r="E27" s="120"/>
      <c r="F27" s="120"/>
      <c r="G27" s="120"/>
      <c r="H27" s="120"/>
      <c r="I27" s="120"/>
      <c r="J27" s="120"/>
      <c r="K27" s="120"/>
      <c r="L27" s="120"/>
      <c r="M27" s="120"/>
      <c r="N27" s="120"/>
      <c r="O27" s="120"/>
      <c r="P27" s="120"/>
      <c r="Q27" s="120"/>
      <c r="R27" s="120"/>
      <c r="S27" s="120"/>
      <c r="T27" s="120"/>
      <c r="U27" s="120"/>
      <c r="V27" s="120"/>
      <c r="W27" s="120"/>
      <c r="X27" s="120"/>
      <c r="Y27" s="120"/>
      <c r="Z27" s="120"/>
      <c r="AA27" s="120"/>
    </row>
    <row r="28">
      <c r="A28" s="120"/>
      <c r="B28" s="120"/>
      <c r="C28" s="206"/>
      <c r="D28" s="120"/>
      <c r="E28" s="120"/>
      <c r="F28" s="120"/>
      <c r="G28" s="120"/>
      <c r="H28" s="120"/>
      <c r="I28" s="120"/>
      <c r="J28" s="120"/>
      <c r="K28" s="120"/>
      <c r="L28" s="120"/>
      <c r="M28" s="120"/>
      <c r="N28" s="120"/>
      <c r="O28" s="120"/>
      <c r="P28" s="120"/>
      <c r="Q28" s="120"/>
      <c r="R28" s="120"/>
      <c r="S28" s="120"/>
      <c r="T28" s="120"/>
      <c r="U28" s="120"/>
      <c r="V28" s="120"/>
      <c r="W28" s="120"/>
      <c r="X28" s="120"/>
      <c r="Y28" s="120"/>
      <c r="Z28" s="120"/>
      <c r="AA28" s="120"/>
    </row>
    <row r="29">
      <c r="A29" s="120"/>
      <c r="B29" s="120"/>
      <c r="C29" s="206"/>
      <c r="D29" s="120"/>
      <c r="E29" s="120"/>
      <c r="F29" s="120"/>
      <c r="G29" s="120"/>
      <c r="H29" s="120"/>
      <c r="I29" s="120"/>
      <c r="J29" s="120"/>
      <c r="K29" s="120"/>
      <c r="L29" s="120"/>
      <c r="M29" s="120"/>
      <c r="N29" s="120"/>
      <c r="O29" s="120"/>
      <c r="P29" s="120"/>
      <c r="Q29" s="120"/>
      <c r="R29" s="120"/>
      <c r="S29" s="120"/>
      <c r="T29" s="120"/>
      <c r="U29" s="120"/>
      <c r="V29" s="120"/>
      <c r="W29" s="120"/>
      <c r="X29" s="120"/>
      <c r="Y29" s="120"/>
      <c r="Z29" s="120"/>
      <c r="AA29" s="120"/>
    </row>
    <row r="30">
      <c r="A30" s="120"/>
      <c r="B30" s="120"/>
      <c r="C30" s="206"/>
      <c r="D30" s="120"/>
      <c r="E30" s="120"/>
      <c r="F30" s="120"/>
      <c r="G30" s="120"/>
      <c r="H30" s="120"/>
      <c r="I30" s="120"/>
      <c r="J30" s="120"/>
      <c r="K30" s="120"/>
      <c r="L30" s="120"/>
      <c r="M30" s="120"/>
      <c r="N30" s="120"/>
      <c r="O30" s="120"/>
      <c r="P30" s="120"/>
      <c r="Q30" s="120"/>
      <c r="R30" s="120"/>
      <c r="S30" s="120"/>
      <c r="T30" s="120"/>
      <c r="U30" s="120"/>
      <c r="V30" s="120"/>
      <c r="W30" s="120"/>
      <c r="X30" s="120"/>
      <c r="Y30" s="120"/>
      <c r="Z30" s="120"/>
      <c r="AA30" s="120"/>
    </row>
    <row r="31">
      <c r="A31" s="120"/>
      <c r="B31" s="120"/>
      <c r="C31" s="206"/>
      <c r="D31" s="120"/>
      <c r="E31" s="120"/>
      <c r="F31" s="120"/>
      <c r="G31" s="120"/>
      <c r="H31" s="120"/>
      <c r="I31" s="120"/>
      <c r="J31" s="120"/>
      <c r="K31" s="120"/>
      <c r="L31" s="120"/>
      <c r="M31" s="120"/>
      <c r="N31" s="120"/>
      <c r="O31" s="120"/>
      <c r="P31" s="120"/>
      <c r="Q31" s="120"/>
      <c r="R31" s="120"/>
      <c r="S31" s="120"/>
      <c r="T31" s="120"/>
      <c r="U31" s="120"/>
      <c r="V31" s="120"/>
      <c r="W31" s="120"/>
      <c r="X31" s="120"/>
      <c r="Y31" s="120"/>
      <c r="Z31" s="120"/>
      <c r="AA31" s="120"/>
    </row>
    <row r="32">
      <c r="A32" s="120"/>
      <c r="B32" s="120"/>
      <c r="C32" s="206"/>
      <c r="D32" s="120"/>
      <c r="E32" s="120"/>
      <c r="F32" s="120"/>
      <c r="G32" s="120"/>
      <c r="H32" s="120"/>
      <c r="I32" s="120"/>
      <c r="J32" s="120"/>
      <c r="K32" s="120"/>
      <c r="L32" s="120"/>
      <c r="M32" s="120"/>
      <c r="N32" s="120"/>
      <c r="O32" s="120"/>
      <c r="P32" s="120"/>
      <c r="Q32" s="120"/>
      <c r="R32" s="120"/>
      <c r="S32" s="120"/>
      <c r="T32" s="120"/>
      <c r="U32" s="120"/>
      <c r="V32" s="120"/>
      <c r="W32" s="120"/>
      <c r="X32" s="120"/>
      <c r="Y32" s="120"/>
      <c r="Z32" s="120"/>
      <c r="AA32" s="120"/>
    </row>
    <row r="33">
      <c r="A33" s="120"/>
      <c r="B33" s="120"/>
      <c r="C33" s="206"/>
      <c r="D33" s="120"/>
      <c r="E33" s="120"/>
      <c r="F33" s="120"/>
      <c r="G33" s="120"/>
      <c r="H33" s="120"/>
      <c r="I33" s="120"/>
      <c r="J33" s="120"/>
      <c r="K33" s="120"/>
      <c r="L33" s="120"/>
      <c r="M33" s="120"/>
      <c r="N33" s="120"/>
      <c r="O33" s="120"/>
      <c r="P33" s="120"/>
      <c r="Q33" s="120"/>
      <c r="R33" s="120"/>
      <c r="S33" s="120"/>
      <c r="T33" s="120"/>
      <c r="U33" s="120"/>
      <c r="V33" s="120"/>
      <c r="W33" s="120"/>
      <c r="X33" s="120"/>
      <c r="Y33" s="120"/>
      <c r="Z33" s="120"/>
      <c r="AA33" s="120"/>
    </row>
    <row r="34">
      <c r="A34" s="120"/>
      <c r="B34" s="120"/>
      <c r="C34" s="206"/>
      <c r="D34" s="120"/>
      <c r="E34" s="120"/>
      <c r="F34" s="120"/>
      <c r="G34" s="120"/>
      <c r="H34" s="120"/>
      <c r="I34" s="120"/>
      <c r="J34" s="120"/>
      <c r="K34" s="120"/>
      <c r="L34" s="120"/>
      <c r="M34" s="120"/>
      <c r="N34" s="120"/>
      <c r="O34" s="120"/>
      <c r="P34" s="120"/>
      <c r="Q34" s="120"/>
      <c r="R34" s="120"/>
      <c r="S34" s="120"/>
      <c r="T34" s="120"/>
      <c r="U34" s="120"/>
      <c r="V34" s="120"/>
      <c r="W34" s="120"/>
      <c r="X34" s="120"/>
      <c r="Y34" s="120"/>
      <c r="Z34" s="120"/>
      <c r="AA34" s="120"/>
    </row>
    <row r="35">
      <c r="A35" s="120"/>
      <c r="B35" s="120"/>
      <c r="C35" s="206"/>
      <c r="D35" s="120"/>
      <c r="E35" s="120"/>
      <c r="F35" s="120"/>
      <c r="G35" s="120"/>
      <c r="H35" s="120"/>
      <c r="I35" s="120"/>
      <c r="J35" s="120"/>
      <c r="K35" s="120"/>
      <c r="L35" s="120"/>
      <c r="M35" s="120"/>
      <c r="N35" s="120"/>
      <c r="O35" s="120"/>
      <c r="P35" s="120"/>
      <c r="Q35" s="120"/>
      <c r="R35" s="120"/>
      <c r="S35" s="120"/>
      <c r="T35" s="120"/>
      <c r="U35" s="120"/>
      <c r="V35" s="120"/>
      <c r="W35" s="120"/>
      <c r="X35" s="120"/>
      <c r="Y35" s="120"/>
      <c r="Z35" s="120"/>
      <c r="AA35" s="120"/>
    </row>
    <row r="36">
      <c r="A36" s="120"/>
      <c r="B36" s="120"/>
      <c r="C36" s="206"/>
      <c r="D36" s="120"/>
      <c r="E36" s="120"/>
      <c r="F36" s="120"/>
      <c r="G36" s="120"/>
      <c r="H36" s="120"/>
      <c r="I36" s="120"/>
      <c r="J36" s="120"/>
      <c r="K36" s="120"/>
      <c r="L36" s="120"/>
      <c r="M36" s="120"/>
      <c r="N36" s="120"/>
      <c r="O36" s="120"/>
      <c r="P36" s="120"/>
      <c r="Q36" s="120"/>
      <c r="R36" s="120"/>
      <c r="S36" s="120"/>
      <c r="T36" s="120"/>
      <c r="U36" s="120"/>
      <c r="V36" s="120"/>
      <c r="W36" s="120"/>
      <c r="X36" s="120"/>
      <c r="Y36" s="120"/>
      <c r="Z36" s="120"/>
      <c r="AA36" s="120"/>
    </row>
    <row r="37">
      <c r="A37" s="120"/>
      <c r="B37" s="120"/>
      <c r="C37" s="120"/>
      <c r="D37" s="120"/>
      <c r="E37" s="120"/>
      <c r="F37" s="120"/>
      <c r="G37" s="120"/>
      <c r="H37" s="120"/>
      <c r="I37" s="120"/>
      <c r="J37" s="120"/>
      <c r="K37" s="120"/>
      <c r="L37" s="120"/>
      <c r="M37" s="120"/>
      <c r="N37" s="120"/>
      <c r="O37" s="120"/>
      <c r="P37" s="120"/>
      <c r="Q37" s="120"/>
      <c r="R37" s="120"/>
      <c r="S37" s="120"/>
      <c r="T37" s="120"/>
      <c r="U37" s="120"/>
      <c r="V37" s="120"/>
      <c r="W37" s="120"/>
      <c r="X37" s="120"/>
      <c r="Y37" s="120"/>
      <c r="Z37" s="120"/>
      <c r="AA37" s="120"/>
    </row>
    <row r="38">
      <c r="A38" s="120"/>
      <c r="B38" s="120"/>
      <c r="C38" s="120"/>
      <c r="D38" s="120"/>
      <c r="E38" s="120"/>
      <c r="F38" s="120"/>
      <c r="G38" s="120"/>
      <c r="H38" s="120"/>
      <c r="I38" s="120"/>
      <c r="J38" s="120"/>
      <c r="K38" s="120"/>
      <c r="L38" s="120"/>
      <c r="M38" s="120"/>
      <c r="N38" s="120"/>
      <c r="O38" s="120"/>
      <c r="P38" s="120"/>
      <c r="Q38" s="120"/>
      <c r="R38" s="120"/>
      <c r="S38" s="120"/>
      <c r="T38" s="120"/>
      <c r="U38" s="120"/>
      <c r="V38" s="120"/>
      <c r="W38" s="120"/>
      <c r="X38" s="120"/>
      <c r="Y38" s="120"/>
      <c r="Z38" s="120"/>
      <c r="AA38" s="120"/>
    </row>
    <row r="39">
      <c r="A39" s="120"/>
      <c r="B39" s="120"/>
      <c r="C39" s="120"/>
      <c r="D39" s="120"/>
      <c r="E39" s="120"/>
      <c r="F39" s="120"/>
      <c r="G39" s="120"/>
      <c r="H39" s="120"/>
      <c r="I39" s="120"/>
      <c r="J39" s="120"/>
      <c r="K39" s="120"/>
      <c r="L39" s="120"/>
      <c r="M39" s="120"/>
      <c r="N39" s="120"/>
      <c r="O39" s="120"/>
      <c r="P39" s="120"/>
      <c r="Q39" s="120"/>
      <c r="R39" s="120"/>
      <c r="S39" s="120"/>
      <c r="T39" s="120"/>
      <c r="U39" s="120"/>
      <c r="V39" s="120"/>
      <c r="W39" s="120"/>
      <c r="X39" s="120"/>
      <c r="Y39" s="120"/>
      <c r="Z39" s="120"/>
      <c r="AA39" s="120"/>
    </row>
    <row r="40">
      <c r="A40" s="120"/>
      <c r="B40" s="120"/>
      <c r="C40" s="120"/>
      <c r="D40" s="120"/>
      <c r="E40" s="120"/>
      <c r="F40" s="120"/>
      <c r="G40" s="120"/>
      <c r="H40" s="120"/>
      <c r="I40" s="120"/>
      <c r="J40" s="120"/>
      <c r="K40" s="120"/>
      <c r="L40" s="120"/>
      <c r="M40" s="120"/>
      <c r="N40" s="120"/>
      <c r="O40" s="120"/>
      <c r="P40" s="120"/>
      <c r="Q40" s="120"/>
      <c r="R40" s="120"/>
      <c r="S40" s="120"/>
      <c r="T40" s="120"/>
      <c r="U40" s="120"/>
      <c r="V40" s="120"/>
      <c r="W40" s="120"/>
      <c r="X40" s="120"/>
      <c r="Y40" s="120"/>
      <c r="Z40" s="120"/>
      <c r="AA40" s="120"/>
    </row>
    <row r="41">
      <c r="A41" s="120"/>
      <c r="B41" s="120"/>
      <c r="C41" s="120"/>
      <c r="D41" s="120"/>
      <c r="E41" s="120"/>
      <c r="F41" s="120"/>
      <c r="G41" s="120"/>
      <c r="H41" s="120"/>
      <c r="I41" s="120"/>
      <c r="J41" s="120"/>
      <c r="K41" s="120"/>
      <c r="L41" s="120"/>
      <c r="M41" s="120"/>
      <c r="N41" s="120"/>
      <c r="O41" s="120"/>
      <c r="P41" s="120"/>
      <c r="Q41" s="120"/>
      <c r="R41" s="120"/>
      <c r="S41" s="120"/>
      <c r="T41" s="120"/>
      <c r="U41" s="120"/>
      <c r="V41" s="120"/>
      <c r="W41" s="120"/>
      <c r="X41" s="120"/>
      <c r="Y41" s="120"/>
      <c r="Z41" s="120"/>
      <c r="AA41" s="120"/>
    </row>
    <row r="42">
      <c r="A42" s="120"/>
      <c r="B42" s="120"/>
      <c r="C42" s="120"/>
      <c r="D42" s="120"/>
      <c r="E42" s="120"/>
      <c r="F42" s="120"/>
      <c r="G42" s="120"/>
      <c r="H42" s="120"/>
      <c r="I42" s="120"/>
      <c r="J42" s="120"/>
      <c r="K42" s="120"/>
      <c r="L42" s="120"/>
      <c r="M42" s="120"/>
      <c r="N42" s="120"/>
      <c r="O42" s="120"/>
      <c r="P42" s="120"/>
      <c r="Q42" s="120"/>
      <c r="R42" s="120"/>
      <c r="S42" s="120"/>
      <c r="T42" s="120"/>
      <c r="U42" s="120"/>
      <c r="V42" s="120"/>
      <c r="W42" s="120"/>
      <c r="X42" s="120"/>
      <c r="Y42" s="120"/>
      <c r="Z42" s="120"/>
      <c r="AA42" s="120"/>
    </row>
    <row r="43">
      <c r="A43" s="120"/>
      <c r="B43" s="120"/>
      <c r="C43" s="120"/>
      <c r="D43" s="120"/>
      <c r="E43" s="120"/>
      <c r="F43" s="120"/>
      <c r="G43" s="120"/>
      <c r="H43" s="120"/>
      <c r="I43" s="120"/>
      <c r="J43" s="120"/>
      <c r="K43" s="120"/>
      <c r="L43" s="120"/>
      <c r="M43" s="120"/>
      <c r="N43" s="120"/>
      <c r="O43" s="120"/>
      <c r="P43" s="120"/>
      <c r="Q43" s="120"/>
      <c r="R43" s="120"/>
      <c r="S43" s="120"/>
      <c r="T43" s="120"/>
      <c r="U43" s="120"/>
      <c r="V43" s="120"/>
      <c r="W43" s="120"/>
      <c r="X43" s="120"/>
      <c r="Y43" s="120"/>
      <c r="Z43" s="120"/>
      <c r="AA43" s="120"/>
    </row>
    <row r="44">
      <c r="A44" s="120"/>
      <c r="B44" s="120"/>
      <c r="C44" s="120"/>
      <c r="D44" s="120"/>
      <c r="E44" s="120"/>
      <c r="F44" s="120"/>
      <c r="G44" s="120"/>
      <c r="H44" s="120"/>
      <c r="I44" s="120"/>
      <c r="J44" s="120"/>
      <c r="K44" s="120"/>
      <c r="L44" s="120"/>
      <c r="M44" s="120"/>
      <c r="N44" s="120"/>
      <c r="O44" s="120"/>
      <c r="P44" s="120"/>
      <c r="Q44" s="120"/>
      <c r="R44" s="120"/>
      <c r="S44" s="120"/>
      <c r="T44" s="120"/>
      <c r="U44" s="120"/>
      <c r="V44" s="120"/>
      <c r="W44" s="120"/>
      <c r="X44" s="120"/>
      <c r="Y44" s="120"/>
      <c r="Z44" s="120"/>
      <c r="AA44" s="120"/>
    </row>
    <row r="45">
      <c r="A45" s="120"/>
      <c r="B45" s="120"/>
      <c r="C45" s="120"/>
      <c r="D45" s="120"/>
      <c r="E45" s="120"/>
      <c r="F45" s="120"/>
      <c r="G45" s="120"/>
      <c r="H45" s="120"/>
      <c r="I45" s="120"/>
      <c r="J45" s="120"/>
      <c r="K45" s="120"/>
      <c r="L45" s="120"/>
      <c r="M45" s="120"/>
      <c r="N45" s="120"/>
      <c r="O45" s="120"/>
      <c r="P45" s="120"/>
      <c r="Q45" s="120"/>
      <c r="R45" s="120"/>
      <c r="S45" s="120"/>
      <c r="T45" s="120"/>
      <c r="U45" s="120"/>
      <c r="V45" s="120"/>
      <c r="W45" s="120"/>
      <c r="X45" s="120"/>
      <c r="Y45" s="120"/>
      <c r="Z45" s="120"/>
      <c r="AA45" s="120"/>
    </row>
    <row r="46">
      <c r="A46" s="120"/>
      <c r="B46" s="120"/>
      <c r="C46" s="120"/>
      <c r="D46" s="120"/>
      <c r="E46" s="120"/>
      <c r="F46" s="120"/>
      <c r="G46" s="120"/>
      <c r="H46" s="120"/>
      <c r="I46" s="120"/>
      <c r="J46" s="120"/>
      <c r="K46" s="120"/>
      <c r="L46" s="120"/>
      <c r="M46" s="120"/>
      <c r="N46" s="120"/>
      <c r="O46" s="120"/>
      <c r="P46" s="120"/>
      <c r="Q46" s="120"/>
      <c r="R46" s="120"/>
      <c r="S46" s="120"/>
      <c r="T46" s="120"/>
      <c r="U46" s="120"/>
      <c r="V46" s="120"/>
      <c r="W46" s="120"/>
      <c r="X46" s="120"/>
      <c r="Y46" s="120"/>
      <c r="Z46" s="120"/>
      <c r="AA46" s="120"/>
    </row>
    <row r="47">
      <c r="A47" s="120"/>
      <c r="B47" s="120"/>
      <c r="C47" s="120"/>
      <c r="D47" s="120"/>
      <c r="E47" s="120"/>
      <c r="F47" s="120"/>
      <c r="G47" s="120"/>
      <c r="H47" s="120"/>
      <c r="I47" s="120"/>
      <c r="J47" s="120"/>
      <c r="K47" s="120"/>
      <c r="L47" s="120"/>
      <c r="M47" s="120"/>
      <c r="N47" s="120"/>
      <c r="O47" s="120"/>
      <c r="P47" s="120"/>
      <c r="Q47" s="120"/>
      <c r="R47" s="120"/>
      <c r="S47" s="120"/>
      <c r="T47" s="120"/>
      <c r="U47" s="120"/>
      <c r="V47" s="120"/>
      <c r="W47" s="120"/>
      <c r="X47" s="120"/>
      <c r="Y47" s="120"/>
      <c r="Z47" s="120"/>
      <c r="AA47" s="120"/>
    </row>
    <row r="48">
      <c r="A48" s="120"/>
      <c r="B48" s="120"/>
      <c r="C48" s="120"/>
      <c r="D48" s="120"/>
      <c r="E48" s="120"/>
      <c r="F48" s="120"/>
      <c r="G48" s="120"/>
      <c r="H48" s="120"/>
      <c r="I48" s="120"/>
      <c r="J48" s="120"/>
      <c r="K48" s="120"/>
      <c r="L48" s="120"/>
      <c r="M48" s="120"/>
      <c r="N48" s="120"/>
      <c r="O48" s="120"/>
      <c r="P48" s="120"/>
      <c r="Q48" s="120"/>
      <c r="R48" s="120"/>
      <c r="S48" s="120"/>
      <c r="T48" s="120"/>
      <c r="U48" s="120"/>
      <c r="V48" s="120"/>
      <c r="W48" s="120"/>
      <c r="X48" s="120"/>
      <c r="Y48" s="120"/>
      <c r="Z48" s="120"/>
      <c r="AA48" s="120"/>
    </row>
    <row r="49">
      <c r="A49" s="120"/>
      <c r="B49" s="120"/>
      <c r="C49" s="120"/>
      <c r="D49" s="120"/>
      <c r="E49" s="120"/>
      <c r="F49" s="120"/>
      <c r="G49" s="120"/>
      <c r="H49" s="120"/>
      <c r="I49" s="120"/>
      <c r="J49" s="120"/>
      <c r="K49" s="120"/>
      <c r="L49" s="120"/>
      <c r="M49" s="120"/>
      <c r="N49" s="120"/>
      <c r="O49" s="120"/>
      <c r="P49" s="120"/>
      <c r="Q49" s="120"/>
      <c r="R49" s="120"/>
      <c r="S49" s="120"/>
      <c r="T49" s="120"/>
      <c r="U49" s="120"/>
      <c r="V49" s="120"/>
      <c r="W49" s="120"/>
      <c r="X49" s="120"/>
      <c r="Y49" s="120"/>
      <c r="Z49" s="120"/>
      <c r="AA49" s="120"/>
    </row>
    <row r="50">
      <c r="A50" s="120"/>
      <c r="B50" s="120"/>
      <c r="C50" s="120"/>
      <c r="D50" s="120"/>
      <c r="E50" s="120"/>
      <c r="F50" s="120"/>
      <c r="G50" s="120"/>
      <c r="H50" s="120"/>
      <c r="I50" s="120"/>
      <c r="J50" s="120"/>
      <c r="K50" s="120"/>
      <c r="L50" s="120"/>
      <c r="M50" s="120"/>
      <c r="N50" s="120"/>
      <c r="O50" s="120"/>
      <c r="P50" s="120"/>
      <c r="Q50" s="120"/>
      <c r="R50" s="120"/>
      <c r="S50" s="120"/>
      <c r="T50" s="120"/>
      <c r="U50" s="120"/>
      <c r="V50" s="120"/>
      <c r="W50" s="120"/>
      <c r="X50" s="120"/>
      <c r="Y50" s="120"/>
      <c r="Z50" s="120"/>
      <c r="AA50" s="120"/>
    </row>
    <row r="51">
      <c r="A51" s="120"/>
      <c r="B51" s="120"/>
      <c r="C51" s="120"/>
      <c r="D51" s="120"/>
      <c r="E51" s="120"/>
      <c r="F51" s="120"/>
      <c r="G51" s="120"/>
      <c r="H51" s="120"/>
      <c r="I51" s="120"/>
      <c r="J51" s="120"/>
      <c r="K51" s="120"/>
      <c r="L51" s="120"/>
      <c r="M51" s="120"/>
      <c r="N51" s="120"/>
      <c r="O51" s="120"/>
      <c r="P51" s="120"/>
      <c r="Q51" s="120"/>
      <c r="R51" s="120"/>
      <c r="S51" s="120"/>
      <c r="T51" s="120"/>
      <c r="U51" s="120"/>
      <c r="V51" s="120"/>
      <c r="W51" s="120"/>
      <c r="X51" s="120"/>
      <c r="Y51" s="120"/>
      <c r="Z51" s="120"/>
      <c r="AA51" s="120"/>
    </row>
    <row r="52">
      <c r="A52" s="120"/>
      <c r="B52" s="120"/>
      <c r="C52" s="120"/>
      <c r="D52" s="120"/>
      <c r="E52" s="120"/>
      <c r="F52" s="120"/>
      <c r="G52" s="120"/>
      <c r="H52" s="120"/>
      <c r="I52" s="120"/>
      <c r="J52" s="120"/>
      <c r="K52" s="120"/>
      <c r="L52" s="120"/>
      <c r="M52" s="120"/>
      <c r="N52" s="120"/>
      <c r="O52" s="120"/>
      <c r="P52" s="120"/>
      <c r="Q52" s="120"/>
      <c r="R52" s="120"/>
      <c r="S52" s="120"/>
      <c r="T52" s="120"/>
      <c r="U52" s="120"/>
      <c r="V52" s="120"/>
      <c r="W52" s="120"/>
      <c r="X52" s="120"/>
      <c r="Y52" s="120"/>
      <c r="Z52" s="120"/>
      <c r="AA52" s="120"/>
    </row>
    <row r="53">
      <c r="A53" s="120"/>
      <c r="B53" s="120"/>
      <c r="C53" s="120"/>
      <c r="D53" s="120"/>
      <c r="E53" s="120"/>
      <c r="F53" s="120"/>
      <c r="G53" s="120"/>
      <c r="H53" s="120"/>
      <c r="I53" s="120"/>
      <c r="J53" s="120"/>
      <c r="K53" s="120"/>
      <c r="L53" s="120"/>
      <c r="M53" s="120"/>
      <c r="N53" s="120"/>
      <c r="O53" s="120"/>
      <c r="P53" s="120"/>
      <c r="Q53" s="120"/>
      <c r="R53" s="120"/>
      <c r="S53" s="120"/>
      <c r="T53" s="120"/>
      <c r="U53" s="120"/>
      <c r="V53" s="120"/>
      <c r="W53" s="120"/>
      <c r="X53" s="120"/>
      <c r="Y53" s="120"/>
      <c r="Z53" s="120"/>
      <c r="AA53" s="120"/>
    </row>
    <row r="54">
      <c r="A54" s="120"/>
      <c r="B54" s="120"/>
      <c r="C54" s="120"/>
      <c r="D54" s="120"/>
      <c r="E54" s="120"/>
      <c r="F54" s="120"/>
      <c r="G54" s="120"/>
      <c r="H54" s="120"/>
      <c r="I54" s="120"/>
      <c r="J54" s="120"/>
      <c r="K54" s="120"/>
      <c r="L54" s="120"/>
      <c r="M54" s="120"/>
      <c r="N54" s="120"/>
      <c r="O54" s="120"/>
      <c r="P54" s="120"/>
      <c r="Q54" s="120"/>
      <c r="R54" s="120"/>
      <c r="S54" s="120"/>
      <c r="T54" s="120"/>
      <c r="U54" s="120"/>
      <c r="V54" s="120"/>
      <c r="W54" s="120"/>
      <c r="X54" s="120"/>
      <c r="Y54" s="120"/>
      <c r="Z54" s="120"/>
      <c r="AA54" s="120"/>
    </row>
    <row r="55">
      <c r="A55" s="120"/>
      <c r="B55" s="120"/>
      <c r="C55" s="120"/>
      <c r="D55" s="120"/>
      <c r="E55" s="120"/>
      <c r="F55" s="120"/>
      <c r="G55" s="120"/>
      <c r="H55" s="120"/>
      <c r="I55" s="120"/>
      <c r="J55" s="120"/>
      <c r="K55" s="120"/>
      <c r="L55" s="120"/>
      <c r="M55" s="120"/>
      <c r="N55" s="120"/>
      <c r="O55" s="120"/>
      <c r="P55" s="120"/>
      <c r="Q55" s="120"/>
      <c r="R55" s="120"/>
      <c r="S55" s="120"/>
      <c r="T55" s="120"/>
      <c r="U55" s="120"/>
      <c r="V55" s="120"/>
      <c r="W55" s="120"/>
      <c r="X55" s="120"/>
      <c r="Y55" s="120"/>
      <c r="Z55" s="120"/>
      <c r="AA55" s="120"/>
    </row>
    <row r="56">
      <c r="A56" s="120"/>
      <c r="B56" s="120"/>
      <c r="C56" s="120"/>
      <c r="D56" s="120"/>
      <c r="E56" s="120"/>
      <c r="F56" s="120"/>
      <c r="G56" s="120"/>
      <c r="H56" s="120"/>
      <c r="I56" s="120"/>
      <c r="J56" s="120"/>
      <c r="K56" s="120"/>
      <c r="L56" s="120"/>
      <c r="M56" s="120"/>
      <c r="N56" s="120"/>
      <c r="O56" s="120"/>
      <c r="P56" s="120"/>
      <c r="Q56" s="120"/>
      <c r="R56" s="120"/>
      <c r="S56" s="120"/>
      <c r="T56" s="120"/>
      <c r="U56" s="120"/>
      <c r="V56" s="120"/>
      <c r="W56" s="120"/>
      <c r="X56" s="120"/>
      <c r="Y56" s="120"/>
      <c r="Z56" s="120"/>
      <c r="AA56" s="120"/>
    </row>
    <row r="57">
      <c r="A57" s="120"/>
      <c r="B57" s="120"/>
      <c r="C57" s="120"/>
      <c r="D57" s="120"/>
      <c r="E57" s="120"/>
      <c r="F57" s="120"/>
      <c r="G57" s="120"/>
      <c r="H57" s="120"/>
      <c r="I57" s="120"/>
      <c r="J57" s="120"/>
      <c r="K57" s="120"/>
      <c r="L57" s="120"/>
      <c r="M57" s="120"/>
      <c r="N57" s="120"/>
      <c r="O57" s="120"/>
      <c r="P57" s="120"/>
      <c r="Q57" s="120"/>
      <c r="R57" s="120"/>
      <c r="S57" s="120"/>
      <c r="T57" s="120"/>
      <c r="U57" s="120"/>
      <c r="V57" s="120"/>
      <c r="W57" s="120"/>
      <c r="X57" s="120"/>
      <c r="Y57" s="120"/>
      <c r="Z57" s="120"/>
      <c r="AA57" s="120"/>
    </row>
    <row r="58">
      <c r="A58" s="120"/>
      <c r="B58" s="120"/>
      <c r="C58" s="120"/>
      <c r="D58" s="120"/>
      <c r="E58" s="120"/>
      <c r="F58" s="120"/>
      <c r="G58" s="120"/>
      <c r="H58" s="120"/>
      <c r="I58" s="120"/>
      <c r="J58" s="120"/>
      <c r="K58" s="120"/>
      <c r="L58" s="120"/>
      <c r="M58" s="120"/>
      <c r="N58" s="120"/>
      <c r="O58" s="120"/>
      <c r="P58" s="120"/>
      <c r="Q58" s="120"/>
      <c r="R58" s="120"/>
      <c r="S58" s="120"/>
      <c r="T58" s="120"/>
      <c r="U58" s="120"/>
      <c r="V58" s="120"/>
      <c r="W58" s="120"/>
      <c r="X58" s="120"/>
      <c r="Y58" s="120"/>
      <c r="Z58" s="120"/>
      <c r="AA58" s="120"/>
    </row>
    <row r="59">
      <c r="A59" s="120"/>
      <c r="B59" s="120"/>
      <c r="C59" s="120"/>
      <c r="D59" s="120"/>
      <c r="E59" s="120"/>
      <c r="F59" s="120"/>
      <c r="G59" s="120"/>
      <c r="H59" s="120"/>
      <c r="I59" s="120"/>
      <c r="J59" s="120"/>
      <c r="K59" s="120"/>
      <c r="L59" s="120"/>
      <c r="M59" s="120"/>
      <c r="N59" s="120"/>
      <c r="O59" s="120"/>
      <c r="P59" s="120"/>
      <c r="Q59" s="120"/>
      <c r="R59" s="120"/>
      <c r="S59" s="120"/>
      <c r="T59" s="120"/>
      <c r="U59" s="120"/>
      <c r="V59" s="120"/>
      <c r="W59" s="120"/>
      <c r="X59" s="120"/>
      <c r="Y59" s="120"/>
      <c r="Z59" s="120"/>
      <c r="AA59" s="120"/>
    </row>
    <row r="60">
      <c r="A60" s="120"/>
      <c r="B60" s="120"/>
      <c r="C60" s="120"/>
      <c r="D60" s="120"/>
      <c r="E60" s="120"/>
      <c r="F60" s="120"/>
      <c r="G60" s="120"/>
      <c r="H60" s="120"/>
      <c r="I60" s="120"/>
      <c r="J60" s="120"/>
      <c r="K60" s="120"/>
      <c r="L60" s="120"/>
      <c r="M60" s="120"/>
      <c r="N60" s="120"/>
      <c r="O60" s="120"/>
      <c r="P60" s="120"/>
      <c r="Q60" s="120"/>
      <c r="R60" s="120"/>
      <c r="S60" s="120"/>
      <c r="T60" s="120"/>
      <c r="U60" s="120"/>
      <c r="V60" s="120"/>
      <c r="W60" s="120"/>
      <c r="X60" s="120"/>
      <c r="Y60" s="120"/>
      <c r="Z60" s="120"/>
      <c r="AA60" s="120"/>
    </row>
    <row r="61">
      <c r="A61" s="120"/>
      <c r="B61" s="120"/>
      <c r="C61" s="120"/>
      <c r="D61" s="120"/>
      <c r="E61" s="120"/>
      <c r="F61" s="120"/>
      <c r="G61" s="120"/>
      <c r="H61" s="120"/>
      <c r="I61" s="120"/>
      <c r="J61" s="120"/>
      <c r="K61" s="120"/>
      <c r="L61" s="120"/>
      <c r="M61" s="120"/>
      <c r="N61" s="120"/>
      <c r="O61" s="120"/>
      <c r="P61" s="120"/>
      <c r="Q61" s="120"/>
      <c r="R61" s="120"/>
      <c r="S61" s="120"/>
      <c r="T61" s="120"/>
      <c r="U61" s="120"/>
      <c r="V61" s="120"/>
      <c r="W61" s="120"/>
      <c r="X61" s="120"/>
      <c r="Y61" s="120"/>
      <c r="Z61" s="120"/>
      <c r="AA61" s="120"/>
    </row>
    <row r="62">
      <c r="A62" s="120"/>
      <c r="B62" s="120"/>
      <c r="C62" s="120"/>
      <c r="D62" s="120"/>
      <c r="E62" s="120"/>
      <c r="F62" s="120"/>
      <c r="G62" s="120"/>
      <c r="H62" s="120"/>
      <c r="I62" s="120"/>
      <c r="J62" s="120"/>
      <c r="K62" s="120"/>
      <c r="L62" s="120"/>
      <c r="M62" s="120"/>
      <c r="N62" s="120"/>
      <c r="O62" s="120"/>
      <c r="P62" s="120"/>
      <c r="Q62" s="120"/>
      <c r="R62" s="120"/>
      <c r="S62" s="120"/>
      <c r="T62" s="120"/>
      <c r="U62" s="120"/>
      <c r="V62" s="120"/>
      <c r="W62" s="120"/>
      <c r="X62" s="120"/>
      <c r="Y62" s="120"/>
      <c r="Z62" s="120"/>
      <c r="AA62" s="120"/>
    </row>
    <row r="63">
      <c r="A63" s="120"/>
      <c r="B63" s="120"/>
      <c r="C63" s="120"/>
      <c r="D63" s="120"/>
      <c r="E63" s="120"/>
      <c r="F63" s="120"/>
      <c r="G63" s="120"/>
      <c r="H63" s="120"/>
      <c r="I63" s="120"/>
      <c r="J63" s="120"/>
      <c r="K63" s="120"/>
      <c r="L63" s="120"/>
      <c r="M63" s="120"/>
      <c r="N63" s="120"/>
      <c r="O63" s="120"/>
      <c r="P63" s="120"/>
      <c r="Q63" s="120"/>
      <c r="R63" s="120"/>
      <c r="S63" s="120"/>
      <c r="T63" s="120"/>
      <c r="U63" s="120"/>
      <c r="V63" s="120"/>
      <c r="W63" s="120"/>
      <c r="X63" s="120"/>
      <c r="Y63" s="120"/>
      <c r="Z63" s="120"/>
      <c r="AA63" s="120"/>
    </row>
    <row r="64">
      <c r="A64" s="120"/>
      <c r="B64" s="120"/>
      <c r="C64" s="120"/>
      <c r="D64" s="120"/>
      <c r="E64" s="120"/>
      <c r="F64" s="120"/>
      <c r="G64" s="120"/>
      <c r="H64" s="120"/>
      <c r="I64" s="120"/>
      <c r="J64" s="120"/>
      <c r="K64" s="120"/>
      <c r="L64" s="120"/>
      <c r="M64" s="120"/>
      <c r="N64" s="120"/>
      <c r="O64" s="120"/>
      <c r="P64" s="120"/>
      <c r="Q64" s="120"/>
      <c r="R64" s="120"/>
      <c r="S64" s="120"/>
      <c r="T64" s="120"/>
      <c r="U64" s="120"/>
      <c r="V64" s="120"/>
      <c r="W64" s="120"/>
      <c r="X64" s="120"/>
      <c r="Y64" s="120"/>
      <c r="Z64" s="120"/>
      <c r="AA64" s="120"/>
    </row>
    <row r="65">
      <c r="A65" s="120"/>
      <c r="B65" s="120"/>
      <c r="C65" s="120"/>
      <c r="D65" s="120"/>
      <c r="E65" s="120"/>
      <c r="F65" s="120"/>
      <c r="G65" s="120"/>
      <c r="H65" s="120"/>
      <c r="I65" s="120"/>
      <c r="J65" s="120"/>
      <c r="K65" s="120"/>
      <c r="L65" s="120"/>
      <c r="M65" s="120"/>
      <c r="N65" s="120"/>
      <c r="O65" s="120"/>
      <c r="P65" s="120"/>
      <c r="Q65" s="120"/>
      <c r="R65" s="120"/>
      <c r="S65" s="120"/>
      <c r="T65" s="120"/>
      <c r="U65" s="120"/>
      <c r="V65" s="120"/>
      <c r="W65" s="120"/>
      <c r="X65" s="120"/>
      <c r="Y65" s="120"/>
      <c r="Z65" s="120"/>
      <c r="AA65" s="120"/>
    </row>
    <row r="66">
      <c r="A66" s="120"/>
      <c r="B66" s="120"/>
      <c r="C66" s="120"/>
      <c r="D66" s="120"/>
      <c r="E66" s="120"/>
      <c r="F66" s="120"/>
      <c r="G66" s="120"/>
      <c r="H66" s="120"/>
      <c r="I66" s="120"/>
      <c r="J66" s="120"/>
      <c r="K66" s="120"/>
      <c r="L66" s="120"/>
      <c r="M66" s="120"/>
      <c r="N66" s="120"/>
      <c r="O66" s="120"/>
      <c r="P66" s="120"/>
      <c r="Q66" s="120"/>
      <c r="R66" s="120"/>
      <c r="S66" s="120"/>
      <c r="T66" s="120"/>
      <c r="U66" s="120"/>
      <c r="V66" s="120"/>
      <c r="W66" s="120"/>
      <c r="X66" s="120"/>
      <c r="Y66" s="120"/>
      <c r="Z66" s="120"/>
      <c r="AA66" s="120"/>
    </row>
    <row r="67">
      <c r="A67" s="120"/>
      <c r="B67" s="120"/>
      <c r="C67" s="120"/>
      <c r="D67" s="120"/>
      <c r="E67" s="120"/>
      <c r="F67" s="120"/>
      <c r="G67" s="120"/>
      <c r="H67" s="120"/>
      <c r="I67" s="120"/>
      <c r="J67" s="120"/>
      <c r="K67" s="120"/>
      <c r="L67" s="120"/>
      <c r="M67" s="120"/>
      <c r="N67" s="120"/>
      <c r="O67" s="120"/>
      <c r="P67" s="120"/>
      <c r="Q67" s="120"/>
      <c r="R67" s="120"/>
      <c r="S67" s="120"/>
      <c r="T67" s="120"/>
      <c r="U67" s="120"/>
      <c r="V67" s="120"/>
      <c r="W67" s="120"/>
      <c r="X67" s="120"/>
      <c r="Y67" s="120"/>
      <c r="Z67" s="120"/>
      <c r="AA67" s="120"/>
    </row>
    <row r="68">
      <c r="A68" s="120"/>
      <c r="B68" s="120"/>
      <c r="C68" s="120"/>
      <c r="D68" s="120"/>
      <c r="E68" s="120"/>
      <c r="F68" s="120"/>
      <c r="G68" s="120"/>
      <c r="H68" s="120"/>
      <c r="I68" s="120"/>
      <c r="J68" s="120"/>
      <c r="K68" s="120"/>
      <c r="L68" s="120"/>
      <c r="M68" s="120"/>
      <c r="N68" s="120"/>
      <c r="O68" s="120"/>
      <c r="P68" s="120"/>
      <c r="Q68" s="120"/>
      <c r="R68" s="120"/>
      <c r="S68" s="120"/>
      <c r="T68" s="120"/>
      <c r="U68" s="120"/>
      <c r="V68" s="120"/>
      <c r="W68" s="120"/>
      <c r="X68" s="120"/>
      <c r="Y68" s="120"/>
      <c r="Z68" s="120"/>
      <c r="AA68" s="120"/>
    </row>
    <row r="69">
      <c r="A69" s="120"/>
      <c r="B69" s="120"/>
      <c r="C69" s="120"/>
      <c r="D69" s="120"/>
      <c r="E69" s="120"/>
      <c r="F69" s="120"/>
      <c r="G69" s="120"/>
      <c r="H69" s="120"/>
      <c r="I69" s="120"/>
      <c r="J69" s="120"/>
      <c r="K69" s="120"/>
      <c r="L69" s="120"/>
      <c r="M69" s="120"/>
      <c r="N69" s="120"/>
      <c r="O69" s="120"/>
      <c r="P69" s="120"/>
      <c r="Q69" s="120"/>
      <c r="R69" s="120"/>
      <c r="S69" s="120"/>
      <c r="T69" s="120"/>
      <c r="U69" s="120"/>
      <c r="V69" s="120"/>
      <c r="W69" s="120"/>
      <c r="X69" s="120"/>
      <c r="Y69" s="120"/>
      <c r="Z69" s="120"/>
      <c r="AA69" s="120"/>
    </row>
    <row r="70">
      <c r="A70" s="120"/>
      <c r="B70" s="120"/>
      <c r="C70" s="120"/>
      <c r="D70" s="120"/>
      <c r="E70" s="120"/>
      <c r="F70" s="120"/>
      <c r="G70" s="120"/>
      <c r="H70" s="120"/>
      <c r="I70" s="120"/>
      <c r="J70" s="120"/>
      <c r="K70" s="120"/>
      <c r="L70" s="120"/>
      <c r="M70" s="120"/>
      <c r="N70" s="120"/>
      <c r="O70" s="120"/>
      <c r="P70" s="120"/>
      <c r="Q70" s="120"/>
      <c r="R70" s="120"/>
      <c r="S70" s="120"/>
      <c r="T70" s="120"/>
      <c r="U70" s="120"/>
      <c r="V70" s="120"/>
      <c r="W70" s="120"/>
      <c r="X70" s="120"/>
      <c r="Y70" s="120"/>
      <c r="Z70" s="120"/>
      <c r="AA70" s="120"/>
    </row>
    <row r="71">
      <c r="A71" s="120"/>
      <c r="B71" s="120"/>
      <c r="C71" s="120"/>
      <c r="D71" s="120"/>
      <c r="E71" s="120"/>
      <c r="F71" s="120"/>
      <c r="G71" s="120"/>
      <c r="H71" s="120"/>
      <c r="I71" s="120"/>
      <c r="J71" s="120"/>
      <c r="K71" s="120"/>
      <c r="L71" s="120"/>
      <c r="M71" s="120"/>
      <c r="N71" s="120"/>
      <c r="O71" s="120"/>
      <c r="P71" s="120"/>
      <c r="Q71" s="120"/>
      <c r="R71" s="120"/>
      <c r="S71" s="120"/>
      <c r="T71" s="120"/>
      <c r="U71" s="120"/>
      <c r="V71" s="120"/>
      <c r="W71" s="120"/>
      <c r="X71" s="120"/>
      <c r="Y71" s="120"/>
      <c r="Z71" s="120"/>
      <c r="AA71" s="120"/>
    </row>
    <row r="72">
      <c r="A72" s="120"/>
      <c r="B72" s="120"/>
      <c r="C72" s="120"/>
      <c r="D72" s="120"/>
      <c r="E72" s="120"/>
      <c r="F72" s="120"/>
      <c r="G72" s="120"/>
      <c r="H72" s="120"/>
      <c r="I72" s="120"/>
      <c r="J72" s="120"/>
      <c r="K72" s="120"/>
      <c r="L72" s="120"/>
      <c r="M72" s="120"/>
      <c r="N72" s="120"/>
      <c r="O72" s="120"/>
      <c r="P72" s="120"/>
      <c r="Q72" s="120"/>
      <c r="R72" s="120"/>
      <c r="S72" s="120"/>
      <c r="T72" s="120"/>
      <c r="U72" s="120"/>
      <c r="V72" s="120"/>
      <c r="W72" s="120"/>
      <c r="X72" s="120"/>
      <c r="Y72" s="120"/>
      <c r="Z72" s="120"/>
      <c r="AA72" s="120"/>
    </row>
    <row r="73">
      <c r="A73" s="120"/>
      <c r="B73" s="120"/>
      <c r="C73" s="120"/>
      <c r="D73" s="120"/>
      <c r="E73" s="120"/>
      <c r="F73" s="120"/>
      <c r="G73" s="120"/>
      <c r="H73" s="120"/>
      <c r="I73" s="120"/>
      <c r="J73" s="120"/>
      <c r="K73" s="120"/>
      <c r="L73" s="120"/>
      <c r="M73" s="120"/>
      <c r="N73" s="120"/>
      <c r="O73" s="120"/>
      <c r="P73" s="120"/>
      <c r="Q73" s="120"/>
      <c r="R73" s="120"/>
      <c r="S73" s="120"/>
      <c r="T73" s="120"/>
      <c r="U73" s="120"/>
      <c r="V73" s="120"/>
      <c r="W73" s="120"/>
      <c r="X73" s="120"/>
      <c r="Y73" s="120"/>
      <c r="Z73" s="120"/>
      <c r="AA73" s="120"/>
    </row>
    <row r="74">
      <c r="A74" s="120"/>
      <c r="B74" s="120"/>
      <c r="C74" s="120"/>
      <c r="D74" s="120"/>
      <c r="E74" s="120"/>
      <c r="F74" s="120"/>
      <c r="G74" s="120"/>
      <c r="H74" s="120"/>
      <c r="I74" s="120"/>
      <c r="J74" s="120"/>
      <c r="K74" s="120"/>
      <c r="L74" s="120"/>
      <c r="M74" s="120"/>
      <c r="N74" s="120"/>
      <c r="O74" s="120"/>
      <c r="P74" s="120"/>
      <c r="Q74" s="120"/>
      <c r="R74" s="120"/>
      <c r="S74" s="120"/>
      <c r="T74" s="120"/>
      <c r="U74" s="120"/>
      <c r="V74" s="120"/>
      <c r="W74" s="120"/>
      <c r="X74" s="120"/>
      <c r="Y74" s="120"/>
      <c r="Z74" s="120"/>
      <c r="AA74" s="120"/>
    </row>
    <row r="75">
      <c r="A75" s="120"/>
      <c r="B75" s="120"/>
      <c r="C75" s="120"/>
      <c r="D75" s="120"/>
      <c r="E75" s="120"/>
      <c r="F75" s="120"/>
      <c r="G75" s="120"/>
      <c r="H75" s="120"/>
      <c r="I75" s="120"/>
      <c r="J75" s="120"/>
      <c r="K75" s="120"/>
      <c r="L75" s="120"/>
      <c r="M75" s="120"/>
      <c r="N75" s="120"/>
      <c r="O75" s="120"/>
      <c r="P75" s="120"/>
      <c r="Q75" s="120"/>
      <c r="R75" s="120"/>
      <c r="S75" s="120"/>
      <c r="T75" s="120"/>
      <c r="U75" s="120"/>
      <c r="V75" s="120"/>
      <c r="W75" s="120"/>
      <c r="X75" s="120"/>
      <c r="Y75" s="120"/>
      <c r="Z75" s="120"/>
      <c r="AA75" s="120"/>
    </row>
    <row r="76">
      <c r="A76" s="120"/>
      <c r="B76" s="120"/>
      <c r="C76" s="120"/>
      <c r="D76" s="120"/>
      <c r="E76" s="120"/>
      <c r="F76" s="120"/>
      <c r="G76" s="120"/>
      <c r="H76" s="120"/>
      <c r="I76" s="120"/>
      <c r="J76" s="120"/>
      <c r="K76" s="120"/>
      <c r="L76" s="120"/>
      <c r="M76" s="120"/>
      <c r="N76" s="120"/>
      <c r="O76" s="120"/>
      <c r="P76" s="120"/>
      <c r="Q76" s="120"/>
      <c r="R76" s="120"/>
      <c r="S76" s="120"/>
      <c r="T76" s="120"/>
      <c r="U76" s="120"/>
      <c r="V76" s="120"/>
      <c r="W76" s="120"/>
      <c r="X76" s="120"/>
      <c r="Y76" s="120"/>
      <c r="Z76" s="120"/>
      <c r="AA76" s="120"/>
    </row>
    <row r="77">
      <c r="A77" s="120"/>
      <c r="B77" s="120"/>
      <c r="C77" s="120"/>
      <c r="D77" s="120"/>
      <c r="E77" s="120"/>
      <c r="F77" s="120"/>
      <c r="G77" s="120"/>
      <c r="H77" s="120"/>
      <c r="I77" s="120"/>
      <c r="J77" s="120"/>
      <c r="K77" s="120"/>
      <c r="L77" s="120"/>
      <c r="M77" s="120"/>
      <c r="N77" s="120"/>
      <c r="O77" s="120"/>
      <c r="P77" s="120"/>
      <c r="Q77" s="120"/>
      <c r="R77" s="120"/>
      <c r="S77" s="120"/>
      <c r="T77" s="120"/>
      <c r="U77" s="120"/>
      <c r="V77" s="120"/>
      <c r="W77" s="120"/>
      <c r="X77" s="120"/>
      <c r="Y77" s="120"/>
      <c r="Z77" s="120"/>
      <c r="AA77" s="120"/>
    </row>
    <row r="78">
      <c r="A78" s="120"/>
      <c r="B78" s="120"/>
      <c r="C78" s="120"/>
      <c r="D78" s="120"/>
      <c r="E78" s="120"/>
      <c r="F78" s="120"/>
      <c r="G78" s="120"/>
      <c r="H78" s="120"/>
      <c r="I78" s="120"/>
      <c r="J78" s="120"/>
      <c r="K78" s="120"/>
      <c r="L78" s="120"/>
      <c r="M78" s="120"/>
      <c r="N78" s="120"/>
      <c r="O78" s="120"/>
      <c r="P78" s="120"/>
      <c r="Q78" s="120"/>
      <c r="R78" s="120"/>
      <c r="S78" s="120"/>
      <c r="T78" s="120"/>
      <c r="U78" s="120"/>
      <c r="V78" s="120"/>
      <c r="W78" s="120"/>
      <c r="X78" s="120"/>
      <c r="Y78" s="120"/>
      <c r="Z78" s="120"/>
      <c r="AA78" s="120"/>
    </row>
    <row r="79">
      <c r="A79" s="120"/>
      <c r="B79" s="120"/>
      <c r="C79" s="120"/>
      <c r="D79" s="120"/>
      <c r="E79" s="120"/>
      <c r="F79" s="120"/>
      <c r="G79" s="120"/>
      <c r="H79" s="120"/>
      <c r="I79" s="120"/>
      <c r="J79" s="120"/>
      <c r="K79" s="120"/>
      <c r="L79" s="120"/>
      <c r="M79" s="120"/>
      <c r="N79" s="120"/>
      <c r="O79" s="120"/>
      <c r="P79" s="120"/>
      <c r="Q79" s="120"/>
      <c r="R79" s="120"/>
      <c r="S79" s="120"/>
      <c r="T79" s="120"/>
      <c r="U79" s="120"/>
      <c r="V79" s="120"/>
      <c r="W79" s="120"/>
      <c r="X79" s="120"/>
      <c r="Y79" s="120"/>
      <c r="Z79" s="120"/>
      <c r="AA79" s="120"/>
    </row>
    <row r="80">
      <c r="A80" s="120"/>
      <c r="B80" s="120"/>
      <c r="C80" s="120"/>
      <c r="D80" s="120"/>
      <c r="E80" s="120"/>
      <c r="F80" s="120"/>
      <c r="G80" s="120"/>
      <c r="H80" s="120"/>
      <c r="I80" s="120"/>
      <c r="J80" s="120"/>
      <c r="K80" s="120"/>
      <c r="L80" s="120"/>
      <c r="M80" s="120"/>
      <c r="N80" s="120"/>
      <c r="O80" s="120"/>
      <c r="P80" s="120"/>
      <c r="Q80" s="120"/>
      <c r="R80" s="120"/>
      <c r="S80" s="120"/>
      <c r="T80" s="120"/>
      <c r="U80" s="120"/>
      <c r="V80" s="120"/>
      <c r="W80" s="120"/>
      <c r="X80" s="120"/>
      <c r="Y80" s="120"/>
      <c r="Z80" s="120"/>
      <c r="AA80" s="120"/>
    </row>
    <row r="81">
      <c r="A81" s="120"/>
      <c r="B81" s="120"/>
      <c r="C81" s="120"/>
      <c r="D81" s="120"/>
      <c r="E81" s="120"/>
      <c r="F81" s="120"/>
      <c r="G81" s="120"/>
      <c r="H81" s="120"/>
      <c r="I81" s="120"/>
      <c r="J81" s="120"/>
      <c r="K81" s="120"/>
      <c r="L81" s="120"/>
      <c r="M81" s="120"/>
      <c r="N81" s="120"/>
      <c r="O81" s="120"/>
      <c r="P81" s="120"/>
      <c r="Q81" s="120"/>
      <c r="R81" s="120"/>
      <c r="S81" s="120"/>
      <c r="T81" s="120"/>
      <c r="U81" s="120"/>
      <c r="V81" s="120"/>
      <c r="W81" s="120"/>
      <c r="X81" s="120"/>
      <c r="Y81" s="120"/>
      <c r="Z81" s="120"/>
      <c r="AA81" s="120"/>
    </row>
    <row r="82">
      <c r="A82" s="120"/>
      <c r="B82" s="120"/>
      <c r="C82" s="120"/>
      <c r="D82" s="120"/>
      <c r="E82" s="120"/>
      <c r="F82" s="120"/>
      <c r="G82" s="120"/>
      <c r="H82" s="120"/>
      <c r="I82" s="120"/>
      <c r="J82" s="120"/>
      <c r="K82" s="120"/>
      <c r="L82" s="120"/>
      <c r="M82" s="120"/>
      <c r="N82" s="120"/>
      <c r="O82" s="120"/>
      <c r="P82" s="120"/>
      <c r="Q82" s="120"/>
      <c r="R82" s="120"/>
      <c r="S82" s="120"/>
      <c r="T82" s="120"/>
      <c r="U82" s="120"/>
      <c r="V82" s="120"/>
      <c r="W82" s="120"/>
      <c r="X82" s="120"/>
      <c r="Y82" s="120"/>
      <c r="Z82" s="120"/>
      <c r="AA82" s="120"/>
    </row>
    <row r="83">
      <c r="A83" s="120"/>
      <c r="B83" s="120"/>
      <c r="C83" s="120"/>
      <c r="D83" s="120"/>
      <c r="E83" s="120"/>
      <c r="F83" s="120"/>
      <c r="G83" s="120"/>
      <c r="H83" s="120"/>
      <c r="I83" s="120"/>
      <c r="J83" s="120"/>
      <c r="K83" s="120"/>
      <c r="L83" s="120"/>
      <c r="M83" s="120"/>
      <c r="N83" s="120"/>
      <c r="O83" s="120"/>
      <c r="P83" s="120"/>
      <c r="Q83" s="120"/>
      <c r="R83" s="120"/>
      <c r="S83" s="120"/>
      <c r="T83" s="120"/>
      <c r="U83" s="120"/>
      <c r="V83" s="120"/>
      <c r="W83" s="120"/>
      <c r="X83" s="120"/>
      <c r="Y83" s="120"/>
      <c r="Z83" s="120"/>
      <c r="AA83" s="120"/>
    </row>
    <row r="84">
      <c r="A84" s="120"/>
      <c r="B84" s="120"/>
      <c r="C84" s="120"/>
      <c r="D84" s="120"/>
      <c r="E84" s="120"/>
      <c r="F84" s="120"/>
      <c r="G84" s="120"/>
      <c r="H84" s="120"/>
      <c r="I84" s="120"/>
      <c r="J84" s="120"/>
      <c r="K84" s="120"/>
      <c r="L84" s="120"/>
      <c r="M84" s="120"/>
      <c r="N84" s="120"/>
      <c r="O84" s="120"/>
      <c r="P84" s="120"/>
      <c r="Q84" s="120"/>
      <c r="R84" s="120"/>
      <c r="S84" s="120"/>
      <c r="T84" s="120"/>
      <c r="U84" s="120"/>
      <c r="V84" s="120"/>
      <c r="W84" s="120"/>
      <c r="X84" s="120"/>
      <c r="Y84" s="120"/>
      <c r="Z84" s="120"/>
      <c r="AA84" s="120"/>
    </row>
    <row r="85">
      <c r="A85" s="120"/>
      <c r="B85" s="120"/>
      <c r="C85" s="120"/>
      <c r="D85" s="120"/>
      <c r="E85" s="120"/>
      <c r="F85" s="120"/>
      <c r="G85" s="120"/>
      <c r="H85" s="120"/>
      <c r="I85" s="120"/>
      <c r="J85" s="120"/>
      <c r="K85" s="120"/>
      <c r="L85" s="120"/>
      <c r="M85" s="120"/>
      <c r="N85" s="120"/>
      <c r="O85" s="120"/>
      <c r="P85" s="120"/>
      <c r="Q85" s="120"/>
      <c r="R85" s="120"/>
      <c r="S85" s="120"/>
      <c r="T85" s="120"/>
      <c r="U85" s="120"/>
      <c r="V85" s="120"/>
      <c r="W85" s="120"/>
      <c r="X85" s="120"/>
      <c r="Y85" s="120"/>
      <c r="Z85" s="120"/>
      <c r="AA85" s="120"/>
    </row>
    <row r="86">
      <c r="A86" s="120"/>
      <c r="B86" s="120"/>
      <c r="C86" s="120"/>
      <c r="D86" s="120"/>
      <c r="E86" s="120"/>
      <c r="F86" s="120"/>
      <c r="G86" s="120"/>
      <c r="H86" s="120"/>
      <c r="I86" s="120"/>
      <c r="J86" s="120"/>
      <c r="K86" s="120"/>
      <c r="L86" s="120"/>
      <c r="M86" s="120"/>
      <c r="N86" s="120"/>
      <c r="O86" s="120"/>
      <c r="P86" s="120"/>
      <c r="Q86" s="120"/>
      <c r="R86" s="120"/>
      <c r="S86" s="120"/>
      <c r="T86" s="120"/>
      <c r="U86" s="120"/>
      <c r="V86" s="120"/>
      <c r="W86" s="120"/>
      <c r="X86" s="120"/>
      <c r="Y86" s="120"/>
      <c r="Z86" s="120"/>
      <c r="AA86" s="120"/>
    </row>
    <row r="87">
      <c r="A87" s="120"/>
      <c r="B87" s="120"/>
      <c r="C87" s="120"/>
      <c r="D87" s="120"/>
      <c r="E87" s="120"/>
      <c r="F87" s="120"/>
      <c r="G87" s="120"/>
      <c r="H87" s="120"/>
      <c r="I87" s="120"/>
      <c r="J87" s="120"/>
      <c r="K87" s="120"/>
      <c r="L87" s="120"/>
      <c r="M87" s="120"/>
      <c r="N87" s="120"/>
      <c r="O87" s="120"/>
      <c r="P87" s="120"/>
      <c r="Q87" s="120"/>
      <c r="R87" s="120"/>
      <c r="S87" s="120"/>
      <c r="T87" s="120"/>
      <c r="U87" s="120"/>
      <c r="V87" s="120"/>
      <c r="W87" s="120"/>
      <c r="X87" s="120"/>
      <c r="Y87" s="120"/>
      <c r="Z87" s="120"/>
      <c r="AA87" s="120"/>
    </row>
    <row r="88">
      <c r="A88" s="120"/>
      <c r="B88" s="120"/>
      <c r="C88" s="120"/>
      <c r="D88" s="120"/>
      <c r="E88" s="120"/>
      <c r="F88" s="120"/>
      <c r="G88" s="120"/>
      <c r="H88" s="120"/>
      <c r="I88" s="120"/>
      <c r="J88" s="120"/>
      <c r="K88" s="120"/>
      <c r="L88" s="120"/>
      <c r="M88" s="120"/>
      <c r="N88" s="120"/>
      <c r="O88" s="120"/>
      <c r="P88" s="120"/>
      <c r="Q88" s="120"/>
      <c r="R88" s="120"/>
      <c r="S88" s="120"/>
      <c r="T88" s="120"/>
      <c r="U88" s="120"/>
      <c r="V88" s="120"/>
      <c r="W88" s="120"/>
      <c r="X88" s="120"/>
      <c r="Y88" s="120"/>
      <c r="Z88" s="120"/>
      <c r="AA88" s="120"/>
    </row>
    <row r="89">
      <c r="A89" s="120"/>
      <c r="B89" s="120"/>
      <c r="C89" s="120"/>
      <c r="D89" s="120"/>
      <c r="E89" s="120"/>
      <c r="F89" s="120"/>
      <c r="G89" s="120"/>
      <c r="H89" s="120"/>
      <c r="I89" s="120"/>
      <c r="J89" s="120"/>
      <c r="K89" s="120"/>
      <c r="L89" s="120"/>
      <c r="M89" s="120"/>
      <c r="N89" s="120"/>
      <c r="O89" s="120"/>
      <c r="P89" s="120"/>
      <c r="Q89" s="120"/>
      <c r="R89" s="120"/>
      <c r="S89" s="120"/>
      <c r="T89" s="120"/>
      <c r="U89" s="120"/>
      <c r="V89" s="120"/>
      <c r="W89" s="120"/>
      <c r="X89" s="120"/>
      <c r="Y89" s="120"/>
      <c r="Z89" s="120"/>
      <c r="AA89" s="120"/>
    </row>
    <row r="90">
      <c r="A90" s="120"/>
      <c r="B90" s="120"/>
      <c r="C90" s="120"/>
      <c r="D90" s="120"/>
      <c r="E90" s="120"/>
      <c r="F90" s="120"/>
      <c r="G90" s="120"/>
      <c r="H90" s="120"/>
      <c r="I90" s="120"/>
      <c r="J90" s="120"/>
      <c r="K90" s="120"/>
      <c r="L90" s="120"/>
      <c r="M90" s="120"/>
      <c r="N90" s="120"/>
      <c r="O90" s="120"/>
      <c r="P90" s="120"/>
      <c r="Q90" s="120"/>
      <c r="R90" s="120"/>
      <c r="S90" s="120"/>
      <c r="T90" s="120"/>
      <c r="U90" s="120"/>
      <c r="V90" s="120"/>
      <c r="W90" s="120"/>
      <c r="X90" s="120"/>
      <c r="Y90" s="120"/>
      <c r="Z90" s="120"/>
      <c r="AA90" s="120"/>
    </row>
    <row r="91">
      <c r="A91" s="120"/>
      <c r="B91" s="120"/>
      <c r="C91" s="120"/>
      <c r="D91" s="120"/>
      <c r="E91" s="120"/>
      <c r="F91" s="120"/>
      <c r="G91" s="120"/>
      <c r="H91" s="120"/>
      <c r="I91" s="120"/>
      <c r="J91" s="120"/>
      <c r="K91" s="120"/>
      <c r="L91" s="120"/>
      <c r="M91" s="120"/>
      <c r="N91" s="120"/>
      <c r="O91" s="120"/>
      <c r="P91" s="120"/>
      <c r="Q91" s="120"/>
      <c r="R91" s="120"/>
      <c r="S91" s="120"/>
      <c r="T91" s="120"/>
      <c r="U91" s="120"/>
      <c r="V91" s="120"/>
      <c r="W91" s="120"/>
      <c r="X91" s="120"/>
      <c r="Y91" s="120"/>
      <c r="Z91" s="120"/>
      <c r="AA91" s="120"/>
    </row>
    <row r="92">
      <c r="A92" s="120"/>
      <c r="B92" s="120"/>
      <c r="C92" s="120"/>
      <c r="D92" s="120"/>
      <c r="E92" s="120"/>
      <c r="F92" s="120"/>
      <c r="G92" s="120"/>
      <c r="H92" s="120"/>
      <c r="I92" s="120"/>
      <c r="J92" s="120"/>
      <c r="K92" s="120"/>
      <c r="L92" s="120"/>
      <c r="M92" s="120"/>
      <c r="N92" s="120"/>
      <c r="O92" s="120"/>
      <c r="P92" s="120"/>
      <c r="Q92" s="120"/>
      <c r="R92" s="120"/>
      <c r="S92" s="120"/>
      <c r="T92" s="120"/>
      <c r="U92" s="120"/>
      <c r="V92" s="120"/>
      <c r="W92" s="120"/>
      <c r="X92" s="120"/>
      <c r="Y92" s="120"/>
      <c r="Z92" s="120"/>
      <c r="AA92" s="120"/>
    </row>
    <row r="93">
      <c r="A93" s="120"/>
      <c r="B93" s="120"/>
      <c r="C93" s="120"/>
      <c r="D93" s="120"/>
      <c r="E93" s="120"/>
      <c r="F93" s="120"/>
      <c r="G93" s="120"/>
      <c r="H93" s="120"/>
      <c r="I93" s="120"/>
      <c r="J93" s="120"/>
      <c r="K93" s="120"/>
      <c r="L93" s="120"/>
      <c r="M93" s="120"/>
      <c r="N93" s="120"/>
      <c r="O93" s="120"/>
      <c r="P93" s="120"/>
      <c r="Q93" s="120"/>
      <c r="R93" s="120"/>
      <c r="S93" s="120"/>
      <c r="T93" s="120"/>
      <c r="U93" s="120"/>
      <c r="V93" s="120"/>
      <c r="W93" s="120"/>
      <c r="X93" s="120"/>
      <c r="Y93" s="120"/>
      <c r="Z93" s="120"/>
      <c r="AA93" s="120"/>
    </row>
    <row r="94">
      <c r="A94" s="120"/>
      <c r="B94" s="120"/>
      <c r="C94" s="120"/>
      <c r="D94" s="120"/>
      <c r="E94" s="120"/>
      <c r="F94" s="120"/>
      <c r="G94" s="120"/>
      <c r="H94" s="120"/>
      <c r="I94" s="120"/>
      <c r="J94" s="120"/>
      <c r="K94" s="120"/>
      <c r="L94" s="120"/>
      <c r="M94" s="120"/>
      <c r="N94" s="120"/>
      <c r="O94" s="120"/>
      <c r="P94" s="120"/>
      <c r="Q94" s="120"/>
      <c r="R94" s="120"/>
      <c r="S94" s="120"/>
      <c r="T94" s="120"/>
      <c r="U94" s="120"/>
      <c r="V94" s="120"/>
      <c r="W94" s="120"/>
      <c r="X94" s="120"/>
      <c r="Y94" s="120"/>
      <c r="Z94" s="120"/>
      <c r="AA94" s="120"/>
    </row>
    <row r="95">
      <c r="A95" s="120"/>
      <c r="B95" s="120"/>
      <c r="C95" s="120"/>
      <c r="D95" s="120"/>
      <c r="E95" s="120"/>
      <c r="F95" s="120"/>
      <c r="G95" s="120"/>
      <c r="H95" s="120"/>
      <c r="I95" s="120"/>
      <c r="J95" s="120"/>
      <c r="K95" s="120"/>
      <c r="L95" s="120"/>
      <c r="M95" s="120"/>
      <c r="N95" s="120"/>
      <c r="O95" s="120"/>
      <c r="P95" s="120"/>
      <c r="Q95" s="120"/>
      <c r="R95" s="120"/>
      <c r="S95" s="120"/>
      <c r="T95" s="120"/>
      <c r="U95" s="120"/>
      <c r="V95" s="120"/>
      <c r="W95" s="120"/>
      <c r="X95" s="120"/>
      <c r="Y95" s="120"/>
      <c r="Z95" s="120"/>
      <c r="AA95" s="120"/>
    </row>
    <row r="96">
      <c r="A96" s="120"/>
      <c r="B96" s="120"/>
      <c r="C96" s="120"/>
      <c r="D96" s="120"/>
      <c r="E96" s="120"/>
      <c r="F96" s="120"/>
      <c r="G96" s="120"/>
      <c r="H96" s="120"/>
      <c r="I96" s="120"/>
      <c r="J96" s="120"/>
      <c r="K96" s="120"/>
      <c r="L96" s="120"/>
      <c r="M96" s="120"/>
      <c r="N96" s="120"/>
      <c r="O96" s="120"/>
      <c r="P96" s="120"/>
      <c r="Q96" s="120"/>
      <c r="R96" s="120"/>
      <c r="S96" s="120"/>
      <c r="T96" s="120"/>
      <c r="U96" s="120"/>
      <c r="V96" s="120"/>
      <c r="W96" s="120"/>
      <c r="X96" s="120"/>
      <c r="Y96" s="120"/>
      <c r="Z96" s="120"/>
      <c r="AA96" s="120"/>
    </row>
    <row r="97">
      <c r="A97" s="120"/>
      <c r="B97" s="120"/>
      <c r="C97" s="120"/>
      <c r="D97" s="120"/>
      <c r="E97" s="120"/>
      <c r="F97" s="120"/>
      <c r="G97" s="120"/>
      <c r="H97" s="120"/>
      <c r="I97" s="120"/>
      <c r="J97" s="120"/>
      <c r="K97" s="120"/>
      <c r="L97" s="120"/>
      <c r="M97" s="120"/>
      <c r="N97" s="120"/>
      <c r="O97" s="120"/>
      <c r="P97" s="120"/>
      <c r="Q97" s="120"/>
      <c r="R97" s="120"/>
      <c r="S97" s="120"/>
      <c r="T97" s="120"/>
      <c r="U97" s="120"/>
      <c r="V97" s="120"/>
      <c r="W97" s="120"/>
      <c r="X97" s="120"/>
      <c r="Y97" s="120"/>
      <c r="Z97" s="120"/>
      <c r="AA97" s="120"/>
    </row>
    <row r="98">
      <c r="A98" s="120"/>
      <c r="B98" s="120"/>
      <c r="C98" s="120"/>
      <c r="D98" s="120"/>
      <c r="E98" s="120"/>
      <c r="F98" s="120"/>
      <c r="G98" s="120"/>
      <c r="H98" s="120"/>
      <c r="I98" s="120"/>
      <c r="J98" s="120"/>
      <c r="K98" s="120"/>
      <c r="L98" s="120"/>
      <c r="M98" s="120"/>
      <c r="N98" s="120"/>
      <c r="O98" s="120"/>
      <c r="P98" s="120"/>
      <c r="Q98" s="120"/>
      <c r="R98" s="120"/>
      <c r="S98" s="120"/>
      <c r="T98" s="120"/>
      <c r="U98" s="120"/>
      <c r="V98" s="120"/>
      <c r="W98" s="120"/>
      <c r="X98" s="120"/>
      <c r="Y98" s="120"/>
      <c r="Z98" s="120"/>
      <c r="AA98" s="120"/>
    </row>
    <row r="99">
      <c r="A99" s="120"/>
      <c r="B99" s="120"/>
      <c r="C99" s="120"/>
      <c r="D99" s="120"/>
      <c r="E99" s="120"/>
      <c r="F99" s="120"/>
      <c r="G99" s="120"/>
      <c r="H99" s="120"/>
      <c r="I99" s="120"/>
      <c r="J99" s="120"/>
      <c r="K99" s="120"/>
      <c r="L99" s="120"/>
      <c r="M99" s="120"/>
      <c r="N99" s="120"/>
      <c r="O99" s="120"/>
      <c r="P99" s="120"/>
      <c r="Q99" s="120"/>
      <c r="R99" s="120"/>
      <c r="S99" s="120"/>
      <c r="T99" s="120"/>
      <c r="U99" s="120"/>
      <c r="V99" s="120"/>
      <c r="W99" s="120"/>
      <c r="X99" s="120"/>
      <c r="Y99" s="120"/>
      <c r="Z99" s="120"/>
      <c r="AA99" s="120"/>
    </row>
    <row r="100">
      <c r="A100" s="120"/>
      <c r="B100" s="120"/>
      <c r="C100" s="120"/>
      <c r="D100" s="120"/>
      <c r="E100" s="120"/>
      <c r="F100" s="120"/>
      <c r="G100" s="120"/>
      <c r="H100" s="120"/>
      <c r="I100" s="120"/>
      <c r="J100" s="120"/>
      <c r="K100" s="120"/>
      <c r="L100" s="120"/>
      <c r="M100" s="120"/>
      <c r="N100" s="120"/>
      <c r="O100" s="120"/>
      <c r="P100" s="120"/>
      <c r="Q100" s="120"/>
      <c r="R100" s="120"/>
      <c r="S100" s="120"/>
      <c r="T100" s="120"/>
      <c r="U100" s="120"/>
      <c r="V100" s="120"/>
      <c r="W100" s="120"/>
      <c r="X100" s="120"/>
      <c r="Y100" s="120"/>
      <c r="Z100" s="120"/>
      <c r="AA100" s="120"/>
    </row>
    <row r="101">
      <c r="A101" s="120"/>
      <c r="B101" s="120"/>
      <c r="C101" s="120"/>
      <c r="D101" s="120"/>
      <c r="E101" s="120"/>
      <c r="F101" s="120"/>
      <c r="G101" s="120"/>
      <c r="H101" s="120"/>
      <c r="I101" s="120"/>
      <c r="J101" s="120"/>
      <c r="K101" s="120"/>
      <c r="L101" s="120"/>
      <c r="M101" s="120"/>
      <c r="N101" s="120"/>
      <c r="O101" s="120"/>
      <c r="P101" s="120"/>
      <c r="Q101" s="120"/>
      <c r="R101" s="120"/>
      <c r="S101" s="120"/>
      <c r="T101" s="120"/>
      <c r="U101" s="120"/>
      <c r="V101" s="120"/>
      <c r="W101" s="120"/>
      <c r="X101" s="120"/>
      <c r="Y101" s="120"/>
      <c r="Z101" s="120"/>
      <c r="AA101" s="120"/>
    </row>
    <row r="102">
      <c r="A102" s="120"/>
      <c r="B102" s="120"/>
      <c r="C102" s="120"/>
      <c r="D102" s="120"/>
      <c r="E102" s="120"/>
      <c r="F102" s="120"/>
      <c r="G102" s="120"/>
      <c r="H102" s="120"/>
      <c r="I102" s="120"/>
      <c r="J102" s="120"/>
      <c r="K102" s="120"/>
      <c r="L102" s="120"/>
      <c r="M102" s="120"/>
      <c r="N102" s="120"/>
      <c r="O102" s="120"/>
      <c r="P102" s="120"/>
      <c r="Q102" s="120"/>
      <c r="R102" s="120"/>
      <c r="S102" s="120"/>
      <c r="T102" s="120"/>
      <c r="U102" s="120"/>
      <c r="V102" s="120"/>
      <c r="W102" s="120"/>
      <c r="X102" s="120"/>
      <c r="Y102" s="120"/>
      <c r="Z102" s="120"/>
      <c r="AA102" s="120"/>
    </row>
    <row r="103">
      <c r="A103" s="120"/>
      <c r="B103" s="120"/>
      <c r="C103" s="120"/>
      <c r="D103" s="120"/>
      <c r="E103" s="120"/>
      <c r="F103" s="120"/>
      <c r="G103" s="120"/>
      <c r="H103" s="120"/>
      <c r="I103" s="120"/>
      <c r="J103" s="120"/>
      <c r="K103" s="120"/>
      <c r="L103" s="120"/>
      <c r="M103" s="120"/>
      <c r="N103" s="120"/>
      <c r="O103" s="120"/>
      <c r="P103" s="120"/>
      <c r="Q103" s="120"/>
      <c r="R103" s="120"/>
      <c r="S103" s="120"/>
      <c r="T103" s="120"/>
      <c r="U103" s="120"/>
      <c r="V103" s="120"/>
      <c r="W103" s="120"/>
      <c r="X103" s="120"/>
      <c r="Y103" s="120"/>
      <c r="Z103" s="120"/>
      <c r="AA103" s="120"/>
    </row>
    <row r="104">
      <c r="A104" s="120"/>
      <c r="B104" s="120"/>
      <c r="C104" s="120"/>
      <c r="D104" s="120"/>
      <c r="E104" s="120"/>
      <c r="F104" s="120"/>
      <c r="G104" s="120"/>
      <c r="H104" s="120"/>
      <c r="I104" s="120"/>
      <c r="J104" s="120"/>
      <c r="K104" s="120"/>
      <c r="L104" s="120"/>
      <c r="M104" s="120"/>
      <c r="N104" s="120"/>
      <c r="O104" s="120"/>
      <c r="P104" s="120"/>
      <c r="Q104" s="120"/>
      <c r="R104" s="120"/>
      <c r="S104" s="120"/>
      <c r="T104" s="120"/>
      <c r="U104" s="120"/>
      <c r="V104" s="120"/>
      <c r="W104" s="120"/>
      <c r="X104" s="120"/>
      <c r="Y104" s="120"/>
      <c r="Z104" s="120"/>
      <c r="AA104" s="120"/>
    </row>
    <row r="105">
      <c r="A105" s="120"/>
      <c r="B105" s="120"/>
      <c r="C105" s="120"/>
      <c r="D105" s="120"/>
      <c r="E105" s="120"/>
      <c r="F105" s="120"/>
      <c r="G105" s="120"/>
      <c r="H105" s="120"/>
      <c r="I105" s="120"/>
      <c r="J105" s="120"/>
      <c r="K105" s="120"/>
      <c r="L105" s="120"/>
      <c r="M105" s="120"/>
      <c r="N105" s="120"/>
      <c r="O105" s="120"/>
      <c r="P105" s="120"/>
      <c r="Q105" s="120"/>
      <c r="R105" s="120"/>
      <c r="S105" s="120"/>
      <c r="T105" s="120"/>
      <c r="U105" s="120"/>
      <c r="V105" s="120"/>
      <c r="W105" s="120"/>
      <c r="X105" s="120"/>
      <c r="Y105" s="120"/>
      <c r="Z105" s="120"/>
      <c r="AA105" s="120"/>
    </row>
    <row r="106">
      <c r="A106" s="120"/>
      <c r="B106" s="120"/>
      <c r="C106" s="120"/>
      <c r="D106" s="120"/>
      <c r="E106" s="120"/>
      <c r="F106" s="120"/>
      <c r="G106" s="120"/>
      <c r="H106" s="120"/>
      <c r="I106" s="120"/>
      <c r="J106" s="120"/>
      <c r="K106" s="120"/>
      <c r="L106" s="120"/>
      <c r="M106" s="120"/>
      <c r="N106" s="120"/>
      <c r="O106" s="120"/>
      <c r="P106" s="120"/>
      <c r="Q106" s="120"/>
      <c r="R106" s="120"/>
      <c r="S106" s="120"/>
      <c r="T106" s="120"/>
      <c r="U106" s="120"/>
      <c r="V106" s="120"/>
      <c r="W106" s="120"/>
      <c r="X106" s="120"/>
      <c r="Y106" s="120"/>
      <c r="Z106" s="120"/>
      <c r="AA106" s="120"/>
    </row>
    <row r="107">
      <c r="A107" s="120"/>
      <c r="B107" s="120"/>
      <c r="C107" s="120"/>
      <c r="D107" s="120"/>
      <c r="E107" s="120"/>
      <c r="F107" s="120"/>
      <c r="G107" s="120"/>
      <c r="H107" s="120"/>
      <c r="I107" s="120"/>
      <c r="J107" s="120"/>
      <c r="K107" s="120"/>
      <c r="L107" s="120"/>
      <c r="M107" s="120"/>
      <c r="N107" s="120"/>
      <c r="O107" s="120"/>
      <c r="P107" s="120"/>
      <c r="Q107" s="120"/>
      <c r="R107" s="120"/>
      <c r="S107" s="120"/>
      <c r="T107" s="120"/>
      <c r="U107" s="120"/>
      <c r="V107" s="120"/>
      <c r="W107" s="120"/>
      <c r="X107" s="120"/>
      <c r="Y107" s="120"/>
      <c r="Z107" s="120"/>
      <c r="AA107" s="120"/>
    </row>
    <row r="108">
      <c r="A108" s="120"/>
      <c r="B108" s="120"/>
      <c r="C108" s="120"/>
      <c r="D108" s="120"/>
      <c r="E108" s="120"/>
      <c r="F108" s="120"/>
      <c r="G108" s="120"/>
      <c r="H108" s="120"/>
      <c r="I108" s="120"/>
      <c r="J108" s="120"/>
      <c r="K108" s="120"/>
      <c r="L108" s="120"/>
      <c r="M108" s="120"/>
      <c r="N108" s="120"/>
      <c r="O108" s="120"/>
      <c r="P108" s="120"/>
      <c r="Q108" s="120"/>
      <c r="R108" s="120"/>
      <c r="S108" s="120"/>
      <c r="T108" s="120"/>
      <c r="U108" s="120"/>
      <c r="V108" s="120"/>
      <c r="W108" s="120"/>
      <c r="X108" s="120"/>
      <c r="Y108" s="120"/>
      <c r="Z108" s="120"/>
      <c r="AA108" s="120"/>
    </row>
    <row r="109">
      <c r="A109" s="120"/>
      <c r="B109" s="120"/>
      <c r="C109" s="120"/>
      <c r="D109" s="120"/>
      <c r="E109" s="120"/>
      <c r="F109" s="120"/>
      <c r="G109" s="120"/>
      <c r="H109" s="120"/>
      <c r="I109" s="120"/>
      <c r="J109" s="120"/>
      <c r="K109" s="120"/>
      <c r="L109" s="120"/>
      <c r="M109" s="120"/>
      <c r="N109" s="120"/>
      <c r="O109" s="120"/>
      <c r="P109" s="120"/>
      <c r="Q109" s="120"/>
      <c r="R109" s="120"/>
      <c r="S109" s="120"/>
      <c r="T109" s="120"/>
      <c r="U109" s="120"/>
      <c r="V109" s="120"/>
      <c r="W109" s="120"/>
      <c r="X109" s="120"/>
      <c r="Y109" s="120"/>
      <c r="Z109" s="120"/>
      <c r="AA109" s="120"/>
    </row>
    <row r="110">
      <c r="A110" s="120"/>
      <c r="B110" s="120"/>
      <c r="C110" s="120"/>
      <c r="D110" s="120"/>
      <c r="E110" s="120"/>
      <c r="F110" s="120"/>
      <c r="G110" s="120"/>
      <c r="H110" s="120"/>
      <c r="I110" s="120"/>
      <c r="J110" s="120"/>
      <c r="K110" s="120"/>
      <c r="L110" s="120"/>
      <c r="M110" s="120"/>
      <c r="N110" s="120"/>
      <c r="O110" s="120"/>
      <c r="P110" s="120"/>
      <c r="Q110" s="120"/>
      <c r="R110" s="120"/>
      <c r="S110" s="120"/>
      <c r="T110" s="120"/>
      <c r="U110" s="120"/>
      <c r="V110" s="120"/>
      <c r="W110" s="120"/>
      <c r="X110" s="120"/>
      <c r="Y110" s="120"/>
      <c r="Z110" s="120"/>
      <c r="AA110" s="120"/>
    </row>
    <row r="111">
      <c r="A111" s="120"/>
      <c r="B111" s="120"/>
      <c r="C111" s="120"/>
      <c r="D111" s="120"/>
      <c r="E111" s="120"/>
      <c r="F111" s="120"/>
      <c r="G111" s="120"/>
      <c r="H111" s="120"/>
      <c r="I111" s="120"/>
      <c r="J111" s="120"/>
      <c r="K111" s="120"/>
      <c r="L111" s="120"/>
      <c r="M111" s="120"/>
      <c r="N111" s="120"/>
      <c r="O111" s="120"/>
      <c r="P111" s="120"/>
      <c r="Q111" s="120"/>
      <c r="R111" s="120"/>
      <c r="S111" s="120"/>
      <c r="T111" s="120"/>
      <c r="U111" s="120"/>
      <c r="V111" s="120"/>
      <c r="W111" s="120"/>
      <c r="X111" s="120"/>
      <c r="Y111" s="120"/>
      <c r="Z111" s="120"/>
      <c r="AA111" s="120"/>
    </row>
    <row r="112">
      <c r="A112" s="120"/>
      <c r="B112" s="120"/>
      <c r="C112" s="120"/>
      <c r="D112" s="120"/>
      <c r="E112" s="120"/>
      <c r="F112" s="120"/>
      <c r="G112" s="120"/>
      <c r="H112" s="120"/>
      <c r="I112" s="120"/>
      <c r="J112" s="120"/>
      <c r="K112" s="120"/>
      <c r="L112" s="120"/>
      <c r="M112" s="120"/>
      <c r="N112" s="120"/>
      <c r="O112" s="120"/>
      <c r="P112" s="120"/>
      <c r="Q112" s="120"/>
      <c r="R112" s="120"/>
      <c r="S112" s="120"/>
      <c r="T112" s="120"/>
      <c r="U112" s="120"/>
      <c r="V112" s="120"/>
      <c r="W112" s="120"/>
      <c r="X112" s="120"/>
      <c r="Y112" s="120"/>
      <c r="Z112" s="120"/>
      <c r="AA112" s="120"/>
    </row>
    <row r="113">
      <c r="A113" s="120"/>
      <c r="B113" s="120"/>
      <c r="C113" s="120"/>
      <c r="D113" s="120"/>
      <c r="E113" s="120"/>
      <c r="F113" s="120"/>
      <c r="G113" s="120"/>
      <c r="H113" s="120"/>
      <c r="I113" s="120"/>
      <c r="J113" s="120"/>
      <c r="K113" s="120"/>
      <c r="L113" s="120"/>
      <c r="M113" s="120"/>
      <c r="N113" s="120"/>
      <c r="O113" s="120"/>
      <c r="P113" s="120"/>
      <c r="Q113" s="120"/>
      <c r="R113" s="120"/>
      <c r="S113" s="120"/>
      <c r="T113" s="120"/>
      <c r="U113" s="120"/>
      <c r="V113" s="120"/>
      <c r="W113" s="120"/>
      <c r="X113" s="120"/>
      <c r="Y113" s="120"/>
      <c r="Z113" s="120"/>
      <c r="AA113" s="120"/>
    </row>
    <row r="114">
      <c r="A114" s="120"/>
      <c r="B114" s="120"/>
      <c r="C114" s="120"/>
      <c r="D114" s="120"/>
      <c r="E114" s="120"/>
      <c r="F114" s="120"/>
      <c r="G114" s="120"/>
      <c r="H114" s="120"/>
      <c r="I114" s="120"/>
      <c r="J114" s="120"/>
      <c r="K114" s="120"/>
      <c r="L114" s="120"/>
      <c r="M114" s="120"/>
      <c r="N114" s="120"/>
      <c r="O114" s="120"/>
      <c r="P114" s="120"/>
      <c r="Q114" s="120"/>
      <c r="R114" s="120"/>
      <c r="S114" s="120"/>
      <c r="T114" s="120"/>
      <c r="U114" s="120"/>
      <c r="V114" s="120"/>
      <c r="W114" s="120"/>
      <c r="X114" s="120"/>
      <c r="Y114" s="120"/>
      <c r="Z114" s="120"/>
      <c r="AA114" s="120"/>
    </row>
    <row r="115">
      <c r="A115" s="120"/>
      <c r="B115" s="120"/>
      <c r="C115" s="120"/>
      <c r="D115" s="120"/>
      <c r="E115" s="120"/>
      <c r="F115" s="120"/>
      <c r="G115" s="120"/>
      <c r="H115" s="120"/>
      <c r="I115" s="120"/>
      <c r="J115" s="120"/>
      <c r="K115" s="120"/>
      <c r="L115" s="120"/>
      <c r="M115" s="120"/>
      <c r="N115" s="120"/>
      <c r="O115" s="120"/>
      <c r="P115" s="120"/>
      <c r="Q115" s="120"/>
      <c r="R115" s="120"/>
      <c r="S115" s="120"/>
      <c r="T115" s="120"/>
      <c r="U115" s="120"/>
      <c r="V115" s="120"/>
      <c r="W115" s="120"/>
      <c r="X115" s="120"/>
      <c r="Y115" s="120"/>
      <c r="Z115" s="120"/>
      <c r="AA115" s="120"/>
    </row>
    <row r="116">
      <c r="A116" s="120"/>
      <c r="B116" s="120"/>
      <c r="C116" s="120"/>
      <c r="D116" s="120"/>
      <c r="E116" s="120"/>
      <c r="F116" s="120"/>
      <c r="G116" s="120"/>
      <c r="H116" s="120"/>
      <c r="I116" s="120"/>
      <c r="J116" s="120"/>
      <c r="K116" s="120"/>
      <c r="L116" s="120"/>
      <c r="M116" s="120"/>
      <c r="N116" s="120"/>
      <c r="O116" s="120"/>
      <c r="P116" s="120"/>
      <c r="Q116" s="120"/>
      <c r="R116" s="120"/>
      <c r="S116" s="120"/>
      <c r="T116" s="120"/>
      <c r="U116" s="120"/>
      <c r="V116" s="120"/>
      <c r="W116" s="120"/>
      <c r="X116" s="120"/>
      <c r="Y116" s="120"/>
      <c r="Z116" s="120"/>
      <c r="AA116" s="120"/>
    </row>
    <row r="117">
      <c r="A117" s="120"/>
      <c r="B117" s="120"/>
      <c r="C117" s="120"/>
      <c r="D117" s="120"/>
      <c r="E117" s="120"/>
      <c r="F117" s="120"/>
      <c r="G117" s="120"/>
      <c r="H117" s="120"/>
      <c r="I117" s="120"/>
      <c r="J117" s="120"/>
      <c r="K117" s="120"/>
      <c r="L117" s="120"/>
      <c r="M117" s="120"/>
      <c r="N117" s="120"/>
      <c r="O117" s="120"/>
      <c r="P117" s="120"/>
      <c r="Q117" s="120"/>
      <c r="R117" s="120"/>
      <c r="S117" s="120"/>
      <c r="T117" s="120"/>
      <c r="U117" s="120"/>
      <c r="V117" s="120"/>
      <c r="W117" s="120"/>
      <c r="X117" s="120"/>
      <c r="Y117" s="120"/>
      <c r="Z117" s="120"/>
      <c r="AA117" s="120"/>
    </row>
    <row r="118">
      <c r="A118" s="120"/>
      <c r="B118" s="120"/>
      <c r="C118" s="120"/>
      <c r="D118" s="120"/>
      <c r="E118" s="120"/>
      <c r="F118" s="120"/>
      <c r="G118" s="120"/>
      <c r="H118" s="120"/>
      <c r="I118" s="120"/>
      <c r="J118" s="120"/>
      <c r="K118" s="120"/>
      <c r="L118" s="120"/>
      <c r="M118" s="120"/>
      <c r="N118" s="120"/>
      <c r="O118" s="120"/>
      <c r="P118" s="120"/>
      <c r="Q118" s="120"/>
      <c r="R118" s="120"/>
      <c r="S118" s="120"/>
      <c r="T118" s="120"/>
      <c r="U118" s="120"/>
      <c r="V118" s="120"/>
      <c r="W118" s="120"/>
      <c r="X118" s="120"/>
      <c r="Y118" s="120"/>
      <c r="Z118" s="120"/>
      <c r="AA118" s="120"/>
    </row>
    <row r="119">
      <c r="A119" s="120"/>
      <c r="B119" s="120"/>
      <c r="C119" s="120"/>
      <c r="D119" s="120"/>
      <c r="E119" s="120"/>
      <c r="F119" s="120"/>
      <c r="G119" s="120"/>
      <c r="H119" s="120"/>
      <c r="I119" s="120"/>
      <c r="J119" s="120"/>
      <c r="K119" s="120"/>
      <c r="L119" s="120"/>
      <c r="M119" s="120"/>
      <c r="N119" s="120"/>
      <c r="O119" s="120"/>
      <c r="P119" s="120"/>
      <c r="Q119" s="120"/>
      <c r="R119" s="120"/>
      <c r="S119" s="120"/>
      <c r="T119" s="120"/>
      <c r="U119" s="120"/>
      <c r="V119" s="120"/>
      <c r="W119" s="120"/>
      <c r="X119" s="120"/>
      <c r="Y119" s="120"/>
      <c r="Z119" s="120"/>
      <c r="AA119" s="120"/>
    </row>
    <row r="120">
      <c r="A120" s="120"/>
      <c r="B120" s="120"/>
      <c r="C120" s="120"/>
      <c r="D120" s="120"/>
      <c r="E120" s="120"/>
      <c r="F120" s="120"/>
      <c r="G120" s="120"/>
      <c r="H120" s="120"/>
      <c r="I120" s="120"/>
      <c r="J120" s="120"/>
      <c r="K120" s="120"/>
      <c r="L120" s="120"/>
      <c r="M120" s="120"/>
      <c r="N120" s="120"/>
      <c r="O120" s="120"/>
      <c r="P120" s="120"/>
      <c r="Q120" s="120"/>
      <c r="R120" s="120"/>
      <c r="S120" s="120"/>
      <c r="T120" s="120"/>
      <c r="U120" s="120"/>
      <c r="V120" s="120"/>
      <c r="W120" s="120"/>
      <c r="X120" s="120"/>
      <c r="Y120" s="120"/>
      <c r="Z120" s="120"/>
      <c r="AA120" s="120"/>
    </row>
    <row r="121">
      <c r="A121" s="120"/>
      <c r="B121" s="120"/>
      <c r="C121" s="120"/>
      <c r="D121" s="120"/>
      <c r="E121" s="120"/>
      <c r="F121" s="120"/>
      <c r="G121" s="120"/>
      <c r="H121" s="120"/>
      <c r="I121" s="120"/>
      <c r="J121" s="120"/>
      <c r="K121" s="120"/>
      <c r="L121" s="120"/>
      <c r="M121" s="120"/>
      <c r="N121" s="120"/>
      <c r="O121" s="120"/>
      <c r="P121" s="120"/>
      <c r="Q121" s="120"/>
      <c r="R121" s="120"/>
      <c r="S121" s="120"/>
      <c r="T121" s="120"/>
      <c r="U121" s="120"/>
      <c r="V121" s="120"/>
      <c r="W121" s="120"/>
      <c r="X121" s="120"/>
      <c r="Y121" s="120"/>
      <c r="Z121" s="120"/>
      <c r="AA121" s="120"/>
    </row>
    <row r="122">
      <c r="A122" s="120"/>
      <c r="B122" s="120"/>
      <c r="C122" s="120"/>
      <c r="D122" s="120"/>
      <c r="E122" s="120"/>
      <c r="F122" s="120"/>
      <c r="G122" s="120"/>
      <c r="H122" s="120"/>
      <c r="I122" s="120"/>
      <c r="J122" s="120"/>
      <c r="K122" s="120"/>
      <c r="L122" s="120"/>
      <c r="M122" s="120"/>
      <c r="N122" s="120"/>
      <c r="O122" s="120"/>
      <c r="P122" s="120"/>
      <c r="Q122" s="120"/>
      <c r="R122" s="120"/>
      <c r="S122" s="120"/>
      <c r="T122" s="120"/>
      <c r="U122" s="120"/>
      <c r="V122" s="120"/>
      <c r="W122" s="120"/>
      <c r="X122" s="120"/>
      <c r="Y122" s="120"/>
      <c r="Z122" s="120"/>
      <c r="AA122" s="120"/>
    </row>
    <row r="123">
      <c r="A123" s="120"/>
      <c r="B123" s="120"/>
      <c r="C123" s="120"/>
      <c r="D123" s="120"/>
      <c r="E123" s="120"/>
      <c r="F123" s="120"/>
      <c r="G123" s="120"/>
      <c r="H123" s="120"/>
      <c r="I123" s="120"/>
      <c r="J123" s="120"/>
      <c r="K123" s="120"/>
      <c r="L123" s="120"/>
      <c r="M123" s="120"/>
      <c r="N123" s="120"/>
      <c r="O123" s="120"/>
      <c r="P123" s="120"/>
      <c r="Q123" s="120"/>
      <c r="R123" s="120"/>
      <c r="S123" s="120"/>
      <c r="T123" s="120"/>
      <c r="U123" s="120"/>
      <c r="V123" s="120"/>
      <c r="W123" s="120"/>
      <c r="X123" s="120"/>
      <c r="Y123" s="120"/>
      <c r="Z123" s="120"/>
      <c r="AA123" s="120"/>
    </row>
    <row r="124">
      <c r="A124" s="120"/>
      <c r="B124" s="120"/>
      <c r="C124" s="120"/>
      <c r="D124" s="120"/>
      <c r="E124" s="120"/>
      <c r="F124" s="120"/>
      <c r="G124" s="120"/>
      <c r="H124" s="120"/>
      <c r="I124" s="120"/>
      <c r="J124" s="120"/>
      <c r="K124" s="120"/>
      <c r="L124" s="120"/>
      <c r="M124" s="120"/>
      <c r="N124" s="120"/>
      <c r="O124" s="120"/>
      <c r="P124" s="120"/>
      <c r="Q124" s="120"/>
      <c r="R124" s="120"/>
      <c r="S124" s="120"/>
      <c r="T124" s="120"/>
      <c r="U124" s="120"/>
      <c r="V124" s="120"/>
      <c r="W124" s="120"/>
      <c r="X124" s="120"/>
      <c r="Y124" s="120"/>
      <c r="Z124" s="120"/>
      <c r="AA124" s="120"/>
    </row>
    <row r="125">
      <c r="A125" s="120"/>
      <c r="B125" s="120"/>
      <c r="C125" s="120"/>
      <c r="D125" s="120"/>
      <c r="E125" s="120"/>
      <c r="F125" s="120"/>
      <c r="G125" s="120"/>
      <c r="H125" s="120"/>
      <c r="I125" s="120"/>
      <c r="J125" s="120"/>
      <c r="K125" s="120"/>
      <c r="L125" s="120"/>
      <c r="M125" s="120"/>
      <c r="N125" s="120"/>
      <c r="O125" s="120"/>
      <c r="P125" s="120"/>
      <c r="Q125" s="120"/>
      <c r="R125" s="120"/>
      <c r="S125" s="120"/>
      <c r="T125" s="120"/>
      <c r="U125" s="120"/>
      <c r="V125" s="120"/>
      <c r="W125" s="120"/>
      <c r="X125" s="120"/>
      <c r="Y125" s="120"/>
      <c r="Z125" s="120"/>
      <c r="AA125" s="120"/>
    </row>
    <row r="126">
      <c r="A126" s="120"/>
      <c r="B126" s="120"/>
      <c r="C126" s="120"/>
      <c r="D126" s="120"/>
      <c r="E126" s="120"/>
      <c r="F126" s="120"/>
      <c r="G126" s="120"/>
      <c r="H126" s="120"/>
      <c r="I126" s="120"/>
      <c r="J126" s="120"/>
      <c r="K126" s="120"/>
      <c r="L126" s="120"/>
      <c r="M126" s="120"/>
      <c r="N126" s="120"/>
      <c r="O126" s="120"/>
      <c r="P126" s="120"/>
      <c r="Q126" s="120"/>
      <c r="R126" s="120"/>
      <c r="S126" s="120"/>
      <c r="T126" s="120"/>
      <c r="U126" s="120"/>
      <c r="V126" s="120"/>
      <c r="W126" s="120"/>
      <c r="X126" s="120"/>
      <c r="Y126" s="120"/>
      <c r="Z126" s="120"/>
      <c r="AA126" s="120"/>
    </row>
    <row r="127">
      <c r="A127" s="120"/>
      <c r="B127" s="120"/>
      <c r="C127" s="120"/>
      <c r="D127" s="120"/>
      <c r="E127" s="120"/>
      <c r="F127" s="120"/>
      <c r="G127" s="120"/>
      <c r="H127" s="120"/>
      <c r="I127" s="120"/>
      <c r="J127" s="120"/>
      <c r="K127" s="120"/>
      <c r="L127" s="120"/>
      <c r="M127" s="120"/>
      <c r="N127" s="120"/>
      <c r="O127" s="120"/>
      <c r="P127" s="120"/>
      <c r="Q127" s="120"/>
      <c r="R127" s="120"/>
      <c r="S127" s="120"/>
      <c r="T127" s="120"/>
      <c r="U127" s="120"/>
      <c r="V127" s="120"/>
      <c r="W127" s="120"/>
      <c r="X127" s="120"/>
      <c r="Y127" s="120"/>
      <c r="Z127" s="120"/>
      <c r="AA127" s="120"/>
    </row>
    <row r="128">
      <c r="A128" s="120"/>
      <c r="B128" s="120"/>
      <c r="C128" s="120"/>
      <c r="D128" s="120"/>
      <c r="E128" s="120"/>
      <c r="F128" s="120"/>
      <c r="G128" s="120"/>
      <c r="H128" s="120"/>
      <c r="I128" s="120"/>
      <c r="J128" s="120"/>
      <c r="K128" s="120"/>
      <c r="L128" s="120"/>
      <c r="M128" s="120"/>
      <c r="N128" s="120"/>
      <c r="O128" s="120"/>
      <c r="P128" s="120"/>
      <c r="Q128" s="120"/>
      <c r="R128" s="120"/>
      <c r="S128" s="120"/>
      <c r="T128" s="120"/>
      <c r="U128" s="120"/>
      <c r="V128" s="120"/>
      <c r="W128" s="120"/>
      <c r="X128" s="120"/>
      <c r="Y128" s="120"/>
      <c r="Z128" s="120"/>
      <c r="AA128" s="120"/>
    </row>
    <row r="129">
      <c r="A129" s="120"/>
      <c r="B129" s="120"/>
      <c r="C129" s="120"/>
      <c r="D129" s="120"/>
      <c r="E129" s="120"/>
      <c r="F129" s="120"/>
      <c r="G129" s="120"/>
      <c r="H129" s="120"/>
      <c r="I129" s="120"/>
      <c r="J129" s="120"/>
      <c r="K129" s="120"/>
      <c r="L129" s="120"/>
      <c r="M129" s="120"/>
      <c r="N129" s="120"/>
      <c r="O129" s="120"/>
      <c r="P129" s="120"/>
      <c r="Q129" s="120"/>
      <c r="R129" s="120"/>
      <c r="S129" s="120"/>
      <c r="T129" s="120"/>
      <c r="U129" s="120"/>
      <c r="V129" s="120"/>
      <c r="W129" s="120"/>
      <c r="X129" s="120"/>
      <c r="Y129" s="120"/>
      <c r="Z129" s="120"/>
      <c r="AA129" s="120"/>
    </row>
    <row r="130">
      <c r="A130" s="120"/>
      <c r="B130" s="120"/>
      <c r="C130" s="120"/>
      <c r="D130" s="120"/>
      <c r="E130" s="120"/>
      <c r="F130" s="120"/>
      <c r="G130" s="120"/>
      <c r="H130" s="120"/>
      <c r="I130" s="120"/>
      <c r="J130" s="120"/>
      <c r="K130" s="120"/>
      <c r="L130" s="120"/>
      <c r="M130" s="120"/>
      <c r="N130" s="120"/>
      <c r="O130" s="120"/>
      <c r="P130" s="120"/>
      <c r="Q130" s="120"/>
      <c r="R130" s="120"/>
      <c r="S130" s="120"/>
      <c r="T130" s="120"/>
      <c r="U130" s="120"/>
      <c r="V130" s="120"/>
      <c r="W130" s="120"/>
      <c r="X130" s="120"/>
      <c r="Y130" s="120"/>
      <c r="Z130" s="120"/>
      <c r="AA130" s="120"/>
    </row>
    <row r="131">
      <c r="A131" s="120"/>
      <c r="B131" s="120"/>
      <c r="C131" s="120"/>
      <c r="D131" s="120"/>
      <c r="E131" s="120"/>
      <c r="F131" s="120"/>
      <c r="G131" s="120"/>
      <c r="H131" s="120"/>
      <c r="I131" s="120"/>
      <c r="J131" s="120"/>
      <c r="K131" s="120"/>
      <c r="L131" s="120"/>
      <c r="M131" s="120"/>
      <c r="N131" s="120"/>
      <c r="O131" s="120"/>
      <c r="P131" s="120"/>
      <c r="Q131" s="120"/>
      <c r="R131" s="120"/>
      <c r="S131" s="120"/>
      <c r="T131" s="120"/>
      <c r="U131" s="120"/>
      <c r="V131" s="120"/>
      <c r="W131" s="120"/>
      <c r="X131" s="120"/>
      <c r="Y131" s="120"/>
      <c r="Z131" s="120"/>
      <c r="AA131" s="120"/>
    </row>
    <row r="132">
      <c r="A132" s="120"/>
      <c r="B132" s="120"/>
      <c r="C132" s="120"/>
      <c r="D132" s="120"/>
      <c r="E132" s="120"/>
      <c r="F132" s="120"/>
      <c r="G132" s="120"/>
      <c r="H132" s="120"/>
      <c r="I132" s="120"/>
      <c r="J132" s="120"/>
      <c r="K132" s="120"/>
      <c r="L132" s="120"/>
      <c r="M132" s="120"/>
      <c r="N132" s="120"/>
      <c r="O132" s="120"/>
      <c r="P132" s="120"/>
      <c r="Q132" s="120"/>
      <c r="R132" s="120"/>
      <c r="S132" s="120"/>
      <c r="T132" s="120"/>
      <c r="U132" s="120"/>
      <c r="V132" s="120"/>
      <c r="W132" s="120"/>
      <c r="X132" s="120"/>
      <c r="Y132" s="120"/>
      <c r="Z132" s="120"/>
      <c r="AA132" s="120"/>
    </row>
    <row r="133">
      <c r="A133" s="120"/>
      <c r="B133" s="120"/>
      <c r="C133" s="120"/>
      <c r="D133" s="120"/>
      <c r="E133" s="120"/>
      <c r="F133" s="120"/>
      <c r="G133" s="120"/>
      <c r="H133" s="120"/>
      <c r="I133" s="120"/>
      <c r="J133" s="120"/>
      <c r="K133" s="120"/>
      <c r="L133" s="120"/>
      <c r="M133" s="120"/>
      <c r="N133" s="120"/>
      <c r="O133" s="120"/>
      <c r="P133" s="120"/>
      <c r="Q133" s="120"/>
      <c r="R133" s="120"/>
      <c r="S133" s="120"/>
      <c r="T133" s="120"/>
      <c r="U133" s="120"/>
      <c r="V133" s="120"/>
      <c r="W133" s="120"/>
      <c r="X133" s="120"/>
      <c r="Y133" s="120"/>
      <c r="Z133" s="120"/>
      <c r="AA133" s="120"/>
    </row>
    <row r="134">
      <c r="A134" s="120"/>
      <c r="B134" s="120"/>
      <c r="C134" s="120"/>
      <c r="D134" s="120"/>
      <c r="E134" s="120"/>
      <c r="F134" s="120"/>
      <c r="G134" s="120"/>
      <c r="H134" s="120"/>
      <c r="I134" s="120"/>
      <c r="J134" s="120"/>
      <c r="K134" s="120"/>
      <c r="L134" s="120"/>
      <c r="M134" s="120"/>
      <c r="N134" s="120"/>
      <c r="O134" s="120"/>
      <c r="P134" s="120"/>
      <c r="Q134" s="120"/>
      <c r="R134" s="120"/>
      <c r="S134" s="120"/>
      <c r="T134" s="120"/>
      <c r="U134" s="120"/>
      <c r="V134" s="120"/>
      <c r="W134" s="120"/>
      <c r="X134" s="120"/>
      <c r="Y134" s="120"/>
      <c r="Z134" s="120"/>
      <c r="AA134" s="120"/>
    </row>
    <row r="135">
      <c r="A135" s="120"/>
      <c r="B135" s="120"/>
      <c r="C135" s="120"/>
      <c r="D135" s="120"/>
      <c r="E135" s="120"/>
      <c r="F135" s="120"/>
      <c r="G135" s="120"/>
      <c r="H135" s="120"/>
      <c r="I135" s="120"/>
      <c r="J135" s="120"/>
      <c r="K135" s="120"/>
      <c r="L135" s="120"/>
      <c r="M135" s="120"/>
      <c r="N135" s="120"/>
      <c r="O135" s="120"/>
      <c r="P135" s="120"/>
      <c r="Q135" s="120"/>
      <c r="R135" s="120"/>
      <c r="S135" s="120"/>
      <c r="T135" s="120"/>
      <c r="U135" s="120"/>
      <c r="V135" s="120"/>
      <c r="W135" s="120"/>
      <c r="X135" s="120"/>
      <c r="Y135" s="120"/>
      <c r="Z135" s="120"/>
      <c r="AA135" s="120"/>
    </row>
    <row r="136">
      <c r="A136" s="120"/>
      <c r="B136" s="120"/>
      <c r="C136" s="120"/>
      <c r="D136" s="120"/>
      <c r="E136" s="120"/>
      <c r="F136" s="120"/>
      <c r="G136" s="120"/>
      <c r="H136" s="120"/>
      <c r="I136" s="120"/>
      <c r="J136" s="120"/>
      <c r="K136" s="120"/>
      <c r="L136" s="120"/>
      <c r="M136" s="120"/>
      <c r="N136" s="120"/>
      <c r="O136" s="120"/>
      <c r="P136" s="120"/>
      <c r="Q136" s="120"/>
      <c r="R136" s="120"/>
      <c r="S136" s="120"/>
      <c r="T136" s="120"/>
      <c r="U136" s="120"/>
      <c r="V136" s="120"/>
      <c r="W136" s="120"/>
      <c r="X136" s="120"/>
      <c r="Y136" s="120"/>
      <c r="Z136" s="120"/>
      <c r="AA136" s="120"/>
    </row>
    <row r="137">
      <c r="A137" s="120"/>
      <c r="B137" s="120"/>
      <c r="C137" s="120"/>
      <c r="D137" s="120"/>
      <c r="E137" s="120"/>
      <c r="F137" s="120"/>
      <c r="G137" s="120"/>
      <c r="H137" s="120"/>
      <c r="I137" s="120"/>
      <c r="J137" s="120"/>
      <c r="K137" s="120"/>
      <c r="L137" s="120"/>
      <c r="M137" s="120"/>
      <c r="N137" s="120"/>
      <c r="O137" s="120"/>
      <c r="P137" s="120"/>
      <c r="Q137" s="120"/>
      <c r="R137" s="120"/>
      <c r="S137" s="120"/>
      <c r="T137" s="120"/>
      <c r="U137" s="120"/>
      <c r="V137" s="120"/>
      <c r="W137" s="120"/>
      <c r="X137" s="120"/>
      <c r="Y137" s="120"/>
      <c r="Z137" s="120"/>
      <c r="AA137" s="120"/>
    </row>
    <row r="138">
      <c r="A138" s="120"/>
      <c r="B138" s="120"/>
      <c r="C138" s="120"/>
      <c r="D138" s="120"/>
      <c r="E138" s="120"/>
      <c r="F138" s="120"/>
      <c r="G138" s="120"/>
      <c r="H138" s="120"/>
      <c r="I138" s="120"/>
      <c r="J138" s="120"/>
      <c r="K138" s="120"/>
      <c r="L138" s="120"/>
      <c r="M138" s="120"/>
      <c r="N138" s="120"/>
      <c r="O138" s="120"/>
      <c r="P138" s="120"/>
      <c r="Q138" s="120"/>
      <c r="R138" s="120"/>
      <c r="S138" s="120"/>
      <c r="T138" s="120"/>
      <c r="U138" s="120"/>
      <c r="V138" s="120"/>
      <c r="W138" s="120"/>
      <c r="X138" s="120"/>
      <c r="Y138" s="120"/>
      <c r="Z138" s="120"/>
      <c r="AA138" s="120"/>
    </row>
    <row r="139">
      <c r="A139" s="120"/>
      <c r="B139" s="120"/>
      <c r="C139" s="120"/>
      <c r="D139" s="120"/>
      <c r="E139" s="120"/>
      <c r="F139" s="120"/>
      <c r="G139" s="120"/>
      <c r="H139" s="120"/>
      <c r="I139" s="120"/>
      <c r="J139" s="120"/>
      <c r="K139" s="120"/>
      <c r="L139" s="120"/>
      <c r="M139" s="120"/>
      <c r="N139" s="120"/>
      <c r="O139" s="120"/>
      <c r="P139" s="120"/>
      <c r="Q139" s="120"/>
      <c r="R139" s="120"/>
      <c r="S139" s="120"/>
      <c r="T139" s="120"/>
      <c r="U139" s="120"/>
      <c r="V139" s="120"/>
      <c r="W139" s="120"/>
      <c r="X139" s="120"/>
      <c r="Y139" s="120"/>
      <c r="Z139" s="120"/>
      <c r="AA139" s="120"/>
    </row>
    <row r="140">
      <c r="A140" s="120"/>
      <c r="B140" s="120"/>
      <c r="C140" s="120"/>
      <c r="D140" s="120"/>
      <c r="E140" s="120"/>
      <c r="F140" s="120"/>
      <c r="G140" s="120"/>
      <c r="H140" s="120"/>
      <c r="I140" s="120"/>
      <c r="J140" s="120"/>
      <c r="K140" s="120"/>
      <c r="L140" s="120"/>
      <c r="M140" s="120"/>
      <c r="N140" s="120"/>
      <c r="O140" s="120"/>
      <c r="P140" s="120"/>
      <c r="Q140" s="120"/>
      <c r="R140" s="120"/>
      <c r="S140" s="120"/>
      <c r="T140" s="120"/>
      <c r="U140" s="120"/>
      <c r="V140" s="120"/>
      <c r="W140" s="120"/>
      <c r="X140" s="120"/>
      <c r="Y140" s="120"/>
      <c r="Z140" s="120"/>
      <c r="AA140" s="120"/>
    </row>
    <row r="141">
      <c r="A141" s="120"/>
      <c r="B141" s="120"/>
      <c r="C141" s="120"/>
      <c r="D141" s="120"/>
      <c r="E141" s="120"/>
      <c r="F141" s="120"/>
      <c r="G141" s="120"/>
      <c r="H141" s="120"/>
      <c r="I141" s="120"/>
      <c r="J141" s="120"/>
      <c r="K141" s="120"/>
      <c r="L141" s="120"/>
      <c r="M141" s="120"/>
      <c r="N141" s="120"/>
      <c r="O141" s="120"/>
      <c r="P141" s="120"/>
      <c r="Q141" s="120"/>
      <c r="R141" s="120"/>
      <c r="S141" s="120"/>
      <c r="T141" s="120"/>
      <c r="U141" s="120"/>
      <c r="V141" s="120"/>
      <c r="W141" s="120"/>
      <c r="X141" s="120"/>
      <c r="Y141" s="120"/>
      <c r="Z141" s="120"/>
      <c r="AA141" s="120"/>
    </row>
    <row r="142">
      <c r="A142" s="120"/>
      <c r="B142" s="120"/>
      <c r="C142" s="120"/>
      <c r="D142" s="120"/>
      <c r="E142" s="120"/>
      <c r="F142" s="120"/>
      <c r="G142" s="120"/>
      <c r="H142" s="120"/>
      <c r="I142" s="120"/>
      <c r="J142" s="120"/>
      <c r="K142" s="120"/>
      <c r="L142" s="120"/>
      <c r="M142" s="120"/>
      <c r="N142" s="120"/>
      <c r="O142" s="120"/>
      <c r="P142" s="120"/>
      <c r="Q142" s="120"/>
      <c r="R142" s="120"/>
      <c r="S142" s="120"/>
      <c r="T142" s="120"/>
      <c r="U142" s="120"/>
      <c r="V142" s="120"/>
      <c r="W142" s="120"/>
      <c r="X142" s="120"/>
      <c r="Y142" s="120"/>
      <c r="Z142" s="120"/>
      <c r="AA142" s="120"/>
    </row>
    <row r="143">
      <c r="A143" s="120"/>
      <c r="B143" s="120"/>
      <c r="C143" s="120"/>
      <c r="D143" s="120"/>
      <c r="E143" s="120"/>
      <c r="F143" s="120"/>
      <c r="G143" s="120"/>
      <c r="H143" s="120"/>
      <c r="I143" s="120"/>
      <c r="J143" s="120"/>
      <c r="K143" s="120"/>
      <c r="L143" s="120"/>
      <c r="M143" s="120"/>
      <c r="N143" s="120"/>
      <c r="O143" s="120"/>
      <c r="P143" s="120"/>
      <c r="Q143" s="120"/>
      <c r="R143" s="120"/>
      <c r="S143" s="120"/>
      <c r="T143" s="120"/>
      <c r="U143" s="120"/>
      <c r="V143" s="120"/>
      <c r="W143" s="120"/>
      <c r="X143" s="120"/>
      <c r="Y143" s="120"/>
      <c r="Z143" s="120"/>
      <c r="AA143" s="120"/>
    </row>
    <row r="144">
      <c r="A144" s="120"/>
      <c r="B144" s="120"/>
      <c r="C144" s="120"/>
      <c r="D144" s="120"/>
      <c r="E144" s="120"/>
      <c r="F144" s="120"/>
      <c r="G144" s="120"/>
      <c r="H144" s="120"/>
      <c r="I144" s="120"/>
      <c r="J144" s="120"/>
      <c r="K144" s="120"/>
      <c r="L144" s="120"/>
      <c r="M144" s="120"/>
      <c r="N144" s="120"/>
      <c r="O144" s="120"/>
      <c r="P144" s="120"/>
      <c r="Q144" s="120"/>
      <c r="R144" s="120"/>
      <c r="S144" s="120"/>
      <c r="T144" s="120"/>
      <c r="U144" s="120"/>
      <c r="V144" s="120"/>
      <c r="W144" s="120"/>
      <c r="X144" s="120"/>
      <c r="Y144" s="120"/>
      <c r="Z144" s="120"/>
      <c r="AA144" s="120"/>
    </row>
    <row r="145">
      <c r="A145" s="120"/>
      <c r="B145" s="120"/>
      <c r="C145" s="120"/>
      <c r="D145" s="120"/>
      <c r="E145" s="120"/>
      <c r="F145" s="120"/>
      <c r="G145" s="120"/>
      <c r="H145" s="120"/>
      <c r="I145" s="120"/>
      <c r="J145" s="120"/>
      <c r="K145" s="120"/>
      <c r="L145" s="120"/>
      <c r="M145" s="120"/>
      <c r="N145" s="120"/>
      <c r="O145" s="120"/>
      <c r="P145" s="120"/>
      <c r="Q145" s="120"/>
      <c r="R145" s="120"/>
      <c r="S145" s="120"/>
      <c r="T145" s="120"/>
      <c r="U145" s="120"/>
      <c r="V145" s="120"/>
      <c r="W145" s="120"/>
      <c r="X145" s="120"/>
      <c r="Y145" s="120"/>
      <c r="Z145" s="120"/>
      <c r="AA145" s="120"/>
    </row>
    <row r="146">
      <c r="A146" s="120"/>
      <c r="B146" s="120"/>
      <c r="C146" s="120"/>
      <c r="D146" s="120"/>
      <c r="E146" s="120"/>
      <c r="F146" s="120"/>
      <c r="G146" s="120"/>
      <c r="H146" s="120"/>
      <c r="I146" s="120"/>
      <c r="J146" s="120"/>
      <c r="K146" s="120"/>
      <c r="L146" s="120"/>
      <c r="M146" s="120"/>
      <c r="N146" s="120"/>
      <c r="O146" s="120"/>
      <c r="P146" s="120"/>
      <c r="Q146" s="120"/>
      <c r="R146" s="120"/>
      <c r="S146" s="120"/>
      <c r="T146" s="120"/>
      <c r="U146" s="120"/>
      <c r="V146" s="120"/>
      <c r="W146" s="120"/>
      <c r="X146" s="120"/>
      <c r="Y146" s="120"/>
      <c r="Z146" s="120"/>
      <c r="AA146" s="120"/>
    </row>
    <row r="147">
      <c r="A147" s="120"/>
      <c r="B147" s="120"/>
      <c r="C147" s="120"/>
      <c r="D147" s="120"/>
      <c r="E147" s="120"/>
      <c r="F147" s="120"/>
      <c r="G147" s="120"/>
      <c r="H147" s="120"/>
      <c r="I147" s="120"/>
      <c r="J147" s="120"/>
      <c r="K147" s="120"/>
      <c r="L147" s="120"/>
      <c r="M147" s="120"/>
      <c r="N147" s="120"/>
      <c r="O147" s="120"/>
      <c r="P147" s="120"/>
      <c r="Q147" s="120"/>
      <c r="R147" s="120"/>
      <c r="S147" s="120"/>
      <c r="T147" s="120"/>
      <c r="U147" s="120"/>
      <c r="V147" s="120"/>
      <c r="W147" s="120"/>
      <c r="X147" s="120"/>
      <c r="Y147" s="120"/>
      <c r="Z147" s="120"/>
      <c r="AA147" s="120"/>
    </row>
    <row r="148">
      <c r="A148" s="120"/>
      <c r="B148" s="120"/>
      <c r="C148" s="120"/>
      <c r="D148" s="120"/>
      <c r="E148" s="120"/>
      <c r="F148" s="120"/>
      <c r="G148" s="120"/>
      <c r="H148" s="120"/>
      <c r="I148" s="120"/>
      <c r="J148" s="120"/>
      <c r="K148" s="120"/>
      <c r="L148" s="120"/>
      <c r="M148" s="120"/>
      <c r="N148" s="120"/>
      <c r="O148" s="120"/>
      <c r="P148" s="120"/>
      <c r="Q148" s="120"/>
      <c r="R148" s="120"/>
      <c r="S148" s="120"/>
      <c r="T148" s="120"/>
      <c r="U148" s="120"/>
      <c r="V148" s="120"/>
      <c r="W148" s="120"/>
      <c r="X148" s="120"/>
      <c r="Y148" s="120"/>
      <c r="Z148" s="120"/>
      <c r="AA148" s="120"/>
    </row>
    <row r="149">
      <c r="A149" s="120"/>
      <c r="B149" s="120"/>
      <c r="C149" s="120"/>
      <c r="D149" s="120"/>
      <c r="E149" s="120"/>
      <c r="F149" s="120"/>
      <c r="G149" s="120"/>
      <c r="H149" s="120"/>
      <c r="I149" s="120"/>
      <c r="J149" s="120"/>
      <c r="K149" s="120"/>
      <c r="L149" s="120"/>
      <c r="M149" s="120"/>
      <c r="N149" s="120"/>
      <c r="O149" s="120"/>
      <c r="P149" s="120"/>
      <c r="Q149" s="120"/>
      <c r="R149" s="120"/>
      <c r="S149" s="120"/>
      <c r="T149" s="120"/>
      <c r="U149" s="120"/>
      <c r="V149" s="120"/>
      <c r="W149" s="120"/>
      <c r="X149" s="120"/>
      <c r="Y149" s="120"/>
      <c r="Z149" s="120"/>
      <c r="AA149" s="120"/>
    </row>
    <row r="150">
      <c r="A150" s="120"/>
      <c r="B150" s="120"/>
      <c r="C150" s="120"/>
      <c r="D150" s="120"/>
      <c r="E150" s="120"/>
      <c r="F150" s="120"/>
      <c r="G150" s="120"/>
      <c r="H150" s="120"/>
      <c r="I150" s="120"/>
      <c r="J150" s="120"/>
      <c r="K150" s="120"/>
      <c r="L150" s="120"/>
      <c r="M150" s="120"/>
      <c r="N150" s="120"/>
      <c r="O150" s="120"/>
      <c r="P150" s="120"/>
      <c r="Q150" s="120"/>
      <c r="R150" s="120"/>
      <c r="S150" s="120"/>
      <c r="T150" s="120"/>
      <c r="U150" s="120"/>
      <c r="V150" s="120"/>
      <c r="W150" s="120"/>
      <c r="X150" s="120"/>
      <c r="Y150" s="120"/>
      <c r="Z150" s="120"/>
      <c r="AA150" s="120"/>
    </row>
    <row r="151">
      <c r="A151" s="120"/>
      <c r="B151" s="120"/>
      <c r="C151" s="120"/>
      <c r="D151" s="120"/>
      <c r="E151" s="120"/>
      <c r="F151" s="120"/>
      <c r="G151" s="120"/>
      <c r="H151" s="120"/>
      <c r="I151" s="120"/>
      <c r="J151" s="120"/>
      <c r="K151" s="120"/>
      <c r="L151" s="120"/>
      <c r="M151" s="120"/>
      <c r="N151" s="120"/>
      <c r="O151" s="120"/>
      <c r="P151" s="120"/>
      <c r="Q151" s="120"/>
      <c r="R151" s="120"/>
      <c r="S151" s="120"/>
      <c r="T151" s="120"/>
      <c r="U151" s="120"/>
      <c r="V151" s="120"/>
      <c r="W151" s="120"/>
      <c r="X151" s="120"/>
      <c r="Y151" s="120"/>
      <c r="Z151" s="120"/>
      <c r="AA151" s="120"/>
    </row>
    <row r="152">
      <c r="A152" s="120"/>
      <c r="B152" s="120"/>
      <c r="C152" s="120"/>
      <c r="D152" s="120"/>
      <c r="E152" s="120"/>
      <c r="F152" s="120"/>
      <c r="G152" s="120"/>
      <c r="H152" s="120"/>
      <c r="I152" s="120"/>
      <c r="J152" s="120"/>
      <c r="K152" s="120"/>
      <c r="L152" s="120"/>
      <c r="M152" s="120"/>
      <c r="N152" s="120"/>
      <c r="O152" s="120"/>
      <c r="P152" s="120"/>
      <c r="Q152" s="120"/>
      <c r="R152" s="120"/>
      <c r="S152" s="120"/>
      <c r="T152" s="120"/>
      <c r="U152" s="120"/>
      <c r="V152" s="120"/>
      <c r="W152" s="120"/>
      <c r="X152" s="120"/>
      <c r="Y152" s="120"/>
      <c r="Z152" s="120"/>
      <c r="AA152" s="120"/>
    </row>
    <row r="153">
      <c r="A153" s="120"/>
      <c r="B153" s="120"/>
      <c r="C153" s="120"/>
      <c r="D153" s="120"/>
      <c r="E153" s="120"/>
      <c r="F153" s="120"/>
      <c r="G153" s="120"/>
      <c r="H153" s="120"/>
      <c r="I153" s="120"/>
      <c r="J153" s="120"/>
      <c r="K153" s="120"/>
      <c r="L153" s="120"/>
      <c r="M153" s="120"/>
      <c r="N153" s="120"/>
      <c r="O153" s="120"/>
      <c r="P153" s="120"/>
      <c r="Q153" s="120"/>
      <c r="R153" s="120"/>
      <c r="S153" s="120"/>
      <c r="T153" s="120"/>
      <c r="U153" s="120"/>
      <c r="V153" s="120"/>
      <c r="W153" s="120"/>
      <c r="X153" s="120"/>
      <c r="Y153" s="120"/>
      <c r="Z153" s="120"/>
      <c r="AA153" s="120"/>
    </row>
    <row r="154">
      <c r="A154" s="120"/>
      <c r="B154" s="120"/>
      <c r="C154" s="120"/>
      <c r="D154" s="120"/>
      <c r="E154" s="120"/>
      <c r="F154" s="120"/>
      <c r="G154" s="120"/>
      <c r="H154" s="120"/>
      <c r="I154" s="120"/>
      <c r="J154" s="120"/>
      <c r="K154" s="120"/>
      <c r="L154" s="120"/>
      <c r="M154" s="120"/>
      <c r="N154" s="120"/>
      <c r="O154" s="120"/>
      <c r="P154" s="120"/>
      <c r="Q154" s="120"/>
      <c r="R154" s="120"/>
      <c r="S154" s="120"/>
      <c r="T154" s="120"/>
      <c r="U154" s="120"/>
      <c r="V154" s="120"/>
      <c r="W154" s="120"/>
      <c r="X154" s="120"/>
      <c r="Y154" s="120"/>
      <c r="Z154" s="120"/>
      <c r="AA154" s="120"/>
    </row>
    <row r="155">
      <c r="A155" s="120"/>
      <c r="B155" s="120"/>
      <c r="C155" s="120"/>
      <c r="D155" s="120"/>
      <c r="E155" s="120"/>
      <c r="F155" s="120"/>
      <c r="G155" s="120"/>
      <c r="H155" s="120"/>
      <c r="I155" s="120"/>
      <c r="J155" s="120"/>
      <c r="K155" s="120"/>
      <c r="L155" s="120"/>
      <c r="M155" s="120"/>
      <c r="N155" s="120"/>
      <c r="O155" s="120"/>
      <c r="P155" s="120"/>
      <c r="Q155" s="120"/>
      <c r="R155" s="120"/>
      <c r="S155" s="120"/>
      <c r="T155" s="120"/>
      <c r="U155" s="120"/>
      <c r="V155" s="120"/>
      <c r="W155" s="120"/>
      <c r="X155" s="120"/>
      <c r="Y155" s="120"/>
      <c r="Z155" s="120"/>
      <c r="AA155" s="120"/>
    </row>
    <row r="156">
      <c r="A156" s="120"/>
      <c r="B156" s="120"/>
      <c r="C156" s="120"/>
      <c r="D156" s="120"/>
      <c r="E156" s="120"/>
      <c r="F156" s="120"/>
      <c r="G156" s="120"/>
      <c r="H156" s="120"/>
      <c r="I156" s="120"/>
      <c r="J156" s="120"/>
      <c r="K156" s="120"/>
      <c r="L156" s="120"/>
      <c r="M156" s="120"/>
      <c r="N156" s="120"/>
      <c r="O156" s="120"/>
      <c r="P156" s="120"/>
      <c r="Q156" s="120"/>
      <c r="R156" s="120"/>
      <c r="S156" s="120"/>
      <c r="T156" s="120"/>
      <c r="U156" s="120"/>
      <c r="V156" s="120"/>
      <c r="W156" s="120"/>
      <c r="X156" s="120"/>
      <c r="Y156" s="120"/>
      <c r="Z156" s="120"/>
      <c r="AA156" s="120"/>
    </row>
    <row r="157">
      <c r="A157" s="120"/>
      <c r="B157" s="120"/>
      <c r="C157" s="120"/>
      <c r="D157" s="120"/>
      <c r="E157" s="120"/>
      <c r="F157" s="120"/>
      <c r="G157" s="120"/>
      <c r="H157" s="120"/>
      <c r="I157" s="120"/>
      <c r="J157" s="120"/>
      <c r="K157" s="120"/>
      <c r="L157" s="120"/>
      <c r="M157" s="120"/>
      <c r="N157" s="120"/>
      <c r="O157" s="120"/>
      <c r="P157" s="120"/>
      <c r="Q157" s="120"/>
      <c r="R157" s="120"/>
      <c r="S157" s="120"/>
      <c r="T157" s="120"/>
      <c r="U157" s="120"/>
      <c r="V157" s="120"/>
      <c r="W157" s="120"/>
      <c r="X157" s="120"/>
      <c r="Y157" s="120"/>
      <c r="Z157" s="120"/>
      <c r="AA157" s="120"/>
    </row>
    <row r="158">
      <c r="A158" s="120"/>
      <c r="B158" s="120"/>
      <c r="C158" s="120"/>
      <c r="D158" s="120"/>
      <c r="E158" s="120"/>
      <c r="F158" s="120"/>
      <c r="G158" s="120"/>
      <c r="H158" s="120"/>
      <c r="I158" s="120"/>
      <c r="J158" s="120"/>
      <c r="K158" s="120"/>
      <c r="L158" s="120"/>
      <c r="M158" s="120"/>
      <c r="N158" s="120"/>
      <c r="O158" s="120"/>
      <c r="P158" s="120"/>
      <c r="Q158" s="120"/>
      <c r="R158" s="120"/>
      <c r="S158" s="120"/>
      <c r="T158" s="120"/>
      <c r="U158" s="120"/>
      <c r="V158" s="120"/>
      <c r="W158" s="120"/>
      <c r="X158" s="120"/>
      <c r="Y158" s="120"/>
      <c r="Z158" s="120"/>
      <c r="AA158" s="120"/>
    </row>
    <row r="159">
      <c r="A159" s="120"/>
      <c r="B159" s="120"/>
      <c r="C159" s="120"/>
      <c r="D159" s="120"/>
      <c r="E159" s="120"/>
      <c r="F159" s="120"/>
      <c r="G159" s="120"/>
      <c r="H159" s="120"/>
      <c r="I159" s="120"/>
      <c r="J159" s="120"/>
      <c r="K159" s="120"/>
      <c r="L159" s="120"/>
      <c r="M159" s="120"/>
      <c r="N159" s="120"/>
      <c r="O159" s="120"/>
      <c r="P159" s="120"/>
      <c r="Q159" s="120"/>
      <c r="R159" s="120"/>
      <c r="S159" s="120"/>
      <c r="T159" s="120"/>
      <c r="U159" s="120"/>
      <c r="V159" s="120"/>
      <c r="W159" s="120"/>
      <c r="X159" s="120"/>
      <c r="Y159" s="120"/>
      <c r="Z159" s="120"/>
      <c r="AA159" s="120"/>
    </row>
    <row r="160">
      <c r="A160" s="120"/>
      <c r="B160" s="120"/>
      <c r="C160" s="120"/>
      <c r="D160" s="120"/>
      <c r="E160" s="120"/>
      <c r="F160" s="120"/>
      <c r="G160" s="120"/>
      <c r="H160" s="120"/>
      <c r="I160" s="120"/>
      <c r="J160" s="120"/>
      <c r="K160" s="120"/>
      <c r="L160" s="120"/>
      <c r="M160" s="120"/>
      <c r="N160" s="120"/>
      <c r="O160" s="120"/>
      <c r="P160" s="120"/>
      <c r="Q160" s="120"/>
      <c r="R160" s="120"/>
      <c r="S160" s="120"/>
      <c r="T160" s="120"/>
      <c r="U160" s="120"/>
      <c r="V160" s="120"/>
      <c r="W160" s="120"/>
      <c r="X160" s="120"/>
      <c r="Y160" s="120"/>
      <c r="Z160" s="120"/>
      <c r="AA160" s="120"/>
    </row>
    <row r="161">
      <c r="A161" s="120"/>
      <c r="B161" s="120"/>
      <c r="C161" s="120"/>
      <c r="D161" s="120"/>
      <c r="E161" s="120"/>
      <c r="F161" s="120"/>
      <c r="G161" s="120"/>
      <c r="H161" s="120"/>
      <c r="I161" s="120"/>
      <c r="J161" s="120"/>
      <c r="K161" s="120"/>
      <c r="L161" s="120"/>
      <c r="M161" s="120"/>
      <c r="N161" s="120"/>
      <c r="O161" s="120"/>
      <c r="P161" s="120"/>
      <c r="Q161" s="120"/>
      <c r="R161" s="120"/>
      <c r="S161" s="120"/>
      <c r="T161" s="120"/>
      <c r="U161" s="120"/>
      <c r="V161" s="120"/>
      <c r="W161" s="120"/>
      <c r="X161" s="120"/>
      <c r="Y161" s="120"/>
      <c r="Z161" s="120"/>
      <c r="AA161" s="120"/>
    </row>
    <row r="162">
      <c r="A162" s="120"/>
      <c r="B162" s="120"/>
      <c r="C162" s="120"/>
      <c r="D162" s="120"/>
      <c r="E162" s="120"/>
      <c r="F162" s="120"/>
      <c r="G162" s="120"/>
      <c r="H162" s="120"/>
      <c r="I162" s="120"/>
      <c r="J162" s="120"/>
      <c r="K162" s="120"/>
      <c r="L162" s="120"/>
      <c r="M162" s="120"/>
      <c r="N162" s="120"/>
      <c r="O162" s="120"/>
      <c r="P162" s="120"/>
      <c r="Q162" s="120"/>
      <c r="R162" s="120"/>
      <c r="S162" s="120"/>
      <c r="T162" s="120"/>
      <c r="U162" s="120"/>
      <c r="V162" s="120"/>
      <c r="W162" s="120"/>
      <c r="X162" s="120"/>
      <c r="Y162" s="120"/>
      <c r="Z162" s="120"/>
      <c r="AA162" s="120"/>
    </row>
    <row r="163">
      <c r="A163" s="120"/>
      <c r="B163" s="120"/>
      <c r="C163" s="120"/>
      <c r="D163" s="120"/>
      <c r="E163" s="120"/>
      <c r="F163" s="120"/>
      <c r="G163" s="120"/>
      <c r="H163" s="120"/>
      <c r="I163" s="120"/>
      <c r="J163" s="120"/>
      <c r="K163" s="120"/>
      <c r="L163" s="120"/>
      <c r="M163" s="120"/>
      <c r="N163" s="120"/>
      <c r="O163" s="120"/>
      <c r="P163" s="120"/>
      <c r="Q163" s="120"/>
      <c r="R163" s="120"/>
      <c r="S163" s="120"/>
      <c r="T163" s="120"/>
      <c r="U163" s="120"/>
      <c r="V163" s="120"/>
      <c r="W163" s="120"/>
      <c r="X163" s="120"/>
      <c r="Y163" s="120"/>
      <c r="Z163" s="120"/>
      <c r="AA163" s="120"/>
    </row>
    <row r="164">
      <c r="A164" s="120"/>
      <c r="B164" s="120"/>
      <c r="C164" s="120"/>
      <c r="D164" s="120"/>
      <c r="E164" s="120"/>
      <c r="F164" s="120"/>
      <c r="G164" s="120"/>
      <c r="H164" s="120"/>
      <c r="I164" s="120"/>
      <c r="J164" s="120"/>
      <c r="K164" s="120"/>
      <c r="L164" s="120"/>
      <c r="M164" s="120"/>
      <c r="N164" s="120"/>
      <c r="O164" s="120"/>
      <c r="P164" s="120"/>
      <c r="Q164" s="120"/>
      <c r="R164" s="120"/>
      <c r="S164" s="120"/>
      <c r="T164" s="120"/>
      <c r="U164" s="120"/>
      <c r="V164" s="120"/>
      <c r="W164" s="120"/>
      <c r="X164" s="120"/>
      <c r="Y164" s="120"/>
      <c r="Z164" s="120"/>
      <c r="AA164" s="120"/>
    </row>
    <row r="165">
      <c r="A165" s="120"/>
      <c r="B165" s="120"/>
      <c r="C165" s="120"/>
      <c r="D165" s="120"/>
      <c r="E165" s="120"/>
      <c r="F165" s="120"/>
      <c r="G165" s="120"/>
      <c r="H165" s="120"/>
      <c r="I165" s="120"/>
      <c r="J165" s="120"/>
      <c r="K165" s="120"/>
      <c r="L165" s="120"/>
      <c r="M165" s="120"/>
      <c r="N165" s="120"/>
      <c r="O165" s="120"/>
      <c r="P165" s="120"/>
      <c r="Q165" s="120"/>
      <c r="R165" s="120"/>
      <c r="S165" s="120"/>
      <c r="T165" s="120"/>
      <c r="U165" s="120"/>
      <c r="V165" s="120"/>
      <c r="W165" s="120"/>
      <c r="X165" s="120"/>
      <c r="Y165" s="120"/>
      <c r="Z165" s="120"/>
      <c r="AA165" s="120"/>
    </row>
    <row r="166">
      <c r="A166" s="120"/>
      <c r="B166" s="120"/>
      <c r="C166" s="120"/>
      <c r="D166" s="120"/>
      <c r="E166" s="120"/>
      <c r="F166" s="120"/>
      <c r="G166" s="120"/>
      <c r="H166" s="120"/>
      <c r="I166" s="120"/>
      <c r="J166" s="120"/>
      <c r="K166" s="120"/>
      <c r="L166" s="120"/>
      <c r="M166" s="120"/>
      <c r="N166" s="120"/>
      <c r="O166" s="120"/>
      <c r="P166" s="120"/>
      <c r="Q166" s="120"/>
      <c r="R166" s="120"/>
      <c r="S166" s="120"/>
      <c r="T166" s="120"/>
      <c r="U166" s="120"/>
      <c r="V166" s="120"/>
      <c r="W166" s="120"/>
      <c r="X166" s="120"/>
      <c r="Y166" s="120"/>
      <c r="Z166" s="120"/>
      <c r="AA166" s="120"/>
    </row>
    <row r="167">
      <c r="A167" s="120"/>
      <c r="B167" s="120"/>
      <c r="C167" s="120"/>
      <c r="D167" s="120"/>
      <c r="E167" s="120"/>
      <c r="F167" s="120"/>
      <c r="G167" s="120"/>
      <c r="H167" s="120"/>
      <c r="I167" s="120"/>
      <c r="J167" s="120"/>
      <c r="K167" s="120"/>
      <c r="L167" s="120"/>
      <c r="M167" s="120"/>
      <c r="N167" s="120"/>
      <c r="O167" s="120"/>
      <c r="P167" s="120"/>
      <c r="Q167" s="120"/>
      <c r="R167" s="120"/>
      <c r="S167" s="120"/>
      <c r="T167" s="120"/>
      <c r="U167" s="120"/>
      <c r="V167" s="120"/>
      <c r="W167" s="120"/>
      <c r="X167" s="120"/>
      <c r="Y167" s="120"/>
      <c r="Z167" s="120"/>
      <c r="AA167" s="120"/>
    </row>
    <row r="168">
      <c r="A168" s="120"/>
      <c r="B168" s="120"/>
      <c r="C168" s="120"/>
      <c r="D168" s="120"/>
      <c r="E168" s="120"/>
      <c r="F168" s="120"/>
      <c r="G168" s="120"/>
      <c r="H168" s="120"/>
      <c r="I168" s="120"/>
      <c r="J168" s="120"/>
      <c r="K168" s="120"/>
      <c r="L168" s="120"/>
      <c r="M168" s="120"/>
      <c r="N168" s="120"/>
      <c r="O168" s="120"/>
      <c r="P168" s="120"/>
      <c r="Q168" s="120"/>
      <c r="R168" s="120"/>
      <c r="S168" s="120"/>
      <c r="T168" s="120"/>
      <c r="U168" s="120"/>
      <c r="V168" s="120"/>
      <c r="W168" s="120"/>
      <c r="X168" s="120"/>
      <c r="Y168" s="120"/>
      <c r="Z168" s="120"/>
      <c r="AA168" s="120"/>
    </row>
    <row r="169">
      <c r="A169" s="120"/>
      <c r="B169" s="120"/>
      <c r="C169" s="120"/>
      <c r="D169" s="120"/>
      <c r="E169" s="120"/>
      <c r="F169" s="120"/>
      <c r="G169" s="120"/>
      <c r="H169" s="120"/>
      <c r="I169" s="120"/>
      <c r="J169" s="120"/>
      <c r="K169" s="120"/>
      <c r="L169" s="120"/>
      <c r="M169" s="120"/>
      <c r="N169" s="120"/>
      <c r="O169" s="120"/>
      <c r="P169" s="120"/>
      <c r="Q169" s="120"/>
      <c r="R169" s="120"/>
      <c r="S169" s="120"/>
      <c r="T169" s="120"/>
      <c r="U169" s="120"/>
      <c r="V169" s="120"/>
      <c r="W169" s="120"/>
      <c r="X169" s="120"/>
      <c r="Y169" s="120"/>
      <c r="Z169" s="120"/>
      <c r="AA169" s="120"/>
    </row>
    <row r="170">
      <c r="A170" s="120"/>
      <c r="B170" s="120"/>
      <c r="C170" s="120"/>
      <c r="D170" s="120"/>
      <c r="E170" s="120"/>
      <c r="F170" s="120"/>
      <c r="G170" s="120"/>
      <c r="H170" s="120"/>
      <c r="I170" s="120"/>
      <c r="J170" s="120"/>
      <c r="K170" s="120"/>
      <c r="L170" s="120"/>
      <c r="M170" s="120"/>
      <c r="N170" s="120"/>
      <c r="O170" s="120"/>
      <c r="P170" s="120"/>
      <c r="Q170" s="120"/>
      <c r="R170" s="120"/>
      <c r="S170" s="120"/>
      <c r="T170" s="120"/>
      <c r="U170" s="120"/>
      <c r="V170" s="120"/>
      <c r="W170" s="120"/>
      <c r="X170" s="120"/>
      <c r="Y170" s="120"/>
      <c r="Z170" s="120"/>
      <c r="AA170" s="120"/>
    </row>
    <row r="171">
      <c r="A171" s="120"/>
      <c r="B171" s="120"/>
      <c r="C171" s="120"/>
      <c r="D171" s="120"/>
      <c r="E171" s="120"/>
      <c r="F171" s="120"/>
      <c r="G171" s="120"/>
      <c r="H171" s="120"/>
      <c r="I171" s="120"/>
      <c r="J171" s="120"/>
      <c r="K171" s="120"/>
      <c r="L171" s="120"/>
      <c r="M171" s="120"/>
      <c r="N171" s="120"/>
      <c r="O171" s="120"/>
      <c r="P171" s="120"/>
      <c r="Q171" s="120"/>
      <c r="R171" s="120"/>
      <c r="S171" s="120"/>
      <c r="T171" s="120"/>
      <c r="U171" s="120"/>
      <c r="V171" s="120"/>
      <c r="W171" s="120"/>
      <c r="X171" s="120"/>
      <c r="Y171" s="120"/>
      <c r="Z171" s="120"/>
      <c r="AA171" s="120"/>
    </row>
    <row r="172">
      <c r="A172" s="120"/>
      <c r="B172" s="120"/>
      <c r="C172" s="120"/>
      <c r="D172" s="120"/>
      <c r="E172" s="120"/>
      <c r="F172" s="120"/>
      <c r="G172" s="120"/>
      <c r="H172" s="120"/>
      <c r="I172" s="120"/>
      <c r="J172" s="120"/>
      <c r="K172" s="120"/>
      <c r="L172" s="120"/>
      <c r="M172" s="120"/>
      <c r="N172" s="120"/>
      <c r="O172" s="120"/>
      <c r="P172" s="120"/>
      <c r="Q172" s="120"/>
      <c r="R172" s="120"/>
      <c r="S172" s="120"/>
      <c r="T172" s="120"/>
      <c r="U172" s="120"/>
      <c r="V172" s="120"/>
      <c r="W172" s="120"/>
      <c r="X172" s="120"/>
      <c r="Y172" s="120"/>
      <c r="Z172" s="120"/>
      <c r="AA172" s="120"/>
    </row>
    <row r="173">
      <c r="A173" s="120"/>
      <c r="B173" s="120"/>
      <c r="C173" s="120"/>
      <c r="D173" s="120"/>
      <c r="E173" s="120"/>
      <c r="F173" s="120"/>
      <c r="G173" s="120"/>
      <c r="H173" s="120"/>
      <c r="I173" s="120"/>
      <c r="J173" s="120"/>
      <c r="K173" s="120"/>
      <c r="L173" s="120"/>
      <c r="M173" s="120"/>
      <c r="N173" s="120"/>
      <c r="O173" s="120"/>
      <c r="P173" s="120"/>
      <c r="Q173" s="120"/>
      <c r="R173" s="120"/>
      <c r="S173" s="120"/>
      <c r="T173" s="120"/>
      <c r="U173" s="120"/>
      <c r="V173" s="120"/>
      <c r="W173" s="120"/>
      <c r="X173" s="120"/>
      <c r="Y173" s="120"/>
      <c r="Z173" s="120"/>
      <c r="AA173" s="120"/>
    </row>
    <row r="174">
      <c r="A174" s="120"/>
      <c r="B174" s="120"/>
      <c r="C174" s="120"/>
      <c r="D174" s="120"/>
      <c r="E174" s="120"/>
      <c r="F174" s="120"/>
      <c r="G174" s="120"/>
      <c r="H174" s="120"/>
      <c r="I174" s="120"/>
      <c r="J174" s="120"/>
      <c r="K174" s="120"/>
      <c r="L174" s="120"/>
      <c r="M174" s="120"/>
      <c r="N174" s="120"/>
      <c r="O174" s="120"/>
      <c r="P174" s="120"/>
      <c r="Q174" s="120"/>
      <c r="R174" s="120"/>
      <c r="S174" s="120"/>
      <c r="T174" s="120"/>
      <c r="U174" s="120"/>
      <c r="V174" s="120"/>
      <c r="W174" s="120"/>
      <c r="X174" s="120"/>
      <c r="Y174" s="120"/>
      <c r="Z174" s="120"/>
      <c r="AA174" s="120"/>
    </row>
    <row r="175">
      <c r="A175" s="120"/>
      <c r="B175" s="120"/>
      <c r="C175" s="120"/>
      <c r="D175" s="120"/>
      <c r="E175" s="120"/>
      <c r="F175" s="120"/>
      <c r="G175" s="120"/>
      <c r="H175" s="120"/>
      <c r="I175" s="120"/>
      <c r="J175" s="120"/>
      <c r="K175" s="120"/>
      <c r="L175" s="120"/>
      <c r="M175" s="120"/>
      <c r="N175" s="120"/>
      <c r="O175" s="120"/>
      <c r="P175" s="120"/>
      <c r="Q175" s="120"/>
      <c r="R175" s="120"/>
      <c r="S175" s="120"/>
      <c r="T175" s="120"/>
      <c r="U175" s="120"/>
      <c r="V175" s="120"/>
      <c r="W175" s="120"/>
      <c r="X175" s="120"/>
      <c r="Y175" s="120"/>
      <c r="Z175" s="120"/>
      <c r="AA175" s="120"/>
    </row>
    <row r="176">
      <c r="A176" s="120"/>
      <c r="B176" s="120"/>
      <c r="C176" s="120"/>
      <c r="D176" s="120"/>
      <c r="E176" s="120"/>
      <c r="F176" s="120"/>
      <c r="G176" s="120"/>
      <c r="H176" s="120"/>
      <c r="I176" s="120"/>
      <c r="J176" s="120"/>
      <c r="K176" s="120"/>
      <c r="L176" s="120"/>
      <c r="M176" s="120"/>
      <c r="N176" s="120"/>
      <c r="O176" s="120"/>
      <c r="P176" s="120"/>
      <c r="Q176" s="120"/>
      <c r="R176" s="120"/>
      <c r="S176" s="120"/>
      <c r="T176" s="120"/>
      <c r="U176" s="120"/>
      <c r="V176" s="120"/>
      <c r="W176" s="120"/>
      <c r="X176" s="120"/>
      <c r="Y176" s="120"/>
      <c r="Z176" s="120"/>
      <c r="AA176" s="120"/>
    </row>
    <row r="177">
      <c r="A177" s="120"/>
      <c r="B177" s="120"/>
      <c r="C177" s="120"/>
      <c r="D177" s="120"/>
      <c r="E177" s="120"/>
      <c r="F177" s="120"/>
      <c r="G177" s="120"/>
      <c r="H177" s="120"/>
      <c r="I177" s="120"/>
      <c r="J177" s="120"/>
      <c r="K177" s="120"/>
      <c r="L177" s="120"/>
      <c r="M177" s="120"/>
      <c r="N177" s="120"/>
      <c r="O177" s="120"/>
      <c r="P177" s="120"/>
      <c r="Q177" s="120"/>
      <c r="R177" s="120"/>
      <c r="S177" s="120"/>
      <c r="T177" s="120"/>
      <c r="U177" s="120"/>
      <c r="V177" s="120"/>
      <c r="W177" s="120"/>
      <c r="X177" s="120"/>
      <c r="Y177" s="120"/>
      <c r="Z177" s="120"/>
      <c r="AA177" s="120"/>
    </row>
    <row r="178">
      <c r="A178" s="120"/>
      <c r="B178" s="120"/>
      <c r="C178" s="120"/>
      <c r="D178" s="120"/>
      <c r="E178" s="120"/>
      <c r="F178" s="120"/>
      <c r="G178" s="120"/>
      <c r="H178" s="120"/>
      <c r="I178" s="120"/>
      <c r="J178" s="120"/>
      <c r="K178" s="120"/>
      <c r="L178" s="120"/>
      <c r="M178" s="120"/>
      <c r="N178" s="120"/>
      <c r="O178" s="120"/>
      <c r="P178" s="120"/>
      <c r="Q178" s="120"/>
      <c r="R178" s="120"/>
      <c r="S178" s="120"/>
      <c r="T178" s="120"/>
      <c r="U178" s="120"/>
      <c r="V178" s="120"/>
      <c r="W178" s="120"/>
      <c r="X178" s="120"/>
      <c r="Y178" s="120"/>
      <c r="Z178" s="120"/>
      <c r="AA178" s="120"/>
    </row>
    <row r="179">
      <c r="A179" s="120"/>
      <c r="B179" s="120"/>
      <c r="C179" s="120"/>
      <c r="D179" s="120"/>
      <c r="E179" s="120"/>
      <c r="F179" s="120"/>
      <c r="G179" s="120"/>
      <c r="H179" s="120"/>
      <c r="I179" s="120"/>
      <c r="J179" s="120"/>
      <c r="K179" s="120"/>
      <c r="L179" s="120"/>
      <c r="M179" s="120"/>
      <c r="N179" s="120"/>
      <c r="O179" s="120"/>
      <c r="P179" s="120"/>
      <c r="Q179" s="120"/>
      <c r="R179" s="120"/>
      <c r="S179" s="120"/>
      <c r="T179" s="120"/>
      <c r="U179" s="120"/>
      <c r="V179" s="120"/>
      <c r="W179" s="120"/>
      <c r="X179" s="120"/>
      <c r="Y179" s="120"/>
      <c r="Z179" s="120"/>
      <c r="AA179" s="120"/>
    </row>
    <row r="180">
      <c r="A180" s="120"/>
      <c r="B180" s="120"/>
      <c r="C180" s="120"/>
      <c r="D180" s="120"/>
      <c r="E180" s="120"/>
      <c r="F180" s="120"/>
      <c r="G180" s="120"/>
      <c r="H180" s="120"/>
      <c r="I180" s="120"/>
      <c r="J180" s="120"/>
      <c r="K180" s="120"/>
      <c r="L180" s="120"/>
      <c r="M180" s="120"/>
      <c r="N180" s="120"/>
      <c r="O180" s="120"/>
      <c r="P180" s="120"/>
      <c r="Q180" s="120"/>
      <c r="R180" s="120"/>
      <c r="S180" s="120"/>
      <c r="T180" s="120"/>
      <c r="U180" s="120"/>
      <c r="V180" s="120"/>
      <c r="W180" s="120"/>
      <c r="X180" s="120"/>
      <c r="Y180" s="120"/>
      <c r="Z180" s="120"/>
      <c r="AA180" s="120"/>
    </row>
    <row r="181">
      <c r="A181" s="120"/>
      <c r="B181" s="120"/>
      <c r="C181" s="120"/>
      <c r="D181" s="120"/>
      <c r="E181" s="120"/>
      <c r="F181" s="120"/>
      <c r="G181" s="120"/>
      <c r="H181" s="120"/>
      <c r="I181" s="120"/>
      <c r="J181" s="120"/>
      <c r="K181" s="120"/>
      <c r="L181" s="120"/>
      <c r="M181" s="120"/>
      <c r="N181" s="120"/>
      <c r="O181" s="120"/>
      <c r="P181" s="120"/>
      <c r="Q181" s="120"/>
      <c r="R181" s="120"/>
      <c r="S181" s="120"/>
      <c r="T181" s="120"/>
      <c r="U181" s="120"/>
      <c r="V181" s="120"/>
      <c r="W181" s="120"/>
      <c r="X181" s="120"/>
      <c r="Y181" s="120"/>
      <c r="Z181" s="120"/>
      <c r="AA181" s="120"/>
    </row>
    <row r="182">
      <c r="A182" s="120"/>
      <c r="B182" s="120"/>
      <c r="C182" s="120"/>
      <c r="D182" s="120"/>
      <c r="E182" s="120"/>
      <c r="F182" s="120"/>
      <c r="G182" s="120"/>
      <c r="H182" s="120"/>
      <c r="I182" s="120"/>
      <c r="J182" s="120"/>
      <c r="K182" s="120"/>
      <c r="L182" s="120"/>
      <c r="M182" s="120"/>
      <c r="N182" s="120"/>
      <c r="O182" s="120"/>
      <c r="P182" s="120"/>
      <c r="Q182" s="120"/>
      <c r="R182" s="120"/>
      <c r="S182" s="120"/>
      <c r="T182" s="120"/>
      <c r="U182" s="120"/>
      <c r="V182" s="120"/>
      <c r="W182" s="120"/>
      <c r="X182" s="120"/>
      <c r="Y182" s="120"/>
      <c r="Z182" s="120"/>
      <c r="AA182" s="120"/>
    </row>
    <row r="183">
      <c r="A183" s="120"/>
      <c r="B183" s="120"/>
      <c r="C183" s="120"/>
      <c r="D183" s="120"/>
      <c r="E183" s="120"/>
      <c r="F183" s="120"/>
      <c r="G183" s="120"/>
      <c r="H183" s="120"/>
      <c r="I183" s="120"/>
      <c r="J183" s="120"/>
      <c r="K183" s="120"/>
      <c r="L183" s="120"/>
      <c r="M183" s="120"/>
      <c r="N183" s="120"/>
      <c r="O183" s="120"/>
      <c r="P183" s="120"/>
      <c r="Q183" s="120"/>
      <c r="R183" s="120"/>
      <c r="S183" s="120"/>
      <c r="T183" s="120"/>
      <c r="U183" s="120"/>
      <c r="V183" s="120"/>
      <c r="W183" s="120"/>
      <c r="X183" s="120"/>
      <c r="Y183" s="120"/>
      <c r="Z183" s="120"/>
      <c r="AA183" s="120"/>
    </row>
    <row r="184">
      <c r="A184" s="120"/>
      <c r="B184" s="120"/>
      <c r="C184" s="120"/>
      <c r="D184" s="120"/>
      <c r="E184" s="120"/>
      <c r="F184" s="120"/>
      <c r="G184" s="120"/>
      <c r="H184" s="120"/>
      <c r="I184" s="120"/>
      <c r="J184" s="120"/>
      <c r="K184" s="120"/>
      <c r="L184" s="120"/>
      <c r="M184" s="120"/>
      <c r="N184" s="120"/>
      <c r="O184" s="120"/>
      <c r="P184" s="120"/>
      <c r="Q184" s="120"/>
      <c r="R184" s="120"/>
      <c r="S184" s="120"/>
      <c r="T184" s="120"/>
      <c r="U184" s="120"/>
      <c r="V184" s="120"/>
      <c r="W184" s="120"/>
      <c r="X184" s="120"/>
      <c r="Y184" s="120"/>
      <c r="Z184" s="120"/>
      <c r="AA184" s="120"/>
    </row>
    <row r="185">
      <c r="A185" s="120"/>
      <c r="B185" s="120"/>
      <c r="C185" s="120"/>
      <c r="D185" s="120"/>
      <c r="E185" s="120"/>
      <c r="F185" s="120"/>
      <c r="G185" s="120"/>
      <c r="H185" s="120"/>
      <c r="I185" s="120"/>
      <c r="J185" s="120"/>
      <c r="K185" s="120"/>
      <c r="L185" s="120"/>
      <c r="M185" s="120"/>
      <c r="N185" s="120"/>
      <c r="O185" s="120"/>
      <c r="P185" s="120"/>
      <c r="Q185" s="120"/>
      <c r="R185" s="120"/>
      <c r="S185" s="120"/>
      <c r="T185" s="120"/>
      <c r="U185" s="120"/>
      <c r="V185" s="120"/>
      <c r="W185" s="120"/>
      <c r="X185" s="120"/>
      <c r="Y185" s="120"/>
      <c r="Z185" s="120"/>
      <c r="AA185" s="120"/>
    </row>
    <row r="186">
      <c r="A186" s="120"/>
      <c r="B186" s="120"/>
      <c r="C186" s="120"/>
      <c r="D186" s="120"/>
      <c r="E186" s="120"/>
      <c r="F186" s="120"/>
      <c r="G186" s="120"/>
      <c r="H186" s="120"/>
      <c r="I186" s="120"/>
      <c r="J186" s="120"/>
      <c r="K186" s="120"/>
      <c r="L186" s="120"/>
      <c r="M186" s="120"/>
      <c r="N186" s="120"/>
      <c r="O186" s="120"/>
      <c r="P186" s="120"/>
      <c r="Q186" s="120"/>
      <c r="R186" s="120"/>
      <c r="S186" s="120"/>
      <c r="T186" s="120"/>
      <c r="U186" s="120"/>
      <c r="V186" s="120"/>
      <c r="W186" s="120"/>
      <c r="X186" s="120"/>
      <c r="Y186" s="120"/>
      <c r="Z186" s="120"/>
      <c r="AA186" s="120"/>
    </row>
    <row r="187">
      <c r="A187" s="120"/>
      <c r="B187" s="120"/>
      <c r="C187" s="120"/>
      <c r="D187" s="120"/>
      <c r="E187" s="120"/>
      <c r="F187" s="120"/>
      <c r="G187" s="120"/>
      <c r="H187" s="120"/>
      <c r="I187" s="120"/>
      <c r="J187" s="120"/>
      <c r="K187" s="120"/>
      <c r="L187" s="120"/>
      <c r="M187" s="120"/>
      <c r="N187" s="120"/>
      <c r="O187" s="120"/>
      <c r="P187" s="120"/>
      <c r="Q187" s="120"/>
      <c r="R187" s="120"/>
      <c r="S187" s="120"/>
      <c r="T187" s="120"/>
      <c r="U187" s="120"/>
      <c r="V187" s="120"/>
      <c r="W187" s="120"/>
      <c r="X187" s="120"/>
      <c r="Y187" s="120"/>
      <c r="Z187" s="120"/>
      <c r="AA187" s="120"/>
    </row>
    <row r="188">
      <c r="A188" s="120"/>
      <c r="B188" s="120"/>
      <c r="C188" s="120"/>
      <c r="D188" s="120"/>
      <c r="E188" s="120"/>
      <c r="F188" s="120"/>
      <c r="G188" s="120"/>
      <c r="H188" s="120"/>
      <c r="I188" s="120"/>
      <c r="J188" s="120"/>
      <c r="K188" s="120"/>
      <c r="L188" s="120"/>
      <c r="M188" s="120"/>
      <c r="N188" s="120"/>
      <c r="O188" s="120"/>
      <c r="P188" s="120"/>
      <c r="Q188" s="120"/>
      <c r="R188" s="120"/>
      <c r="S188" s="120"/>
      <c r="T188" s="120"/>
      <c r="U188" s="120"/>
      <c r="V188" s="120"/>
      <c r="W188" s="120"/>
      <c r="X188" s="120"/>
      <c r="Y188" s="120"/>
      <c r="Z188" s="120"/>
      <c r="AA188" s="120"/>
    </row>
    <row r="189">
      <c r="A189" s="120"/>
      <c r="B189" s="120"/>
      <c r="C189" s="120"/>
      <c r="D189" s="120"/>
      <c r="E189" s="120"/>
      <c r="F189" s="120"/>
      <c r="G189" s="120"/>
      <c r="H189" s="120"/>
      <c r="I189" s="120"/>
      <c r="J189" s="120"/>
      <c r="K189" s="120"/>
      <c r="L189" s="120"/>
      <c r="M189" s="120"/>
      <c r="N189" s="120"/>
      <c r="O189" s="120"/>
      <c r="P189" s="120"/>
      <c r="Q189" s="120"/>
      <c r="R189" s="120"/>
      <c r="S189" s="120"/>
      <c r="T189" s="120"/>
      <c r="U189" s="120"/>
      <c r="V189" s="120"/>
      <c r="W189" s="120"/>
      <c r="X189" s="120"/>
      <c r="Y189" s="120"/>
      <c r="Z189" s="120"/>
      <c r="AA189" s="120"/>
    </row>
    <row r="190">
      <c r="A190" s="120"/>
      <c r="B190" s="120"/>
      <c r="C190" s="120"/>
      <c r="D190" s="120"/>
      <c r="E190" s="120"/>
      <c r="F190" s="120"/>
      <c r="G190" s="120"/>
      <c r="H190" s="120"/>
      <c r="I190" s="120"/>
      <c r="J190" s="120"/>
      <c r="K190" s="120"/>
      <c r="L190" s="120"/>
      <c r="M190" s="120"/>
      <c r="N190" s="120"/>
      <c r="O190" s="120"/>
      <c r="P190" s="120"/>
      <c r="Q190" s="120"/>
      <c r="R190" s="120"/>
      <c r="S190" s="120"/>
      <c r="T190" s="120"/>
      <c r="U190" s="120"/>
      <c r="V190" s="120"/>
      <c r="W190" s="120"/>
      <c r="X190" s="120"/>
      <c r="Y190" s="120"/>
      <c r="Z190" s="120"/>
      <c r="AA190" s="120"/>
    </row>
    <row r="191">
      <c r="A191" s="120"/>
      <c r="B191" s="120"/>
      <c r="C191" s="120"/>
      <c r="D191" s="120"/>
      <c r="E191" s="120"/>
      <c r="F191" s="120"/>
      <c r="G191" s="120"/>
      <c r="H191" s="120"/>
      <c r="I191" s="120"/>
      <c r="J191" s="120"/>
      <c r="K191" s="120"/>
      <c r="L191" s="120"/>
      <c r="M191" s="120"/>
      <c r="N191" s="120"/>
      <c r="O191" s="120"/>
      <c r="P191" s="120"/>
      <c r="Q191" s="120"/>
      <c r="R191" s="120"/>
      <c r="S191" s="120"/>
      <c r="T191" s="120"/>
      <c r="U191" s="120"/>
      <c r="V191" s="120"/>
      <c r="W191" s="120"/>
      <c r="X191" s="120"/>
      <c r="Y191" s="120"/>
      <c r="Z191" s="120"/>
      <c r="AA191" s="120"/>
    </row>
    <row r="192">
      <c r="A192" s="120"/>
      <c r="B192" s="120"/>
      <c r="C192" s="120"/>
      <c r="D192" s="120"/>
      <c r="E192" s="120"/>
      <c r="F192" s="120"/>
      <c r="G192" s="120"/>
      <c r="H192" s="120"/>
      <c r="I192" s="120"/>
      <c r="J192" s="120"/>
      <c r="K192" s="120"/>
      <c r="L192" s="120"/>
      <c r="M192" s="120"/>
      <c r="N192" s="120"/>
      <c r="O192" s="120"/>
      <c r="P192" s="120"/>
      <c r="Q192" s="120"/>
      <c r="R192" s="120"/>
      <c r="S192" s="120"/>
      <c r="T192" s="120"/>
      <c r="U192" s="120"/>
      <c r="V192" s="120"/>
      <c r="W192" s="120"/>
      <c r="X192" s="120"/>
      <c r="Y192" s="120"/>
      <c r="Z192" s="120"/>
      <c r="AA192" s="120"/>
    </row>
    <row r="193">
      <c r="A193" s="120"/>
      <c r="B193" s="120"/>
      <c r="C193" s="120"/>
      <c r="D193" s="120"/>
      <c r="E193" s="120"/>
      <c r="F193" s="120"/>
      <c r="G193" s="120"/>
      <c r="H193" s="120"/>
      <c r="I193" s="120"/>
      <c r="J193" s="120"/>
      <c r="K193" s="120"/>
      <c r="L193" s="120"/>
      <c r="M193" s="120"/>
      <c r="N193" s="120"/>
      <c r="O193" s="120"/>
      <c r="P193" s="120"/>
      <c r="Q193" s="120"/>
      <c r="R193" s="120"/>
      <c r="S193" s="120"/>
      <c r="T193" s="120"/>
      <c r="U193" s="120"/>
      <c r="V193" s="120"/>
      <c r="W193" s="120"/>
      <c r="X193" s="120"/>
      <c r="Y193" s="120"/>
      <c r="Z193" s="120"/>
      <c r="AA193" s="120"/>
    </row>
    <row r="194">
      <c r="A194" s="120"/>
      <c r="B194" s="120"/>
      <c r="C194" s="120"/>
      <c r="D194" s="120"/>
      <c r="E194" s="120"/>
      <c r="F194" s="120"/>
      <c r="G194" s="120"/>
      <c r="H194" s="120"/>
      <c r="I194" s="120"/>
      <c r="J194" s="120"/>
      <c r="K194" s="120"/>
      <c r="L194" s="120"/>
      <c r="M194" s="120"/>
      <c r="N194" s="120"/>
      <c r="O194" s="120"/>
      <c r="P194" s="120"/>
      <c r="Q194" s="120"/>
      <c r="R194" s="120"/>
      <c r="S194" s="120"/>
      <c r="T194" s="120"/>
      <c r="U194" s="120"/>
      <c r="V194" s="120"/>
      <c r="W194" s="120"/>
      <c r="X194" s="120"/>
      <c r="Y194" s="120"/>
      <c r="Z194" s="120"/>
      <c r="AA194" s="120"/>
    </row>
    <row r="195">
      <c r="A195" s="120"/>
      <c r="B195" s="120"/>
      <c r="C195" s="120"/>
      <c r="D195" s="120"/>
      <c r="E195" s="120"/>
      <c r="F195" s="120"/>
      <c r="G195" s="120"/>
      <c r="H195" s="120"/>
      <c r="I195" s="120"/>
      <c r="J195" s="120"/>
      <c r="K195" s="120"/>
      <c r="L195" s="120"/>
      <c r="M195" s="120"/>
      <c r="N195" s="120"/>
      <c r="O195" s="120"/>
      <c r="P195" s="120"/>
      <c r="Q195" s="120"/>
      <c r="R195" s="120"/>
      <c r="S195" s="120"/>
      <c r="T195" s="120"/>
      <c r="U195" s="120"/>
      <c r="V195" s="120"/>
      <c r="W195" s="120"/>
      <c r="X195" s="120"/>
      <c r="Y195" s="120"/>
      <c r="Z195" s="120"/>
      <c r="AA195" s="120"/>
    </row>
    <row r="196">
      <c r="A196" s="120"/>
      <c r="B196" s="120"/>
      <c r="C196" s="120"/>
      <c r="D196" s="120"/>
      <c r="E196" s="120"/>
      <c r="F196" s="120"/>
      <c r="G196" s="120"/>
      <c r="H196" s="120"/>
      <c r="I196" s="120"/>
      <c r="J196" s="120"/>
      <c r="K196" s="120"/>
      <c r="L196" s="120"/>
      <c r="M196" s="120"/>
      <c r="N196" s="120"/>
      <c r="O196" s="120"/>
      <c r="P196" s="120"/>
      <c r="Q196" s="120"/>
      <c r="R196" s="120"/>
      <c r="S196" s="120"/>
      <c r="T196" s="120"/>
      <c r="U196" s="120"/>
      <c r="V196" s="120"/>
      <c r="W196" s="120"/>
      <c r="X196" s="120"/>
      <c r="Y196" s="120"/>
      <c r="Z196" s="120"/>
      <c r="AA196" s="120"/>
    </row>
    <row r="197">
      <c r="A197" s="120"/>
      <c r="B197" s="120"/>
      <c r="C197" s="120"/>
      <c r="D197" s="120"/>
      <c r="E197" s="120"/>
      <c r="F197" s="120"/>
      <c r="G197" s="120"/>
      <c r="H197" s="120"/>
      <c r="I197" s="120"/>
      <c r="J197" s="120"/>
      <c r="K197" s="120"/>
      <c r="L197" s="120"/>
      <c r="M197" s="120"/>
      <c r="N197" s="120"/>
      <c r="O197" s="120"/>
      <c r="P197" s="120"/>
      <c r="Q197" s="120"/>
      <c r="R197" s="120"/>
      <c r="S197" s="120"/>
      <c r="T197" s="120"/>
      <c r="U197" s="120"/>
      <c r="V197" s="120"/>
      <c r="W197" s="120"/>
      <c r="X197" s="120"/>
      <c r="Y197" s="120"/>
      <c r="Z197" s="120"/>
      <c r="AA197" s="120"/>
    </row>
    <row r="198">
      <c r="A198" s="120"/>
      <c r="B198" s="120"/>
      <c r="C198" s="120"/>
      <c r="D198" s="120"/>
      <c r="E198" s="120"/>
      <c r="F198" s="120"/>
      <c r="G198" s="120"/>
      <c r="H198" s="120"/>
      <c r="I198" s="120"/>
      <c r="J198" s="120"/>
      <c r="K198" s="120"/>
      <c r="L198" s="120"/>
      <c r="M198" s="120"/>
      <c r="N198" s="120"/>
      <c r="O198" s="120"/>
      <c r="P198" s="120"/>
      <c r="Q198" s="120"/>
      <c r="R198" s="120"/>
      <c r="S198" s="120"/>
      <c r="T198" s="120"/>
      <c r="U198" s="120"/>
      <c r="V198" s="120"/>
      <c r="W198" s="120"/>
      <c r="X198" s="120"/>
      <c r="Y198" s="120"/>
      <c r="Z198" s="120"/>
      <c r="AA198" s="120"/>
    </row>
    <row r="199">
      <c r="A199" s="120"/>
      <c r="B199" s="120"/>
      <c r="C199" s="120"/>
      <c r="D199" s="120"/>
      <c r="E199" s="120"/>
      <c r="F199" s="120"/>
      <c r="G199" s="120"/>
      <c r="H199" s="120"/>
      <c r="I199" s="120"/>
      <c r="J199" s="120"/>
      <c r="K199" s="120"/>
      <c r="L199" s="120"/>
      <c r="M199" s="120"/>
      <c r="N199" s="120"/>
      <c r="O199" s="120"/>
      <c r="P199" s="120"/>
      <c r="Q199" s="120"/>
      <c r="R199" s="120"/>
      <c r="S199" s="120"/>
      <c r="T199" s="120"/>
      <c r="U199" s="120"/>
      <c r="V199" s="120"/>
      <c r="W199" s="120"/>
      <c r="X199" s="120"/>
      <c r="Y199" s="120"/>
      <c r="Z199" s="120"/>
      <c r="AA199" s="120"/>
    </row>
    <row r="200">
      <c r="A200" s="120"/>
      <c r="B200" s="120"/>
      <c r="C200" s="120"/>
      <c r="D200" s="120"/>
      <c r="E200" s="120"/>
      <c r="F200" s="120"/>
      <c r="G200" s="120"/>
      <c r="H200" s="120"/>
      <c r="I200" s="120"/>
      <c r="J200" s="120"/>
      <c r="K200" s="120"/>
      <c r="L200" s="120"/>
      <c r="M200" s="120"/>
      <c r="N200" s="120"/>
      <c r="O200" s="120"/>
      <c r="P200" s="120"/>
      <c r="Q200" s="120"/>
      <c r="R200" s="120"/>
      <c r="S200" s="120"/>
      <c r="T200" s="120"/>
      <c r="U200" s="120"/>
      <c r="V200" s="120"/>
      <c r="W200" s="120"/>
      <c r="X200" s="120"/>
      <c r="Y200" s="120"/>
      <c r="Z200" s="120"/>
      <c r="AA200" s="120"/>
    </row>
    <row r="201">
      <c r="A201" s="120"/>
      <c r="B201" s="120"/>
      <c r="C201" s="120"/>
      <c r="D201" s="120"/>
      <c r="E201" s="120"/>
      <c r="F201" s="120"/>
      <c r="G201" s="120"/>
      <c r="H201" s="120"/>
      <c r="I201" s="120"/>
      <c r="J201" s="120"/>
      <c r="K201" s="120"/>
      <c r="L201" s="120"/>
      <c r="M201" s="120"/>
      <c r="N201" s="120"/>
      <c r="O201" s="120"/>
      <c r="P201" s="120"/>
      <c r="Q201" s="120"/>
      <c r="R201" s="120"/>
      <c r="S201" s="120"/>
      <c r="T201" s="120"/>
      <c r="U201" s="120"/>
      <c r="V201" s="120"/>
      <c r="W201" s="120"/>
      <c r="X201" s="120"/>
      <c r="Y201" s="120"/>
      <c r="Z201" s="120"/>
      <c r="AA201" s="120"/>
    </row>
    <row r="202">
      <c r="A202" s="120"/>
      <c r="B202" s="120"/>
      <c r="C202" s="120"/>
      <c r="D202" s="120"/>
      <c r="E202" s="120"/>
      <c r="F202" s="120"/>
      <c r="G202" s="120"/>
      <c r="H202" s="120"/>
      <c r="I202" s="120"/>
      <c r="J202" s="120"/>
      <c r="K202" s="120"/>
      <c r="L202" s="120"/>
      <c r="M202" s="120"/>
      <c r="N202" s="120"/>
      <c r="O202" s="120"/>
      <c r="P202" s="120"/>
      <c r="Q202" s="120"/>
      <c r="R202" s="120"/>
      <c r="S202" s="120"/>
      <c r="T202" s="120"/>
      <c r="U202" s="120"/>
      <c r="V202" s="120"/>
      <c r="W202" s="120"/>
      <c r="X202" s="120"/>
      <c r="Y202" s="120"/>
      <c r="Z202" s="120"/>
      <c r="AA202" s="120"/>
    </row>
    <row r="203">
      <c r="A203" s="120"/>
      <c r="B203" s="120"/>
      <c r="C203" s="120"/>
      <c r="D203" s="120"/>
      <c r="E203" s="120"/>
      <c r="F203" s="120"/>
      <c r="G203" s="120"/>
      <c r="H203" s="120"/>
      <c r="I203" s="120"/>
      <c r="J203" s="120"/>
      <c r="K203" s="120"/>
      <c r="L203" s="120"/>
      <c r="M203" s="120"/>
      <c r="N203" s="120"/>
      <c r="O203" s="120"/>
      <c r="P203" s="120"/>
      <c r="Q203" s="120"/>
      <c r="R203" s="120"/>
      <c r="S203" s="120"/>
      <c r="T203" s="120"/>
      <c r="U203" s="120"/>
      <c r="V203" s="120"/>
      <c r="W203" s="120"/>
      <c r="X203" s="120"/>
      <c r="Y203" s="120"/>
      <c r="Z203" s="120"/>
      <c r="AA203" s="120"/>
    </row>
    <row r="204">
      <c r="A204" s="120"/>
      <c r="B204" s="120"/>
      <c r="C204" s="120"/>
      <c r="D204" s="120"/>
      <c r="E204" s="120"/>
      <c r="F204" s="120"/>
      <c r="G204" s="120"/>
      <c r="H204" s="120"/>
      <c r="I204" s="120"/>
      <c r="J204" s="120"/>
      <c r="K204" s="120"/>
      <c r="L204" s="120"/>
      <c r="M204" s="120"/>
      <c r="N204" s="120"/>
      <c r="O204" s="120"/>
      <c r="P204" s="120"/>
      <c r="Q204" s="120"/>
      <c r="R204" s="120"/>
      <c r="S204" s="120"/>
      <c r="T204" s="120"/>
      <c r="U204" s="120"/>
      <c r="V204" s="120"/>
      <c r="W204" s="120"/>
      <c r="X204" s="120"/>
      <c r="Y204" s="120"/>
      <c r="Z204" s="120"/>
      <c r="AA204" s="120"/>
    </row>
    <row r="205">
      <c r="A205" s="120"/>
      <c r="B205" s="120"/>
      <c r="C205" s="120"/>
      <c r="D205" s="120"/>
      <c r="E205" s="120"/>
      <c r="F205" s="120"/>
      <c r="G205" s="120"/>
      <c r="H205" s="120"/>
      <c r="I205" s="120"/>
      <c r="J205" s="120"/>
      <c r="K205" s="120"/>
      <c r="L205" s="120"/>
      <c r="M205" s="120"/>
      <c r="N205" s="120"/>
      <c r="O205" s="120"/>
      <c r="P205" s="120"/>
      <c r="Q205" s="120"/>
      <c r="R205" s="120"/>
      <c r="S205" s="120"/>
      <c r="T205" s="120"/>
      <c r="U205" s="120"/>
      <c r="V205" s="120"/>
      <c r="W205" s="120"/>
      <c r="X205" s="120"/>
      <c r="Y205" s="120"/>
      <c r="Z205" s="120"/>
      <c r="AA205" s="120"/>
    </row>
    <row r="206">
      <c r="A206" s="120"/>
      <c r="B206" s="120"/>
      <c r="C206" s="120"/>
      <c r="D206" s="120"/>
      <c r="E206" s="120"/>
      <c r="F206" s="120"/>
      <c r="G206" s="120"/>
      <c r="H206" s="120"/>
      <c r="I206" s="120"/>
      <c r="J206" s="120"/>
      <c r="K206" s="120"/>
      <c r="L206" s="120"/>
      <c r="M206" s="120"/>
      <c r="N206" s="120"/>
      <c r="O206" s="120"/>
      <c r="P206" s="120"/>
      <c r="Q206" s="120"/>
      <c r="R206" s="120"/>
      <c r="S206" s="120"/>
      <c r="T206" s="120"/>
      <c r="U206" s="120"/>
      <c r="V206" s="120"/>
      <c r="W206" s="120"/>
      <c r="X206" s="120"/>
      <c r="Y206" s="120"/>
      <c r="Z206" s="120"/>
      <c r="AA206" s="120"/>
    </row>
    <row r="207">
      <c r="A207" s="120"/>
      <c r="B207" s="120"/>
      <c r="C207" s="120"/>
      <c r="D207" s="120"/>
      <c r="E207" s="120"/>
      <c r="F207" s="120"/>
      <c r="G207" s="120"/>
      <c r="H207" s="120"/>
      <c r="I207" s="120"/>
      <c r="J207" s="120"/>
      <c r="K207" s="120"/>
      <c r="L207" s="120"/>
      <c r="M207" s="120"/>
      <c r="N207" s="120"/>
      <c r="O207" s="120"/>
      <c r="P207" s="120"/>
      <c r="Q207" s="120"/>
      <c r="R207" s="120"/>
      <c r="S207" s="120"/>
      <c r="T207" s="120"/>
      <c r="U207" s="120"/>
      <c r="V207" s="120"/>
      <c r="W207" s="120"/>
      <c r="X207" s="120"/>
      <c r="Y207" s="120"/>
      <c r="Z207" s="120"/>
      <c r="AA207" s="120"/>
    </row>
    <row r="208">
      <c r="A208" s="120"/>
      <c r="B208" s="120"/>
      <c r="C208" s="120"/>
      <c r="D208" s="120"/>
      <c r="E208" s="120"/>
      <c r="F208" s="120"/>
      <c r="G208" s="120"/>
      <c r="H208" s="120"/>
      <c r="I208" s="120"/>
      <c r="J208" s="120"/>
      <c r="K208" s="120"/>
      <c r="L208" s="120"/>
      <c r="M208" s="120"/>
      <c r="N208" s="120"/>
      <c r="O208" s="120"/>
      <c r="P208" s="120"/>
      <c r="Q208" s="120"/>
      <c r="R208" s="120"/>
      <c r="S208" s="120"/>
      <c r="T208" s="120"/>
      <c r="U208" s="120"/>
      <c r="V208" s="120"/>
      <c r="W208" s="120"/>
      <c r="X208" s="120"/>
      <c r="Y208" s="120"/>
      <c r="Z208" s="120"/>
      <c r="AA208" s="120"/>
    </row>
    <row r="209">
      <c r="A209" s="120"/>
      <c r="B209" s="120"/>
      <c r="C209" s="120"/>
      <c r="D209" s="120"/>
      <c r="E209" s="120"/>
      <c r="F209" s="120"/>
      <c r="G209" s="120"/>
      <c r="H209" s="120"/>
      <c r="I209" s="120"/>
      <c r="J209" s="120"/>
      <c r="K209" s="120"/>
      <c r="L209" s="120"/>
      <c r="M209" s="120"/>
      <c r="N209" s="120"/>
      <c r="O209" s="120"/>
      <c r="P209" s="120"/>
      <c r="Q209" s="120"/>
      <c r="R209" s="120"/>
      <c r="S209" s="120"/>
      <c r="T209" s="120"/>
      <c r="U209" s="120"/>
      <c r="V209" s="120"/>
      <c r="W209" s="120"/>
      <c r="X209" s="120"/>
      <c r="Y209" s="120"/>
      <c r="Z209" s="120"/>
      <c r="AA209" s="120"/>
    </row>
    <row r="210">
      <c r="A210" s="120"/>
      <c r="B210" s="120"/>
      <c r="C210" s="120"/>
      <c r="D210" s="120"/>
      <c r="E210" s="120"/>
      <c r="F210" s="120"/>
      <c r="G210" s="120"/>
      <c r="H210" s="120"/>
      <c r="I210" s="120"/>
      <c r="J210" s="120"/>
      <c r="K210" s="120"/>
      <c r="L210" s="120"/>
      <c r="M210" s="120"/>
      <c r="N210" s="120"/>
      <c r="O210" s="120"/>
      <c r="P210" s="120"/>
      <c r="Q210" s="120"/>
      <c r="R210" s="120"/>
      <c r="S210" s="120"/>
      <c r="T210" s="120"/>
      <c r="U210" s="120"/>
      <c r="V210" s="120"/>
      <c r="W210" s="120"/>
      <c r="X210" s="120"/>
      <c r="Y210" s="120"/>
      <c r="Z210" s="120"/>
      <c r="AA210" s="120"/>
    </row>
    <row r="211">
      <c r="A211" s="120"/>
      <c r="B211" s="120"/>
      <c r="C211" s="120"/>
      <c r="D211" s="120"/>
      <c r="E211" s="120"/>
      <c r="F211" s="120"/>
      <c r="G211" s="120"/>
      <c r="H211" s="120"/>
      <c r="I211" s="120"/>
      <c r="J211" s="120"/>
      <c r="K211" s="120"/>
      <c r="L211" s="120"/>
      <c r="M211" s="120"/>
      <c r="N211" s="120"/>
      <c r="O211" s="120"/>
      <c r="P211" s="120"/>
      <c r="Q211" s="120"/>
      <c r="R211" s="120"/>
      <c r="S211" s="120"/>
      <c r="T211" s="120"/>
      <c r="U211" s="120"/>
      <c r="V211" s="120"/>
      <c r="W211" s="120"/>
      <c r="X211" s="120"/>
      <c r="Y211" s="120"/>
      <c r="Z211" s="120"/>
      <c r="AA211" s="120"/>
    </row>
    <row r="212">
      <c r="A212" s="120"/>
      <c r="B212" s="120"/>
      <c r="C212" s="120"/>
      <c r="D212" s="120"/>
      <c r="E212" s="120"/>
      <c r="F212" s="120"/>
      <c r="G212" s="120"/>
      <c r="H212" s="120"/>
      <c r="I212" s="120"/>
      <c r="J212" s="120"/>
      <c r="K212" s="120"/>
      <c r="L212" s="120"/>
      <c r="M212" s="120"/>
      <c r="N212" s="120"/>
      <c r="O212" s="120"/>
      <c r="P212" s="120"/>
      <c r="Q212" s="120"/>
      <c r="R212" s="120"/>
      <c r="S212" s="120"/>
      <c r="T212" s="120"/>
      <c r="U212" s="120"/>
      <c r="V212" s="120"/>
      <c r="W212" s="120"/>
      <c r="X212" s="120"/>
      <c r="Y212" s="120"/>
      <c r="Z212" s="120"/>
      <c r="AA212" s="120"/>
    </row>
    <row r="213">
      <c r="A213" s="120"/>
      <c r="B213" s="120"/>
      <c r="C213" s="120"/>
      <c r="D213" s="120"/>
      <c r="E213" s="120"/>
      <c r="F213" s="120"/>
      <c r="G213" s="120"/>
      <c r="H213" s="120"/>
      <c r="I213" s="120"/>
      <c r="J213" s="120"/>
      <c r="K213" s="120"/>
      <c r="L213" s="120"/>
      <c r="M213" s="120"/>
      <c r="N213" s="120"/>
      <c r="O213" s="120"/>
      <c r="P213" s="120"/>
      <c r="Q213" s="120"/>
      <c r="R213" s="120"/>
      <c r="S213" s="120"/>
      <c r="T213" s="120"/>
      <c r="U213" s="120"/>
      <c r="V213" s="120"/>
      <c r="W213" s="120"/>
      <c r="X213" s="120"/>
      <c r="Y213" s="120"/>
      <c r="Z213" s="120"/>
      <c r="AA213" s="120"/>
    </row>
    <row r="214">
      <c r="A214" s="120"/>
      <c r="B214" s="120"/>
      <c r="C214" s="120"/>
      <c r="D214" s="120"/>
      <c r="E214" s="120"/>
      <c r="F214" s="120"/>
      <c r="G214" s="120"/>
      <c r="H214" s="120"/>
      <c r="I214" s="120"/>
      <c r="J214" s="120"/>
      <c r="K214" s="120"/>
      <c r="L214" s="120"/>
      <c r="M214" s="120"/>
      <c r="N214" s="120"/>
      <c r="O214" s="120"/>
      <c r="P214" s="120"/>
      <c r="Q214" s="120"/>
      <c r="R214" s="120"/>
      <c r="S214" s="120"/>
      <c r="T214" s="120"/>
      <c r="U214" s="120"/>
      <c r="V214" s="120"/>
      <c r="W214" s="120"/>
      <c r="X214" s="120"/>
      <c r="Y214" s="120"/>
      <c r="Z214" s="120"/>
      <c r="AA214" s="120"/>
    </row>
    <row r="215">
      <c r="A215" s="120"/>
      <c r="B215" s="120"/>
      <c r="C215" s="120"/>
      <c r="D215" s="120"/>
      <c r="E215" s="120"/>
      <c r="F215" s="120"/>
      <c r="G215" s="120"/>
      <c r="H215" s="120"/>
      <c r="I215" s="120"/>
      <c r="J215" s="120"/>
      <c r="K215" s="120"/>
      <c r="L215" s="120"/>
      <c r="M215" s="120"/>
      <c r="N215" s="120"/>
      <c r="O215" s="120"/>
      <c r="P215" s="120"/>
      <c r="Q215" s="120"/>
      <c r="R215" s="120"/>
      <c r="S215" s="120"/>
      <c r="T215" s="120"/>
      <c r="U215" s="120"/>
      <c r="V215" s="120"/>
      <c r="W215" s="120"/>
      <c r="X215" s="120"/>
      <c r="Y215" s="120"/>
      <c r="Z215" s="120"/>
      <c r="AA215" s="120"/>
    </row>
    <row r="216">
      <c r="A216" s="120"/>
      <c r="B216" s="120"/>
      <c r="C216" s="120"/>
      <c r="D216" s="120"/>
      <c r="E216" s="120"/>
      <c r="F216" s="120"/>
      <c r="G216" s="120"/>
      <c r="H216" s="120"/>
      <c r="I216" s="120"/>
      <c r="J216" s="120"/>
      <c r="K216" s="120"/>
      <c r="L216" s="120"/>
      <c r="M216" s="120"/>
      <c r="N216" s="120"/>
      <c r="O216" s="120"/>
      <c r="P216" s="120"/>
      <c r="Q216" s="120"/>
      <c r="R216" s="120"/>
      <c r="S216" s="120"/>
      <c r="T216" s="120"/>
      <c r="U216" s="120"/>
      <c r="V216" s="120"/>
      <c r="W216" s="120"/>
      <c r="X216" s="120"/>
      <c r="Y216" s="120"/>
      <c r="Z216" s="120"/>
      <c r="AA216" s="120"/>
    </row>
    <row r="217">
      <c r="A217" s="120"/>
      <c r="B217" s="120"/>
      <c r="C217" s="120"/>
      <c r="D217" s="120"/>
      <c r="E217" s="120"/>
      <c r="F217" s="120"/>
      <c r="G217" s="120"/>
      <c r="H217" s="120"/>
      <c r="I217" s="120"/>
      <c r="J217" s="120"/>
      <c r="K217" s="120"/>
      <c r="L217" s="120"/>
      <c r="M217" s="120"/>
      <c r="N217" s="120"/>
      <c r="O217" s="120"/>
      <c r="P217" s="120"/>
      <c r="Q217" s="120"/>
      <c r="R217" s="120"/>
      <c r="S217" s="120"/>
      <c r="T217" s="120"/>
      <c r="U217" s="120"/>
      <c r="V217" s="120"/>
      <c r="W217" s="120"/>
      <c r="X217" s="120"/>
      <c r="Y217" s="120"/>
      <c r="Z217" s="120"/>
      <c r="AA217" s="120"/>
    </row>
    <row r="218">
      <c r="A218" s="120"/>
      <c r="B218" s="120"/>
      <c r="C218" s="120"/>
      <c r="D218" s="120"/>
      <c r="E218" s="120"/>
      <c r="F218" s="120"/>
      <c r="G218" s="120"/>
      <c r="H218" s="120"/>
      <c r="I218" s="120"/>
      <c r="J218" s="120"/>
      <c r="K218" s="120"/>
      <c r="L218" s="120"/>
      <c r="M218" s="120"/>
      <c r="N218" s="120"/>
      <c r="O218" s="120"/>
      <c r="P218" s="120"/>
      <c r="Q218" s="120"/>
      <c r="R218" s="120"/>
      <c r="S218" s="120"/>
      <c r="T218" s="120"/>
      <c r="U218" s="120"/>
      <c r="V218" s="120"/>
      <c r="W218" s="120"/>
      <c r="X218" s="120"/>
      <c r="Y218" s="120"/>
      <c r="Z218" s="120"/>
      <c r="AA218" s="120"/>
    </row>
    <row r="219">
      <c r="A219" s="120"/>
      <c r="B219" s="120"/>
      <c r="C219" s="120"/>
      <c r="D219" s="120"/>
      <c r="E219" s="120"/>
      <c r="F219" s="120"/>
      <c r="G219" s="120"/>
      <c r="H219" s="120"/>
      <c r="I219" s="120"/>
      <c r="J219" s="120"/>
      <c r="K219" s="120"/>
      <c r="L219" s="120"/>
      <c r="M219" s="120"/>
      <c r="N219" s="120"/>
      <c r="O219" s="120"/>
      <c r="P219" s="120"/>
      <c r="Q219" s="120"/>
      <c r="R219" s="120"/>
      <c r="S219" s="120"/>
      <c r="T219" s="120"/>
      <c r="U219" s="120"/>
      <c r="V219" s="120"/>
      <c r="W219" s="120"/>
      <c r="X219" s="120"/>
      <c r="Y219" s="120"/>
      <c r="Z219" s="120"/>
      <c r="AA219" s="120"/>
    </row>
    <row r="220">
      <c r="A220" s="120"/>
      <c r="B220" s="120"/>
      <c r="C220" s="120"/>
      <c r="D220" s="120"/>
      <c r="E220" s="120"/>
      <c r="F220" s="120"/>
      <c r="G220" s="120"/>
      <c r="H220" s="120"/>
      <c r="I220" s="120"/>
      <c r="J220" s="120"/>
      <c r="K220" s="120"/>
      <c r="L220" s="120"/>
      <c r="M220" s="120"/>
      <c r="N220" s="120"/>
      <c r="O220" s="120"/>
      <c r="P220" s="120"/>
      <c r="Q220" s="120"/>
      <c r="R220" s="120"/>
      <c r="S220" s="120"/>
      <c r="T220" s="120"/>
      <c r="U220" s="120"/>
      <c r="V220" s="120"/>
      <c r="W220" s="120"/>
      <c r="X220" s="120"/>
      <c r="Y220" s="120"/>
      <c r="Z220" s="120"/>
      <c r="AA220" s="120"/>
    </row>
    <row r="221">
      <c r="A221" s="120"/>
      <c r="B221" s="120"/>
      <c r="C221" s="120"/>
      <c r="D221" s="120"/>
      <c r="E221" s="120"/>
      <c r="F221" s="120"/>
      <c r="G221" s="120"/>
      <c r="H221" s="120"/>
      <c r="I221" s="120"/>
      <c r="J221" s="120"/>
      <c r="K221" s="120"/>
      <c r="L221" s="120"/>
      <c r="M221" s="120"/>
      <c r="N221" s="120"/>
      <c r="O221" s="120"/>
      <c r="P221" s="120"/>
      <c r="Q221" s="120"/>
      <c r="R221" s="120"/>
      <c r="S221" s="120"/>
      <c r="T221" s="120"/>
      <c r="U221" s="120"/>
      <c r="V221" s="120"/>
      <c r="W221" s="120"/>
      <c r="X221" s="120"/>
      <c r="Y221" s="120"/>
      <c r="Z221" s="120"/>
      <c r="AA221" s="120"/>
    </row>
    <row r="222">
      <c r="A222" s="120"/>
      <c r="B222" s="120"/>
      <c r="C222" s="120"/>
      <c r="D222" s="120"/>
      <c r="E222" s="120"/>
      <c r="F222" s="120"/>
      <c r="G222" s="120"/>
      <c r="H222" s="120"/>
      <c r="I222" s="120"/>
      <c r="J222" s="120"/>
      <c r="K222" s="120"/>
      <c r="L222" s="120"/>
      <c r="M222" s="120"/>
      <c r="N222" s="120"/>
      <c r="O222" s="120"/>
      <c r="P222" s="120"/>
      <c r="Q222" s="120"/>
      <c r="R222" s="120"/>
      <c r="S222" s="120"/>
      <c r="T222" s="120"/>
      <c r="U222" s="120"/>
      <c r="V222" s="120"/>
      <c r="W222" s="120"/>
      <c r="X222" s="120"/>
      <c r="Y222" s="120"/>
      <c r="Z222" s="120"/>
      <c r="AA222" s="120"/>
    </row>
    <row r="223">
      <c r="A223" s="120"/>
      <c r="B223" s="120"/>
      <c r="C223" s="120"/>
      <c r="D223" s="120"/>
      <c r="E223" s="120"/>
      <c r="F223" s="120"/>
      <c r="G223" s="120"/>
      <c r="H223" s="120"/>
      <c r="I223" s="120"/>
      <c r="J223" s="120"/>
      <c r="K223" s="120"/>
      <c r="L223" s="120"/>
      <c r="M223" s="120"/>
      <c r="N223" s="120"/>
      <c r="O223" s="120"/>
      <c r="P223" s="120"/>
      <c r="Q223" s="120"/>
      <c r="R223" s="120"/>
      <c r="S223" s="120"/>
      <c r="T223" s="120"/>
      <c r="U223" s="120"/>
      <c r="V223" s="120"/>
      <c r="W223" s="120"/>
      <c r="X223" s="120"/>
      <c r="Y223" s="120"/>
      <c r="Z223" s="120"/>
      <c r="AA223" s="120"/>
    </row>
    <row r="224">
      <c r="A224" s="120"/>
      <c r="B224" s="120"/>
      <c r="C224" s="120"/>
      <c r="D224" s="120"/>
      <c r="E224" s="120"/>
      <c r="F224" s="120"/>
      <c r="G224" s="120"/>
      <c r="H224" s="120"/>
      <c r="I224" s="120"/>
      <c r="J224" s="120"/>
      <c r="K224" s="120"/>
      <c r="L224" s="120"/>
      <c r="M224" s="120"/>
      <c r="N224" s="120"/>
      <c r="O224" s="120"/>
      <c r="P224" s="120"/>
      <c r="Q224" s="120"/>
      <c r="R224" s="120"/>
      <c r="S224" s="120"/>
      <c r="T224" s="120"/>
      <c r="U224" s="120"/>
      <c r="V224" s="120"/>
      <c r="W224" s="120"/>
      <c r="X224" s="120"/>
      <c r="Y224" s="120"/>
      <c r="Z224" s="120"/>
      <c r="AA224" s="120"/>
    </row>
    <row r="225">
      <c r="A225" s="120"/>
      <c r="B225" s="120"/>
      <c r="C225" s="120"/>
      <c r="D225" s="120"/>
      <c r="E225" s="120"/>
      <c r="F225" s="120"/>
      <c r="G225" s="120"/>
      <c r="H225" s="120"/>
      <c r="I225" s="120"/>
      <c r="J225" s="120"/>
      <c r="K225" s="120"/>
      <c r="L225" s="120"/>
      <c r="M225" s="120"/>
      <c r="N225" s="120"/>
      <c r="O225" s="120"/>
      <c r="P225" s="120"/>
      <c r="Q225" s="120"/>
      <c r="R225" s="120"/>
      <c r="S225" s="120"/>
      <c r="T225" s="120"/>
      <c r="U225" s="120"/>
      <c r="V225" s="120"/>
      <c r="W225" s="120"/>
      <c r="X225" s="120"/>
      <c r="Y225" s="120"/>
      <c r="Z225" s="120"/>
      <c r="AA225" s="120"/>
    </row>
    <row r="226">
      <c r="A226" s="120"/>
      <c r="B226" s="120"/>
      <c r="C226" s="120"/>
      <c r="D226" s="120"/>
      <c r="E226" s="120"/>
      <c r="F226" s="120"/>
      <c r="G226" s="120"/>
      <c r="H226" s="120"/>
      <c r="I226" s="120"/>
      <c r="J226" s="120"/>
      <c r="K226" s="120"/>
      <c r="L226" s="120"/>
      <c r="M226" s="120"/>
      <c r="N226" s="120"/>
      <c r="O226" s="120"/>
      <c r="P226" s="120"/>
      <c r="Q226" s="120"/>
      <c r="R226" s="120"/>
      <c r="S226" s="120"/>
      <c r="T226" s="120"/>
      <c r="U226" s="120"/>
      <c r="V226" s="120"/>
      <c r="W226" s="120"/>
      <c r="X226" s="120"/>
      <c r="Y226" s="120"/>
      <c r="Z226" s="120"/>
      <c r="AA226" s="120"/>
    </row>
    <row r="227">
      <c r="A227" s="120"/>
      <c r="B227" s="120"/>
      <c r="C227" s="120"/>
      <c r="D227" s="120"/>
      <c r="E227" s="120"/>
      <c r="F227" s="120"/>
      <c r="G227" s="120"/>
      <c r="H227" s="120"/>
      <c r="I227" s="120"/>
      <c r="J227" s="120"/>
      <c r="K227" s="120"/>
      <c r="L227" s="120"/>
      <c r="M227" s="120"/>
      <c r="N227" s="120"/>
      <c r="O227" s="120"/>
      <c r="P227" s="120"/>
      <c r="Q227" s="120"/>
      <c r="R227" s="120"/>
      <c r="S227" s="120"/>
      <c r="T227" s="120"/>
      <c r="U227" s="120"/>
      <c r="V227" s="120"/>
      <c r="W227" s="120"/>
      <c r="X227" s="120"/>
      <c r="Y227" s="120"/>
      <c r="Z227" s="120"/>
      <c r="AA227" s="120"/>
    </row>
    <row r="228">
      <c r="A228" s="120"/>
      <c r="B228" s="120"/>
      <c r="C228" s="120"/>
      <c r="D228" s="120"/>
      <c r="E228" s="120"/>
      <c r="F228" s="120"/>
      <c r="G228" s="120"/>
      <c r="H228" s="120"/>
      <c r="I228" s="120"/>
      <c r="J228" s="120"/>
      <c r="K228" s="120"/>
      <c r="L228" s="120"/>
      <c r="M228" s="120"/>
      <c r="N228" s="120"/>
      <c r="O228" s="120"/>
      <c r="P228" s="120"/>
      <c r="Q228" s="120"/>
      <c r="R228" s="120"/>
      <c r="S228" s="120"/>
      <c r="T228" s="120"/>
      <c r="U228" s="120"/>
      <c r="V228" s="120"/>
      <c r="W228" s="120"/>
      <c r="X228" s="120"/>
      <c r="Y228" s="120"/>
      <c r="Z228" s="120"/>
      <c r="AA228" s="120"/>
    </row>
    <row r="229">
      <c r="A229" s="120"/>
      <c r="B229" s="120"/>
      <c r="C229" s="120"/>
      <c r="D229" s="120"/>
      <c r="E229" s="120"/>
      <c r="F229" s="120"/>
      <c r="G229" s="120"/>
      <c r="H229" s="120"/>
      <c r="I229" s="120"/>
      <c r="J229" s="120"/>
      <c r="K229" s="120"/>
      <c r="L229" s="120"/>
      <c r="M229" s="120"/>
      <c r="N229" s="120"/>
      <c r="O229" s="120"/>
      <c r="P229" s="120"/>
      <c r="Q229" s="120"/>
      <c r="R229" s="120"/>
      <c r="S229" s="120"/>
      <c r="T229" s="120"/>
      <c r="U229" s="120"/>
      <c r="V229" s="120"/>
      <c r="W229" s="120"/>
      <c r="X229" s="120"/>
      <c r="Y229" s="120"/>
      <c r="Z229" s="120"/>
      <c r="AA229" s="120"/>
    </row>
    <row r="230">
      <c r="A230" s="120"/>
      <c r="B230" s="120"/>
      <c r="C230" s="120"/>
      <c r="D230" s="120"/>
      <c r="E230" s="120"/>
      <c r="F230" s="120"/>
      <c r="G230" s="120"/>
      <c r="H230" s="120"/>
      <c r="I230" s="120"/>
      <c r="J230" s="120"/>
      <c r="K230" s="120"/>
      <c r="L230" s="120"/>
      <c r="M230" s="120"/>
      <c r="N230" s="120"/>
      <c r="O230" s="120"/>
      <c r="P230" s="120"/>
      <c r="Q230" s="120"/>
      <c r="R230" s="120"/>
      <c r="S230" s="120"/>
      <c r="T230" s="120"/>
      <c r="U230" s="120"/>
      <c r="V230" s="120"/>
      <c r="W230" s="120"/>
      <c r="X230" s="120"/>
      <c r="Y230" s="120"/>
      <c r="Z230" s="120"/>
      <c r="AA230" s="120"/>
    </row>
    <row r="231">
      <c r="A231" s="120"/>
      <c r="B231" s="120"/>
      <c r="C231" s="120"/>
      <c r="D231" s="120"/>
      <c r="E231" s="120"/>
      <c r="F231" s="120"/>
      <c r="G231" s="120"/>
      <c r="H231" s="120"/>
      <c r="I231" s="120"/>
      <c r="J231" s="120"/>
      <c r="K231" s="120"/>
      <c r="L231" s="120"/>
      <c r="M231" s="120"/>
      <c r="N231" s="120"/>
      <c r="O231" s="120"/>
      <c r="P231" s="120"/>
      <c r="Q231" s="120"/>
      <c r="R231" s="120"/>
      <c r="S231" s="120"/>
      <c r="T231" s="120"/>
      <c r="U231" s="120"/>
      <c r="V231" s="120"/>
      <c r="W231" s="120"/>
      <c r="X231" s="120"/>
      <c r="Y231" s="120"/>
      <c r="Z231" s="120"/>
      <c r="AA231" s="120"/>
    </row>
    <row r="232">
      <c r="A232" s="120"/>
      <c r="B232" s="120"/>
      <c r="C232" s="120"/>
      <c r="D232" s="120"/>
      <c r="E232" s="120"/>
      <c r="F232" s="120"/>
      <c r="G232" s="120"/>
      <c r="H232" s="120"/>
      <c r="I232" s="120"/>
      <c r="J232" s="120"/>
      <c r="K232" s="120"/>
      <c r="L232" s="120"/>
      <c r="M232" s="120"/>
      <c r="N232" s="120"/>
      <c r="O232" s="120"/>
      <c r="P232" s="120"/>
      <c r="Q232" s="120"/>
      <c r="R232" s="120"/>
      <c r="S232" s="120"/>
      <c r="T232" s="120"/>
      <c r="U232" s="120"/>
      <c r="V232" s="120"/>
      <c r="W232" s="120"/>
      <c r="X232" s="120"/>
      <c r="Y232" s="120"/>
      <c r="Z232" s="120"/>
      <c r="AA232" s="120"/>
    </row>
    <row r="233">
      <c r="A233" s="120"/>
      <c r="B233" s="120"/>
      <c r="C233" s="120"/>
      <c r="D233" s="120"/>
      <c r="E233" s="120"/>
      <c r="F233" s="120"/>
      <c r="G233" s="120"/>
      <c r="H233" s="120"/>
      <c r="I233" s="120"/>
      <c r="J233" s="120"/>
      <c r="K233" s="120"/>
      <c r="L233" s="120"/>
      <c r="M233" s="120"/>
      <c r="N233" s="120"/>
      <c r="O233" s="120"/>
      <c r="P233" s="120"/>
      <c r="Q233" s="120"/>
      <c r="R233" s="120"/>
      <c r="S233" s="120"/>
      <c r="T233" s="120"/>
      <c r="U233" s="120"/>
      <c r="V233" s="120"/>
      <c r="W233" s="120"/>
      <c r="X233" s="120"/>
      <c r="Y233" s="120"/>
      <c r="Z233" s="120"/>
      <c r="AA233" s="120"/>
    </row>
    <row r="234">
      <c r="A234" s="120"/>
      <c r="B234" s="120"/>
      <c r="C234" s="120"/>
      <c r="D234" s="120"/>
      <c r="E234" s="120"/>
      <c r="F234" s="120"/>
      <c r="G234" s="120"/>
      <c r="H234" s="120"/>
      <c r="I234" s="120"/>
      <c r="J234" s="120"/>
      <c r="K234" s="120"/>
      <c r="L234" s="120"/>
      <c r="M234" s="120"/>
      <c r="N234" s="120"/>
      <c r="O234" s="120"/>
      <c r="P234" s="120"/>
      <c r="Q234" s="120"/>
      <c r="R234" s="120"/>
      <c r="S234" s="120"/>
      <c r="T234" s="120"/>
      <c r="U234" s="120"/>
      <c r="V234" s="120"/>
      <c r="W234" s="120"/>
      <c r="X234" s="120"/>
      <c r="Y234" s="120"/>
      <c r="Z234" s="120"/>
      <c r="AA234" s="120"/>
    </row>
    <row r="235">
      <c r="A235" s="120"/>
      <c r="B235" s="120"/>
      <c r="C235" s="120"/>
      <c r="D235" s="120"/>
      <c r="E235" s="120"/>
      <c r="F235" s="120"/>
      <c r="G235" s="120"/>
      <c r="H235" s="120"/>
      <c r="I235" s="120"/>
      <c r="J235" s="120"/>
      <c r="K235" s="120"/>
      <c r="L235" s="120"/>
      <c r="M235" s="120"/>
      <c r="N235" s="120"/>
      <c r="O235" s="120"/>
      <c r="P235" s="120"/>
      <c r="Q235" s="120"/>
      <c r="R235" s="120"/>
      <c r="S235" s="120"/>
      <c r="T235" s="120"/>
      <c r="U235" s="120"/>
      <c r="V235" s="120"/>
      <c r="W235" s="120"/>
      <c r="X235" s="120"/>
      <c r="Y235" s="120"/>
      <c r="Z235" s="120"/>
      <c r="AA235" s="120"/>
    </row>
    <row r="236">
      <c r="A236" s="120"/>
      <c r="B236" s="120"/>
      <c r="C236" s="120"/>
      <c r="D236" s="120"/>
      <c r="E236" s="120"/>
      <c r="F236" s="120"/>
      <c r="G236" s="120"/>
      <c r="H236" s="120"/>
      <c r="I236" s="120"/>
      <c r="J236" s="120"/>
      <c r="K236" s="120"/>
      <c r="L236" s="120"/>
      <c r="M236" s="120"/>
      <c r="N236" s="120"/>
      <c r="O236" s="120"/>
      <c r="P236" s="120"/>
      <c r="Q236" s="120"/>
      <c r="R236" s="120"/>
      <c r="S236" s="120"/>
      <c r="T236" s="120"/>
      <c r="U236" s="120"/>
      <c r="V236" s="120"/>
      <c r="W236" s="120"/>
      <c r="X236" s="120"/>
      <c r="Y236" s="120"/>
      <c r="Z236" s="120"/>
      <c r="AA236" s="120"/>
    </row>
    <row r="237">
      <c r="A237" s="120"/>
      <c r="B237" s="120"/>
      <c r="C237" s="120"/>
      <c r="D237" s="120"/>
      <c r="E237" s="120"/>
      <c r="F237" s="120"/>
      <c r="G237" s="120"/>
      <c r="H237" s="120"/>
      <c r="I237" s="120"/>
      <c r="J237" s="120"/>
      <c r="K237" s="120"/>
      <c r="L237" s="120"/>
      <c r="M237" s="120"/>
      <c r="N237" s="120"/>
      <c r="O237" s="120"/>
      <c r="P237" s="120"/>
      <c r="Q237" s="120"/>
      <c r="R237" s="120"/>
      <c r="S237" s="120"/>
      <c r="T237" s="120"/>
      <c r="U237" s="120"/>
      <c r="V237" s="120"/>
      <c r="W237" s="120"/>
      <c r="X237" s="120"/>
      <c r="Y237" s="120"/>
      <c r="Z237" s="120"/>
      <c r="AA237" s="120"/>
    </row>
    <row r="238">
      <c r="A238" s="120"/>
      <c r="B238" s="120"/>
      <c r="C238" s="120"/>
      <c r="D238" s="120"/>
      <c r="E238" s="120"/>
      <c r="F238" s="120"/>
      <c r="G238" s="120"/>
      <c r="H238" s="120"/>
      <c r="I238" s="120"/>
      <c r="J238" s="120"/>
      <c r="K238" s="120"/>
      <c r="L238" s="120"/>
      <c r="M238" s="120"/>
      <c r="N238" s="120"/>
      <c r="O238" s="120"/>
      <c r="P238" s="120"/>
      <c r="Q238" s="120"/>
      <c r="R238" s="120"/>
      <c r="S238" s="120"/>
      <c r="T238" s="120"/>
      <c r="U238" s="120"/>
      <c r="V238" s="120"/>
      <c r="W238" s="120"/>
      <c r="X238" s="120"/>
      <c r="Y238" s="120"/>
      <c r="Z238" s="120"/>
      <c r="AA238" s="120"/>
    </row>
    <row r="239">
      <c r="A239" s="120"/>
      <c r="B239" s="120"/>
      <c r="C239" s="120"/>
      <c r="D239" s="120"/>
      <c r="E239" s="120"/>
      <c r="F239" s="120"/>
      <c r="G239" s="120"/>
      <c r="H239" s="120"/>
      <c r="I239" s="120"/>
      <c r="J239" s="120"/>
      <c r="K239" s="120"/>
      <c r="L239" s="120"/>
      <c r="M239" s="120"/>
      <c r="N239" s="120"/>
      <c r="O239" s="120"/>
      <c r="P239" s="120"/>
      <c r="Q239" s="120"/>
      <c r="R239" s="120"/>
      <c r="S239" s="120"/>
      <c r="T239" s="120"/>
      <c r="U239" s="120"/>
      <c r="V239" s="120"/>
      <c r="W239" s="120"/>
      <c r="X239" s="120"/>
      <c r="Y239" s="120"/>
      <c r="Z239" s="120"/>
      <c r="AA239" s="120"/>
    </row>
    <row r="240">
      <c r="A240" s="120"/>
      <c r="B240" s="120"/>
      <c r="C240" s="120"/>
      <c r="D240" s="120"/>
      <c r="E240" s="120"/>
      <c r="F240" s="120"/>
      <c r="G240" s="120"/>
      <c r="H240" s="120"/>
      <c r="I240" s="120"/>
      <c r="J240" s="120"/>
      <c r="K240" s="120"/>
      <c r="L240" s="120"/>
      <c r="M240" s="120"/>
      <c r="N240" s="120"/>
      <c r="O240" s="120"/>
      <c r="P240" s="120"/>
      <c r="Q240" s="120"/>
      <c r="R240" s="120"/>
      <c r="S240" s="120"/>
      <c r="T240" s="120"/>
      <c r="U240" s="120"/>
      <c r="V240" s="120"/>
      <c r="W240" s="120"/>
      <c r="X240" s="120"/>
      <c r="Y240" s="120"/>
      <c r="Z240" s="120"/>
      <c r="AA240" s="120"/>
    </row>
    <row r="241">
      <c r="A241" s="120"/>
      <c r="B241" s="120"/>
      <c r="C241" s="120"/>
      <c r="D241" s="120"/>
      <c r="E241" s="120"/>
      <c r="F241" s="120"/>
      <c r="G241" s="120"/>
      <c r="H241" s="120"/>
      <c r="I241" s="120"/>
      <c r="J241" s="120"/>
      <c r="K241" s="120"/>
      <c r="L241" s="120"/>
      <c r="M241" s="120"/>
      <c r="N241" s="120"/>
      <c r="O241" s="120"/>
      <c r="P241" s="120"/>
      <c r="Q241" s="120"/>
      <c r="R241" s="120"/>
      <c r="S241" s="120"/>
      <c r="T241" s="120"/>
      <c r="U241" s="120"/>
      <c r="V241" s="120"/>
      <c r="W241" s="120"/>
      <c r="X241" s="120"/>
      <c r="Y241" s="120"/>
      <c r="Z241" s="120"/>
      <c r="AA241" s="120"/>
    </row>
    <row r="242">
      <c r="A242" s="120"/>
      <c r="B242" s="120"/>
      <c r="C242" s="120"/>
      <c r="D242" s="120"/>
      <c r="E242" s="120"/>
      <c r="F242" s="120"/>
      <c r="G242" s="120"/>
      <c r="H242" s="120"/>
      <c r="I242" s="120"/>
      <c r="J242" s="120"/>
      <c r="K242" s="120"/>
      <c r="L242" s="120"/>
      <c r="M242" s="120"/>
      <c r="N242" s="120"/>
      <c r="O242" s="120"/>
      <c r="P242" s="120"/>
      <c r="Q242" s="120"/>
      <c r="R242" s="120"/>
      <c r="S242" s="120"/>
      <c r="T242" s="120"/>
      <c r="U242" s="120"/>
      <c r="V242" s="120"/>
      <c r="W242" s="120"/>
      <c r="X242" s="120"/>
      <c r="Y242" s="120"/>
      <c r="Z242" s="120"/>
      <c r="AA242" s="120"/>
    </row>
    <row r="243">
      <c r="A243" s="120"/>
      <c r="B243" s="120"/>
      <c r="C243" s="120"/>
      <c r="D243" s="120"/>
      <c r="E243" s="120"/>
      <c r="F243" s="120"/>
      <c r="G243" s="120"/>
      <c r="H243" s="120"/>
      <c r="I243" s="120"/>
      <c r="J243" s="120"/>
      <c r="K243" s="120"/>
      <c r="L243" s="120"/>
      <c r="M243" s="120"/>
      <c r="N243" s="120"/>
      <c r="O243" s="120"/>
      <c r="P243" s="120"/>
      <c r="Q243" s="120"/>
      <c r="R243" s="120"/>
      <c r="S243" s="120"/>
      <c r="T243" s="120"/>
      <c r="U243" s="120"/>
      <c r="V243" s="120"/>
      <c r="W243" s="120"/>
      <c r="X243" s="120"/>
      <c r="Y243" s="120"/>
      <c r="Z243" s="120"/>
      <c r="AA243" s="120"/>
    </row>
    <row r="244">
      <c r="A244" s="120"/>
      <c r="B244" s="120"/>
      <c r="C244" s="120"/>
      <c r="D244" s="120"/>
      <c r="E244" s="120"/>
      <c r="F244" s="120"/>
      <c r="G244" s="120"/>
      <c r="H244" s="120"/>
      <c r="I244" s="120"/>
      <c r="J244" s="120"/>
      <c r="K244" s="120"/>
      <c r="L244" s="120"/>
      <c r="M244" s="120"/>
      <c r="N244" s="120"/>
      <c r="O244" s="120"/>
      <c r="P244" s="120"/>
      <c r="Q244" s="120"/>
      <c r="R244" s="120"/>
      <c r="S244" s="120"/>
      <c r="T244" s="120"/>
      <c r="U244" s="120"/>
      <c r="V244" s="120"/>
      <c r="W244" s="120"/>
      <c r="X244" s="120"/>
      <c r="Y244" s="120"/>
      <c r="Z244" s="120"/>
      <c r="AA244" s="120"/>
    </row>
    <row r="245">
      <c r="A245" s="120"/>
      <c r="B245" s="120"/>
      <c r="C245" s="120"/>
      <c r="D245" s="120"/>
      <c r="E245" s="120"/>
      <c r="F245" s="120"/>
      <c r="G245" s="120"/>
      <c r="H245" s="120"/>
      <c r="I245" s="120"/>
      <c r="J245" s="120"/>
      <c r="K245" s="120"/>
      <c r="L245" s="120"/>
      <c r="M245" s="120"/>
      <c r="N245" s="120"/>
      <c r="O245" s="120"/>
      <c r="P245" s="120"/>
      <c r="Q245" s="120"/>
      <c r="R245" s="120"/>
      <c r="S245" s="120"/>
      <c r="T245" s="120"/>
      <c r="U245" s="120"/>
      <c r="V245" s="120"/>
      <c r="W245" s="120"/>
      <c r="X245" s="120"/>
      <c r="Y245" s="120"/>
      <c r="Z245" s="120"/>
      <c r="AA245" s="120"/>
    </row>
    <row r="246">
      <c r="A246" s="120"/>
      <c r="B246" s="120"/>
      <c r="C246" s="120"/>
      <c r="D246" s="120"/>
      <c r="E246" s="120"/>
      <c r="F246" s="120"/>
      <c r="G246" s="120"/>
      <c r="H246" s="120"/>
      <c r="I246" s="120"/>
      <c r="J246" s="120"/>
      <c r="K246" s="120"/>
      <c r="L246" s="120"/>
      <c r="M246" s="120"/>
      <c r="N246" s="120"/>
      <c r="O246" s="120"/>
      <c r="P246" s="120"/>
      <c r="Q246" s="120"/>
      <c r="R246" s="120"/>
      <c r="S246" s="120"/>
      <c r="T246" s="120"/>
      <c r="U246" s="120"/>
      <c r="V246" s="120"/>
      <c r="W246" s="120"/>
      <c r="X246" s="120"/>
      <c r="Y246" s="120"/>
      <c r="Z246" s="120"/>
      <c r="AA246" s="120"/>
    </row>
    <row r="247">
      <c r="A247" s="120"/>
      <c r="B247" s="120"/>
      <c r="C247" s="120"/>
      <c r="D247" s="120"/>
      <c r="E247" s="120"/>
      <c r="F247" s="120"/>
      <c r="G247" s="120"/>
      <c r="H247" s="120"/>
      <c r="I247" s="120"/>
      <c r="J247" s="120"/>
      <c r="K247" s="120"/>
      <c r="L247" s="120"/>
      <c r="M247" s="120"/>
      <c r="N247" s="120"/>
      <c r="O247" s="120"/>
      <c r="P247" s="120"/>
      <c r="Q247" s="120"/>
      <c r="R247" s="120"/>
      <c r="S247" s="120"/>
      <c r="T247" s="120"/>
      <c r="U247" s="120"/>
      <c r="V247" s="120"/>
      <c r="W247" s="120"/>
      <c r="X247" s="120"/>
      <c r="Y247" s="120"/>
      <c r="Z247" s="120"/>
      <c r="AA247" s="120"/>
    </row>
    <row r="248">
      <c r="A248" s="120"/>
      <c r="B248" s="120"/>
      <c r="C248" s="120"/>
      <c r="D248" s="120"/>
      <c r="E248" s="120"/>
      <c r="F248" s="120"/>
      <c r="G248" s="120"/>
      <c r="H248" s="120"/>
      <c r="I248" s="120"/>
      <c r="J248" s="120"/>
      <c r="K248" s="120"/>
      <c r="L248" s="120"/>
      <c r="M248" s="120"/>
      <c r="N248" s="120"/>
      <c r="O248" s="120"/>
      <c r="P248" s="120"/>
      <c r="Q248" s="120"/>
      <c r="R248" s="120"/>
      <c r="S248" s="120"/>
      <c r="T248" s="120"/>
      <c r="U248" s="120"/>
      <c r="V248" s="120"/>
      <c r="W248" s="120"/>
      <c r="X248" s="120"/>
      <c r="Y248" s="120"/>
      <c r="Z248" s="120"/>
      <c r="AA248" s="120"/>
    </row>
    <row r="249">
      <c r="A249" s="120"/>
      <c r="B249" s="120"/>
      <c r="C249" s="120"/>
      <c r="D249" s="120"/>
      <c r="E249" s="120"/>
      <c r="F249" s="120"/>
      <c r="G249" s="120"/>
      <c r="H249" s="120"/>
      <c r="I249" s="120"/>
      <c r="J249" s="120"/>
      <c r="K249" s="120"/>
      <c r="L249" s="120"/>
      <c r="M249" s="120"/>
      <c r="N249" s="120"/>
      <c r="O249" s="120"/>
      <c r="P249" s="120"/>
      <c r="Q249" s="120"/>
      <c r="R249" s="120"/>
      <c r="S249" s="120"/>
      <c r="T249" s="120"/>
      <c r="U249" s="120"/>
      <c r="V249" s="120"/>
      <c r="W249" s="120"/>
      <c r="X249" s="120"/>
      <c r="Y249" s="120"/>
      <c r="Z249" s="120"/>
      <c r="AA249" s="120"/>
    </row>
    <row r="250">
      <c r="A250" s="120"/>
      <c r="B250" s="120"/>
      <c r="C250" s="120"/>
      <c r="D250" s="120"/>
      <c r="E250" s="120"/>
      <c r="F250" s="120"/>
      <c r="G250" s="120"/>
      <c r="H250" s="120"/>
      <c r="I250" s="120"/>
      <c r="J250" s="120"/>
      <c r="K250" s="120"/>
      <c r="L250" s="120"/>
      <c r="M250" s="120"/>
      <c r="N250" s="120"/>
      <c r="O250" s="120"/>
      <c r="P250" s="120"/>
      <c r="Q250" s="120"/>
      <c r="R250" s="120"/>
      <c r="S250" s="120"/>
      <c r="T250" s="120"/>
      <c r="U250" s="120"/>
      <c r="V250" s="120"/>
      <c r="W250" s="120"/>
      <c r="X250" s="120"/>
      <c r="Y250" s="120"/>
      <c r="Z250" s="120"/>
      <c r="AA250" s="120"/>
    </row>
    <row r="251">
      <c r="A251" s="120"/>
      <c r="B251" s="120"/>
      <c r="C251" s="120"/>
      <c r="D251" s="120"/>
      <c r="E251" s="120"/>
      <c r="F251" s="120"/>
      <c r="G251" s="120"/>
      <c r="H251" s="120"/>
      <c r="I251" s="120"/>
      <c r="J251" s="120"/>
      <c r="K251" s="120"/>
      <c r="L251" s="120"/>
      <c r="M251" s="120"/>
      <c r="N251" s="120"/>
      <c r="O251" s="120"/>
      <c r="P251" s="120"/>
      <c r="Q251" s="120"/>
      <c r="R251" s="120"/>
      <c r="S251" s="120"/>
      <c r="T251" s="120"/>
      <c r="U251" s="120"/>
      <c r="V251" s="120"/>
      <c r="W251" s="120"/>
      <c r="X251" s="120"/>
      <c r="Y251" s="120"/>
      <c r="Z251" s="120"/>
      <c r="AA251" s="120"/>
    </row>
    <row r="252">
      <c r="A252" s="120"/>
      <c r="B252" s="120"/>
      <c r="C252" s="120"/>
      <c r="D252" s="120"/>
      <c r="E252" s="120"/>
      <c r="F252" s="120"/>
      <c r="G252" s="120"/>
      <c r="H252" s="120"/>
      <c r="I252" s="120"/>
      <c r="J252" s="120"/>
      <c r="K252" s="120"/>
      <c r="L252" s="120"/>
      <c r="M252" s="120"/>
      <c r="N252" s="120"/>
      <c r="O252" s="120"/>
      <c r="P252" s="120"/>
      <c r="Q252" s="120"/>
      <c r="R252" s="120"/>
      <c r="S252" s="120"/>
      <c r="T252" s="120"/>
      <c r="U252" s="120"/>
      <c r="V252" s="120"/>
      <c r="W252" s="120"/>
      <c r="X252" s="120"/>
      <c r="Y252" s="120"/>
      <c r="Z252" s="120"/>
      <c r="AA252" s="120"/>
    </row>
    <row r="253">
      <c r="A253" s="120"/>
      <c r="B253" s="120"/>
      <c r="C253" s="120"/>
      <c r="D253" s="120"/>
      <c r="E253" s="120"/>
      <c r="F253" s="120"/>
      <c r="G253" s="120"/>
      <c r="H253" s="120"/>
      <c r="I253" s="120"/>
      <c r="J253" s="120"/>
      <c r="K253" s="120"/>
      <c r="L253" s="120"/>
      <c r="M253" s="120"/>
      <c r="N253" s="120"/>
      <c r="O253" s="120"/>
      <c r="P253" s="120"/>
      <c r="Q253" s="120"/>
      <c r="R253" s="120"/>
      <c r="S253" s="120"/>
      <c r="T253" s="120"/>
      <c r="U253" s="120"/>
      <c r="V253" s="120"/>
      <c r="W253" s="120"/>
      <c r="X253" s="120"/>
      <c r="Y253" s="120"/>
      <c r="Z253" s="120"/>
      <c r="AA253" s="120"/>
    </row>
    <row r="254">
      <c r="A254" s="120"/>
      <c r="B254" s="120"/>
      <c r="C254" s="120"/>
      <c r="D254" s="120"/>
      <c r="E254" s="120"/>
      <c r="F254" s="120"/>
      <c r="G254" s="120"/>
      <c r="H254" s="120"/>
      <c r="I254" s="120"/>
      <c r="J254" s="120"/>
      <c r="K254" s="120"/>
      <c r="L254" s="120"/>
      <c r="M254" s="120"/>
      <c r="N254" s="120"/>
      <c r="O254" s="120"/>
      <c r="P254" s="120"/>
      <c r="Q254" s="120"/>
      <c r="R254" s="120"/>
      <c r="S254" s="120"/>
      <c r="T254" s="120"/>
      <c r="U254" s="120"/>
      <c r="V254" s="120"/>
      <c r="W254" s="120"/>
      <c r="X254" s="120"/>
      <c r="Y254" s="120"/>
      <c r="Z254" s="120"/>
      <c r="AA254" s="120"/>
    </row>
    <row r="255">
      <c r="A255" s="120"/>
      <c r="B255" s="120"/>
      <c r="C255" s="120"/>
      <c r="D255" s="120"/>
      <c r="E255" s="120"/>
      <c r="F255" s="120"/>
      <c r="G255" s="120"/>
      <c r="H255" s="120"/>
      <c r="I255" s="120"/>
      <c r="J255" s="120"/>
      <c r="K255" s="120"/>
      <c r="L255" s="120"/>
      <c r="M255" s="120"/>
      <c r="N255" s="120"/>
      <c r="O255" s="120"/>
      <c r="P255" s="120"/>
      <c r="Q255" s="120"/>
      <c r="R255" s="120"/>
      <c r="S255" s="120"/>
      <c r="T255" s="120"/>
      <c r="U255" s="120"/>
      <c r="V255" s="120"/>
      <c r="W255" s="120"/>
      <c r="X255" s="120"/>
      <c r="Y255" s="120"/>
      <c r="Z255" s="120"/>
      <c r="AA255" s="120"/>
    </row>
    <row r="256">
      <c r="A256" s="120"/>
      <c r="B256" s="120"/>
      <c r="C256" s="120"/>
      <c r="D256" s="120"/>
      <c r="E256" s="120"/>
      <c r="F256" s="120"/>
      <c r="G256" s="120"/>
      <c r="H256" s="120"/>
      <c r="I256" s="120"/>
      <c r="J256" s="120"/>
      <c r="K256" s="120"/>
      <c r="L256" s="120"/>
      <c r="M256" s="120"/>
      <c r="N256" s="120"/>
      <c r="O256" s="120"/>
      <c r="P256" s="120"/>
      <c r="Q256" s="120"/>
      <c r="R256" s="120"/>
      <c r="S256" s="120"/>
      <c r="T256" s="120"/>
      <c r="U256" s="120"/>
      <c r="V256" s="120"/>
      <c r="W256" s="120"/>
      <c r="X256" s="120"/>
      <c r="Y256" s="120"/>
      <c r="Z256" s="120"/>
      <c r="AA256" s="120"/>
    </row>
    <row r="257">
      <c r="A257" s="120"/>
      <c r="B257" s="120"/>
      <c r="C257" s="120"/>
      <c r="D257" s="120"/>
      <c r="E257" s="120"/>
      <c r="F257" s="120"/>
      <c r="G257" s="120"/>
      <c r="H257" s="120"/>
      <c r="I257" s="120"/>
      <c r="J257" s="120"/>
      <c r="K257" s="120"/>
      <c r="L257" s="120"/>
      <c r="M257" s="120"/>
      <c r="N257" s="120"/>
      <c r="O257" s="120"/>
      <c r="P257" s="120"/>
      <c r="Q257" s="120"/>
      <c r="R257" s="120"/>
      <c r="S257" s="120"/>
      <c r="T257" s="120"/>
      <c r="U257" s="120"/>
      <c r="V257" s="120"/>
      <c r="W257" s="120"/>
      <c r="X257" s="120"/>
      <c r="Y257" s="120"/>
      <c r="Z257" s="120"/>
      <c r="AA257" s="120"/>
    </row>
    <row r="258">
      <c r="A258" s="120"/>
      <c r="B258" s="120"/>
      <c r="C258" s="120"/>
      <c r="D258" s="120"/>
      <c r="E258" s="120"/>
      <c r="F258" s="120"/>
      <c r="G258" s="120"/>
      <c r="H258" s="120"/>
      <c r="I258" s="120"/>
      <c r="J258" s="120"/>
      <c r="K258" s="120"/>
      <c r="L258" s="120"/>
      <c r="M258" s="120"/>
      <c r="N258" s="120"/>
      <c r="O258" s="120"/>
      <c r="P258" s="120"/>
      <c r="Q258" s="120"/>
      <c r="R258" s="120"/>
      <c r="S258" s="120"/>
      <c r="T258" s="120"/>
      <c r="U258" s="120"/>
      <c r="V258" s="120"/>
      <c r="W258" s="120"/>
      <c r="X258" s="120"/>
      <c r="Y258" s="120"/>
      <c r="Z258" s="120"/>
      <c r="AA258" s="120"/>
    </row>
    <row r="259">
      <c r="A259" s="120"/>
      <c r="B259" s="120"/>
      <c r="C259" s="120"/>
      <c r="D259" s="120"/>
      <c r="E259" s="120"/>
      <c r="F259" s="120"/>
      <c r="G259" s="120"/>
      <c r="H259" s="120"/>
      <c r="I259" s="120"/>
      <c r="J259" s="120"/>
      <c r="K259" s="120"/>
      <c r="L259" s="120"/>
      <c r="M259" s="120"/>
      <c r="N259" s="120"/>
      <c r="O259" s="120"/>
      <c r="P259" s="120"/>
      <c r="Q259" s="120"/>
      <c r="R259" s="120"/>
      <c r="S259" s="120"/>
      <c r="T259" s="120"/>
      <c r="U259" s="120"/>
      <c r="V259" s="120"/>
      <c r="W259" s="120"/>
      <c r="X259" s="120"/>
      <c r="Y259" s="120"/>
      <c r="Z259" s="120"/>
      <c r="AA259" s="120"/>
    </row>
    <row r="260">
      <c r="A260" s="120"/>
      <c r="B260" s="120"/>
      <c r="C260" s="120"/>
      <c r="D260" s="120"/>
      <c r="E260" s="120"/>
      <c r="F260" s="120"/>
      <c r="G260" s="120"/>
      <c r="H260" s="120"/>
      <c r="I260" s="120"/>
      <c r="J260" s="120"/>
      <c r="K260" s="120"/>
      <c r="L260" s="120"/>
      <c r="M260" s="120"/>
      <c r="N260" s="120"/>
      <c r="O260" s="120"/>
      <c r="P260" s="120"/>
      <c r="Q260" s="120"/>
      <c r="R260" s="120"/>
      <c r="S260" s="120"/>
      <c r="T260" s="120"/>
      <c r="U260" s="120"/>
      <c r="V260" s="120"/>
      <c r="W260" s="120"/>
      <c r="X260" s="120"/>
      <c r="Y260" s="120"/>
      <c r="Z260" s="120"/>
      <c r="AA260" s="120"/>
    </row>
    <row r="261">
      <c r="A261" s="120"/>
      <c r="B261" s="120"/>
      <c r="C261" s="120"/>
      <c r="D261" s="120"/>
      <c r="E261" s="120"/>
      <c r="F261" s="120"/>
      <c r="G261" s="120"/>
      <c r="H261" s="120"/>
      <c r="I261" s="120"/>
      <c r="J261" s="120"/>
      <c r="K261" s="120"/>
      <c r="L261" s="120"/>
      <c r="M261" s="120"/>
      <c r="N261" s="120"/>
      <c r="O261" s="120"/>
      <c r="P261" s="120"/>
      <c r="Q261" s="120"/>
      <c r="R261" s="120"/>
      <c r="S261" s="120"/>
      <c r="T261" s="120"/>
      <c r="U261" s="120"/>
      <c r="V261" s="120"/>
      <c r="W261" s="120"/>
      <c r="X261" s="120"/>
      <c r="Y261" s="120"/>
      <c r="Z261" s="120"/>
      <c r="AA261" s="120"/>
    </row>
    <row r="262">
      <c r="A262" s="120"/>
      <c r="B262" s="120"/>
      <c r="C262" s="120"/>
      <c r="D262" s="120"/>
      <c r="E262" s="120"/>
      <c r="F262" s="120"/>
      <c r="G262" s="120"/>
      <c r="H262" s="120"/>
      <c r="I262" s="120"/>
      <c r="J262" s="120"/>
      <c r="K262" s="120"/>
      <c r="L262" s="120"/>
      <c r="M262" s="120"/>
      <c r="N262" s="120"/>
      <c r="O262" s="120"/>
      <c r="P262" s="120"/>
      <c r="Q262" s="120"/>
      <c r="R262" s="120"/>
      <c r="S262" s="120"/>
      <c r="T262" s="120"/>
      <c r="U262" s="120"/>
      <c r="V262" s="120"/>
      <c r="W262" s="120"/>
      <c r="X262" s="120"/>
      <c r="Y262" s="120"/>
      <c r="Z262" s="120"/>
      <c r="AA262" s="120"/>
    </row>
    <row r="263">
      <c r="A263" s="120"/>
      <c r="B263" s="120"/>
      <c r="C263" s="120"/>
      <c r="D263" s="120"/>
      <c r="E263" s="120"/>
      <c r="F263" s="120"/>
      <c r="G263" s="120"/>
      <c r="H263" s="120"/>
      <c r="I263" s="120"/>
      <c r="J263" s="120"/>
      <c r="K263" s="120"/>
      <c r="L263" s="120"/>
      <c r="M263" s="120"/>
      <c r="N263" s="120"/>
      <c r="O263" s="120"/>
      <c r="P263" s="120"/>
      <c r="Q263" s="120"/>
      <c r="R263" s="120"/>
      <c r="S263" s="120"/>
      <c r="T263" s="120"/>
      <c r="U263" s="120"/>
      <c r="V263" s="120"/>
      <c r="W263" s="120"/>
      <c r="X263" s="120"/>
      <c r="Y263" s="120"/>
      <c r="Z263" s="120"/>
      <c r="AA263" s="120"/>
    </row>
    <row r="264">
      <c r="A264" s="120"/>
      <c r="B264" s="120"/>
      <c r="C264" s="120"/>
      <c r="D264" s="120"/>
      <c r="E264" s="120"/>
      <c r="F264" s="120"/>
      <c r="G264" s="120"/>
      <c r="H264" s="120"/>
      <c r="I264" s="120"/>
      <c r="J264" s="120"/>
      <c r="K264" s="120"/>
      <c r="L264" s="120"/>
      <c r="M264" s="120"/>
      <c r="N264" s="120"/>
      <c r="O264" s="120"/>
      <c r="P264" s="120"/>
      <c r="Q264" s="120"/>
      <c r="R264" s="120"/>
      <c r="S264" s="120"/>
      <c r="T264" s="120"/>
      <c r="U264" s="120"/>
      <c r="V264" s="120"/>
      <c r="W264" s="120"/>
      <c r="X264" s="120"/>
      <c r="Y264" s="120"/>
      <c r="Z264" s="120"/>
      <c r="AA264" s="120"/>
    </row>
    <row r="265">
      <c r="A265" s="120"/>
      <c r="B265" s="120"/>
      <c r="C265" s="120"/>
      <c r="D265" s="120"/>
      <c r="E265" s="120"/>
      <c r="F265" s="120"/>
      <c r="G265" s="120"/>
      <c r="H265" s="120"/>
      <c r="I265" s="120"/>
      <c r="J265" s="120"/>
      <c r="K265" s="120"/>
      <c r="L265" s="120"/>
      <c r="M265" s="120"/>
      <c r="N265" s="120"/>
      <c r="O265" s="120"/>
      <c r="P265" s="120"/>
      <c r="Q265" s="120"/>
      <c r="R265" s="120"/>
      <c r="S265" s="120"/>
      <c r="T265" s="120"/>
      <c r="U265" s="120"/>
      <c r="V265" s="120"/>
      <c r="W265" s="120"/>
      <c r="X265" s="120"/>
      <c r="Y265" s="120"/>
      <c r="Z265" s="120"/>
      <c r="AA265" s="120"/>
    </row>
    <row r="266">
      <c r="A266" s="120"/>
      <c r="B266" s="120"/>
      <c r="C266" s="120"/>
      <c r="D266" s="120"/>
      <c r="E266" s="120"/>
      <c r="F266" s="120"/>
      <c r="G266" s="120"/>
      <c r="H266" s="120"/>
      <c r="I266" s="120"/>
      <c r="J266" s="120"/>
      <c r="K266" s="120"/>
      <c r="L266" s="120"/>
      <c r="M266" s="120"/>
      <c r="N266" s="120"/>
      <c r="O266" s="120"/>
      <c r="P266" s="120"/>
      <c r="Q266" s="120"/>
      <c r="R266" s="120"/>
      <c r="S266" s="120"/>
      <c r="T266" s="120"/>
      <c r="U266" s="120"/>
      <c r="V266" s="120"/>
      <c r="W266" s="120"/>
      <c r="X266" s="120"/>
      <c r="Y266" s="120"/>
      <c r="Z266" s="120"/>
      <c r="AA266" s="120"/>
    </row>
    <row r="267">
      <c r="A267" s="120"/>
      <c r="B267" s="120"/>
      <c r="C267" s="120"/>
      <c r="D267" s="120"/>
      <c r="E267" s="120"/>
      <c r="F267" s="120"/>
      <c r="G267" s="120"/>
      <c r="H267" s="120"/>
      <c r="I267" s="120"/>
      <c r="J267" s="120"/>
      <c r="K267" s="120"/>
      <c r="L267" s="120"/>
      <c r="M267" s="120"/>
      <c r="N267" s="120"/>
      <c r="O267" s="120"/>
      <c r="P267" s="120"/>
      <c r="Q267" s="120"/>
      <c r="R267" s="120"/>
      <c r="S267" s="120"/>
      <c r="T267" s="120"/>
      <c r="U267" s="120"/>
      <c r="V267" s="120"/>
      <c r="W267" s="120"/>
      <c r="X267" s="120"/>
      <c r="Y267" s="120"/>
      <c r="Z267" s="120"/>
      <c r="AA267" s="120"/>
    </row>
    <row r="268">
      <c r="A268" s="120"/>
      <c r="B268" s="120"/>
      <c r="C268" s="120"/>
      <c r="D268" s="120"/>
      <c r="E268" s="120"/>
      <c r="F268" s="120"/>
      <c r="G268" s="120"/>
      <c r="H268" s="120"/>
      <c r="I268" s="120"/>
      <c r="J268" s="120"/>
      <c r="K268" s="120"/>
      <c r="L268" s="120"/>
      <c r="M268" s="120"/>
      <c r="N268" s="120"/>
      <c r="O268" s="120"/>
      <c r="P268" s="120"/>
      <c r="Q268" s="120"/>
      <c r="R268" s="120"/>
      <c r="S268" s="120"/>
      <c r="T268" s="120"/>
      <c r="U268" s="120"/>
      <c r="V268" s="120"/>
      <c r="W268" s="120"/>
      <c r="X268" s="120"/>
      <c r="Y268" s="120"/>
      <c r="Z268" s="120"/>
      <c r="AA268" s="120"/>
    </row>
    <row r="269">
      <c r="A269" s="120"/>
      <c r="B269" s="120"/>
      <c r="C269" s="120"/>
      <c r="D269" s="120"/>
      <c r="E269" s="120"/>
      <c r="F269" s="120"/>
      <c r="G269" s="120"/>
      <c r="H269" s="120"/>
      <c r="I269" s="120"/>
      <c r="J269" s="120"/>
      <c r="K269" s="120"/>
      <c r="L269" s="120"/>
      <c r="M269" s="120"/>
      <c r="N269" s="120"/>
      <c r="O269" s="120"/>
      <c r="P269" s="120"/>
      <c r="Q269" s="120"/>
      <c r="R269" s="120"/>
      <c r="S269" s="120"/>
      <c r="T269" s="120"/>
      <c r="U269" s="120"/>
      <c r="V269" s="120"/>
      <c r="W269" s="120"/>
      <c r="X269" s="120"/>
      <c r="Y269" s="120"/>
      <c r="Z269" s="120"/>
      <c r="AA269" s="120"/>
    </row>
    <row r="270">
      <c r="A270" s="120"/>
      <c r="B270" s="120"/>
      <c r="C270" s="120"/>
      <c r="D270" s="120"/>
      <c r="E270" s="120"/>
      <c r="F270" s="120"/>
      <c r="G270" s="120"/>
      <c r="H270" s="120"/>
      <c r="I270" s="120"/>
      <c r="J270" s="120"/>
      <c r="K270" s="120"/>
      <c r="L270" s="120"/>
      <c r="M270" s="120"/>
      <c r="N270" s="120"/>
      <c r="O270" s="120"/>
      <c r="P270" s="120"/>
      <c r="Q270" s="120"/>
      <c r="R270" s="120"/>
      <c r="S270" s="120"/>
      <c r="T270" s="120"/>
      <c r="U270" s="120"/>
      <c r="V270" s="120"/>
      <c r="W270" s="120"/>
      <c r="X270" s="120"/>
      <c r="Y270" s="120"/>
      <c r="Z270" s="120"/>
      <c r="AA270" s="120"/>
    </row>
    <row r="271">
      <c r="A271" s="120"/>
      <c r="B271" s="120"/>
      <c r="C271" s="120"/>
      <c r="D271" s="120"/>
      <c r="E271" s="120"/>
      <c r="F271" s="120"/>
      <c r="G271" s="120"/>
      <c r="H271" s="120"/>
      <c r="I271" s="120"/>
      <c r="J271" s="120"/>
      <c r="K271" s="120"/>
      <c r="L271" s="120"/>
      <c r="M271" s="120"/>
      <c r="N271" s="120"/>
      <c r="O271" s="120"/>
      <c r="P271" s="120"/>
      <c r="Q271" s="120"/>
      <c r="R271" s="120"/>
      <c r="S271" s="120"/>
      <c r="T271" s="120"/>
      <c r="U271" s="120"/>
      <c r="V271" s="120"/>
      <c r="W271" s="120"/>
      <c r="X271" s="120"/>
      <c r="Y271" s="120"/>
      <c r="Z271" s="120"/>
      <c r="AA271" s="120"/>
    </row>
    <row r="272">
      <c r="A272" s="120"/>
      <c r="B272" s="120"/>
      <c r="C272" s="120"/>
      <c r="D272" s="120"/>
      <c r="E272" s="120"/>
      <c r="F272" s="120"/>
      <c r="G272" s="120"/>
      <c r="H272" s="120"/>
      <c r="I272" s="120"/>
      <c r="J272" s="120"/>
      <c r="K272" s="120"/>
      <c r="L272" s="120"/>
      <c r="M272" s="120"/>
      <c r="N272" s="120"/>
      <c r="O272" s="120"/>
      <c r="P272" s="120"/>
      <c r="Q272" s="120"/>
      <c r="R272" s="120"/>
      <c r="S272" s="120"/>
      <c r="T272" s="120"/>
      <c r="U272" s="120"/>
      <c r="V272" s="120"/>
      <c r="W272" s="120"/>
      <c r="X272" s="120"/>
      <c r="Y272" s="120"/>
      <c r="Z272" s="120"/>
      <c r="AA272" s="120"/>
    </row>
    <row r="273">
      <c r="A273" s="120"/>
      <c r="B273" s="120"/>
      <c r="C273" s="120"/>
      <c r="D273" s="120"/>
      <c r="E273" s="120"/>
      <c r="F273" s="120"/>
      <c r="G273" s="120"/>
      <c r="H273" s="120"/>
      <c r="I273" s="120"/>
      <c r="J273" s="120"/>
      <c r="K273" s="120"/>
      <c r="L273" s="120"/>
      <c r="M273" s="120"/>
      <c r="N273" s="120"/>
      <c r="O273" s="120"/>
      <c r="P273" s="120"/>
      <c r="Q273" s="120"/>
      <c r="R273" s="120"/>
      <c r="S273" s="120"/>
      <c r="T273" s="120"/>
      <c r="U273" s="120"/>
      <c r="V273" s="120"/>
      <c r="W273" s="120"/>
      <c r="X273" s="120"/>
      <c r="Y273" s="120"/>
      <c r="Z273" s="120"/>
      <c r="AA273" s="120"/>
    </row>
    <row r="274">
      <c r="A274" s="120"/>
      <c r="B274" s="120"/>
      <c r="C274" s="120"/>
      <c r="D274" s="120"/>
      <c r="E274" s="120"/>
      <c r="F274" s="120"/>
      <c r="G274" s="120"/>
      <c r="H274" s="120"/>
      <c r="I274" s="120"/>
      <c r="J274" s="120"/>
      <c r="K274" s="120"/>
      <c r="L274" s="120"/>
      <c r="M274" s="120"/>
      <c r="N274" s="120"/>
      <c r="O274" s="120"/>
      <c r="P274" s="120"/>
      <c r="Q274" s="120"/>
      <c r="R274" s="120"/>
      <c r="S274" s="120"/>
      <c r="T274" s="120"/>
      <c r="U274" s="120"/>
      <c r="V274" s="120"/>
      <c r="W274" s="120"/>
      <c r="X274" s="120"/>
      <c r="Y274" s="120"/>
      <c r="Z274" s="120"/>
      <c r="AA274" s="120"/>
    </row>
    <row r="275">
      <c r="A275" s="120"/>
      <c r="B275" s="120"/>
      <c r="C275" s="120"/>
      <c r="D275" s="120"/>
      <c r="E275" s="120"/>
      <c r="F275" s="120"/>
      <c r="G275" s="120"/>
      <c r="H275" s="120"/>
      <c r="I275" s="120"/>
      <c r="J275" s="120"/>
      <c r="K275" s="120"/>
      <c r="L275" s="120"/>
      <c r="M275" s="120"/>
      <c r="N275" s="120"/>
      <c r="O275" s="120"/>
      <c r="P275" s="120"/>
      <c r="Q275" s="120"/>
      <c r="R275" s="120"/>
      <c r="S275" s="120"/>
      <c r="T275" s="120"/>
      <c r="U275" s="120"/>
      <c r="V275" s="120"/>
      <c r="W275" s="120"/>
      <c r="X275" s="120"/>
      <c r="Y275" s="120"/>
      <c r="Z275" s="120"/>
      <c r="AA275" s="120"/>
    </row>
    <row r="276">
      <c r="A276" s="120"/>
      <c r="B276" s="120"/>
      <c r="C276" s="120"/>
      <c r="D276" s="120"/>
      <c r="E276" s="120"/>
      <c r="F276" s="120"/>
      <c r="G276" s="120"/>
      <c r="H276" s="120"/>
      <c r="I276" s="120"/>
      <c r="J276" s="120"/>
      <c r="K276" s="120"/>
      <c r="L276" s="120"/>
      <c r="M276" s="120"/>
      <c r="N276" s="120"/>
      <c r="O276" s="120"/>
      <c r="P276" s="120"/>
      <c r="Q276" s="120"/>
      <c r="R276" s="120"/>
      <c r="S276" s="120"/>
      <c r="T276" s="120"/>
      <c r="U276" s="120"/>
      <c r="V276" s="120"/>
      <c r="W276" s="120"/>
      <c r="X276" s="120"/>
      <c r="Y276" s="120"/>
      <c r="Z276" s="120"/>
      <c r="AA276" s="120"/>
    </row>
    <row r="277">
      <c r="A277" s="120"/>
      <c r="B277" s="120"/>
      <c r="C277" s="120"/>
      <c r="D277" s="120"/>
      <c r="E277" s="120"/>
      <c r="F277" s="120"/>
      <c r="G277" s="120"/>
      <c r="H277" s="120"/>
      <c r="I277" s="120"/>
      <c r="J277" s="120"/>
      <c r="K277" s="120"/>
      <c r="L277" s="120"/>
      <c r="M277" s="120"/>
      <c r="N277" s="120"/>
      <c r="O277" s="120"/>
      <c r="P277" s="120"/>
      <c r="Q277" s="120"/>
      <c r="R277" s="120"/>
      <c r="S277" s="120"/>
      <c r="T277" s="120"/>
      <c r="U277" s="120"/>
      <c r="V277" s="120"/>
      <c r="W277" s="120"/>
      <c r="X277" s="120"/>
      <c r="Y277" s="120"/>
      <c r="Z277" s="120"/>
      <c r="AA277" s="120"/>
    </row>
    <row r="278">
      <c r="A278" s="120"/>
      <c r="B278" s="120"/>
      <c r="C278" s="120"/>
      <c r="D278" s="120"/>
      <c r="E278" s="120"/>
      <c r="F278" s="120"/>
      <c r="G278" s="120"/>
      <c r="H278" s="120"/>
      <c r="I278" s="120"/>
      <c r="J278" s="120"/>
      <c r="K278" s="120"/>
      <c r="L278" s="120"/>
      <c r="M278" s="120"/>
      <c r="N278" s="120"/>
      <c r="O278" s="120"/>
      <c r="P278" s="120"/>
      <c r="Q278" s="120"/>
      <c r="R278" s="120"/>
      <c r="S278" s="120"/>
      <c r="T278" s="120"/>
      <c r="U278" s="120"/>
      <c r="V278" s="120"/>
      <c r="W278" s="120"/>
      <c r="X278" s="120"/>
      <c r="Y278" s="120"/>
      <c r="Z278" s="120"/>
      <c r="AA278" s="120"/>
    </row>
    <row r="279">
      <c r="A279" s="120"/>
      <c r="B279" s="120"/>
      <c r="C279" s="120"/>
      <c r="D279" s="120"/>
      <c r="E279" s="120"/>
      <c r="F279" s="120"/>
      <c r="G279" s="120"/>
      <c r="H279" s="120"/>
      <c r="I279" s="120"/>
      <c r="J279" s="120"/>
      <c r="K279" s="120"/>
      <c r="L279" s="120"/>
      <c r="M279" s="120"/>
      <c r="N279" s="120"/>
      <c r="O279" s="120"/>
      <c r="P279" s="120"/>
      <c r="Q279" s="120"/>
      <c r="R279" s="120"/>
      <c r="S279" s="120"/>
      <c r="T279" s="120"/>
      <c r="U279" s="120"/>
      <c r="V279" s="120"/>
      <c r="W279" s="120"/>
      <c r="X279" s="120"/>
      <c r="Y279" s="120"/>
      <c r="Z279" s="120"/>
      <c r="AA279" s="120"/>
    </row>
    <row r="280">
      <c r="A280" s="120"/>
      <c r="B280" s="120"/>
      <c r="C280" s="120"/>
      <c r="D280" s="120"/>
      <c r="E280" s="120"/>
      <c r="F280" s="120"/>
      <c r="G280" s="120"/>
      <c r="H280" s="120"/>
      <c r="I280" s="120"/>
      <c r="J280" s="120"/>
      <c r="K280" s="120"/>
      <c r="L280" s="120"/>
      <c r="M280" s="120"/>
      <c r="N280" s="120"/>
      <c r="O280" s="120"/>
      <c r="P280" s="120"/>
      <c r="Q280" s="120"/>
      <c r="R280" s="120"/>
      <c r="S280" s="120"/>
      <c r="T280" s="120"/>
      <c r="U280" s="120"/>
      <c r="V280" s="120"/>
      <c r="W280" s="120"/>
      <c r="X280" s="120"/>
      <c r="Y280" s="120"/>
      <c r="Z280" s="120"/>
      <c r="AA280" s="120"/>
    </row>
    <row r="281">
      <c r="A281" s="120"/>
      <c r="B281" s="120"/>
      <c r="C281" s="120"/>
      <c r="D281" s="120"/>
      <c r="E281" s="120"/>
      <c r="F281" s="120"/>
      <c r="G281" s="120"/>
      <c r="H281" s="120"/>
      <c r="I281" s="120"/>
      <c r="J281" s="120"/>
      <c r="K281" s="120"/>
      <c r="L281" s="120"/>
      <c r="M281" s="120"/>
      <c r="N281" s="120"/>
      <c r="O281" s="120"/>
      <c r="P281" s="120"/>
      <c r="Q281" s="120"/>
      <c r="R281" s="120"/>
      <c r="S281" s="120"/>
      <c r="T281" s="120"/>
      <c r="U281" s="120"/>
      <c r="V281" s="120"/>
      <c r="W281" s="120"/>
      <c r="X281" s="120"/>
      <c r="Y281" s="120"/>
      <c r="Z281" s="120"/>
      <c r="AA281" s="120"/>
    </row>
    <row r="282">
      <c r="A282" s="120"/>
      <c r="B282" s="120"/>
      <c r="C282" s="120"/>
      <c r="D282" s="120"/>
      <c r="E282" s="120"/>
      <c r="F282" s="120"/>
      <c r="G282" s="120"/>
      <c r="H282" s="120"/>
      <c r="I282" s="120"/>
      <c r="J282" s="120"/>
      <c r="K282" s="120"/>
      <c r="L282" s="120"/>
      <c r="M282" s="120"/>
      <c r="N282" s="120"/>
      <c r="O282" s="120"/>
      <c r="P282" s="120"/>
      <c r="Q282" s="120"/>
      <c r="R282" s="120"/>
      <c r="S282" s="120"/>
      <c r="T282" s="120"/>
      <c r="U282" s="120"/>
      <c r="V282" s="120"/>
      <c r="W282" s="120"/>
      <c r="X282" s="120"/>
      <c r="Y282" s="120"/>
      <c r="Z282" s="120"/>
      <c r="AA282" s="120"/>
    </row>
    <row r="283">
      <c r="A283" s="120"/>
      <c r="B283" s="120"/>
      <c r="C283" s="120"/>
      <c r="D283" s="120"/>
      <c r="E283" s="120"/>
      <c r="F283" s="120"/>
      <c r="G283" s="120"/>
      <c r="H283" s="120"/>
      <c r="I283" s="120"/>
      <c r="J283" s="120"/>
      <c r="K283" s="120"/>
      <c r="L283" s="120"/>
      <c r="M283" s="120"/>
      <c r="N283" s="120"/>
      <c r="O283" s="120"/>
      <c r="P283" s="120"/>
      <c r="Q283" s="120"/>
      <c r="R283" s="120"/>
      <c r="S283" s="120"/>
      <c r="T283" s="120"/>
      <c r="U283" s="120"/>
      <c r="V283" s="120"/>
      <c r="W283" s="120"/>
      <c r="X283" s="120"/>
      <c r="Y283" s="120"/>
      <c r="Z283" s="120"/>
      <c r="AA283" s="120"/>
    </row>
    <row r="284">
      <c r="A284" s="120"/>
      <c r="B284" s="120"/>
      <c r="C284" s="120"/>
      <c r="D284" s="120"/>
      <c r="E284" s="120"/>
      <c r="F284" s="120"/>
      <c r="G284" s="120"/>
      <c r="H284" s="120"/>
      <c r="I284" s="120"/>
      <c r="J284" s="120"/>
      <c r="K284" s="120"/>
      <c r="L284" s="120"/>
      <c r="M284" s="120"/>
      <c r="N284" s="120"/>
      <c r="O284" s="120"/>
      <c r="P284" s="120"/>
      <c r="Q284" s="120"/>
      <c r="R284" s="120"/>
      <c r="S284" s="120"/>
      <c r="T284" s="120"/>
      <c r="U284" s="120"/>
      <c r="V284" s="120"/>
      <c r="W284" s="120"/>
      <c r="X284" s="120"/>
      <c r="Y284" s="120"/>
      <c r="Z284" s="120"/>
      <c r="AA284" s="120"/>
    </row>
    <row r="285">
      <c r="A285" s="120"/>
      <c r="B285" s="120"/>
      <c r="C285" s="120"/>
      <c r="D285" s="120"/>
      <c r="E285" s="120"/>
      <c r="F285" s="120"/>
      <c r="G285" s="120"/>
      <c r="H285" s="120"/>
      <c r="I285" s="120"/>
      <c r="J285" s="120"/>
      <c r="K285" s="120"/>
      <c r="L285" s="120"/>
      <c r="M285" s="120"/>
      <c r="N285" s="120"/>
      <c r="O285" s="120"/>
      <c r="P285" s="120"/>
      <c r="Q285" s="120"/>
      <c r="R285" s="120"/>
      <c r="S285" s="120"/>
      <c r="T285" s="120"/>
      <c r="U285" s="120"/>
      <c r="V285" s="120"/>
      <c r="W285" s="120"/>
      <c r="X285" s="120"/>
      <c r="Y285" s="120"/>
      <c r="Z285" s="120"/>
      <c r="AA285" s="120"/>
    </row>
    <row r="286">
      <c r="A286" s="120"/>
      <c r="B286" s="120"/>
      <c r="C286" s="120"/>
      <c r="D286" s="120"/>
      <c r="E286" s="120"/>
      <c r="F286" s="120"/>
      <c r="G286" s="120"/>
      <c r="H286" s="120"/>
      <c r="I286" s="120"/>
      <c r="J286" s="120"/>
      <c r="K286" s="120"/>
      <c r="L286" s="120"/>
      <c r="M286" s="120"/>
      <c r="N286" s="120"/>
      <c r="O286" s="120"/>
      <c r="P286" s="120"/>
      <c r="Q286" s="120"/>
      <c r="R286" s="120"/>
      <c r="S286" s="120"/>
      <c r="T286" s="120"/>
      <c r="U286" s="120"/>
      <c r="V286" s="120"/>
      <c r="W286" s="120"/>
      <c r="X286" s="120"/>
      <c r="Y286" s="120"/>
      <c r="Z286" s="120"/>
      <c r="AA286" s="120"/>
    </row>
    <row r="287">
      <c r="A287" s="120"/>
      <c r="B287" s="120"/>
      <c r="C287" s="120"/>
      <c r="D287" s="120"/>
      <c r="E287" s="120"/>
      <c r="F287" s="120"/>
      <c r="G287" s="120"/>
      <c r="H287" s="120"/>
      <c r="I287" s="120"/>
      <c r="J287" s="120"/>
      <c r="K287" s="120"/>
      <c r="L287" s="120"/>
      <c r="M287" s="120"/>
      <c r="N287" s="120"/>
      <c r="O287" s="120"/>
      <c r="P287" s="120"/>
      <c r="Q287" s="120"/>
      <c r="R287" s="120"/>
      <c r="S287" s="120"/>
      <c r="T287" s="120"/>
      <c r="U287" s="120"/>
      <c r="V287" s="120"/>
      <c r="W287" s="120"/>
      <c r="X287" s="120"/>
      <c r="Y287" s="120"/>
      <c r="Z287" s="120"/>
      <c r="AA287" s="120"/>
    </row>
    <row r="288">
      <c r="A288" s="120"/>
      <c r="B288" s="120"/>
      <c r="C288" s="120"/>
      <c r="D288" s="120"/>
      <c r="E288" s="120"/>
      <c r="F288" s="120"/>
      <c r="G288" s="120"/>
      <c r="H288" s="120"/>
      <c r="I288" s="120"/>
      <c r="J288" s="120"/>
      <c r="K288" s="120"/>
      <c r="L288" s="120"/>
      <c r="M288" s="120"/>
      <c r="N288" s="120"/>
      <c r="O288" s="120"/>
      <c r="P288" s="120"/>
      <c r="Q288" s="120"/>
      <c r="R288" s="120"/>
      <c r="S288" s="120"/>
      <c r="T288" s="120"/>
      <c r="U288" s="120"/>
      <c r="V288" s="120"/>
      <c r="W288" s="120"/>
      <c r="X288" s="120"/>
      <c r="Y288" s="120"/>
      <c r="Z288" s="120"/>
      <c r="AA288" s="120"/>
    </row>
    <row r="289">
      <c r="A289" s="120"/>
      <c r="B289" s="120"/>
      <c r="C289" s="120"/>
      <c r="D289" s="120"/>
      <c r="E289" s="120"/>
      <c r="F289" s="120"/>
      <c r="G289" s="120"/>
      <c r="H289" s="120"/>
      <c r="I289" s="120"/>
      <c r="J289" s="120"/>
      <c r="K289" s="120"/>
      <c r="L289" s="120"/>
      <c r="M289" s="120"/>
      <c r="N289" s="120"/>
      <c r="O289" s="120"/>
      <c r="P289" s="120"/>
      <c r="Q289" s="120"/>
      <c r="R289" s="120"/>
      <c r="S289" s="120"/>
      <c r="T289" s="120"/>
      <c r="U289" s="120"/>
      <c r="V289" s="120"/>
      <c r="W289" s="120"/>
      <c r="X289" s="120"/>
      <c r="Y289" s="120"/>
      <c r="Z289" s="120"/>
      <c r="AA289" s="120"/>
    </row>
    <row r="290">
      <c r="A290" s="120"/>
      <c r="B290" s="120"/>
      <c r="C290" s="120"/>
      <c r="D290" s="120"/>
      <c r="E290" s="120"/>
      <c r="F290" s="120"/>
      <c r="G290" s="120"/>
      <c r="H290" s="120"/>
      <c r="I290" s="120"/>
      <c r="J290" s="120"/>
      <c r="K290" s="120"/>
      <c r="L290" s="120"/>
      <c r="M290" s="120"/>
      <c r="N290" s="120"/>
      <c r="O290" s="120"/>
      <c r="P290" s="120"/>
      <c r="Q290" s="120"/>
      <c r="R290" s="120"/>
      <c r="S290" s="120"/>
      <c r="T290" s="120"/>
      <c r="U290" s="120"/>
      <c r="V290" s="120"/>
      <c r="W290" s="120"/>
      <c r="X290" s="120"/>
      <c r="Y290" s="120"/>
      <c r="Z290" s="120"/>
      <c r="AA290" s="120"/>
    </row>
    <row r="291">
      <c r="A291" s="120"/>
      <c r="B291" s="120"/>
      <c r="C291" s="120"/>
      <c r="D291" s="120"/>
      <c r="E291" s="120"/>
      <c r="F291" s="120"/>
      <c r="G291" s="120"/>
      <c r="H291" s="120"/>
      <c r="I291" s="120"/>
      <c r="J291" s="120"/>
      <c r="K291" s="120"/>
      <c r="L291" s="120"/>
      <c r="M291" s="120"/>
      <c r="N291" s="120"/>
      <c r="O291" s="120"/>
      <c r="P291" s="120"/>
      <c r="Q291" s="120"/>
      <c r="R291" s="120"/>
      <c r="S291" s="120"/>
      <c r="T291" s="120"/>
      <c r="U291" s="120"/>
      <c r="V291" s="120"/>
      <c r="W291" s="120"/>
      <c r="X291" s="120"/>
      <c r="Y291" s="120"/>
      <c r="Z291" s="120"/>
      <c r="AA291" s="120"/>
    </row>
    <row r="292">
      <c r="A292" s="120"/>
      <c r="B292" s="120"/>
      <c r="C292" s="120"/>
      <c r="D292" s="120"/>
      <c r="E292" s="120"/>
      <c r="F292" s="120"/>
      <c r="G292" s="120"/>
      <c r="H292" s="120"/>
      <c r="I292" s="120"/>
      <c r="J292" s="120"/>
      <c r="K292" s="120"/>
      <c r="L292" s="120"/>
      <c r="M292" s="120"/>
      <c r="N292" s="120"/>
      <c r="O292" s="120"/>
      <c r="P292" s="120"/>
      <c r="Q292" s="120"/>
      <c r="R292" s="120"/>
      <c r="S292" s="120"/>
      <c r="T292" s="120"/>
      <c r="U292" s="120"/>
      <c r="V292" s="120"/>
      <c r="W292" s="120"/>
      <c r="X292" s="120"/>
      <c r="Y292" s="120"/>
      <c r="Z292" s="120"/>
      <c r="AA292" s="120"/>
    </row>
    <row r="293">
      <c r="A293" s="120"/>
      <c r="B293" s="120"/>
      <c r="C293" s="120"/>
      <c r="D293" s="120"/>
      <c r="E293" s="120"/>
      <c r="F293" s="120"/>
      <c r="G293" s="120"/>
      <c r="H293" s="120"/>
      <c r="I293" s="120"/>
      <c r="J293" s="120"/>
      <c r="K293" s="120"/>
      <c r="L293" s="120"/>
      <c r="M293" s="120"/>
      <c r="N293" s="120"/>
      <c r="O293" s="120"/>
      <c r="P293" s="120"/>
      <c r="Q293" s="120"/>
      <c r="R293" s="120"/>
      <c r="S293" s="120"/>
      <c r="T293" s="120"/>
      <c r="U293" s="120"/>
      <c r="V293" s="120"/>
      <c r="W293" s="120"/>
      <c r="X293" s="120"/>
      <c r="Y293" s="120"/>
      <c r="Z293" s="120"/>
      <c r="AA293" s="120"/>
    </row>
    <row r="294">
      <c r="A294" s="120"/>
      <c r="B294" s="120"/>
      <c r="C294" s="120"/>
      <c r="D294" s="120"/>
      <c r="E294" s="120"/>
      <c r="F294" s="120"/>
      <c r="G294" s="120"/>
      <c r="H294" s="120"/>
      <c r="I294" s="120"/>
      <c r="J294" s="120"/>
      <c r="K294" s="120"/>
      <c r="L294" s="120"/>
      <c r="M294" s="120"/>
      <c r="N294" s="120"/>
      <c r="O294" s="120"/>
      <c r="P294" s="120"/>
      <c r="Q294" s="120"/>
      <c r="R294" s="120"/>
      <c r="S294" s="120"/>
      <c r="T294" s="120"/>
      <c r="U294" s="120"/>
      <c r="V294" s="120"/>
      <c r="W294" s="120"/>
      <c r="X294" s="120"/>
      <c r="Y294" s="120"/>
      <c r="Z294" s="120"/>
      <c r="AA294" s="120"/>
    </row>
    <row r="295">
      <c r="A295" s="120"/>
      <c r="B295" s="120"/>
      <c r="C295" s="120"/>
      <c r="D295" s="120"/>
      <c r="E295" s="120"/>
      <c r="F295" s="120"/>
      <c r="G295" s="120"/>
      <c r="H295" s="120"/>
      <c r="I295" s="120"/>
      <c r="J295" s="120"/>
      <c r="K295" s="120"/>
      <c r="L295" s="120"/>
      <c r="M295" s="120"/>
      <c r="N295" s="120"/>
      <c r="O295" s="120"/>
      <c r="P295" s="120"/>
      <c r="Q295" s="120"/>
      <c r="R295" s="120"/>
      <c r="S295" s="120"/>
      <c r="T295" s="120"/>
      <c r="U295" s="120"/>
      <c r="V295" s="120"/>
      <c r="W295" s="120"/>
      <c r="X295" s="120"/>
      <c r="Y295" s="120"/>
      <c r="Z295" s="120"/>
      <c r="AA295" s="120"/>
    </row>
    <row r="296">
      <c r="A296" s="120"/>
      <c r="B296" s="120"/>
      <c r="C296" s="120"/>
      <c r="D296" s="120"/>
      <c r="E296" s="120"/>
      <c r="F296" s="120"/>
      <c r="G296" s="120"/>
      <c r="H296" s="120"/>
      <c r="I296" s="120"/>
      <c r="J296" s="120"/>
      <c r="K296" s="120"/>
      <c r="L296" s="120"/>
      <c r="M296" s="120"/>
      <c r="N296" s="120"/>
      <c r="O296" s="120"/>
      <c r="P296" s="120"/>
      <c r="Q296" s="120"/>
      <c r="R296" s="120"/>
      <c r="S296" s="120"/>
      <c r="T296" s="120"/>
      <c r="U296" s="120"/>
      <c r="V296" s="120"/>
      <c r="W296" s="120"/>
      <c r="X296" s="120"/>
      <c r="Y296" s="120"/>
      <c r="Z296" s="120"/>
      <c r="AA296" s="120"/>
    </row>
    <row r="297">
      <c r="A297" s="120"/>
      <c r="B297" s="120"/>
      <c r="C297" s="120"/>
      <c r="D297" s="120"/>
      <c r="E297" s="120"/>
      <c r="F297" s="120"/>
      <c r="G297" s="120"/>
      <c r="H297" s="120"/>
      <c r="I297" s="120"/>
      <c r="J297" s="120"/>
      <c r="K297" s="120"/>
      <c r="L297" s="120"/>
      <c r="M297" s="120"/>
      <c r="N297" s="120"/>
      <c r="O297" s="120"/>
      <c r="P297" s="120"/>
      <c r="Q297" s="120"/>
      <c r="R297" s="120"/>
      <c r="S297" s="120"/>
      <c r="T297" s="120"/>
      <c r="U297" s="120"/>
      <c r="V297" s="120"/>
      <c r="W297" s="120"/>
      <c r="X297" s="120"/>
      <c r="Y297" s="120"/>
      <c r="Z297" s="120"/>
      <c r="AA297" s="120"/>
    </row>
    <row r="298">
      <c r="A298" s="120"/>
      <c r="B298" s="120"/>
      <c r="C298" s="120"/>
      <c r="D298" s="120"/>
      <c r="E298" s="120"/>
      <c r="F298" s="120"/>
      <c r="G298" s="120"/>
      <c r="H298" s="120"/>
      <c r="I298" s="120"/>
      <c r="J298" s="120"/>
      <c r="K298" s="120"/>
      <c r="L298" s="120"/>
      <c r="M298" s="120"/>
      <c r="N298" s="120"/>
      <c r="O298" s="120"/>
      <c r="P298" s="120"/>
      <c r="Q298" s="120"/>
      <c r="R298" s="120"/>
      <c r="S298" s="120"/>
      <c r="T298" s="120"/>
      <c r="U298" s="120"/>
      <c r="V298" s="120"/>
      <c r="W298" s="120"/>
      <c r="X298" s="120"/>
      <c r="Y298" s="120"/>
      <c r="Z298" s="120"/>
      <c r="AA298" s="120"/>
    </row>
    <row r="299">
      <c r="A299" s="120"/>
      <c r="B299" s="120"/>
      <c r="C299" s="120"/>
      <c r="D299" s="120"/>
      <c r="E299" s="120"/>
      <c r="F299" s="120"/>
      <c r="G299" s="120"/>
      <c r="H299" s="120"/>
      <c r="I299" s="120"/>
      <c r="J299" s="120"/>
      <c r="K299" s="120"/>
      <c r="L299" s="120"/>
      <c r="M299" s="120"/>
      <c r="N299" s="120"/>
      <c r="O299" s="120"/>
      <c r="P299" s="120"/>
      <c r="Q299" s="120"/>
      <c r="R299" s="120"/>
      <c r="S299" s="120"/>
      <c r="T299" s="120"/>
      <c r="U299" s="120"/>
      <c r="V299" s="120"/>
      <c r="W299" s="120"/>
      <c r="X299" s="120"/>
      <c r="Y299" s="120"/>
      <c r="Z299" s="120"/>
      <c r="AA299" s="120"/>
    </row>
    <row r="300">
      <c r="A300" s="120"/>
      <c r="B300" s="120"/>
      <c r="C300" s="120"/>
      <c r="D300" s="120"/>
      <c r="E300" s="120"/>
      <c r="F300" s="120"/>
      <c r="G300" s="120"/>
      <c r="H300" s="120"/>
      <c r="I300" s="120"/>
      <c r="J300" s="120"/>
      <c r="K300" s="120"/>
      <c r="L300" s="120"/>
      <c r="M300" s="120"/>
      <c r="N300" s="120"/>
      <c r="O300" s="120"/>
      <c r="P300" s="120"/>
      <c r="Q300" s="120"/>
      <c r="R300" s="120"/>
      <c r="S300" s="120"/>
      <c r="T300" s="120"/>
      <c r="U300" s="120"/>
      <c r="V300" s="120"/>
      <c r="W300" s="120"/>
      <c r="X300" s="120"/>
      <c r="Y300" s="120"/>
      <c r="Z300" s="120"/>
      <c r="AA300" s="120"/>
    </row>
    <row r="301">
      <c r="A301" s="120"/>
      <c r="B301" s="120"/>
      <c r="C301" s="120"/>
      <c r="D301" s="120"/>
      <c r="E301" s="120"/>
      <c r="F301" s="120"/>
      <c r="G301" s="120"/>
      <c r="H301" s="120"/>
      <c r="I301" s="120"/>
      <c r="J301" s="120"/>
      <c r="K301" s="120"/>
      <c r="L301" s="120"/>
      <c r="M301" s="120"/>
      <c r="N301" s="120"/>
      <c r="O301" s="120"/>
      <c r="P301" s="120"/>
      <c r="Q301" s="120"/>
      <c r="R301" s="120"/>
      <c r="S301" s="120"/>
      <c r="T301" s="120"/>
      <c r="U301" s="120"/>
      <c r="V301" s="120"/>
      <c r="W301" s="120"/>
      <c r="X301" s="120"/>
      <c r="Y301" s="120"/>
      <c r="Z301" s="120"/>
      <c r="AA301" s="120"/>
    </row>
    <row r="302">
      <c r="A302" s="120"/>
      <c r="B302" s="120"/>
      <c r="C302" s="120"/>
      <c r="D302" s="120"/>
      <c r="E302" s="120"/>
      <c r="F302" s="120"/>
      <c r="G302" s="120"/>
      <c r="H302" s="120"/>
      <c r="I302" s="120"/>
      <c r="J302" s="120"/>
      <c r="K302" s="120"/>
      <c r="L302" s="120"/>
      <c r="M302" s="120"/>
      <c r="N302" s="120"/>
      <c r="O302" s="120"/>
      <c r="P302" s="120"/>
      <c r="Q302" s="120"/>
      <c r="R302" s="120"/>
      <c r="S302" s="120"/>
      <c r="T302" s="120"/>
      <c r="U302" s="120"/>
      <c r="V302" s="120"/>
      <c r="W302" s="120"/>
      <c r="X302" s="120"/>
      <c r="Y302" s="120"/>
      <c r="Z302" s="120"/>
      <c r="AA302" s="120"/>
    </row>
    <row r="303">
      <c r="A303" s="120"/>
      <c r="B303" s="120"/>
      <c r="C303" s="120"/>
      <c r="D303" s="120"/>
      <c r="E303" s="120"/>
      <c r="F303" s="120"/>
      <c r="G303" s="120"/>
      <c r="H303" s="120"/>
      <c r="I303" s="120"/>
      <c r="J303" s="120"/>
      <c r="K303" s="120"/>
      <c r="L303" s="120"/>
      <c r="M303" s="120"/>
      <c r="N303" s="120"/>
      <c r="O303" s="120"/>
      <c r="P303" s="120"/>
      <c r="Q303" s="120"/>
      <c r="R303" s="120"/>
      <c r="S303" s="120"/>
      <c r="T303" s="120"/>
      <c r="U303" s="120"/>
      <c r="V303" s="120"/>
      <c r="W303" s="120"/>
      <c r="X303" s="120"/>
      <c r="Y303" s="120"/>
      <c r="Z303" s="120"/>
      <c r="AA303" s="120"/>
    </row>
    <row r="304">
      <c r="A304" s="120"/>
      <c r="B304" s="120"/>
      <c r="C304" s="120"/>
      <c r="D304" s="120"/>
      <c r="E304" s="120"/>
      <c r="F304" s="120"/>
      <c r="G304" s="120"/>
      <c r="H304" s="120"/>
      <c r="I304" s="120"/>
      <c r="J304" s="120"/>
      <c r="K304" s="120"/>
      <c r="L304" s="120"/>
      <c r="M304" s="120"/>
      <c r="N304" s="120"/>
      <c r="O304" s="120"/>
      <c r="P304" s="120"/>
      <c r="Q304" s="120"/>
      <c r="R304" s="120"/>
      <c r="S304" s="120"/>
      <c r="T304" s="120"/>
      <c r="U304" s="120"/>
      <c r="V304" s="120"/>
      <c r="W304" s="120"/>
      <c r="X304" s="120"/>
      <c r="Y304" s="120"/>
      <c r="Z304" s="120"/>
      <c r="AA304" s="120"/>
    </row>
    <row r="305">
      <c r="A305" s="120"/>
      <c r="B305" s="120"/>
      <c r="C305" s="120"/>
      <c r="D305" s="120"/>
      <c r="E305" s="120"/>
      <c r="F305" s="120"/>
      <c r="G305" s="120"/>
      <c r="H305" s="120"/>
      <c r="I305" s="120"/>
      <c r="J305" s="120"/>
      <c r="K305" s="120"/>
      <c r="L305" s="120"/>
      <c r="M305" s="120"/>
      <c r="N305" s="120"/>
      <c r="O305" s="120"/>
      <c r="P305" s="120"/>
      <c r="Q305" s="120"/>
      <c r="R305" s="120"/>
      <c r="S305" s="120"/>
      <c r="T305" s="120"/>
      <c r="U305" s="120"/>
      <c r="V305" s="120"/>
      <c r="W305" s="120"/>
      <c r="X305" s="120"/>
      <c r="Y305" s="120"/>
      <c r="Z305" s="120"/>
      <c r="AA305" s="120"/>
    </row>
    <row r="306">
      <c r="A306" s="120"/>
      <c r="B306" s="120"/>
      <c r="C306" s="120"/>
      <c r="D306" s="120"/>
      <c r="E306" s="120"/>
      <c r="F306" s="120"/>
      <c r="G306" s="120"/>
      <c r="H306" s="120"/>
      <c r="I306" s="120"/>
      <c r="J306" s="120"/>
      <c r="K306" s="120"/>
      <c r="L306" s="120"/>
      <c r="M306" s="120"/>
      <c r="N306" s="120"/>
      <c r="O306" s="120"/>
      <c r="P306" s="120"/>
      <c r="Q306" s="120"/>
      <c r="R306" s="120"/>
      <c r="S306" s="120"/>
      <c r="T306" s="120"/>
      <c r="U306" s="120"/>
      <c r="V306" s="120"/>
      <c r="W306" s="120"/>
      <c r="X306" s="120"/>
      <c r="Y306" s="120"/>
      <c r="Z306" s="120"/>
      <c r="AA306" s="120"/>
    </row>
    <row r="307">
      <c r="A307" s="120"/>
      <c r="B307" s="120"/>
      <c r="C307" s="120"/>
      <c r="D307" s="120"/>
      <c r="E307" s="120"/>
      <c r="F307" s="120"/>
      <c r="G307" s="120"/>
      <c r="H307" s="120"/>
      <c r="I307" s="120"/>
      <c r="J307" s="120"/>
      <c r="K307" s="120"/>
      <c r="L307" s="120"/>
      <c r="M307" s="120"/>
      <c r="N307" s="120"/>
      <c r="O307" s="120"/>
      <c r="P307" s="120"/>
      <c r="Q307" s="120"/>
      <c r="R307" s="120"/>
      <c r="S307" s="120"/>
      <c r="T307" s="120"/>
      <c r="U307" s="120"/>
      <c r="V307" s="120"/>
      <c r="W307" s="120"/>
      <c r="X307" s="120"/>
      <c r="Y307" s="120"/>
      <c r="Z307" s="120"/>
      <c r="AA307" s="120"/>
    </row>
    <row r="308">
      <c r="A308" s="120"/>
      <c r="B308" s="120"/>
      <c r="C308" s="120"/>
      <c r="D308" s="120"/>
      <c r="E308" s="120"/>
      <c r="F308" s="120"/>
      <c r="G308" s="120"/>
      <c r="H308" s="120"/>
      <c r="I308" s="120"/>
      <c r="J308" s="120"/>
      <c r="K308" s="120"/>
      <c r="L308" s="120"/>
      <c r="M308" s="120"/>
      <c r="N308" s="120"/>
      <c r="O308" s="120"/>
      <c r="P308" s="120"/>
      <c r="Q308" s="120"/>
      <c r="R308" s="120"/>
      <c r="S308" s="120"/>
      <c r="T308" s="120"/>
      <c r="U308" s="120"/>
      <c r="V308" s="120"/>
      <c r="W308" s="120"/>
      <c r="X308" s="120"/>
      <c r="Y308" s="120"/>
      <c r="Z308" s="120"/>
      <c r="AA308" s="120"/>
    </row>
    <row r="309">
      <c r="A309" s="120"/>
      <c r="B309" s="120"/>
      <c r="C309" s="120"/>
      <c r="D309" s="120"/>
      <c r="E309" s="120"/>
      <c r="F309" s="120"/>
      <c r="G309" s="120"/>
      <c r="H309" s="120"/>
      <c r="I309" s="120"/>
      <c r="J309" s="120"/>
      <c r="K309" s="120"/>
      <c r="L309" s="120"/>
      <c r="M309" s="120"/>
      <c r="N309" s="120"/>
      <c r="O309" s="120"/>
      <c r="P309" s="120"/>
      <c r="Q309" s="120"/>
      <c r="R309" s="120"/>
      <c r="S309" s="120"/>
      <c r="T309" s="120"/>
      <c r="U309" s="120"/>
      <c r="V309" s="120"/>
      <c r="W309" s="120"/>
      <c r="X309" s="120"/>
      <c r="Y309" s="120"/>
      <c r="Z309" s="120"/>
      <c r="AA309" s="120"/>
    </row>
    <row r="310">
      <c r="A310" s="120"/>
      <c r="B310" s="120"/>
      <c r="C310" s="120"/>
      <c r="D310" s="120"/>
      <c r="E310" s="120"/>
      <c r="F310" s="120"/>
      <c r="G310" s="120"/>
      <c r="H310" s="120"/>
      <c r="I310" s="120"/>
      <c r="J310" s="120"/>
      <c r="K310" s="120"/>
      <c r="L310" s="120"/>
      <c r="M310" s="120"/>
      <c r="N310" s="120"/>
      <c r="O310" s="120"/>
      <c r="P310" s="120"/>
      <c r="Q310" s="120"/>
      <c r="R310" s="120"/>
      <c r="S310" s="120"/>
      <c r="T310" s="120"/>
      <c r="U310" s="120"/>
      <c r="V310" s="120"/>
      <c r="W310" s="120"/>
      <c r="X310" s="120"/>
      <c r="Y310" s="120"/>
      <c r="Z310" s="120"/>
      <c r="AA310" s="120"/>
    </row>
    <row r="311">
      <c r="A311" s="120"/>
      <c r="B311" s="120"/>
      <c r="C311" s="120"/>
      <c r="D311" s="120"/>
      <c r="E311" s="120"/>
      <c r="F311" s="120"/>
      <c r="G311" s="120"/>
      <c r="H311" s="120"/>
      <c r="I311" s="120"/>
      <c r="J311" s="120"/>
      <c r="K311" s="120"/>
      <c r="L311" s="120"/>
      <c r="M311" s="120"/>
      <c r="N311" s="120"/>
      <c r="O311" s="120"/>
      <c r="P311" s="120"/>
      <c r="Q311" s="120"/>
      <c r="R311" s="120"/>
      <c r="S311" s="120"/>
      <c r="T311" s="120"/>
      <c r="U311" s="120"/>
      <c r="V311" s="120"/>
      <c r="W311" s="120"/>
      <c r="X311" s="120"/>
      <c r="Y311" s="120"/>
      <c r="Z311" s="120"/>
      <c r="AA311" s="120"/>
    </row>
    <row r="312">
      <c r="A312" s="120"/>
      <c r="B312" s="120"/>
      <c r="C312" s="120"/>
      <c r="D312" s="120"/>
      <c r="E312" s="120"/>
      <c r="F312" s="120"/>
      <c r="G312" s="120"/>
      <c r="H312" s="120"/>
      <c r="I312" s="120"/>
      <c r="J312" s="120"/>
      <c r="K312" s="120"/>
      <c r="L312" s="120"/>
      <c r="M312" s="120"/>
      <c r="N312" s="120"/>
      <c r="O312" s="120"/>
      <c r="P312" s="120"/>
      <c r="Q312" s="120"/>
      <c r="R312" s="120"/>
      <c r="S312" s="120"/>
      <c r="T312" s="120"/>
      <c r="U312" s="120"/>
      <c r="V312" s="120"/>
      <c r="W312" s="120"/>
      <c r="X312" s="120"/>
      <c r="Y312" s="120"/>
      <c r="Z312" s="120"/>
      <c r="AA312" s="120"/>
    </row>
    <row r="313">
      <c r="A313" s="120"/>
      <c r="B313" s="120"/>
      <c r="C313" s="120"/>
      <c r="D313" s="120"/>
      <c r="E313" s="120"/>
      <c r="F313" s="120"/>
      <c r="G313" s="120"/>
      <c r="H313" s="120"/>
      <c r="I313" s="120"/>
      <c r="J313" s="120"/>
      <c r="K313" s="120"/>
      <c r="L313" s="120"/>
      <c r="M313" s="120"/>
      <c r="N313" s="120"/>
      <c r="O313" s="120"/>
      <c r="P313" s="120"/>
      <c r="Q313" s="120"/>
      <c r="R313" s="120"/>
      <c r="S313" s="120"/>
      <c r="T313" s="120"/>
      <c r="U313" s="120"/>
      <c r="V313" s="120"/>
      <c r="W313" s="120"/>
      <c r="X313" s="120"/>
      <c r="Y313" s="120"/>
      <c r="Z313" s="120"/>
      <c r="AA313" s="120"/>
    </row>
    <row r="314">
      <c r="A314" s="120"/>
      <c r="B314" s="120"/>
      <c r="C314" s="120"/>
      <c r="D314" s="120"/>
      <c r="E314" s="120"/>
      <c r="F314" s="120"/>
      <c r="G314" s="120"/>
      <c r="H314" s="120"/>
      <c r="I314" s="120"/>
      <c r="J314" s="120"/>
      <c r="K314" s="120"/>
      <c r="L314" s="120"/>
      <c r="M314" s="120"/>
      <c r="N314" s="120"/>
      <c r="O314" s="120"/>
      <c r="P314" s="120"/>
      <c r="Q314" s="120"/>
      <c r="R314" s="120"/>
      <c r="S314" s="120"/>
      <c r="T314" s="120"/>
      <c r="U314" s="120"/>
      <c r="V314" s="120"/>
      <c r="W314" s="120"/>
      <c r="X314" s="120"/>
      <c r="Y314" s="120"/>
      <c r="Z314" s="120"/>
      <c r="AA314" s="120"/>
    </row>
    <row r="315">
      <c r="A315" s="120"/>
      <c r="B315" s="120"/>
      <c r="C315" s="120"/>
      <c r="D315" s="120"/>
      <c r="E315" s="120"/>
      <c r="F315" s="120"/>
      <c r="G315" s="120"/>
      <c r="H315" s="120"/>
      <c r="I315" s="120"/>
      <c r="J315" s="120"/>
      <c r="K315" s="120"/>
      <c r="L315" s="120"/>
      <c r="M315" s="120"/>
      <c r="N315" s="120"/>
      <c r="O315" s="120"/>
      <c r="P315" s="120"/>
      <c r="Q315" s="120"/>
      <c r="R315" s="120"/>
      <c r="S315" s="120"/>
      <c r="T315" s="120"/>
      <c r="U315" s="120"/>
      <c r="V315" s="120"/>
      <c r="W315" s="120"/>
      <c r="X315" s="120"/>
      <c r="Y315" s="120"/>
      <c r="Z315" s="120"/>
      <c r="AA315" s="120"/>
    </row>
    <row r="316">
      <c r="A316" s="120"/>
      <c r="B316" s="120"/>
      <c r="C316" s="120"/>
      <c r="D316" s="120"/>
      <c r="E316" s="120"/>
      <c r="F316" s="120"/>
      <c r="G316" s="120"/>
      <c r="H316" s="120"/>
      <c r="I316" s="120"/>
      <c r="J316" s="120"/>
      <c r="K316" s="120"/>
      <c r="L316" s="120"/>
      <c r="M316" s="120"/>
      <c r="N316" s="120"/>
      <c r="O316" s="120"/>
      <c r="P316" s="120"/>
      <c r="Q316" s="120"/>
      <c r="R316" s="120"/>
      <c r="S316" s="120"/>
      <c r="T316" s="120"/>
      <c r="U316" s="120"/>
      <c r="V316" s="120"/>
      <c r="W316" s="120"/>
      <c r="X316" s="120"/>
      <c r="Y316" s="120"/>
      <c r="Z316" s="120"/>
      <c r="AA316" s="120"/>
    </row>
    <row r="317">
      <c r="A317" s="120"/>
      <c r="B317" s="120"/>
      <c r="C317" s="120"/>
      <c r="D317" s="120"/>
      <c r="E317" s="120"/>
      <c r="F317" s="120"/>
      <c r="G317" s="120"/>
      <c r="H317" s="120"/>
      <c r="I317" s="120"/>
      <c r="J317" s="120"/>
      <c r="K317" s="120"/>
      <c r="L317" s="120"/>
      <c r="M317" s="120"/>
      <c r="N317" s="120"/>
      <c r="O317" s="120"/>
      <c r="P317" s="120"/>
      <c r="Q317" s="120"/>
      <c r="R317" s="120"/>
      <c r="S317" s="120"/>
      <c r="T317" s="120"/>
      <c r="U317" s="120"/>
      <c r="V317" s="120"/>
      <c r="W317" s="120"/>
      <c r="X317" s="120"/>
      <c r="Y317" s="120"/>
      <c r="Z317" s="120"/>
      <c r="AA317" s="120"/>
    </row>
    <row r="318">
      <c r="A318" s="120"/>
      <c r="B318" s="120"/>
      <c r="C318" s="120"/>
      <c r="D318" s="120"/>
      <c r="E318" s="120"/>
      <c r="F318" s="120"/>
      <c r="G318" s="120"/>
      <c r="H318" s="120"/>
      <c r="I318" s="120"/>
      <c r="J318" s="120"/>
      <c r="K318" s="120"/>
      <c r="L318" s="120"/>
      <c r="M318" s="120"/>
      <c r="N318" s="120"/>
      <c r="O318" s="120"/>
      <c r="P318" s="120"/>
      <c r="Q318" s="120"/>
      <c r="R318" s="120"/>
      <c r="S318" s="120"/>
      <c r="T318" s="120"/>
      <c r="U318" s="120"/>
      <c r="V318" s="120"/>
      <c r="W318" s="120"/>
      <c r="X318" s="120"/>
      <c r="Y318" s="120"/>
      <c r="Z318" s="120"/>
      <c r="AA318" s="120"/>
    </row>
    <row r="319">
      <c r="A319" s="120"/>
      <c r="B319" s="120"/>
      <c r="C319" s="120"/>
      <c r="D319" s="120"/>
      <c r="E319" s="120"/>
      <c r="F319" s="120"/>
      <c r="G319" s="120"/>
      <c r="H319" s="120"/>
      <c r="I319" s="120"/>
      <c r="J319" s="120"/>
      <c r="K319" s="120"/>
      <c r="L319" s="120"/>
      <c r="M319" s="120"/>
      <c r="N319" s="120"/>
      <c r="O319" s="120"/>
      <c r="P319" s="120"/>
      <c r="Q319" s="120"/>
      <c r="R319" s="120"/>
      <c r="S319" s="120"/>
      <c r="T319" s="120"/>
      <c r="U319" s="120"/>
      <c r="V319" s="120"/>
      <c r="W319" s="120"/>
      <c r="X319" s="120"/>
      <c r="Y319" s="120"/>
      <c r="Z319" s="120"/>
      <c r="AA319" s="120"/>
    </row>
    <row r="320">
      <c r="A320" s="120"/>
      <c r="B320" s="120"/>
      <c r="C320" s="120"/>
      <c r="D320" s="120"/>
      <c r="E320" s="120"/>
      <c r="F320" s="120"/>
      <c r="G320" s="120"/>
      <c r="H320" s="120"/>
      <c r="I320" s="120"/>
      <c r="J320" s="120"/>
      <c r="K320" s="120"/>
      <c r="L320" s="120"/>
      <c r="M320" s="120"/>
      <c r="N320" s="120"/>
      <c r="O320" s="120"/>
      <c r="P320" s="120"/>
      <c r="Q320" s="120"/>
      <c r="R320" s="120"/>
      <c r="S320" s="120"/>
      <c r="T320" s="120"/>
      <c r="U320" s="120"/>
      <c r="V320" s="120"/>
      <c r="W320" s="120"/>
      <c r="X320" s="120"/>
      <c r="Y320" s="120"/>
      <c r="Z320" s="120"/>
      <c r="AA320" s="120"/>
    </row>
    <row r="321">
      <c r="A321" s="120"/>
      <c r="B321" s="120"/>
      <c r="C321" s="120"/>
      <c r="D321" s="120"/>
      <c r="E321" s="120"/>
      <c r="F321" s="120"/>
      <c r="G321" s="120"/>
      <c r="H321" s="120"/>
      <c r="I321" s="120"/>
      <c r="J321" s="120"/>
      <c r="K321" s="120"/>
      <c r="L321" s="120"/>
      <c r="M321" s="120"/>
      <c r="N321" s="120"/>
      <c r="O321" s="120"/>
      <c r="P321" s="120"/>
      <c r="Q321" s="120"/>
      <c r="R321" s="120"/>
      <c r="S321" s="120"/>
      <c r="T321" s="120"/>
      <c r="U321" s="120"/>
      <c r="V321" s="120"/>
      <c r="W321" s="120"/>
      <c r="X321" s="120"/>
      <c r="Y321" s="120"/>
      <c r="Z321" s="120"/>
      <c r="AA321" s="120"/>
    </row>
    <row r="322">
      <c r="A322" s="120"/>
      <c r="B322" s="120"/>
      <c r="C322" s="120"/>
      <c r="D322" s="120"/>
      <c r="E322" s="120"/>
      <c r="F322" s="120"/>
      <c r="G322" s="120"/>
      <c r="H322" s="120"/>
      <c r="I322" s="120"/>
      <c r="J322" s="120"/>
      <c r="K322" s="120"/>
      <c r="L322" s="120"/>
      <c r="M322" s="120"/>
      <c r="N322" s="120"/>
      <c r="O322" s="120"/>
      <c r="P322" s="120"/>
      <c r="Q322" s="120"/>
      <c r="R322" s="120"/>
      <c r="S322" s="120"/>
      <c r="T322" s="120"/>
      <c r="U322" s="120"/>
      <c r="V322" s="120"/>
      <c r="W322" s="120"/>
      <c r="X322" s="120"/>
      <c r="Y322" s="120"/>
      <c r="Z322" s="120"/>
      <c r="AA322" s="120"/>
    </row>
    <row r="323">
      <c r="A323" s="120"/>
      <c r="B323" s="120"/>
      <c r="C323" s="120"/>
      <c r="D323" s="120"/>
      <c r="E323" s="120"/>
      <c r="F323" s="120"/>
      <c r="G323" s="120"/>
      <c r="H323" s="120"/>
      <c r="I323" s="120"/>
      <c r="J323" s="120"/>
      <c r="K323" s="120"/>
      <c r="L323" s="120"/>
      <c r="M323" s="120"/>
      <c r="N323" s="120"/>
      <c r="O323" s="120"/>
      <c r="P323" s="120"/>
      <c r="Q323" s="120"/>
      <c r="R323" s="120"/>
      <c r="S323" s="120"/>
      <c r="T323" s="120"/>
      <c r="U323" s="120"/>
      <c r="V323" s="120"/>
      <c r="W323" s="120"/>
      <c r="X323" s="120"/>
      <c r="Y323" s="120"/>
      <c r="Z323" s="120"/>
      <c r="AA323" s="120"/>
    </row>
    <row r="324">
      <c r="A324" s="120"/>
      <c r="B324" s="120"/>
      <c r="C324" s="120"/>
      <c r="D324" s="120"/>
      <c r="E324" s="120"/>
      <c r="F324" s="120"/>
      <c r="G324" s="120"/>
      <c r="H324" s="120"/>
      <c r="I324" s="120"/>
      <c r="J324" s="120"/>
      <c r="K324" s="120"/>
      <c r="L324" s="120"/>
      <c r="M324" s="120"/>
      <c r="N324" s="120"/>
      <c r="O324" s="120"/>
      <c r="P324" s="120"/>
      <c r="Q324" s="120"/>
      <c r="R324" s="120"/>
      <c r="S324" s="120"/>
      <c r="T324" s="120"/>
      <c r="U324" s="120"/>
      <c r="V324" s="120"/>
      <c r="W324" s="120"/>
      <c r="X324" s="120"/>
      <c r="Y324" s="120"/>
      <c r="Z324" s="120"/>
      <c r="AA324" s="120"/>
    </row>
    <row r="325">
      <c r="A325" s="120"/>
      <c r="B325" s="120"/>
      <c r="C325" s="120"/>
      <c r="D325" s="120"/>
      <c r="E325" s="120"/>
      <c r="F325" s="120"/>
      <c r="G325" s="120"/>
      <c r="H325" s="120"/>
      <c r="I325" s="120"/>
      <c r="J325" s="120"/>
      <c r="K325" s="120"/>
      <c r="L325" s="120"/>
      <c r="M325" s="120"/>
      <c r="N325" s="120"/>
      <c r="O325" s="120"/>
      <c r="P325" s="120"/>
      <c r="Q325" s="120"/>
      <c r="R325" s="120"/>
      <c r="S325" s="120"/>
      <c r="T325" s="120"/>
      <c r="U325" s="120"/>
      <c r="V325" s="120"/>
      <c r="W325" s="120"/>
      <c r="X325" s="120"/>
      <c r="Y325" s="120"/>
      <c r="Z325" s="120"/>
      <c r="AA325" s="120"/>
    </row>
    <row r="326">
      <c r="A326" s="120"/>
      <c r="B326" s="120"/>
      <c r="C326" s="120"/>
      <c r="D326" s="120"/>
      <c r="E326" s="120"/>
      <c r="F326" s="120"/>
      <c r="G326" s="120"/>
      <c r="H326" s="120"/>
      <c r="I326" s="120"/>
      <c r="J326" s="120"/>
      <c r="K326" s="120"/>
      <c r="L326" s="120"/>
      <c r="M326" s="120"/>
      <c r="N326" s="120"/>
      <c r="O326" s="120"/>
      <c r="P326" s="120"/>
      <c r="Q326" s="120"/>
      <c r="R326" s="120"/>
      <c r="S326" s="120"/>
      <c r="T326" s="120"/>
      <c r="U326" s="120"/>
      <c r="V326" s="120"/>
      <c r="W326" s="120"/>
      <c r="X326" s="120"/>
      <c r="Y326" s="120"/>
      <c r="Z326" s="120"/>
      <c r="AA326" s="120"/>
    </row>
    <row r="327">
      <c r="A327" s="120"/>
      <c r="B327" s="120"/>
      <c r="C327" s="120"/>
      <c r="D327" s="120"/>
      <c r="E327" s="120"/>
      <c r="F327" s="120"/>
      <c r="G327" s="120"/>
      <c r="H327" s="120"/>
      <c r="I327" s="120"/>
      <c r="J327" s="120"/>
      <c r="K327" s="120"/>
      <c r="L327" s="120"/>
      <c r="M327" s="120"/>
      <c r="N327" s="120"/>
      <c r="O327" s="120"/>
      <c r="P327" s="120"/>
      <c r="Q327" s="120"/>
      <c r="R327" s="120"/>
      <c r="S327" s="120"/>
      <c r="T327" s="120"/>
      <c r="U327" s="120"/>
      <c r="V327" s="120"/>
      <c r="W327" s="120"/>
      <c r="X327" s="120"/>
      <c r="Y327" s="120"/>
      <c r="Z327" s="120"/>
      <c r="AA327" s="120"/>
    </row>
    <row r="328">
      <c r="A328" s="120"/>
      <c r="B328" s="120"/>
      <c r="C328" s="120"/>
      <c r="D328" s="120"/>
      <c r="E328" s="120"/>
      <c r="F328" s="120"/>
      <c r="G328" s="120"/>
      <c r="H328" s="120"/>
      <c r="I328" s="120"/>
      <c r="J328" s="120"/>
      <c r="K328" s="120"/>
      <c r="L328" s="120"/>
      <c r="M328" s="120"/>
      <c r="N328" s="120"/>
      <c r="O328" s="120"/>
      <c r="P328" s="120"/>
      <c r="Q328" s="120"/>
      <c r="R328" s="120"/>
      <c r="S328" s="120"/>
      <c r="T328" s="120"/>
      <c r="U328" s="120"/>
      <c r="V328" s="120"/>
      <c r="W328" s="120"/>
      <c r="X328" s="120"/>
      <c r="Y328" s="120"/>
      <c r="Z328" s="120"/>
      <c r="AA328" s="120"/>
    </row>
    <row r="329">
      <c r="A329" s="120"/>
      <c r="B329" s="120"/>
      <c r="C329" s="120"/>
      <c r="D329" s="120"/>
      <c r="E329" s="120"/>
      <c r="F329" s="120"/>
      <c r="G329" s="120"/>
      <c r="H329" s="120"/>
      <c r="I329" s="120"/>
      <c r="J329" s="120"/>
      <c r="K329" s="120"/>
      <c r="L329" s="120"/>
      <c r="M329" s="120"/>
      <c r="N329" s="120"/>
      <c r="O329" s="120"/>
      <c r="P329" s="120"/>
      <c r="Q329" s="120"/>
      <c r="R329" s="120"/>
      <c r="S329" s="120"/>
      <c r="T329" s="120"/>
      <c r="U329" s="120"/>
      <c r="V329" s="120"/>
      <c r="W329" s="120"/>
      <c r="X329" s="120"/>
      <c r="Y329" s="120"/>
      <c r="Z329" s="120"/>
      <c r="AA329" s="120"/>
    </row>
    <row r="330">
      <c r="A330" s="120"/>
      <c r="B330" s="120"/>
      <c r="C330" s="120"/>
      <c r="D330" s="120"/>
      <c r="E330" s="120"/>
      <c r="F330" s="120"/>
      <c r="G330" s="120"/>
      <c r="H330" s="120"/>
      <c r="I330" s="120"/>
      <c r="J330" s="120"/>
      <c r="K330" s="120"/>
      <c r="L330" s="120"/>
      <c r="M330" s="120"/>
      <c r="N330" s="120"/>
      <c r="O330" s="120"/>
      <c r="P330" s="120"/>
      <c r="Q330" s="120"/>
      <c r="R330" s="120"/>
      <c r="S330" s="120"/>
      <c r="T330" s="120"/>
      <c r="U330" s="120"/>
      <c r="V330" s="120"/>
      <c r="W330" s="120"/>
      <c r="X330" s="120"/>
      <c r="Y330" s="120"/>
      <c r="Z330" s="120"/>
      <c r="AA330" s="120"/>
    </row>
    <row r="331">
      <c r="A331" s="120"/>
      <c r="B331" s="120"/>
      <c r="C331" s="120"/>
      <c r="D331" s="120"/>
      <c r="E331" s="120"/>
      <c r="F331" s="120"/>
      <c r="G331" s="120"/>
      <c r="H331" s="120"/>
      <c r="I331" s="120"/>
      <c r="J331" s="120"/>
      <c r="K331" s="120"/>
      <c r="L331" s="120"/>
      <c r="M331" s="120"/>
      <c r="N331" s="120"/>
      <c r="O331" s="120"/>
      <c r="P331" s="120"/>
      <c r="Q331" s="120"/>
      <c r="R331" s="120"/>
      <c r="S331" s="120"/>
      <c r="T331" s="120"/>
      <c r="U331" s="120"/>
      <c r="V331" s="120"/>
      <c r="W331" s="120"/>
      <c r="X331" s="120"/>
      <c r="Y331" s="120"/>
      <c r="Z331" s="120"/>
      <c r="AA331" s="120"/>
    </row>
    <row r="332">
      <c r="A332" s="120"/>
      <c r="B332" s="120"/>
      <c r="C332" s="120"/>
      <c r="D332" s="120"/>
      <c r="E332" s="120"/>
      <c r="F332" s="120"/>
      <c r="G332" s="120"/>
      <c r="H332" s="120"/>
      <c r="I332" s="120"/>
      <c r="J332" s="120"/>
      <c r="K332" s="120"/>
      <c r="L332" s="120"/>
      <c r="M332" s="120"/>
      <c r="N332" s="120"/>
      <c r="O332" s="120"/>
      <c r="P332" s="120"/>
      <c r="Q332" s="120"/>
      <c r="R332" s="120"/>
      <c r="S332" s="120"/>
      <c r="T332" s="120"/>
      <c r="U332" s="120"/>
      <c r="V332" s="120"/>
      <c r="W332" s="120"/>
      <c r="X332" s="120"/>
      <c r="Y332" s="120"/>
      <c r="Z332" s="120"/>
      <c r="AA332" s="120"/>
    </row>
    <row r="333">
      <c r="A333" s="120"/>
      <c r="B333" s="120"/>
      <c r="C333" s="120"/>
      <c r="D333" s="120"/>
      <c r="E333" s="120"/>
      <c r="F333" s="120"/>
      <c r="G333" s="120"/>
      <c r="H333" s="120"/>
      <c r="I333" s="120"/>
      <c r="J333" s="120"/>
      <c r="K333" s="120"/>
      <c r="L333" s="120"/>
      <c r="M333" s="120"/>
      <c r="N333" s="120"/>
      <c r="O333" s="120"/>
      <c r="P333" s="120"/>
      <c r="Q333" s="120"/>
      <c r="R333" s="120"/>
      <c r="S333" s="120"/>
      <c r="T333" s="120"/>
      <c r="U333" s="120"/>
      <c r="V333" s="120"/>
      <c r="W333" s="120"/>
      <c r="X333" s="120"/>
      <c r="Y333" s="120"/>
      <c r="Z333" s="120"/>
      <c r="AA333" s="120"/>
    </row>
    <row r="334">
      <c r="A334" s="120"/>
      <c r="B334" s="120"/>
      <c r="C334" s="120"/>
      <c r="D334" s="120"/>
      <c r="E334" s="120"/>
      <c r="F334" s="120"/>
      <c r="G334" s="120"/>
      <c r="H334" s="120"/>
      <c r="I334" s="120"/>
      <c r="J334" s="120"/>
      <c r="K334" s="120"/>
      <c r="L334" s="120"/>
      <c r="M334" s="120"/>
      <c r="N334" s="120"/>
      <c r="O334" s="120"/>
      <c r="P334" s="120"/>
      <c r="Q334" s="120"/>
      <c r="R334" s="120"/>
      <c r="S334" s="120"/>
      <c r="T334" s="120"/>
      <c r="U334" s="120"/>
      <c r="V334" s="120"/>
      <c r="W334" s="120"/>
      <c r="X334" s="120"/>
      <c r="Y334" s="120"/>
      <c r="Z334" s="120"/>
      <c r="AA334" s="120"/>
    </row>
    <row r="335">
      <c r="A335" s="120"/>
      <c r="B335" s="120"/>
      <c r="C335" s="120"/>
      <c r="D335" s="120"/>
      <c r="E335" s="120"/>
      <c r="F335" s="120"/>
      <c r="G335" s="120"/>
      <c r="H335" s="120"/>
      <c r="I335" s="120"/>
      <c r="J335" s="120"/>
      <c r="K335" s="120"/>
      <c r="L335" s="120"/>
      <c r="M335" s="120"/>
      <c r="N335" s="120"/>
      <c r="O335" s="120"/>
      <c r="P335" s="120"/>
      <c r="Q335" s="120"/>
      <c r="R335" s="120"/>
      <c r="S335" s="120"/>
      <c r="T335" s="120"/>
      <c r="U335" s="120"/>
      <c r="V335" s="120"/>
      <c r="W335" s="120"/>
      <c r="X335" s="120"/>
      <c r="Y335" s="120"/>
      <c r="Z335" s="120"/>
      <c r="AA335" s="120"/>
    </row>
    <row r="336">
      <c r="A336" s="120"/>
      <c r="B336" s="120"/>
      <c r="C336" s="120"/>
      <c r="D336" s="120"/>
      <c r="E336" s="120"/>
      <c r="F336" s="120"/>
      <c r="G336" s="120"/>
      <c r="H336" s="120"/>
      <c r="I336" s="120"/>
      <c r="J336" s="120"/>
      <c r="K336" s="120"/>
      <c r="L336" s="120"/>
      <c r="M336" s="120"/>
      <c r="N336" s="120"/>
      <c r="O336" s="120"/>
      <c r="P336" s="120"/>
      <c r="Q336" s="120"/>
      <c r="R336" s="120"/>
      <c r="S336" s="120"/>
      <c r="T336" s="120"/>
      <c r="U336" s="120"/>
      <c r="V336" s="120"/>
      <c r="W336" s="120"/>
      <c r="X336" s="120"/>
      <c r="Y336" s="120"/>
      <c r="Z336" s="120"/>
      <c r="AA336" s="120"/>
    </row>
    <row r="337">
      <c r="A337" s="120"/>
      <c r="B337" s="120"/>
      <c r="C337" s="120"/>
      <c r="D337" s="120"/>
      <c r="E337" s="120"/>
      <c r="F337" s="120"/>
      <c r="G337" s="120"/>
      <c r="H337" s="120"/>
      <c r="I337" s="120"/>
      <c r="J337" s="120"/>
      <c r="K337" s="120"/>
      <c r="L337" s="120"/>
      <c r="M337" s="120"/>
      <c r="N337" s="120"/>
      <c r="O337" s="120"/>
      <c r="P337" s="120"/>
      <c r="Q337" s="120"/>
      <c r="R337" s="120"/>
      <c r="S337" s="120"/>
      <c r="T337" s="120"/>
      <c r="U337" s="120"/>
      <c r="V337" s="120"/>
      <c r="W337" s="120"/>
      <c r="X337" s="120"/>
      <c r="Y337" s="120"/>
      <c r="Z337" s="120"/>
      <c r="AA337" s="120"/>
    </row>
    <row r="338">
      <c r="A338" s="120"/>
      <c r="B338" s="120"/>
      <c r="C338" s="120"/>
      <c r="D338" s="120"/>
      <c r="E338" s="120"/>
      <c r="F338" s="120"/>
      <c r="G338" s="120"/>
      <c r="H338" s="120"/>
      <c r="I338" s="120"/>
      <c r="J338" s="120"/>
      <c r="K338" s="120"/>
      <c r="L338" s="120"/>
      <c r="M338" s="120"/>
      <c r="N338" s="120"/>
      <c r="O338" s="120"/>
      <c r="P338" s="120"/>
      <c r="Q338" s="120"/>
      <c r="R338" s="120"/>
      <c r="S338" s="120"/>
      <c r="T338" s="120"/>
      <c r="U338" s="120"/>
      <c r="V338" s="120"/>
      <c r="W338" s="120"/>
      <c r="X338" s="120"/>
      <c r="Y338" s="120"/>
      <c r="Z338" s="120"/>
      <c r="AA338" s="120"/>
    </row>
    <row r="339">
      <c r="A339" s="120"/>
      <c r="B339" s="120"/>
      <c r="C339" s="120"/>
      <c r="D339" s="120"/>
      <c r="E339" s="120"/>
      <c r="F339" s="120"/>
      <c r="G339" s="120"/>
      <c r="H339" s="120"/>
      <c r="I339" s="120"/>
      <c r="J339" s="120"/>
      <c r="K339" s="120"/>
      <c r="L339" s="120"/>
      <c r="M339" s="120"/>
      <c r="N339" s="120"/>
      <c r="O339" s="120"/>
      <c r="P339" s="120"/>
      <c r="Q339" s="120"/>
      <c r="R339" s="120"/>
      <c r="S339" s="120"/>
      <c r="T339" s="120"/>
      <c r="U339" s="120"/>
      <c r="V339" s="120"/>
      <c r="W339" s="120"/>
      <c r="X339" s="120"/>
      <c r="Y339" s="120"/>
      <c r="Z339" s="120"/>
      <c r="AA339" s="120"/>
    </row>
    <row r="340">
      <c r="A340" s="120"/>
      <c r="B340" s="120"/>
      <c r="C340" s="120"/>
      <c r="D340" s="120"/>
      <c r="E340" s="120"/>
      <c r="F340" s="120"/>
      <c r="G340" s="120"/>
      <c r="H340" s="120"/>
      <c r="I340" s="120"/>
      <c r="J340" s="120"/>
      <c r="K340" s="120"/>
      <c r="L340" s="120"/>
      <c r="M340" s="120"/>
      <c r="N340" s="120"/>
      <c r="O340" s="120"/>
      <c r="P340" s="120"/>
      <c r="Q340" s="120"/>
      <c r="R340" s="120"/>
      <c r="S340" s="120"/>
      <c r="T340" s="120"/>
      <c r="U340" s="120"/>
      <c r="V340" s="120"/>
      <c r="W340" s="120"/>
      <c r="X340" s="120"/>
      <c r="Y340" s="120"/>
      <c r="Z340" s="120"/>
      <c r="AA340" s="120"/>
    </row>
    <row r="341">
      <c r="A341" s="120"/>
      <c r="B341" s="120"/>
      <c r="C341" s="120"/>
      <c r="D341" s="120"/>
      <c r="E341" s="120"/>
      <c r="F341" s="120"/>
      <c r="G341" s="120"/>
      <c r="H341" s="120"/>
      <c r="I341" s="120"/>
      <c r="J341" s="120"/>
      <c r="K341" s="120"/>
      <c r="L341" s="120"/>
      <c r="M341" s="120"/>
      <c r="N341" s="120"/>
      <c r="O341" s="120"/>
      <c r="P341" s="120"/>
      <c r="Q341" s="120"/>
      <c r="R341" s="120"/>
      <c r="S341" s="120"/>
      <c r="T341" s="120"/>
      <c r="U341" s="120"/>
      <c r="V341" s="120"/>
      <c r="W341" s="120"/>
      <c r="X341" s="120"/>
      <c r="Y341" s="120"/>
      <c r="Z341" s="120"/>
      <c r="AA341" s="120"/>
    </row>
    <row r="342">
      <c r="A342" s="120"/>
      <c r="B342" s="120"/>
      <c r="C342" s="120"/>
      <c r="D342" s="120"/>
      <c r="E342" s="120"/>
      <c r="F342" s="120"/>
      <c r="G342" s="120"/>
      <c r="H342" s="120"/>
      <c r="I342" s="120"/>
      <c r="J342" s="120"/>
      <c r="K342" s="120"/>
      <c r="L342" s="120"/>
      <c r="M342" s="120"/>
      <c r="N342" s="120"/>
      <c r="O342" s="120"/>
      <c r="P342" s="120"/>
      <c r="Q342" s="120"/>
      <c r="R342" s="120"/>
      <c r="S342" s="120"/>
      <c r="T342" s="120"/>
      <c r="U342" s="120"/>
      <c r="V342" s="120"/>
      <c r="W342" s="120"/>
      <c r="X342" s="120"/>
      <c r="Y342" s="120"/>
      <c r="Z342" s="120"/>
      <c r="AA342" s="120"/>
    </row>
    <row r="343">
      <c r="A343" s="120"/>
      <c r="B343" s="120"/>
      <c r="C343" s="120"/>
      <c r="D343" s="120"/>
      <c r="E343" s="120"/>
      <c r="F343" s="120"/>
      <c r="G343" s="120"/>
      <c r="H343" s="120"/>
      <c r="I343" s="120"/>
      <c r="J343" s="120"/>
      <c r="K343" s="120"/>
      <c r="L343" s="120"/>
      <c r="M343" s="120"/>
      <c r="N343" s="120"/>
      <c r="O343" s="120"/>
      <c r="P343" s="120"/>
      <c r="Q343" s="120"/>
      <c r="R343" s="120"/>
      <c r="S343" s="120"/>
      <c r="T343" s="120"/>
      <c r="U343" s="120"/>
      <c r="V343" s="120"/>
      <c r="W343" s="120"/>
      <c r="X343" s="120"/>
      <c r="Y343" s="120"/>
      <c r="Z343" s="120"/>
      <c r="AA343" s="120"/>
    </row>
    <row r="344">
      <c r="A344" s="120"/>
      <c r="B344" s="120"/>
      <c r="C344" s="120"/>
      <c r="D344" s="120"/>
      <c r="E344" s="120"/>
      <c r="F344" s="120"/>
      <c r="G344" s="120"/>
      <c r="H344" s="120"/>
      <c r="I344" s="120"/>
      <c r="J344" s="120"/>
      <c r="K344" s="120"/>
      <c r="L344" s="120"/>
      <c r="M344" s="120"/>
      <c r="N344" s="120"/>
      <c r="O344" s="120"/>
      <c r="P344" s="120"/>
      <c r="Q344" s="120"/>
      <c r="R344" s="120"/>
      <c r="S344" s="120"/>
      <c r="T344" s="120"/>
      <c r="U344" s="120"/>
      <c r="V344" s="120"/>
      <c r="W344" s="120"/>
      <c r="X344" s="120"/>
      <c r="Y344" s="120"/>
      <c r="Z344" s="120"/>
      <c r="AA344" s="120"/>
    </row>
    <row r="345">
      <c r="A345" s="120"/>
      <c r="B345" s="120"/>
      <c r="C345" s="120"/>
      <c r="D345" s="120"/>
      <c r="E345" s="120"/>
      <c r="F345" s="120"/>
      <c r="G345" s="120"/>
      <c r="H345" s="120"/>
      <c r="I345" s="120"/>
      <c r="J345" s="120"/>
      <c r="K345" s="120"/>
      <c r="L345" s="120"/>
      <c r="M345" s="120"/>
      <c r="N345" s="120"/>
      <c r="O345" s="120"/>
      <c r="P345" s="120"/>
      <c r="Q345" s="120"/>
      <c r="R345" s="120"/>
      <c r="S345" s="120"/>
      <c r="T345" s="120"/>
      <c r="U345" s="120"/>
      <c r="V345" s="120"/>
      <c r="W345" s="120"/>
      <c r="X345" s="120"/>
      <c r="Y345" s="120"/>
      <c r="Z345" s="120"/>
      <c r="AA345" s="120"/>
    </row>
    <row r="346">
      <c r="A346" s="120"/>
      <c r="B346" s="120"/>
      <c r="C346" s="120"/>
      <c r="D346" s="120"/>
      <c r="E346" s="120"/>
      <c r="F346" s="120"/>
      <c r="G346" s="120"/>
      <c r="H346" s="120"/>
      <c r="I346" s="120"/>
      <c r="J346" s="120"/>
      <c r="K346" s="120"/>
      <c r="L346" s="120"/>
      <c r="M346" s="120"/>
      <c r="N346" s="120"/>
      <c r="O346" s="120"/>
      <c r="P346" s="120"/>
      <c r="Q346" s="120"/>
      <c r="R346" s="120"/>
      <c r="S346" s="120"/>
      <c r="T346" s="120"/>
      <c r="U346" s="120"/>
      <c r="V346" s="120"/>
      <c r="W346" s="120"/>
      <c r="X346" s="120"/>
      <c r="Y346" s="120"/>
      <c r="Z346" s="120"/>
      <c r="AA346" s="120"/>
    </row>
    <row r="347">
      <c r="A347" s="120"/>
      <c r="B347" s="120"/>
      <c r="C347" s="120"/>
      <c r="D347" s="120"/>
      <c r="E347" s="120"/>
      <c r="F347" s="120"/>
      <c r="G347" s="120"/>
      <c r="H347" s="120"/>
      <c r="I347" s="120"/>
      <c r="J347" s="120"/>
      <c r="K347" s="120"/>
      <c r="L347" s="120"/>
      <c r="M347" s="120"/>
      <c r="N347" s="120"/>
      <c r="O347" s="120"/>
      <c r="P347" s="120"/>
      <c r="Q347" s="120"/>
      <c r="R347" s="120"/>
      <c r="S347" s="120"/>
      <c r="T347" s="120"/>
      <c r="U347" s="120"/>
      <c r="V347" s="120"/>
      <c r="W347" s="120"/>
      <c r="X347" s="120"/>
      <c r="Y347" s="120"/>
      <c r="Z347" s="120"/>
      <c r="AA347" s="120"/>
    </row>
    <row r="348">
      <c r="A348" s="120"/>
      <c r="B348" s="120"/>
      <c r="C348" s="120"/>
      <c r="D348" s="120"/>
      <c r="E348" s="120"/>
      <c r="F348" s="120"/>
      <c r="G348" s="120"/>
      <c r="H348" s="120"/>
      <c r="I348" s="120"/>
      <c r="J348" s="120"/>
      <c r="K348" s="120"/>
      <c r="L348" s="120"/>
      <c r="M348" s="120"/>
      <c r="N348" s="120"/>
      <c r="O348" s="120"/>
      <c r="P348" s="120"/>
      <c r="Q348" s="120"/>
      <c r="R348" s="120"/>
      <c r="S348" s="120"/>
      <c r="T348" s="120"/>
      <c r="U348" s="120"/>
      <c r="V348" s="120"/>
      <c r="W348" s="120"/>
      <c r="X348" s="120"/>
      <c r="Y348" s="120"/>
      <c r="Z348" s="120"/>
      <c r="AA348" s="120"/>
    </row>
    <row r="349">
      <c r="A349" s="120"/>
      <c r="B349" s="120"/>
      <c r="C349" s="120"/>
      <c r="D349" s="120"/>
      <c r="E349" s="120"/>
      <c r="F349" s="120"/>
      <c r="G349" s="120"/>
      <c r="H349" s="120"/>
      <c r="I349" s="120"/>
      <c r="J349" s="120"/>
      <c r="K349" s="120"/>
      <c r="L349" s="120"/>
      <c r="M349" s="120"/>
      <c r="N349" s="120"/>
      <c r="O349" s="120"/>
      <c r="P349" s="120"/>
      <c r="Q349" s="120"/>
      <c r="R349" s="120"/>
      <c r="S349" s="120"/>
      <c r="T349" s="120"/>
      <c r="U349" s="120"/>
      <c r="V349" s="120"/>
      <c r="W349" s="120"/>
      <c r="X349" s="120"/>
      <c r="Y349" s="120"/>
      <c r="Z349" s="120"/>
      <c r="AA349" s="120"/>
    </row>
    <row r="350">
      <c r="A350" s="120"/>
      <c r="B350" s="120"/>
      <c r="C350" s="120"/>
      <c r="D350" s="120"/>
      <c r="E350" s="120"/>
      <c r="F350" s="120"/>
      <c r="G350" s="120"/>
      <c r="H350" s="120"/>
      <c r="I350" s="120"/>
      <c r="J350" s="120"/>
      <c r="K350" s="120"/>
      <c r="L350" s="120"/>
      <c r="M350" s="120"/>
      <c r="N350" s="120"/>
      <c r="O350" s="120"/>
      <c r="P350" s="120"/>
      <c r="Q350" s="120"/>
      <c r="R350" s="120"/>
      <c r="S350" s="120"/>
      <c r="T350" s="120"/>
      <c r="U350" s="120"/>
      <c r="V350" s="120"/>
      <c r="W350" s="120"/>
      <c r="X350" s="120"/>
      <c r="Y350" s="120"/>
      <c r="Z350" s="120"/>
      <c r="AA350" s="120"/>
    </row>
    <row r="351">
      <c r="A351" s="120"/>
      <c r="B351" s="120"/>
      <c r="C351" s="120"/>
      <c r="D351" s="120"/>
      <c r="E351" s="120"/>
      <c r="F351" s="120"/>
      <c r="G351" s="120"/>
      <c r="H351" s="120"/>
      <c r="I351" s="120"/>
      <c r="J351" s="120"/>
      <c r="K351" s="120"/>
      <c r="L351" s="120"/>
      <c r="M351" s="120"/>
      <c r="N351" s="120"/>
      <c r="O351" s="120"/>
      <c r="P351" s="120"/>
      <c r="Q351" s="120"/>
      <c r="R351" s="120"/>
      <c r="S351" s="120"/>
      <c r="T351" s="120"/>
      <c r="U351" s="120"/>
      <c r="V351" s="120"/>
      <c r="W351" s="120"/>
      <c r="X351" s="120"/>
      <c r="Y351" s="120"/>
      <c r="Z351" s="120"/>
      <c r="AA351" s="120"/>
    </row>
    <row r="352">
      <c r="A352" s="120"/>
      <c r="B352" s="120"/>
      <c r="C352" s="120"/>
      <c r="D352" s="120"/>
      <c r="E352" s="120"/>
      <c r="F352" s="120"/>
      <c r="G352" s="120"/>
      <c r="H352" s="120"/>
      <c r="I352" s="120"/>
      <c r="J352" s="120"/>
      <c r="K352" s="120"/>
      <c r="L352" s="120"/>
      <c r="M352" s="120"/>
      <c r="N352" s="120"/>
      <c r="O352" s="120"/>
      <c r="P352" s="120"/>
      <c r="Q352" s="120"/>
      <c r="R352" s="120"/>
      <c r="S352" s="120"/>
      <c r="T352" s="120"/>
      <c r="U352" s="120"/>
      <c r="V352" s="120"/>
      <c r="W352" s="120"/>
      <c r="X352" s="120"/>
      <c r="Y352" s="120"/>
      <c r="Z352" s="120"/>
      <c r="AA352" s="120"/>
    </row>
    <row r="353">
      <c r="A353" s="120"/>
      <c r="B353" s="120"/>
      <c r="C353" s="120"/>
      <c r="D353" s="120"/>
      <c r="E353" s="120"/>
      <c r="F353" s="120"/>
      <c r="G353" s="120"/>
      <c r="H353" s="120"/>
      <c r="I353" s="120"/>
      <c r="J353" s="120"/>
      <c r="K353" s="120"/>
      <c r="L353" s="120"/>
      <c r="M353" s="120"/>
      <c r="N353" s="120"/>
      <c r="O353" s="120"/>
      <c r="P353" s="120"/>
      <c r="Q353" s="120"/>
      <c r="R353" s="120"/>
      <c r="S353" s="120"/>
      <c r="T353" s="120"/>
      <c r="U353" s="120"/>
      <c r="V353" s="120"/>
      <c r="W353" s="120"/>
      <c r="X353" s="120"/>
      <c r="Y353" s="120"/>
      <c r="Z353" s="120"/>
      <c r="AA353" s="120"/>
    </row>
    <row r="354">
      <c r="A354" s="120"/>
      <c r="B354" s="120"/>
      <c r="C354" s="120"/>
      <c r="D354" s="120"/>
      <c r="E354" s="120"/>
      <c r="F354" s="120"/>
      <c r="G354" s="120"/>
      <c r="H354" s="120"/>
      <c r="I354" s="120"/>
      <c r="J354" s="120"/>
      <c r="K354" s="120"/>
      <c r="L354" s="120"/>
      <c r="M354" s="120"/>
      <c r="N354" s="120"/>
      <c r="O354" s="120"/>
      <c r="P354" s="120"/>
      <c r="Q354" s="120"/>
      <c r="R354" s="120"/>
      <c r="S354" s="120"/>
      <c r="T354" s="120"/>
      <c r="U354" s="120"/>
      <c r="V354" s="120"/>
      <c r="W354" s="120"/>
      <c r="X354" s="120"/>
      <c r="Y354" s="120"/>
      <c r="Z354" s="120"/>
      <c r="AA354" s="120"/>
    </row>
    <row r="355">
      <c r="A355" s="120"/>
      <c r="B355" s="120"/>
      <c r="C355" s="120"/>
      <c r="D355" s="120"/>
      <c r="E355" s="120"/>
      <c r="F355" s="120"/>
      <c r="G355" s="120"/>
      <c r="H355" s="120"/>
      <c r="I355" s="120"/>
      <c r="J355" s="120"/>
      <c r="K355" s="120"/>
      <c r="L355" s="120"/>
      <c r="M355" s="120"/>
      <c r="N355" s="120"/>
      <c r="O355" s="120"/>
      <c r="P355" s="120"/>
      <c r="Q355" s="120"/>
      <c r="R355" s="120"/>
      <c r="S355" s="120"/>
      <c r="T355" s="120"/>
      <c r="U355" s="120"/>
      <c r="V355" s="120"/>
      <c r="W355" s="120"/>
      <c r="X355" s="120"/>
      <c r="Y355" s="120"/>
      <c r="Z355" s="120"/>
      <c r="AA355" s="120"/>
    </row>
    <row r="356">
      <c r="A356" s="120"/>
      <c r="B356" s="120"/>
      <c r="C356" s="120"/>
      <c r="D356" s="120"/>
      <c r="E356" s="120"/>
      <c r="F356" s="120"/>
      <c r="G356" s="120"/>
      <c r="H356" s="120"/>
      <c r="I356" s="120"/>
      <c r="J356" s="120"/>
      <c r="K356" s="120"/>
      <c r="L356" s="120"/>
      <c r="M356" s="120"/>
      <c r="N356" s="120"/>
      <c r="O356" s="120"/>
      <c r="P356" s="120"/>
      <c r="Q356" s="120"/>
      <c r="R356" s="120"/>
      <c r="S356" s="120"/>
      <c r="T356" s="120"/>
      <c r="U356" s="120"/>
      <c r="V356" s="120"/>
      <c r="W356" s="120"/>
      <c r="X356" s="120"/>
      <c r="Y356" s="120"/>
      <c r="Z356" s="120"/>
      <c r="AA356" s="120"/>
    </row>
    <row r="357">
      <c r="A357" s="120"/>
      <c r="B357" s="120"/>
      <c r="C357" s="120"/>
      <c r="D357" s="120"/>
      <c r="E357" s="120"/>
      <c r="F357" s="120"/>
      <c r="G357" s="120"/>
      <c r="H357" s="120"/>
      <c r="I357" s="120"/>
      <c r="J357" s="120"/>
      <c r="K357" s="120"/>
      <c r="L357" s="120"/>
      <c r="M357" s="120"/>
      <c r="N357" s="120"/>
      <c r="O357" s="120"/>
      <c r="P357" s="120"/>
      <c r="Q357" s="120"/>
      <c r="R357" s="120"/>
      <c r="S357" s="120"/>
      <c r="T357" s="120"/>
      <c r="U357" s="120"/>
      <c r="V357" s="120"/>
      <c r="W357" s="120"/>
      <c r="X357" s="120"/>
      <c r="Y357" s="120"/>
      <c r="Z357" s="120"/>
      <c r="AA357" s="120"/>
    </row>
    <row r="358">
      <c r="A358" s="120"/>
      <c r="B358" s="120"/>
      <c r="C358" s="120"/>
      <c r="D358" s="120"/>
      <c r="E358" s="120"/>
      <c r="F358" s="120"/>
      <c r="G358" s="120"/>
      <c r="H358" s="120"/>
      <c r="I358" s="120"/>
      <c r="J358" s="120"/>
      <c r="K358" s="120"/>
      <c r="L358" s="120"/>
      <c r="M358" s="120"/>
      <c r="N358" s="120"/>
      <c r="O358" s="120"/>
      <c r="P358" s="120"/>
      <c r="Q358" s="120"/>
      <c r="R358" s="120"/>
      <c r="S358" s="120"/>
      <c r="T358" s="120"/>
      <c r="U358" s="120"/>
      <c r="V358" s="120"/>
      <c r="W358" s="120"/>
      <c r="X358" s="120"/>
      <c r="Y358" s="120"/>
      <c r="Z358" s="120"/>
      <c r="AA358" s="120"/>
    </row>
    <row r="359">
      <c r="A359" s="120"/>
      <c r="B359" s="120"/>
      <c r="C359" s="120"/>
      <c r="D359" s="120"/>
      <c r="E359" s="120"/>
      <c r="F359" s="120"/>
      <c r="G359" s="120"/>
      <c r="H359" s="120"/>
      <c r="I359" s="120"/>
      <c r="J359" s="120"/>
      <c r="K359" s="120"/>
      <c r="L359" s="120"/>
      <c r="M359" s="120"/>
      <c r="N359" s="120"/>
      <c r="O359" s="120"/>
      <c r="P359" s="120"/>
      <c r="Q359" s="120"/>
      <c r="R359" s="120"/>
      <c r="S359" s="120"/>
      <c r="T359" s="120"/>
      <c r="U359" s="120"/>
      <c r="V359" s="120"/>
      <c r="W359" s="120"/>
      <c r="X359" s="120"/>
      <c r="Y359" s="120"/>
      <c r="Z359" s="120"/>
      <c r="AA359" s="120"/>
    </row>
    <row r="360">
      <c r="A360" s="120"/>
      <c r="B360" s="120"/>
      <c r="C360" s="120"/>
      <c r="D360" s="120"/>
      <c r="E360" s="120"/>
      <c r="F360" s="120"/>
      <c r="G360" s="120"/>
      <c r="H360" s="120"/>
      <c r="I360" s="120"/>
      <c r="J360" s="120"/>
      <c r="K360" s="120"/>
      <c r="L360" s="120"/>
      <c r="M360" s="120"/>
      <c r="N360" s="120"/>
      <c r="O360" s="120"/>
      <c r="P360" s="120"/>
      <c r="Q360" s="120"/>
      <c r="R360" s="120"/>
      <c r="S360" s="120"/>
      <c r="T360" s="120"/>
      <c r="U360" s="120"/>
      <c r="V360" s="120"/>
      <c r="W360" s="120"/>
      <c r="X360" s="120"/>
      <c r="Y360" s="120"/>
      <c r="Z360" s="120"/>
      <c r="AA360" s="120"/>
    </row>
    <row r="361">
      <c r="A361" s="120"/>
      <c r="B361" s="120"/>
      <c r="C361" s="120"/>
      <c r="D361" s="120"/>
      <c r="E361" s="120"/>
      <c r="F361" s="120"/>
      <c r="G361" s="120"/>
      <c r="H361" s="120"/>
      <c r="I361" s="120"/>
      <c r="J361" s="120"/>
      <c r="K361" s="120"/>
      <c r="L361" s="120"/>
      <c r="M361" s="120"/>
      <c r="N361" s="120"/>
      <c r="O361" s="120"/>
      <c r="P361" s="120"/>
      <c r="Q361" s="120"/>
      <c r="R361" s="120"/>
      <c r="S361" s="120"/>
      <c r="T361" s="120"/>
      <c r="U361" s="120"/>
      <c r="V361" s="120"/>
      <c r="W361" s="120"/>
      <c r="X361" s="120"/>
      <c r="Y361" s="120"/>
      <c r="Z361" s="120"/>
      <c r="AA361" s="120"/>
    </row>
    <row r="362">
      <c r="A362" s="120"/>
      <c r="B362" s="120"/>
      <c r="C362" s="120"/>
      <c r="D362" s="120"/>
      <c r="E362" s="120"/>
      <c r="F362" s="120"/>
      <c r="G362" s="120"/>
      <c r="H362" s="120"/>
      <c r="I362" s="120"/>
      <c r="J362" s="120"/>
      <c r="K362" s="120"/>
      <c r="L362" s="120"/>
      <c r="M362" s="120"/>
      <c r="N362" s="120"/>
      <c r="O362" s="120"/>
      <c r="P362" s="120"/>
      <c r="Q362" s="120"/>
      <c r="R362" s="120"/>
      <c r="S362" s="120"/>
      <c r="T362" s="120"/>
      <c r="U362" s="120"/>
      <c r="V362" s="120"/>
      <c r="W362" s="120"/>
      <c r="X362" s="120"/>
      <c r="Y362" s="120"/>
      <c r="Z362" s="120"/>
      <c r="AA362" s="120"/>
    </row>
    <row r="363">
      <c r="A363" s="120"/>
      <c r="B363" s="120"/>
      <c r="C363" s="120"/>
      <c r="D363" s="120"/>
      <c r="E363" s="120"/>
      <c r="F363" s="120"/>
      <c r="G363" s="120"/>
      <c r="H363" s="120"/>
      <c r="I363" s="120"/>
      <c r="J363" s="120"/>
      <c r="K363" s="120"/>
      <c r="L363" s="120"/>
      <c r="M363" s="120"/>
      <c r="N363" s="120"/>
      <c r="O363" s="120"/>
      <c r="P363" s="120"/>
      <c r="Q363" s="120"/>
      <c r="R363" s="120"/>
      <c r="S363" s="120"/>
      <c r="T363" s="120"/>
      <c r="U363" s="120"/>
      <c r="V363" s="120"/>
      <c r="W363" s="120"/>
      <c r="X363" s="120"/>
      <c r="Y363" s="120"/>
      <c r="Z363" s="120"/>
      <c r="AA363" s="120"/>
    </row>
    <row r="364">
      <c r="A364" s="120"/>
      <c r="B364" s="120"/>
      <c r="C364" s="120"/>
      <c r="D364" s="120"/>
      <c r="E364" s="120"/>
      <c r="F364" s="120"/>
      <c r="G364" s="120"/>
      <c r="H364" s="120"/>
      <c r="I364" s="120"/>
      <c r="J364" s="120"/>
      <c r="K364" s="120"/>
      <c r="L364" s="120"/>
      <c r="M364" s="120"/>
      <c r="N364" s="120"/>
      <c r="O364" s="120"/>
      <c r="P364" s="120"/>
      <c r="Q364" s="120"/>
      <c r="R364" s="120"/>
      <c r="S364" s="120"/>
      <c r="T364" s="120"/>
      <c r="U364" s="120"/>
      <c r="V364" s="120"/>
      <c r="W364" s="120"/>
      <c r="X364" s="120"/>
      <c r="Y364" s="120"/>
      <c r="Z364" s="120"/>
      <c r="AA364" s="120"/>
    </row>
    <row r="365">
      <c r="A365" s="120"/>
      <c r="B365" s="120"/>
      <c r="C365" s="120"/>
      <c r="D365" s="120"/>
      <c r="E365" s="120"/>
      <c r="F365" s="120"/>
      <c r="G365" s="120"/>
      <c r="H365" s="120"/>
      <c r="I365" s="120"/>
      <c r="J365" s="120"/>
      <c r="K365" s="120"/>
      <c r="L365" s="120"/>
      <c r="M365" s="120"/>
      <c r="N365" s="120"/>
      <c r="O365" s="120"/>
      <c r="P365" s="120"/>
      <c r="Q365" s="120"/>
      <c r="R365" s="120"/>
      <c r="S365" s="120"/>
      <c r="T365" s="120"/>
      <c r="U365" s="120"/>
      <c r="V365" s="120"/>
      <c r="W365" s="120"/>
      <c r="X365" s="120"/>
      <c r="Y365" s="120"/>
      <c r="Z365" s="120"/>
      <c r="AA365" s="120"/>
    </row>
    <row r="366">
      <c r="A366" s="120"/>
      <c r="B366" s="120"/>
      <c r="C366" s="120"/>
      <c r="D366" s="120"/>
      <c r="E366" s="120"/>
      <c r="F366" s="120"/>
      <c r="G366" s="120"/>
      <c r="H366" s="120"/>
      <c r="I366" s="120"/>
      <c r="J366" s="120"/>
      <c r="K366" s="120"/>
      <c r="L366" s="120"/>
      <c r="M366" s="120"/>
      <c r="N366" s="120"/>
      <c r="O366" s="120"/>
      <c r="P366" s="120"/>
      <c r="Q366" s="120"/>
      <c r="R366" s="120"/>
      <c r="S366" s="120"/>
      <c r="T366" s="120"/>
      <c r="U366" s="120"/>
      <c r="V366" s="120"/>
      <c r="W366" s="120"/>
      <c r="X366" s="120"/>
      <c r="Y366" s="120"/>
      <c r="Z366" s="120"/>
      <c r="AA366" s="120"/>
    </row>
    <row r="367">
      <c r="A367" s="120"/>
      <c r="B367" s="120"/>
      <c r="C367" s="120"/>
      <c r="D367" s="120"/>
      <c r="E367" s="120"/>
      <c r="F367" s="120"/>
      <c r="G367" s="120"/>
      <c r="H367" s="120"/>
      <c r="I367" s="120"/>
      <c r="J367" s="120"/>
      <c r="K367" s="120"/>
      <c r="L367" s="120"/>
      <c r="M367" s="120"/>
      <c r="N367" s="120"/>
      <c r="O367" s="120"/>
      <c r="P367" s="120"/>
      <c r="Q367" s="120"/>
      <c r="R367" s="120"/>
      <c r="S367" s="120"/>
      <c r="T367" s="120"/>
      <c r="U367" s="120"/>
      <c r="V367" s="120"/>
      <c r="W367" s="120"/>
      <c r="X367" s="120"/>
      <c r="Y367" s="120"/>
      <c r="Z367" s="120"/>
      <c r="AA367" s="120"/>
    </row>
    <row r="368">
      <c r="A368" s="120"/>
      <c r="B368" s="120"/>
      <c r="C368" s="120"/>
      <c r="D368" s="120"/>
      <c r="E368" s="120"/>
      <c r="F368" s="120"/>
      <c r="G368" s="120"/>
      <c r="H368" s="120"/>
      <c r="I368" s="120"/>
      <c r="J368" s="120"/>
      <c r="K368" s="120"/>
      <c r="L368" s="120"/>
      <c r="M368" s="120"/>
      <c r="N368" s="120"/>
      <c r="O368" s="120"/>
      <c r="P368" s="120"/>
      <c r="Q368" s="120"/>
      <c r="R368" s="120"/>
      <c r="S368" s="120"/>
      <c r="T368" s="120"/>
      <c r="U368" s="120"/>
      <c r="V368" s="120"/>
      <c r="W368" s="120"/>
      <c r="X368" s="120"/>
      <c r="Y368" s="120"/>
      <c r="Z368" s="120"/>
      <c r="AA368" s="120"/>
    </row>
    <row r="369">
      <c r="A369" s="120"/>
      <c r="B369" s="120"/>
      <c r="C369" s="120"/>
      <c r="D369" s="120"/>
      <c r="E369" s="120"/>
      <c r="F369" s="120"/>
      <c r="G369" s="120"/>
      <c r="H369" s="120"/>
      <c r="I369" s="120"/>
      <c r="J369" s="120"/>
      <c r="K369" s="120"/>
      <c r="L369" s="120"/>
      <c r="M369" s="120"/>
      <c r="N369" s="120"/>
      <c r="O369" s="120"/>
      <c r="P369" s="120"/>
      <c r="Q369" s="120"/>
      <c r="R369" s="120"/>
      <c r="S369" s="120"/>
      <c r="T369" s="120"/>
      <c r="U369" s="120"/>
      <c r="V369" s="120"/>
      <c r="W369" s="120"/>
      <c r="X369" s="120"/>
      <c r="Y369" s="120"/>
      <c r="Z369" s="120"/>
      <c r="AA369" s="120"/>
    </row>
    <row r="370">
      <c r="A370" s="120"/>
      <c r="B370" s="120"/>
      <c r="C370" s="120"/>
      <c r="D370" s="120"/>
      <c r="E370" s="120"/>
      <c r="F370" s="120"/>
      <c r="G370" s="120"/>
      <c r="H370" s="120"/>
      <c r="I370" s="120"/>
      <c r="J370" s="120"/>
      <c r="K370" s="120"/>
      <c r="L370" s="120"/>
      <c r="M370" s="120"/>
      <c r="N370" s="120"/>
      <c r="O370" s="120"/>
      <c r="P370" s="120"/>
      <c r="Q370" s="120"/>
      <c r="R370" s="120"/>
      <c r="S370" s="120"/>
      <c r="T370" s="120"/>
      <c r="U370" s="120"/>
      <c r="V370" s="120"/>
      <c r="W370" s="120"/>
      <c r="X370" s="120"/>
      <c r="Y370" s="120"/>
      <c r="Z370" s="120"/>
      <c r="AA370" s="120"/>
    </row>
    <row r="371">
      <c r="A371" s="120"/>
      <c r="B371" s="120"/>
      <c r="C371" s="120"/>
      <c r="D371" s="120"/>
      <c r="E371" s="120"/>
      <c r="F371" s="120"/>
      <c r="G371" s="120"/>
      <c r="H371" s="120"/>
      <c r="I371" s="120"/>
      <c r="J371" s="120"/>
      <c r="K371" s="120"/>
      <c r="L371" s="120"/>
      <c r="M371" s="120"/>
      <c r="N371" s="120"/>
      <c r="O371" s="120"/>
      <c r="P371" s="120"/>
      <c r="Q371" s="120"/>
      <c r="R371" s="120"/>
      <c r="S371" s="120"/>
      <c r="T371" s="120"/>
      <c r="U371" s="120"/>
      <c r="V371" s="120"/>
      <c r="W371" s="120"/>
      <c r="X371" s="120"/>
      <c r="Y371" s="120"/>
      <c r="Z371" s="120"/>
      <c r="AA371" s="120"/>
    </row>
    <row r="372">
      <c r="A372" s="120"/>
      <c r="B372" s="120"/>
      <c r="C372" s="120"/>
      <c r="D372" s="120"/>
      <c r="E372" s="120"/>
      <c r="F372" s="120"/>
      <c r="G372" s="120"/>
      <c r="H372" s="120"/>
      <c r="I372" s="120"/>
      <c r="J372" s="120"/>
      <c r="K372" s="120"/>
      <c r="L372" s="120"/>
      <c r="M372" s="120"/>
      <c r="N372" s="120"/>
      <c r="O372" s="120"/>
      <c r="P372" s="120"/>
      <c r="Q372" s="120"/>
      <c r="R372" s="120"/>
      <c r="S372" s="120"/>
      <c r="T372" s="120"/>
      <c r="U372" s="120"/>
      <c r="V372" s="120"/>
      <c r="W372" s="120"/>
      <c r="X372" s="120"/>
      <c r="Y372" s="120"/>
      <c r="Z372" s="120"/>
      <c r="AA372" s="120"/>
    </row>
    <row r="373">
      <c r="A373" s="120"/>
      <c r="B373" s="120"/>
      <c r="C373" s="120"/>
      <c r="D373" s="120"/>
      <c r="E373" s="120"/>
      <c r="F373" s="120"/>
      <c r="G373" s="120"/>
      <c r="H373" s="120"/>
      <c r="I373" s="120"/>
      <c r="J373" s="120"/>
      <c r="K373" s="120"/>
      <c r="L373" s="120"/>
      <c r="M373" s="120"/>
      <c r="N373" s="120"/>
      <c r="O373" s="120"/>
      <c r="P373" s="120"/>
      <c r="Q373" s="120"/>
      <c r="R373" s="120"/>
      <c r="S373" s="120"/>
      <c r="T373" s="120"/>
      <c r="U373" s="120"/>
      <c r="V373" s="120"/>
      <c r="W373" s="120"/>
      <c r="X373" s="120"/>
      <c r="Y373" s="120"/>
      <c r="Z373" s="120"/>
      <c r="AA373" s="120"/>
    </row>
    <row r="374">
      <c r="A374" s="120"/>
      <c r="B374" s="120"/>
      <c r="C374" s="120"/>
      <c r="D374" s="120"/>
      <c r="E374" s="120"/>
      <c r="F374" s="120"/>
      <c r="G374" s="120"/>
      <c r="H374" s="120"/>
      <c r="I374" s="120"/>
      <c r="J374" s="120"/>
      <c r="K374" s="120"/>
      <c r="L374" s="120"/>
      <c r="M374" s="120"/>
      <c r="N374" s="120"/>
      <c r="O374" s="120"/>
      <c r="P374" s="120"/>
      <c r="Q374" s="120"/>
      <c r="R374" s="120"/>
      <c r="S374" s="120"/>
      <c r="T374" s="120"/>
      <c r="U374" s="120"/>
      <c r="V374" s="120"/>
      <c r="W374" s="120"/>
      <c r="X374" s="120"/>
      <c r="Y374" s="120"/>
      <c r="Z374" s="120"/>
      <c r="AA374" s="120"/>
    </row>
    <row r="375">
      <c r="A375" s="120"/>
      <c r="B375" s="120"/>
      <c r="C375" s="120"/>
      <c r="D375" s="120"/>
      <c r="E375" s="120"/>
      <c r="F375" s="120"/>
      <c r="G375" s="120"/>
      <c r="H375" s="120"/>
      <c r="I375" s="120"/>
      <c r="J375" s="120"/>
      <c r="K375" s="120"/>
      <c r="L375" s="120"/>
      <c r="M375" s="120"/>
      <c r="N375" s="120"/>
      <c r="O375" s="120"/>
      <c r="P375" s="120"/>
      <c r="Q375" s="120"/>
      <c r="R375" s="120"/>
      <c r="S375" s="120"/>
      <c r="T375" s="120"/>
      <c r="U375" s="120"/>
      <c r="V375" s="120"/>
      <c r="W375" s="120"/>
      <c r="X375" s="120"/>
      <c r="Y375" s="120"/>
      <c r="Z375" s="120"/>
      <c r="AA375" s="120"/>
    </row>
    <row r="376">
      <c r="A376" s="120"/>
      <c r="B376" s="120"/>
      <c r="C376" s="120"/>
      <c r="D376" s="120"/>
      <c r="E376" s="120"/>
      <c r="F376" s="120"/>
      <c r="G376" s="120"/>
      <c r="H376" s="120"/>
      <c r="I376" s="120"/>
      <c r="J376" s="120"/>
      <c r="K376" s="120"/>
      <c r="L376" s="120"/>
      <c r="M376" s="120"/>
      <c r="N376" s="120"/>
      <c r="O376" s="120"/>
      <c r="P376" s="120"/>
      <c r="Q376" s="120"/>
      <c r="R376" s="120"/>
      <c r="S376" s="120"/>
      <c r="T376" s="120"/>
      <c r="U376" s="120"/>
      <c r="V376" s="120"/>
      <c r="W376" s="120"/>
      <c r="X376" s="120"/>
      <c r="Y376" s="120"/>
      <c r="Z376" s="120"/>
      <c r="AA376" s="120"/>
    </row>
    <row r="377">
      <c r="A377" s="120"/>
      <c r="B377" s="120"/>
      <c r="C377" s="120"/>
      <c r="D377" s="120"/>
      <c r="E377" s="120"/>
      <c r="F377" s="120"/>
      <c r="G377" s="120"/>
      <c r="H377" s="120"/>
      <c r="I377" s="120"/>
      <c r="J377" s="120"/>
      <c r="K377" s="120"/>
      <c r="L377" s="120"/>
      <c r="M377" s="120"/>
      <c r="N377" s="120"/>
      <c r="O377" s="120"/>
      <c r="P377" s="120"/>
      <c r="Q377" s="120"/>
      <c r="R377" s="120"/>
      <c r="S377" s="120"/>
      <c r="T377" s="120"/>
      <c r="U377" s="120"/>
      <c r="V377" s="120"/>
      <c r="W377" s="120"/>
      <c r="X377" s="120"/>
      <c r="Y377" s="120"/>
      <c r="Z377" s="120"/>
      <c r="AA377" s="120"/>
    </row>
    <row r="378">
      <c r="A378" s="120"/>
      <c r="B378" s="120"/>
      <c r="C378" s="120"/>
      <c r="D378" s="120"/>
      <c r="E378" s="120"/>
      <c r="F378" s="120"/>
      <c r="G378" s="120"/>
      <c r="H378" s="120"/>
      <c r="I378" s="120"/>
      <c r="J378" s="120"/>
      <c r="K378" s="120"/>
      <c r="L378" s="120"/>
      <c r="M378" s="120"/>
      <c r="N378" s="120"/>
      <c r="O378" s="120"/>
      <c r="P378" s="120"/>
      <c r="Q378" s="120"/>
      <c r="R378" s="120"/>
      <c r="S378" s="120"/>
      <c r="T378" s="120"/>
      <c r="U378" s="120"/>
      <c r="V378" s="120"/>
      <c r="W378" s="120"/>
      <c r="X378" s="120"/>
      <c r="Y378" s="120"/>
      <c r="Z378" s="120"/>
      <c r="AA378" s="120"/>
    </row>
    <row r="379">
      <c r="A379" s="120"/>
      <c r="B379" s="120"/>
      <c r="C379" s="120"/>
      <c r="D379" s="120"/>
      <c r="E379" s="120"/>
      <c r="F379" s="120"/>
      <c r="G379" s="120"/>
      <c r="H379" s="120"/>
      <c r="I379" s="120"/>
      <c r="J379" s="120"/>
      <c r="K379" s="120"/>
      <c r="L379" s="120"/>
      <c r="M379" s="120"/>
      <c r="N379" s="120"/>
      <c r="O379" s="120"/>
      <c r="P379" s="120"/>
      <c r="Q379" s="120"/>
      <c r="R379" s="120"/>
      <c r="S379" s="120"/>
      <c r="T379" s="120"/>
      <c r="U379" s="120"/>
      <c r="V379" s="120"/>
      <c r="W379" s="120"/>
      <c r="X379" s="120"/>
      <c r="Y379" s="120"/>
      <c r="Z379" s="120"/>
      <c r="AA379" s="120"/>
    </row>
    <row r="380">
      <c r="A380" s="120"/>
      <c r="B380" s="120"/>
      <c r="C380" s="120"/>
      <c r="D380" s="120"/>
      <c r="E380" s="120"/>
      <c r="F380" s="120"/>
      <c r="G380" s="120"/>
      <c r="H380" s="120"/>
      <c r="I380" s="120"/>
      <c r="J380" s="120"/>
      <c r="K380" s="120"/>
      <c r="L380" s="120"/>
      <c r="M380" s="120"/>
      <c r="N380" s="120"/>
      <c r="O380" s="120"/>
      <c r="P380" s="120"/>
      <c r="Q380" s="120"/>
      <c r="R380" s="120"/>
      <c r="S380" s="120"/>
      <c r="T380" s="120"/>
      <c r="U380" s="120"/>
      <c r="V380" s="120"/>
      <c r="W380" s="120"/>
      <c r="X380" s="120"/>
      <c r="Y380" s="120"/>
      <c r="Z380" s="120"/>
      <c r="AA380" s="120"/>
    </row>
    <row r="381">
      <c r="A381" s="120"/>
      <c r="B381" s="120"/>
      <c r="C381" s="120"/>
      <c r="D381" s="120"/>
      <c r="E381" s="120"/>
      <c r="F381" s="120"/>
      <c r="G381" s="120"/>
      <c r="H381" s="120"/>
      <c r="I381" s="120"/>
      <c r="J381" s="120"/>
      <c r="K381" s="120"/>
      <c r="L381" s="120"/>
      <c r="M381" s="120"/>
      <c r="N381" s="120"/>
      <c r="O381" s="120"/>
      <c r="P381" s="120"/>
      <c r="Q381" s="120"/>
      <c r="R381" s="120"/>
      <c r="S381" s="120"/>
      <c r="T381" s="120"/>
      <c r="U381" s="120"/>
      <c r="V381" s="120"/>
      <c r="W381" s="120"/>
      <c r="X381" s="120"/>
      <c r="Y381" s="120"/>
      <c r="Z381" s="120"/>
      <c r="AA381" s="120"/>
    </row>
    <row r="382">
      <c r="A382" s="120"/>
      <c r="B382" s="120"/>
      <c r="C382" s="120"/>
      <c r="D382" s="120"/>
      <c r="E382" s="120"/>
      <c r="F382" s="120"/>
      <c r="G382" s="120"/>
      <c r="H382" s="120"/>
      <c r="I382" s="120"/>
      <c r="J382" s="120"/>
      <c r="K382" s="120"/>
      <c r="L382" s="120"/>
      <c r="M382" s="120"/>
      <c r="N382" s="120"/>
      <c r="O382" s="120"/>
      <c r="P382" s="120"/>
      <c r="Q382" s="120"/>
      <c r="R382" s="120"/>
      <c r="S382" s="120"/>
      <c r="T382" s="120"/>
      <c r="U382" s="120"/>
      <c r="V382" s="120"/>
      <c r="W382" s="120"/>
      <c r="X382" s="120"/>
      <c r="Y382" s="120"/>
      <c r="Z382" s="120"/>
      <c r="AA382" s="120"/>
    </row>
    <row r="383">
      <c r="A383" s="120"/>
      <c r="B383" s="120"/>
      <c r="C383" s="120"/>
      <c r="D383" s="120"/>
      <c r="E383" s="120"/>
      <c r="F383" s="120"/>
      <c r="G383" s="120"/>
      <c r="H383" s="120"/>
      <c r="I383" s="120"/>
      <c r="J383" s="120"/>
      <c r="K383" s="120"/>
      <c r="L383" s="120"/>
      <c r="M383" s="120"/>
      <c r="N383" s="120"/>
      <c r="O383" s="120"/>
      <c r="P383" s="120"/>
      <c r="Q383" s="120"/>
      <c r="R383" s="120"/>
      <c r="S383" s="120"/>
      <c r="T383" s="120"/>
      <c r="U383" s="120"/>
      <c r="V383" s="120"/>
      <c r="W383" s="120"/>
      <c r="X383" s="120"/>
      <c r="Y383" s="120"/>
      <c r="Z383" s="120"/>
      <c r="AA383" s="120"/>
    </row>
    <row r="384">
      <c r="A384" s="120"/>
      <c r="B384" s="120"/>
      <c r="C384" s="120"/>
      <c r="D384" s="120"/>
      <c r="E384" s="120"/>
      <c r="F384" s="120"/>
      <c r="G384" s="120"/>
      <c r="H384" s="120"/>
      <c r="I384" s="120"/>
      <c r="J384" s="120"/>
      <c r="K384" s="120"/>
      <c r="L384" s="120"/>
      <c r="M384" s="120"/>
      <c r="N384" s="120"/>
      <c r="O384" s="120"/>
      <c r="P384" s="120"/>
      <c r="Q384" s="120"/>
      <c r="R384" s="120"/>
      <c r="S384" s="120"/>
      <c r="T384" s="120"/>
      <c r="U384" s="120"/>
      <c r="V384" s="120"/>
      <c r="W384" s="120"/>
      <c r="X384" s="120"/>
      <c r="Y384" s="120"/>
      <c r="Z384" s="120"/>
      <c r="AA384" s="120"/>
    </row>
    <row r="385">
      <c r="A385" s="120"/>
      <c r="B385" s="120"/>
      <c r="C385" s="120"/>
      <c r="D385" s="120"/>
      <c r="E385" s="120"/>
      <c r="F385" s="120"/>
      <c r="G385" s="120"/>
      <c r="H385" s="120"/>
      <c r="I385" s="120"/>
      <c r="J385" s="120"/>
      <c r="K385" s="120"/>
      <c r="L385" s="120"/>
      <c r="M385" s="120"/>
      <c r="N385" s="120"/>
      <c r="O385" s="120"/>
      <c r="P385" s="120"/>
      <c r="Q385" s="120"/>
      <c r="R385" s="120"/>
      <c r="S385" s="120"/>
      <c r="T385" s="120"/>
      <c r="U385" s="120"/>
      <c r="V385" s="120"/>
      <c r="W385" s="120"/>
      <c r="X385" s="120"/>
      <c r="Y385" s="120"/>
      <c r="Z385" s="120"/>
      <c r="AA385" s="120"/>
    </row>
    <row r="386">
      <c r="A386" s="120"/>
      <c r="B386" s="120"/>
      <c r="C386" s="120"/>
      <c r="D386" s="120"/>
      <c r="E386" s="120"/>
      <c r="F386" s="120"/>
      <c r="G386" s="120"/>
      <c r="H386" s="120"/>
      <c r="I386" s="120"/>
      <c r="J386" s="120"/>
      <c r="K386" s="120"/>
      <c r="L386" s="120"/>
      <c r="M386" s="120"/>
      <c r="N386" s="120"/>
      <c r="O386" s="120"/>
      <c r="P386" s="120"/>
      <c r="Q386" s="120"/>
      <c r="R386" s="120"/>
      <c r="S386" s="120"/>
      <c r="T386" s="120"/>
      <c r="U386" s="120"/>
      <c r="V386" s="120"/>
      <c r="W386" s="120"/>
      <c r="X386" s="120"/>
      <c r="Y386" s="120"/>
      <c r="Z386" s="120"/>
      <c r="AA386" s="120"/>
    </row>
    <row r="387">
      <c r="A387" s="120"/>
      <c r="B387" s="120"/>
      <c r="C387" s="120"/>
      <c r="D387" s="120"/>
      <c r="E387" s="120"/>
      <c r="F387" s="120"/>
      <c r="G387" s="120"/>
      <c r="H387" s="120"/>
      <c r="I387" s="120"/>
      <c r="J387" s="120"/>
      <c r="K387" s="120"/>
      <c r="L387" s="120"/>
      <c r="M387" s="120"/>
      <c r="N387" s="120"/>
      <c r="O387" s="120"/>
      <c r="P387" s="120"/>
      <c r="Q387" s="120"/>
      <c r="R387" s="120"/>
      <c r="S387" s="120"/>
      <c r="T387" s="120"/>
      <c r="U387" s="120"/>
      <c r="V387" s="120"/>
      <c r="W387" s="120"/>
      <c r="X387" s="120"/>
      <c r="Y387" s="120"/>
      <c r="Z387" s="120"/>
      <c r="AA387" s="120"/>
    </row>
    <row r="388">
      <c r="A388" s="120"/>
      <c r="B388" s="120"/>
      <c r="C388" s="120"/>
      <c r="D388" s="120"/>
      <c r="E388" s="120"/>
      <c r="F388" s="120"/>
      <c r="G388" s="120"/>
      <c r="H388" s="120"/>
      <c r="I388" s="120"/>
      <c r="J388" s="120"/>
      <c r="K388" s="120"/>
      <c r="L388" s="120"/>
      <c r="M388" s="120"/>
      <c r="N388" s="120"/>
      <c r="O388" s="120"/>
      <c r="P388" s="120"/>
      <c r="Q388" s="120"/>
      <c r="R388" s="120"/>
      <c r="S388" s="120"/>
      <c r="T388" s="120"/>
      <c r="U388" s="120"/>
      <c r="V388" s="120"/>
      <c r="W388" s="120"/>
      <c r="X388" s="120"/>
      <c r="Y388" s="120"/>
      <c r="Z388" s="120"/>
      <c r="AA388" s="120"/>
    </row>
    <row r="389">
      <c r="A389" s="120"/>
      <c r="B389" s="120"/>
      <c r="C389" s="120"/>
      <c r="D389" s="120"/>
      <c r="E389" s="120"/>
      <c r="F389" s="120"/>
      <c r="G389" s="120"/>
      <c r="H389" s="120"/>
      <c r="I389" s="120"/>
      <c r="J389" s="120"/>
      <c r="K389" s="120"/>
      <c r="L389" s="120"/>
      <c r="M389" s="120"/>
      <c r="N389" s="120"/>
      <c r="O389" s="120"/>
      <c r="P389" s="120"/>
      <c r="Q389" s="120"/>
      <c r="R389" s="120"/>
      <c r="S389" s="120"/>
      <c r="T389" s="120"/>
      <c r="U389" s="120"/>
      <c r="V389" s="120"/>
      <c r="W389" s="120"/>
      <c r="X389" s="120"/>
      <c r="Y389" s="120"/>
      <c r="Z389" s="120"/>
      <c r="AA389" s="120"/>
    </row>
    <row r="390">
      <c r="A390" s="120"/>
      <c r="B390" s="120"/>
      <c r="C390" s="120"/>
      <c r="D390" s="120"/>
      <c r="E390" s="120"/>
      <c r="F390" s="120"/>
      <c r="G390" s="120"/>
      <c r="H390" s="120"/>
      <c r="I390" s="120"/>
      <c r="J390" s="120"/>
      <c r="K390" s="120"/>
      <c r="L390" s="120"/>
      <c r="M390" s="120"/>
      <c r="N390" s="120"/>
      <c r="O390" s="120"/>
      <c r="P390" s="120"/>
      <c r="Q390" s="120"/>
      <c r="R390" s="120"/>
      <c r="S390" s="120"/>
      <c r="T390" s="120"/>
      <c r="U390" s="120"/>
      <c r="V390" s="120"/>
      <c r="W390" s="120"/>
      <c r="X390" s="120"/>
      <c r="Y390" s="120"/>
      <c r="Z390" s="120"/>
      <c r="AA390" s="120"/>
    </row>
    <row r="391">
      <c r="A391" s="120"/>
      <c r="B391" s="120"/>
      <c r="C391" s="120"/>
      <c r="D391" s="120"/>
      <c r="E391" s="120"/>
      <c r="F391" s="120"/>
      <c r="G391" s="120"/>
      <c r="H391" s="120"/>
      <c r="I391" s="120"/>
      <c r="J391" s="120"/>
      <c r="K391" s="120"/>
      <c r="L391" s="120"/>
      <c r="M391" s="120"/>
      <c r="N391" s="120"/>
      <c r="O391" s="120"/>
      <c r="P391" s="120"/>
      <c r="Q391" s="120"/>
      <c r="R391" s="120"/>
      <c r="S391" s="120"/>
      <c r="T391" s="120"/>
      <c r="U391" s="120"/>
      <c r="V391" s="120"/>
      <c r="W391" s="120"/>
      <c r="X391" s="120"/>
      <c r="Y391" s="120"/>
      <c r="Z391" s="120"/>
      <c r="AA391" s="120"/>
    </row>
    <row r="392">
      <c r="A392" s="120"/>
      <c r="B392" s="120"/>
      <c r="C392" s="120"/>
      <c r="D392" s="120"/>
      <c r="E392" s="120"/>
      <c r="F392" s="120"/>
      <c r="G392" s="120"/>
      <c r="H392" s="120"/>
      <c r="I392" s="120"/>
      <c r="J392" s="120"/>
      <c r="K392" s="120"/>
      <c r="L392" s="120"/>
      <c r="M392" s="120"/>
      <c r="N392" s="120"/>
      <c r="O392" s="120"/>
      <c r="P392" s="120"/>
      <c r="Q392" s="120"/>
      <c r="R392" s="120"/>
      <c r="S392" s="120"/>
      <c r="T392" s="120"/>
      <c r="U392" s="120"/>
      <c r="V392" s="120"/>
      <c r="W392" s="120"/>
      <c r="X392" s="120"/>
      <c r="Y392" s="120"/>
      <c r="Z392" s="120"/>
      <c r="AA392" s="120"/>
    </row>
    <row r="393">
      <c r="A393" s="120"/>
      <c r="B393" s="120"/>
      <c r="C393" s="120"/>
      <c r="D393" s="120"/>
      <c r="E393" s="120"/>
      <c r="F393" s="120"/>
      <c r="G393" s="120"/>
      <c r="H393" s="120"/>
      <c r="I393" s="120"/>
      <c r="J393" s="120"/>
      <c r="K393" s="120"/>
      <c r="L393" s="120"/>
      <c r="M393" s="120"/>
      <c r="N393" s="120"/>
      <c r="O393" s="120"/>
      <c r="P393" s="120"/>
      <c r="Q393" s="120"/>
      <c r="R393" s="120"/>
      <c r="S393" s="120"/>
      <c r="T393" s="120"/>
      <c r="U393" s="120"/>
      <c r="V393" s="120"/>
      <c r="W393" s="120"/>
      <c r="X393" s="120"/>
      <c r="Y393" s="120"/>
      <c r="Z393" s="120"/>
      <c r="AA393" s="120"/>
    </row>
    <row r="394">
      <c r="A394" s="120"/>
      <c r="B394" s="120"/>
      <c r="C394" s="120"/>
      <c r="D394" s="120"/>
      <c r="E394" s="120"/>
      <c r="F394" s="120"/>
      <c r="G394" s="120"/>
      <c r="H394" s="120"/>
      <c r="I394" s="120"/>
      <c r="J394" s="120"/>
      <c r="K394" s="120"/>
      <c r="L394" s="120"/>
      <c r="M394" s="120"/>
      <c r="N394" s="120"/>
      <c r="O394" s="120"/>
      <c r="P394" s="120"/>
      <c r="Q394" s="120"/>
      <c r="R394" s="120"/>
      <c r="S394" s="120"/>
      <c r="T394" s="120"/>
      <c r="U394" s="120"/>
      <c r="V394" s="120"/>
      <c r="W394" s="120"/>
      <c r="X394" s="120"/>
      <c r="Y394" s="120"/>
      <c r="Z394" s="120"/>
      <c r="AA394" s="120"/>
    </row>
    <row r="395">
      <c r="A395" s="120"/>
      <c r="B395" s="120"/>
      <c r="C395" s="120"/>
      <c r="D395" s="120"/>
      <c r="E395" s="120"/>
      <c r="F395" s="120"/>
      <c r="G395" s="120"/>
      <c r="H395" s="120"/>
      <c r="I395" s="120"/>
      <c r="J395" s="120"/>
      <c r="K395" s="120"/>
      <c r="L395" s="120"/>
      <c r="M395" s="120"/>
      <c r="N395" s="120"/>
      <c r="O395" s="120"/>
      <c r="P395" s="120"/>
      <c r="Q395" s="120"/>
      <c r="R395" s="120"/>
      <c r="S395" s="120"/>
      <c r="T395" s="120"/>
      <c r="U395" s="120"/>
      <c r="V395" s="120"/>
      <c r="W395" s="120"/>
      <c r="X395" s="120"/>
      <c r="Y395" s="120"/>
      <c r="Z395" s="120"/>
      <c r="AA395" s="120"/>
    </row>
    <row r="396">
      <c r="A396" s="120"/>
      <c r="B396" s="120"/>
      <c r="C396" s="120"/>
      <c r="D396" s="120"/>
      <c r="E396" s="120"/>
      <c r="F396" s="120"/>
      <c r="G396" s="120"/>
      <c r="H396" s="120"/>
      <c r="I396" s="120"/>
      <c r="J396" s="120"/>
      <c r="K396" s="120"/>
      <c r="L396" s="120"/>
      <c r="M396" s="120"/>
      <c r="N396" s="120"/>
      <c r="O396" s="120"/>
      <c r="P396" s="120"/>
      <c r="Q396" s="120"/>
      <c r="R396" s="120"/>
      <c r="S396" s="120"/>
      <c r="T396" s="120"/>
      <c r="U396" s="120"/>
      <c r="V396" s="120"/>
      <c r="W396" s="120"/>
      <c r="X396" s="120"/>
      <c r="Y396" s="120"/>
      <c r="Z396" s="120"/>
      <c r="AA396" s="120"/>
    </row>
    <row r="397">
      <c r="A397" s="120"/>
      <c r="B397" s="120"/>
      <c r="C397" s="120"/>
      <c r="D397" s="120"/>
      <c r="E397" s="120"/>
      <c r="F397" s="120"/>
      <c r="G397" s="120"/>
      <c r="H397" s="120"/>
      <c r="I397" s="120"/>
      <c r="J397" s="120"/>
      <c r="K397" s="120"/>
      <c r="L397" s="120"/>
      <c r="M397" s="120"/>
      <c r="N397" s="120"/>
      <c r="O397" s="120"/>
      <c r="P397" s="120"/>
      <c r="Q397" s="120"/>
      <c r="R397" s="120"/>
      <c r="S397" s="120"/>
      <c r="T397" s="120"/>
      <c r="U397" s="120"/>
      <c r="V397" s="120"/>
      <c r="W397" s="120"/>
      <c r="X397" s="120"/>
      <c r="Y397" s="120"/>
      <c r="Z397" s="120"/>
      <c r="AA397" s="120"/>
    </row>
    <row r="398">
      <c r="A398" s="120"/>
      <c r="B398" s="120"/>
      <c r="C398" s="120"/>
      <c r="D398" s="120"/>
      <c r="E398" s="120"/>
      <c r="F398" s="120"/>
      <c r="G398" s="120"/>
      <c r="H398" s="120"/>
      <c r="I398" s="120"/>
      <c r="J398" s="120"/>
      <c r="K398" s="120"/>
      <c r="L398" s="120"/>
      <c r="M398" s="120"/>
      <c r="N398" s="120"/>
      <c r="O398" s="120"/>
      <c r="P398" s="120"/>
      <c r="Q398" s="120"/>
      <c r="R398" s="120"/>
      <c r="S398" s="120"/>
      <c r="T398" s="120"/>
      <c r="U398" s="120"/>
      <c r="V398" s="120"/>
      <c r="W398" s="120"/>
      <c r="X398" s="120"/>
      <c r="Y398" s="120"/>
      <c r="Z398" s="120"/>
      <c r="AA398" s="120"/>
    </row>
    <row r="399">
      <c r="A399" s="120"/>
      <c r="B399" s="120"/>
      <c r="C399" s="120"/>
      <c r="D399" s="120"/>
      <c r="E399" s="120"/>
      <c r="F399" s="120"/>
      <c r="G399" s="120"/>
      <c r="H399" s="120"/>
      <c r="I399" s="120"/>
      <c r="J399" s="120"/>
      <c r="K399" s="120"/>
      <c r="L399" s="120"/>
      <c r="M399" s="120"/>
      <c r="N399" s="120"/>
      <c r="O399" s="120"/>
      <c r="P399" s="120"/>
      <c r="Q399" s="120"/>
      <c r="R399" s="120"/>
      <c r="S399" s="120"/>
      <c r="T399" s="120"/>
      <c r="U399" s="120"/>
      <c r="V399" s="120"/>
      <c r="W399" s="120"/>
      <c r="X399" s="120"/>
      <c r="Y399" s="120"/>
      <c r="Z399" s="120"/>
      <c r="AA399" s="120"/>
    </row>
    <row r="400">
      <c r="A400" s="120"/>
      <c r="B400" s="120"/>
      <c r="C400" s="120"/>
      <c r="D400" s="120"/>
      <c r="E400" s="120"/>
      <c r="F400" s="120"/>
      <c r="G400" s="120"/>
      <c r="H400" s="120"/>
      <c r="I400" s="120"/>
      <c r="J400" s="120"/>
      <c r="K400" s="120"/>
      <c r="L400" s="120"/>
      <c r="M400" s="120"/>
      <c r="N400" s="120"/>
      <c r="O400" s="120"/>
      <c r="P400" s="120"/>
      <c r="Q400" s="120"/>
      <c r="R400" s="120"/>
      <c r="S400" s="120"/>
      <c r="T400" s="120"/>
      <c r="U400" s="120"/>
      <c r="V400" s="120"/>
      <c r="W400" s="120"/>
      <c r="X400" s="120"/>
      <c r="Y400" s="120"/>
      <c r="Z400" s="120"/>
      <c r="AA400" s="120"/>
    </row>
    <row r="401">
      <c r="A401" s="120"/>
      <c r="B401" s="120"/>
      <c r="C401" s="120"/>
      <c r="D401" s="120"/>
      <c r="E401" s="120"/>
      <c r="F401" s="120"/>
      <c r="G401" s="120"/>
      <c r="H401" s="120"/>
      <c r="I401" s="120"/>
      <c r="J401" s="120"/>
      <c r="K401" s="120"/>
      <c r="L401" s="120"/>
      <c r="M401" s="120"/>
      <c r="N401" s="120"/>
      <c r="O401" s="120"/>
      <c r="P401" s="120"/>
      <c r="Q401" s="120"/>
      <c r="R401" s="120"/>
      <c r="S401" s="120"/>
      <c r="T401" s="120"/>
      <c r="U401" s="120"/>
      <c r="V401" s="120"/>
      <c r="W401" s="120"/>
      <c r="X401" s="120"/>
      <c r="Y401" s="120"/>
      <c r="Z401" s="120"/>
      <c r="AA401" s="120"/>
    </row>
    <row r="402">
      <c r="A402" s="120"/>
      <c r="B402" s="120"/>
      <c r="C402" s="120"/>
      <c r="D402" s="120"/>
      <c r="E402" s="120"/>
      <c r="F402" s="120"/>
      <c r="G402" s="120"/>
      <c r="H402" s="120"/>
      <c r="I402" s="120"/>
      <c r="J402" s="120"/>
      <c r="K402" s="120"/>
      <c r="L402" s="120"/>
      <c r="M402" s="120"/>
      <c r="N402" s="120"/>
      <c r="O402" s="120"/>
      <c r="P402" s="120"/>
      <c r="Q402" s="120"/>
      <c r="R402" s="120"/>
      <c r="S402" s="120"/>
      <c r="T402" s="120"/>
      <c r="U402" s="120"/>
      <c r="V402" s="120"/>
      <c r="W402" s="120"/>
      <c r="X402" s="120"/>
      <c r="Y402" s="120"/>
      <c r="Z402" s="120"/>
      <c r="AA402" s="120"/>
    </row>
    <row r="403">
      <c r="A403" s="120"/>
      <c r="B403" s="120"/>
      <c r="C403" s="120"/>
      <c r="D403" s="120"/>
      <c r="E403" s="120"/>
      <c r="F403" s="120"/>
      <c r="G403" s="120"/>
      <c r="H403" s="120"/>
      <c r="I403" s="120"/>
      <c r="J403" s="120"/>
      <c r="K403" s="120"/>
      <c r="L403" s="120"/>
      <c r="M403" s="120"/>
      <c r="N403" s="120"/>
      <c r="O403" s="120"/>
      <c r="P403" s="120"/>
      <c r="Q403" s="120"/>
      <c r="R403" s="120"/>
      <c r="S403" s="120"/>
      <c r="T403" s="120"/>
      <c r="U403" s="120"/>
      <c r="V403" s="120"/>
      <c r="W403" s="120"/>
      <c r="X403" s="120"/>
      <c r="Y403" s="120"/>
      <c r="Z403" s="120"/>
      <c r="AA403" s="120"/>
    </row>
    <row r="404">
      <c r="A404" s="120"/>
      <c r="B404" s="120"/>
      <c r="C404" s="120"/>
      <c r="D404" s="120"/>
      <c r="E404" s="120"/>
      <c r="F404" s="120"/>
      <c r="G404" s="120"/>
      <c r="H404" s="120"/>
      <c r="I404" s="120"/>
      <c r="J404" s="120"/>
      <c r="K404" s="120"/>
      <c r="L404" s="120"/>
      <c r="M404" s="120"/>
      <c r="N404" s="120"/>
      <c r="O404" s="120"/>
      <c r="P404" s="120"/>
      <c r="Q404" s="120"/>
      <c r="R404" s="120"/>
      <c r="S404" s="120"/>
      <c r="T404" s="120"/>
      <c r="U404" s="120"/>
      <c r="V404" s="120"/>
      <c r="W404" s="120"/>
      <c r="X404" s="120"/>
      <c r="Y404" s="120"/>
      <c r="Z404" s="120"/>
      <c r="AA404" s="120"/>
    </row>
    <row r="405">
      <c r="A405" s="120"/>
      <c r="B405" s="120"/>
      <c r="C405" s="120"/>
      <c r="D405" s="120"/>
      <c r="E405" s="120"/>
      <c r="F405" s="120"/>
      <c r="G405" s="120"/>
      <c r="H405" s="120"/>
      <c r="I405" s="120"/>
      <c r="J405" s="120"/>
      <c r="K405" s="120"/>
      <c r="L405" s="120"/>
      <c r="M405" s="120"/>
      <c r="N405" s="120"/>
      <c r="O405" s="120"/>
      <c r="P405" s="120"/>
      <c r="Q405" s="120"/>
      <c r="R405" s="120"/>
      <c r="S405" s="120"/>
      <c r="T405" s="120"/>
      <c r="U405" s="120"/>
      <c r="V405" s="120"/>
      <c r="W405" s="120"/>
      <c r="X405" s="120"/>
      <c r="Y405" s="120"/>
      <c r="Z405" s="120"/>
      <c r="AA405" s="120"/>
    </row>
    <row r="406">
      <c r="A406" s="120"/>
      <c r="B406" s="120"/>
      <c r="C406" s="120"/>
      <c r="D406" s="120"/>
      <c r="E406" s="120"/>
      <c r="F406" s="120"/>
      <c r="G406" s="120"/>
      <c r="H406" s="120"/>
      <c r="I406" s="120"/>
      <c r="J406" s="120"/>
      <c r="K406" s="120"/>
      <c r="L406" s="120"/>
      <c r="M406" s="120"/>
      <c r="N406" s="120"/>
      <c r="O406" s="120"/>
      <c r="P406" s="120"/>
      <c r="Q406" s="120"/>
      <c r="R406" s="120"/>
      <c r="S406" s="120"/>
      <c r="T406" s="120"/>
      <c r="U406" s="120"/>
      <c r="V406" s="120"/>
      <c r="W406" s="120"/>
      <c r="X406" s="120"/>
      <c r="Y406" s="120"/>
      <c r="Z406" s="120"/>
      <c r="AA406" s="120"/>
    </row>
    <row r="407">
      <c r="A407" s="120"/>
      <c r="B407" s="120"/>
      <c r="C407" s="120"/>
      <c r="D407" s="120"/>
      <c r="E407" s="120"/>
      <c r="F407" s="120"/>
      <c r="G407" s="120"/>
      <c r="H407" s="120"/>
      <c r="I407" s="120"/>
      <c r="J407" s="120"/>
      <c r="K407" s="120"/>
      <c r="L407" s="120"/>
      <c r="M407" s="120"/>
      <c r="N407" s="120"/>
      <c r="O407" s="120"/>
      <c r="P407" s="120"/>
      <c r="Q407" s="120"/>
      <c r="R407" s="120"/>
      <c r="S407" s="120"/>
      <c r="T407" s="120"/>
      <c r="U407" s="120"/>
      <c r="V407" s="120"/>
      <c r="W407" s="120"/>
      <c r="X407" s="120"/>
      <c r="Y407" s="120"/>
      <c r="Z407" s="120"/>
      <c r="AA407" s="120"/>
    </row>
    <row r="408">
      <c r="A408" s="120"/>
      <c r="B408" s="120"/>
      <c r="C408" s="120"/>
      <c r="D408" s="120"/>
      <c r="E408" s="120"/>
      <c r="F408" s="120"/>
      <c r="G408" s="120"/>
      <c r="H408" s="120"/>
      <c r="I408" s="120"/>
      <c r="J408" s="120"/>
      <c r="K408" s="120"/>
      <c r="L408" s="120"/>
      <c r="M408" s="120"/>
      <c r="N408" s="120"/>
      <c r="O408" s="120"/>
      <c r="P408" s="120"/>
      <c r="Q408" s="120"/>
      <c r="R408" s="120"/>
      <c r="S408" s="120"/>
      <c r="T408" s="120"/>
      <c r="U408" s="120"/>
      <c r="V408" s="120"/>
      <c r="W408" s="120"/>
      <c r="X408" s="120"/>
      <c r="Y408" s="120"/>
      <c r="Z408" s="120"/>
      <c r="AA408" s="120"/>
    </row>
    <row r="409">
      <c r="A409" s="120"/>
      <c r="B409" s="120"/>
      <c r="C409" s="120"/>
      <c r="D409" s="120"/>
      <c r="E409" s="120"/>
      <c r="F409" s="120"/>
      <c r="G409" s="120"/>
      <c r="H409" s="120"/>
      <c r="I409" s="120"/>
      <c r="J409" s="120"/>
      <c r="K409" s="120"/>
      <c r="L409" s="120"/>
      <c r="M409" s="120"/>
      <c r="N409" s="120"/>
      <c r="O409" s="120"/>
      <c r="P409" s="120"/>
      <c r="Q409" s="120"/>
      <c r="R409" s="120"/>
      <c r="S409" s="120"/>
      <c r="T409" s="120"/>
      <c r="U409" s="120"/>
      <c r="V409" s="120"/>
      <c r="W409" s="120"/>
      <c r="X409" s="120"/>
      <c r="Y409" s="120"/>
      <c r="Z409" s="120"/>
      <c r="AA409" s="120"/>
    </row>
    <row r="410">
      <c r="A410" s="120"/>
      <c r="B410" s="120"/>
      <c r="C410" s="120"/>
      <c r="D410" s="120"/>
      <c r="E410" s="120"/>
      <c r="F410" s="120"/>
      <c r="G410" s="120"/>
      <c r="H410" s="120"/>
      <c r="I410" s="120"/>
      <c r="J410" s="120"/>
      <c r="K410" s="120"/>
      <c r="L410" s="120"/>
      <c r="M410" s="120"/>
      <c r="N410" s="120"/>
      <c r="O410" s="120"/>
      <c r="P410" s="120"/>
      <c r="Q410" s="120"/>
      <c r="R410" s="120"/>
      <c r="S410" s="120"/>
      <c r="T410" s="120"/>
      <c r="U410" s="120"/>
      <c r="V410" s="120"/>
      <c r="W410" s="120"/>
      <c r="X410" s="120"/>
      <c r="Y410" s="120"/>
      <c r="Z410" s="120"/>
      <c r="AA410" s="120"/>
    </row>
    <row r="411">
      <c r="A411" s="120"/>
      <c r="B411" s="120"/>
      <c r="C411" s="120"/>
      <c r="D411" s="120"/>
      <c r="E411" s="120"/>
      <c r="F411" s="120"/>
      <c r="G411" s="120"/>
      <c r="H411" s="120"/>
      <c r="I411" s="120"/>
      <c r="J411" s="120"/>
      <c r="K411" s="120"/>
      <c r="L411" s="120"/>
      <c r="M411" s="120"/>
      <c r="N411" s="120"/>
      <c r="O411" s="120"/>
      <c r="P411" s="120"/>
      <c r="Q411" s="120"/>
      <c r="R411" s="120"/>
      <c r="S411" s="120"/>
      <c r="T411" s="120"/>
      <c r="U411" s="120"/>
      <c r="V411" s="120"/>
      <c r="W411" s="120"/>
      <c r="X411" s="120"/>
      <c r="Y411" s="120"/>
      <c r="Z411" s="120"/>
      <c r="AA411" s="120"/>
    </row>
    <row r="412">
      <c r="A412" s="120"/>
      <c r="B412" s="120"/>
      <c r="C412" s="120"/>
      <c r="D412" s="120"/>
      <c r="E412" s="120"/>
      <c r="F412" s="120"/>
      <c r="G412" s="120"/>
      <c r="H412" s="120"/>
      <c r="I412" s="120"/>
      <c r="J412" s="120"/>
      <c r="K412" s="120"/>
      <c r="L412" s="120"/>
      <c r="M412" s="120"/>
      <c r="N412" s="120"/>
      <c r="O412" s="120"/>
      <c r="P412" s="120"/>
      <c r="Q412" s="120"/>
      <c r="R412" s="120"/>
      <c r="S412" s="120"/>
      <c r="T412" s="120"/>
      <c r="U412" s="120"/>
      <c r="V412" s="120"/>
      <c r="W412" s="120"/>
      <c r="X412" s="120"/>
      <c r="Y412" s="120"/>
      <c r="Z412" s="120"/>
      <c r="AA412" s="120"/>
    </row>
    <row r="413">
      <c r="A413" s="120"/>
      <c r="B413" s="120"/>
      <c r="C413" s="120"/>
      <c r="D413" s="120"/>
      <c r="E413" s="120"/>
      <c r="F413" s="120"/>
      <c r="G413" s="120"/>
      <c r="H413" s="120"/>
      <c r="I413" s="120"/>
      <c r="J413" s="120"/>
      <c r="K413" s="120"/>
      <c r="L413" s="120"/>
      <c r="M413" s="120"/>
      <c r="N413" s="120"/>
      <c r="O413" s="120"/>
      <c r="P413" s="120"/>
      <c r="Q413" s="120"/>
      <c r="R413" s="120"/>
      <c r="S413" s="120"/>
      <c r="T413" s="120"/>
      <c r="U413" s="120"/>
      <c r="V413" s="120"/>
      <c r="W413" s="120"/>
      <c r="X413" s="120"/>
      <c r="Y413" s="120"/>
      <c r="Z413" s="120"/>
      <c r="AA413" s="120"/>
    </row>
    <row r="414">
      <c r="A414" s="120"/>
      <c r="B414" s="120"/>
      <c r="C414" s="120"/>
      <c r="D414" s="120"/>
      <c r="E414" s="120"/>
      <c r="F414" s="120"/>
      <c r="G414" s="120"/>
      <c r="H414" s="120"/>
      <c r="I414" s="120"/>
      <c r="J414" s="120"/>
      <c r="K414" s="120"/>
      <c r="L414" s="120"/>
      <c r="M414" s="120"/>
      <c r="N414" s="120"/>
      <c r="O414" s="120"/>
      <c r="P414" s="120"/>
      <c r="Q414" s="120"/>
      <c r="R414" s="120"/>
      <c r="S414" s="120"/>
      <c r="T414" s="120"/>
      <c r="U414" s="120"/>
      <c r="V414" s="120"/>
      <c r="W414" s="120"/>
      <c r="X414" s="120"/>
      <c r="Y414" s="120"/>
      <c r="Z414" s="120"/>
      <c r="AA414" s="120"/>
    </row>
    <row r="415">
      <c r="A415" s="120"/>
      <c r="B415" s="120"/>
      <c r="C415" s="120"/>
      <c r="D415" s="120"/>
      <c r="E415" s="120"/>
      <c r="F415" s="120"/>
      <c r="G415" s="120"/>
      <c r="H415" s="120"/>
      <c r="I415" s="120"/>
      <c r="J415" s="120"/>
      <c r="K415" s="120"/>
      <c r="L415" s="120"/>
      <c r="M415" s="120"/>
      <c r="N415" s="120"/>
      <c r="O415" s="120"/>
      <c r="P415" s="120"/>
      <c r="Q415" s="120"/>
      <c r="R415" s="120"/>
      <c r="S415" s="120"/>
      <c r="T415" s="120"/>
      <c r="U415" s="120"/>
      <c r="V415" s="120"/>
      <c r="W415" s="120"/>
      <c r="X415" s="120"/>
      <c r="Y415" s="120"/>
      <c r="Z415" s="120"/>
      <c r="AA415" s="120"/>
    </row>
    <row r="416">
      <c r="A416" s="120"/>
      <c r="B416" s="120"/>
      <c r="C416" s="120"/>
      <c r="D416" s="120"/>
      <c r="E416" s="120"/>
      <c r="F416" s="120"/>
      <c r="G416" s="120"/>
      <c r="H416" s="120"/>
      <c r="I416" s="120"/>
      <c r="J416" s="120"/>
      <c r="K416" s="120"/>
      <c r="L416" s="120"/>
      <c r="M416" s="120"/>
      <c r="N416" s="120"/>
      <c r="O416" s="120"/>
      <c r="P416" s="120"/>
      <c r="Q416" s="120"/>
      <c r="R416" s="120"/>
      <c r="S416" s="120"/>
      <c r="T416" s="120"/>
      <c r="U416" s="120"/>
      <c r="V416" s="120"/>
      <c r="W416" s="120"/>
      <c r="X416" s="120"/>
      <c r="Y416" s="120"/>
      <c r="Z416" s="120"/>
      <c r="AA416" s="120"/>
    </row>
    <row r="417">
      <c r="A417" s="120"/>
      <c r="B417" s="120"/>
      <c r="C417" s="120"/>
      <c r="D417" s="120"/>
      <c r="E417" s="120"/>
      <c r="F417" s="120"/>
      <c r="G417" s="120"/>
      <c r="H417" s="120"/>
      <c r="I417" s="120"/>
      <c r="J417" s="120"/>
      <c r="K417" s="120"/>
      <c r="L417" s="120"/>
      <c r="M417" s="120"/>
      <c r="N417" s="120"/>
      <c r="O417" s="120"/>
      <c r="P417" s="120"/>
      <c r="Q417" s="120"/>
      <c r="R417" s="120"/>
      <c r="S417" s="120"/>
      <c r="T417" s="120"/>
      <c r="U417" s="120"/>
      <c r="V417" s="120"/>
      <c r="W417" s="120"/>
      <c r="X417" s="120"/>
      <c r="Y417" s="120"/>
      <c r="Z417" s="120"/>
      <c r="AA417" s="120"/>
    </row>
    <row r="418">
      <c r="A418" s="120"/>
      <c r="B418" s="120"/>
      <c r="C418" s="120"/>
      <c r="D418" s="120"/>
      <c r="E418" s="120"/>
      <c r="F418" s="120"/>
      <c r="G418" s="120"/>
      <c r="H418" s="120"/>
      <c r="I418" s="120"/>
      <c r="J418" s="120"/>
      <c r="K418" s="120"/>
      <c r="L418" s="120"/>
      <c r="M418" s="120"/>
      <c r="N418" s="120"/>
      <c r="O418" s="120"/>
      <c r="P418" s="120"/>
      <c r="Q418" s="120"/>
      <c r="R418" s="120"/>
      <c r="S418" s="120"/>
      <c r="T418" s="120"/>
      <c r="U418" s="120"/>
      <c r="V418" s="120"/>
      <c r="W418" s="120"/>
      <c r="X418" s="120"/>
      <c r="Y418" s="120"/>
      <c r="Z418" s="120"/>
      <c r="AA418" s="120"/>
    </row>
    <row r="419">
      <c r="A419" s="120"/>
      <c r="B419" s="120"/>
      <c r="C419" s="120"/>
      <c r="D419" s="120"/>
      <c r="E419" s="120"/>
      <c r="F419" s="120"/>
      <c r="G419" s="120"/>
      <c r="H419" s="120"/>
      <c r="I419" s="120"/>
      <c r="J419" s="120"/>
      <c r="K419" s="120"/>
      <c r="L419" s="120"/>
      <c r="M419" s="120"/>
      <c r="N419" s="120"/>
      <c r="O419" s="120"/>
      <c r="P419" s="120"/>
      <c r="Q419" s="120"/>
      <c r="R419" s="120"/>
      <c r="S419" s="120"/>
      <c r="T419" s="120"/>
      <c r="U419" s="120"/>
      <c r="V419" s="120"/>
      <c r="W419" s="120"/>
      <c r="X419" s="120"/>
      <c r="Y419" s="120"/>
      <c r="Z419" s="120"/>
      <c r="AA419" s="120"/>
    </row>
    <row r="420">
      <c r="A420" s="120"/>
      <c r="B420" s="120"/>
      <c r="C420" s="120"/>
      <c r="D420" s="120"/>
      <c r="E420" s="120"/>
      <c r="F420" s="120"/>
      <c r="G420" s="120"/>
      <c r="H420" s="120"/>
      <c r="I420" s="120"/>
      <c r="J420" s="120"/>
      <c r="K420" s="120"/>
      <c r="L420" s="120"/>
      <c r="M420" s="120"/>
      <c r="N420" s="120"/>
      <c r="O420" s="120"/>
      <c r="P420" s="120"/>
      <c r="Q420" s="120"/>
      <c r="R420" s="120"/>
      <c r="S420" s="120"/>
      <c r="T420" s="120"/>
      <c r="U420" s="120"/>
      <c r="V420" s="120"/>
      <c r="W420" s="120"/>
      <c r="X420" s="120"/>
      <c r="Y420" s="120"/>
      <c r="Z420" s="120"/>
      <c r="AA420" s="120"/>
    </row>
    <row r="421">
      <c r="A421" s="120"/>
      <c r="B421" s="120"/>
      <c r="C421" s="120"/>
      <c r="D421" s="120"/>
      <c r="E421" s="120"/>
      <c r="F421" s="120"/>
      <c r="G421" s="120"/>
      <c r="H421" s="120"/>
      <c r="I421" s="120"/>
      <c r="J421" s="120"/>
      <c r="K421" s="120"/>
      <c r="L421" s="120"/>
      <c r="M421" s="120"/>
      <c r="N421" s="120"/>
      <c r="O421" s="120"/>
      <c r="P421" s="120"/>
      <c r="Q421" s="120"/>
      <c r="R421" s="120"/>
      <c r="S421" s="120"/>
      <c r="T421" s="120"/>
      <c r="U421" s="120"/>
      <c r="V421" s="120"/>
      <c r="W421" s="120"/>
      <c r="X421" s="120"/>
      <c r="Y421" s="120"/>
      <c r="Z421" s="120"/>
      <c r="AA421" s="120"/>
    </row>
    <row r="422">
      <c r="A422" s="120"/>
      <c r="B422" s="120"/>
      <c r="C422" s="120"/>
      <c r="D422" s="120"/>
      <c r="E422" s="120"/>
      <c r="F422" s="120"/>
      <c r="G422" s="120"/>
      <c r="H422" s="120"/>
      <c r="I422" s="120"/>
      <c r="J422" s="120"/>
      <c r="K422" s="120"/>
      <c r="L422" s="120"/>
      <c r="M422" s="120"/>
      <c r="N422" s="120"/>
      <c r="O422" s="120"/>
      <c r="P422" s="120"/>
      <c r="Q422" s="120"/>
      <c r="R422" s="120"/>
      <c r="S422" s="120"/>
      <c r="T422" s="120"/>
      <c r="U422" s="120"/>
      <c r="V422" s="120"/>
      <c r="W422" s="120"/>
      <c r="X422" s="120"/>
      <c r="Y422" s="120"/>
      <c r="Z422" s="120"/>
      <c r="AA422" s="120"/>
    </row>
    <row r="423">
      <c r="A423" s="120"/>
      <c r="B423" s="120"/>
      <c r="C423" s="120"/>
      <c r="D423" s="120"/>
      <c r="E423" s="120"/>
      <c r="F423" s="120"/>
      <c r="G423" s="120"/>
      <c r="H423" s="120"/>
      <c r="I423" s="120"/>
      <c r="J423" s="120"/>
      <c r="K423" s="120"/>
      <c r="L423" s="120"/>
      <c r="M423" s="120"/>
      <c r="N423" s="120"/>
      <c r="O423" s="120"/>
      <c r="P423" s="120"/>
      <c r="Q423" s="120"/>
      <c r="R423" s="120"/>
      <c r="S423" s="120"/>
      <c r="T423" s="120"/>
      <c r="U423" s="120"/>
      <c r="V423" s="120"/>
      <c r="W423" s="120"/>
      <c r="X423" s="120"/>
      <c r="Y423" s="120"/>
      <c r="Z423" s="120"/>
      <c r="AA423" s="120"/>
    </row>
    <row r="424">
      <c r="A424" s="120"/>
      <c r="B424" s="120"/>
      <c r="C424" s="120"/>
      <c r="D424" s="120"/>
      <c r="E424" s="120"/>
      <c r="F424" s="120"/>
      <c r="G424" s="120"/>
      <c r="H424" s="120"/>
      <c r="I424" s="120"/>
      <c r="J424" s="120"/>
      <c r="K424" s="120"/>
      <c r="L424" s="120"/>
      <c r="M424" s="120"/>
      <c r="N424" s="120"/>
      <c r="O424" s="120"/>
      <c r="P424" s="120"/>
      <c r="Q424" s="120"/>
      <c r="R424" s="120"/>
      <c r="S424" s="120"/>
      <c r="T424" s="120"/>
      <c r="U424" s="120"/>
      <c r="V424" s="120"/>
      <c r="W424" s="120"/>
      <c r="X424" s="120"/>
      <c r="Y424" s="120"/>
      <c r="Z424" s="120"/>
      <c r="AA424" s="120"/>
    </row>
    <row r="425">
      <c r="A425" s="120"/>
      <c r="B425" s="120"/>
      <c r="C425" s="120"/>
      <c r="D425" s="120"/>
      <c r="E425" s="120"/>
      <c r="F425" s="120"/>
      <c r="G425" s="120"/>
      <c r="H425" s="120"/>
      <c r="I425" s="120"/>
      <c r="J425" s="120"/>
      <c r="K425" s="120"/>
      <c r="L425" s="120"/>
      <c r="M425" s="120"/>
      <c r="N425" s="120"/>
      <c r="O425" s="120"/>
      <c r="P425" s="120"/>
      <c r="Q425" s="120"/>
      <c r="R425" s="120"/>
      <c r="S425" s="120"/>
      <c r="T425" s="120"/>
      <c r="U425" s="120"/>
      <c r="V425" s="120"/>
      <c r="W425" s="120"/>
      <c r="X425" s="120"/>
      <c r="Y425" s="120"/>
      <c r="Z425" s="120"/>
      <c r="AA425" s="120"/>
    </row>
    <row r="426">
      <c r="A426" s="120"/>
      <c r="B426" s="120"/>
      <c r="C426" s="120"/>
      <c r="D426" s="120"/>
      <c r="E426" s="120"/>
      <c r="F426" s="120"/>
      <c r="G426" s="120"/>
      <c r="H426" s="120"/>
      <c r="I426" s="120"/>
      <c r="J426" s="120"/>
      <c r="K426" s="120"/>
      <c r="L426" s="120"/>
      <c r="M426" s="120"/>
      <c r="N426" s="120"/>
      <c r="O426" s="120"/>
      <c r="P426" s="120"/>
      <c r="Q426" s="120"/>
      <c r="R426" s="120"/>
      <c r="S426" s="120"/>
      <c r="T426" s="120"/>
      <c r="U426" s="120"/>
      <c r="V426" s="120"/>
      <c r="W426" s="120"/>
      <c r="X426" s="120"/>
      <c r="Y426" s="120"/>
      <c r="Z426" s="120"/>
      <c r="AA426" s="120"/>
    </row>
    <row r="427">
      <c r="A427" s="120"/>
      <c r="B427" s="120"/>
      <c r="C427" s="120"/>
      <c r="D427" s="120"/>
      <c r="E427" s="120"/>
      <c r="F427" s="120"/>
      <c r="G427" s="120"/>
      <c r="H427" s="120"/>
      <c r="I427" s="120"/>
      <c r="J427" s="120"/>
      <c r="K427" s="120"/>
      <c r="L427" s="120"/>
      <c r="M427" s="120"/>
      <c r="N427" s="120"/>
      <c r="O427" s="120"/>
      <c r="P427" s="120"/>
      <c r="Q427" s="120"/>
      <c r="R427" s="120"/>
      <c r="S427" s="120"/>
      <c r="T427" s="120"/>
      <c r="U427" s="120"/>
      <c r="V427" s="120"/>
      <c r="W427" s="120"/>
      <c r="X427" s="120"/>
      <c r="Y427" s="120"/>
      <c r="Z427" s="120"/>
      <c r="AA427" s="120"/>
    </row>
    <row r="428">
      <c r="A428" s="120"/>
      <c r="B428" s="120"/>
      <c r="C428" s="120"/>
      <c r="D428" s="120"/>
      <c r="E428" s="120"/>
      <c r="F428" s="120"/>
      <c r="G428" s="120"/>
      <c r="H428" s="120"/>
      <c r="I428" s="120"/>
      <c r="J428" s="120"/>
      <c r="K428" s="120"/>
      <c r="L428" s="120"/>
      <c r="M428" s="120"/>
      <c r="N428" s="120"/>
      <c r="O428" s="120"/>
      <c r="P428" s="120"/>
      <c r="Q428" s="120"/>
      <c r="R428" s="120"/>
      <c r="S428" s="120"/>
      <c r="T428" s="120"/>
      <c r="U428" s="120"/>
      <c r="V428" s="120"/>
      <c r="W428" s="120"/>
      <c r="X428" s="120"/>
      <c r="Y428" s="120"/>
      <c r="Z428" s="120"/>
      <c r="AA428" s="120"/>
    </row>
    <row r="429">
      <c r="A429" s="120"/>
      <c r="B429" s="120"/>
      <c r="C429" s="120"/>
      <c r="D429" s="120"/>
      <c r="E429" s="120"/>
      <c r="F429" s="120"/>
      <c r="G429" s="120"/>
      <c r="H429" s="120"/>
      <c r="I429" s="120"/>
      <c r="J429" s="120"/>
      <c r="K429" s="120"/>
      <c r="L429" s="120"/>
      <c r="M429" s="120"/>
      <c r="N429" s="120"/>
      <c r="O429" s="120"/>
      <c r="P429" s="120"/>
      <c r="Q429" s="120"/>
      <c r="R429" s="120"/>
      <c r="S429" s="120"/>
      <c r="T429" s="120"/>
      <c r="U429" s="120"/>
      <c r="V429" s="120"/>
      <c r="W429" s="120"/>
      <c r="X429" s="120"/>
      <c r="Y429" s="120"/>
      <c r="Z429" s="120"/>
      <c r="AA429" s="120"/>
    </row>
    <row r="430">
      <c r="A430" s="120"/>
      <c r="B430" s="120"/>
      <c r="C430" s="120"/>
      <c r="D430" s="120"/>
      <c r="E430" s="120"/>
      <c r="F430" s="120"/>
      <c r="G430" s="120"/>
      <c r="H430" s="120"/>
      <c r="I430" s="120"/>
      <c r="J430" s="120"/>
      <c r="K430" s="120"/>
      <c r="L430" s="120"/>
      <c r="M430" s="120"/>
      <c r="N430" s="120"/>
      <c r="O430" s="120"/>
      <c r="P430" s="120"/>
      <c r="Q430" s="120"/>
      <c r="R430" s="120"/>
      <c r="S430" s="120"/>
      <c r="T430" s="120"/>
      <c r="U430" s="120"/>
      <c r="V430" s="120"/>
      <c r="W430" s="120"/>
      <c r="X430" s="120"/>
      <c r="Y430" s="120"/>
      <c r="Z430" s="120"/>
      <c r="AA430" s="120"/>
    </row>
    <row r="431">
      <c r="A431" s="120"/>
      <c r="B431" s="120"/>
      <c r="C431" s="120"/>
      <c r="D431" s="120"/>
      <c r="E431" s="120"/>
      <c r="F431" s="120"/>
      <c r="G431" s="120"/>
      <c r="H431" s="120"/>
      <c r="I431" s="120"/>
      <c r="J431" s="120"/>
      <c r="K431" s="120"/>
      <c r="L431" s="120"/>
      <c r="M431" s="120"/>
      <c r="N431" s="120"/>
      <c r="O431" s="120"/>
      <c r="P431" s="120"/>
      <c r="Q431" s="120"/>
      <c r="R431" s="120"/>
      <c r="S431" s="120"/>
      <c r="T431" s="120"/>
      <c r="U431" s="120"/>
      <c r="V431" s="120"/>
      <c r="W431" s="120"/>
      <c r="X431" s="120"/>
      <c r="Y431" s="120"/>
      <c r="Z431" s="120"/>
      <c r="AA431" s="120"/>
    </row>
    <row r="432">
      <c r="A432" s="120"/>
      <c r="B432" s="120"/>
      <c r="C432" s="120"/>
      <c r="D432" s="120"/>
      <c r="E432" s="120"/>
      <c r="F432" s="120"/>
      <c r="G432" s="120"/>
      <c r="H432" s="120"/>
      <c r="I432" s="120"/>
      <c r="J432" s="120"/>
      <c r="K432" s="120"/>
      <c r="L432" s="120"/>
      <c r="M432" s="120"/>
      <c r="N432" s="120"/>
      <c r="O432" s="120"/>
      <c r="P432" s="120"/>
      <c r="Q432" s="120"/>
      <c r="R432" s="120"/>
      <c r="S432" s="120"/>
      <c r="T432" s="120"/>
      <c r="U432" s="120"/>
      <c r="V432" s="120"/>
      <c r="W432" s="120"/>
      <c r="X432" s="120"/>
      <c r="Y432" s="120"/>
      <c r="Z432" s="120"/>
      <c r="AA432" s="120"/>
    </row>
    <row r="433">
      <c r="A433" s="120"/>
      <c r="B433" s="120"/>
      <c r="C433" s="120"/>
      <c r="D433" s="120"/>
      <c r="E433" s="120"/>
      <c r="F433" s="120"/>
      <c r="G433" s="120"/>
      <c r="H433" s="120"/>
      <c r="I433" s="120"/>
      <c r="J433" s="120"/>
      <c r="K433" s="120"/>
      <c r="L433" s="120"/>
      <c r="M433" s="120"/>
      <c r="N433" s="120"/>
      <c r="O433" s="120"/>
      <c r="P433" s="120"/>
      <c r="Q433" s="120"/>
      <c r="R433" s="120"/>
      <c r="S433" s="120"/>
      <c r="T433" s="120"/>
      <c r="U433" s="120"/>
      <c r="V433" s="120"/>
      <c r="W433" s="120"/>
      <c r="X433" s="120"/>
      <c r="Y433" s="120"/>
      <c r="Z433" s="120"/>
      <c r="AA433" s="120"/>
    </row>
    <row r="434">
      <c r="A434" s="120"/>
      <c r="B434" s="120"/>
      <c r="C434" s="120"/>
      <c r="D434" s="120"/>
      <c r="E434" s="120"/>
      <c r="F434" s="120"/>
      <c r="G434" s="120"/>
      <c r="H434" s="120"/>
      <c r="I434" s="120"/>
      <c r="J434" s="120"/>
      <c r="K434" s="120"/>
      <c r="L434" s="120"/>
      <c r="M434" s="120"/>
      <c r="N434" s="120"/>
      <c r="O434" s="120"/>
      <c r="P434" s="120"/>
      <c r="Q434" s="120"/>
      <c r="R434" s="120"/>
      <c r="S434" s="120"/>
      <c r="T434" s="120"/>
      <c r="U434" s="120"/>
      <c r="V434" s="120"/>
      <c r="W434" s="120"/>
      <c r="X434" s="120"/>
      <c r="Y434" s="120"/>
      <c r="Z434" s="120"/>
      <c r="AA434" s="120"/>
    </row>
    <row r="435">
      <c r="A435" s="120"/>
      <c r="B435" s="120"/>
      <c r="C435" s="120"/>
      <c r="D435" s="120"/>
      <c r="E435" s="120"/>
      <c r="F435" s="120"/>
      <c r="G435" s="120"/>
      <c r="H435" s="120"/>
      <c r="I435" s="120"/>
      <c r="J435" s="120"/>
      <c r="K435" s="120"/>
      <c r="L435" s="120"/>
      <c r="M435" s="120"/>
      <c r="N435" s="120"/>
      <c r="O435" s="120"/>
      <c r="P435" s="120"/>
      <c r="Q435" s="120"/>
      <c r="R435" s="120"/>
      <c r="S435" s="120"/>
      <c r="T435" s="120"/>
      <c r="U435" s="120"/>
      <c r="V435" s="120"/>
      <c r="W435" s="120"/>
      <c r="X435" s="120"/>
      <c r="Y435" s="120"/>
      <c r="Z435" s="120"/>
      <c r="AA435" s="120"/>
    </row>
    <row r="436">
      <c r="A436" s="120"/>
      <c r="B436" s="120"/>
      <c r="C436" s="120"/>
      <c r="D436" s="120"/>
      <c r="E436" s="120"/>
      <c r="F436" s="120"/>
      <c r="G436" s="120"/>
      <c r="H436" s="120"/>
      <c r="I436" s="120"/>
      <c r="J436" s="120"/>
      <c r="K436" s="120"/>
      <c r="L436" s="120"/>
      <c r="M436" s="120"/>
      <c r="N436" s="120"/>
      <c r="O436" s="120"/>
      <c r="P436" s="120"/>
      <c r="Q436" s="120"/>
      <c r="R436" s="120"/>
      <c r="S436" s="120"/>
      <c r="T436" s="120"/>
      <c r="U436" s="120"/>
      <c r="V436" s="120"/>
      <c r="W436" s="120"/>
      <c r="X436" s="120"/>
      <c r="Y436" s="120"/>
      <c r="Z436" s="120"/>
      <c r="AA436" s="120"/>
    </row>
    <row r="437">
      <c r="A437" s="120"/>
      <c r="B437" s="120"/>
      <c r="C437" s="120"/>
      <c r="D437" s="120"/>
      <c r="E437" s="120"/>
      <c r="F437" s="120"/>
      <c r="G437" s="120"/>
      <c r="H437" s="120"/>
      <c r="I437" s="120"/>
      <c r="J437" s="120"/>
      <c r="K437" s="120"/>
      <c r="L437" s="120"/>
      <c r="M437" s="120"/>
      <c r="N437" s="120"/>
      <c r="O437" s="120"/>
      <c r="P437" s="120"/>
      <c r="Q437" s="120"/>
      <c r="R437" s="120"/>
      <c r="S437" s="120"/>
      <c r="T437" s="120"/>
      <c r="U437" s="120"/>
      <c r="V437" s="120"/>
      <c r="W437" s="120"/>
      <c r="X437" s="120"/>
      <c r="Y437" s="120"/>
      <c r="Z437" s="120"/>
      <c r="AA437" s="120"/>
    </row>
    <row r="438">
      <c r="A438" s="120"/>
      <c r="B438" s="120"/>
      <c r="C438" s="120"/>
      <c r="D438" s="120"/>
      <c r="E438" s="120"/>
      <c r="F438" s="120"/>
      <c r="G438" s="120"/>
      <c r="H438" s="120"/>
      <c r="I438" s="120"/>
      <c r="J438" s="120"/>
      <c r="K438" s="120"/>
      <c r="L438" s="120"/>
      <c r="M438" s="120"/>
      <c r="N438" s="120"/>
      <c r="O438" s="120"/>
      <c r="P438" s="120"/>
      <c r="Q438" s="120"/>
      <c r="R438" s="120"/>
      <c r="S438" s="120"/>
      <c r="T438" s="120"/>
      <c r="U438" s="120"/>
      <c r="V438" s="120"/>
      <c r="W438" s="120"/>
      <c r="X438" s="120"/>
      <c r="Y438" s="120"/>
      <c r="Z438" s="120"/>
      <c r="AA438" s="120"/>
    </row>
    <row r="439">
      <c r="A439" s="120"/>
      <c r="B439" s="120"/>
      <c r="C439" s="120"/>
      <c r="D439" s="120"/>
      <c r="E439" s="120"/>
      <c r="F439" s="120"/>
      <c r="G439" s="120"/>
      <c r="H439" s="120"/>
      <c r="I439" s="120"/>
      <c r="J439" s="120"/>
      <c r="K439" s="120"/>
      <c r="L439" s="120"/>
      <c r="M439" s="120"/>
      <c r="N439" s="120"/>
      <c r="O439" s="120"/>
      <c r="P439" s="120"/>
      <c r="Q439" s="120"/>
      <c r="R439" s="120"/>
      <c r="S439" s="120"/>
      <c r="T439" s="120"/>
      <c r="U439" s="120"/>
      <c r="V439" s="120"/>
      <c r="W439" s="120"/>
      <c r="X439" s="120"/>
      <c r="Y439" s="120"/>
      <c r="Z439" s="120"/>
      <c r="AA439" s="120"/>
    </row>
    <row r="440">
      <c r="A440" s="120"/>
      <c r="B440" s="120"/>
      <c r="C440" s="120"/>
      <c r="D440" s="120"/>
      <c r="E440" s="120"/>
      <c r="F440" s="120"/>
      <c r="G440" s="120"/>
      <c r="H440" s="120"/>
      <c r="I440" s="120"/>
      <c r="J440" s="120"/>
      <c r="K440" s="120"/>
      <c r="L440" s="120"/>
      <c r="M440" s="120"/>
      <c r="N440" s="120"/>
      <c r="O440" s="120"/>
      <c r="P440" s="120"/>
      <c r="Q440" s="120"/>
      <c r="R440" s="120"/>
      <c r="S440" s="120"/>
      <c r="T440" s="120"/>
      <c r="U440" s="120"/>
      <c r="V440" s="120"/>
      <c r="W440" s="120"/>
      <c r="X440" s="120"/>
      <c r="Y440" s="120"/>
      <c r="Z440" s="120"/>
      <c r="AA440" s="120"/>
    </row>
    <row r="441">
      <c r="A441" s="120"/>
      <c r="B441" s="120"/>
      <c r="C441" s="120"/>
      <c r="D441" s="120"/>
      <c r="E441" s="120"/>
      <c r="F441" s="120"/>
      <c r="G441" s="120"/>
      <c r="H441" s="120"/>
      <c r="I441" s="120"/>
      <c r="J441" s="120"/>
      <c r="K441" s="120"/>
      <c r="L441" s="120"/>
      <c r="M441" s="120"/>
      <c r="N441" s="120"/>
      <c r="O441" s="120"/>
      <c r="P441" s="120"/>
      <c r="Q441" s="120"/>
      <c r="R441" s="120"/>
      <c r="S441" s="120"/>
      <c r="T441" s="120"/>
      <c r="U441" s="120"/>
      <c r="V441" s="120"/>
      <c r="W441" s="120"/>
      <c r="X441" s="120"/>
      <c r="Y441" s="120"/>
      <c r="Z441" s="120"/>
      <c r="AA441" s="120"/>
    </row>
    <row r="442">
      <c r="A442" s="120"/>
      <c r="B442" s="120"/>
      <c r="C442" s="120"/>
      <c r="D442" s="120"/>
      <c r="E442" s="120"/>
      <c r="F442" s="120"/>
      <c r="G442" s="120"/>
      <c r="H442" s="120"/>
      <c r="I442" s="120"/>
      <c r="J442" s="120"/>
      <c r="K442" s="120"/>
      <c r="L442" s="120"/>
      <c r="M442" s="120"/>
      <c r="N442" s="120"/>
      <c r="O442" s="120"/>
      <c r="P442" s="120"/>
      <c r="Q442" s="120"/>
      <c r="R442" s="120"/>
      <c r="S442" s="120"/>
      <c r="T442" s="120"/>
      <c r="U442" s="120"/>
      <c r="V442" s="120"/>
      <c r="W442" s="120"/>
      <c r="X442" s="120"/>
      <c r="Y442" s="120"/>
      <c r="Z442" s="120"/>
      <c r="AA442" s="120"/>
    </row>
    <row r="443">
      <c r="A443" s="120"/>
      <c r="B443" s="120"/>
      <c r="C443" s="120"/>
      <c r="D443" s="120"/>
      <c r="E443" s="120"/>
      <c r="F443" s="120"/>
      <c r="G443" s="120"/>
      <c r="H443" s="120"/>
      <c r="I443" s="120"/>
      <c r="J443" s="120"/>
      <c r="K443" s="120"/>
      <c r="L443" s="120"/>
      <c r="M443" s="120"/>
      <c r="N443" s="120"/>
      <c r="O443" s="120"/>
      <c r="P443" s="120"/>
      <c r="Q443" s="120"/>
      <c r="R443" s="120"/>
      <c r="S443" s="120"/>
      <c r="T443" s="120"/>
      <c r="U443" s="120"/>
      <c r="V443" s="120"/>
      <c r="W443" s="120"/>
      <c r="X443" s="120"/>
      <c r="Y443" s="120"/>
      <c r="Z443" s="120"/>
      <c r="AA443" s="120"/>
    </row>
    <row r="444">
      <c r="A444" s="120"/>
      <c r="B444" s="120"/>
      <c r="C444" s="120"/>
      <c r="D444" s="120"/>
      <c r="E444" s="120"/>
      <c r="F444" s="120"/>
      <c r="G444" s="120"/>
      <c r="H444" s="120"/>
      <c r="I444" s="120"/>
      <c r="J444" s="120"/>
      <c r="K444" s="120"/>
      <c r="L444" s="120"/>
      <c r="M444" s="120"/>
      <c r="N444" s="120"/>
      <c r="O444" s="120"/>
      <c r="P444" s="120"/>
      <c r="Q444" s="120"/>
      <c r="R444" s="120"/>
      <c r="S444" s="120"/>
      <c r="T444" s="120"/>
      <c r="U444" s="120"/>
      <c r="V444" s="120"/>
      <c r="W444" s="120"/>
      <c r="X444" s="120"/>
      <c r="Y444" s="120"/>
      <c r="Z444" s="120"/>
      <c r="AA444" s="120"/>
    </row>
    <row r="445">
      <c r="A445" s="120"/>
      <c r="B445" s="120"/>
      <c r="C445" s="120"/>
      <c r="D445" s="120"/>
      <c r="E445" s="120"/>
      <c r="F445" s="120"/>
      <c r="G445" s="120"/>
      <c r="H445" s="120"/>
      <c r="I445" s="120"/>
      <c r="J445" s="120"/>
      <c r="K445" s="120"/>
      <c r="L445" s="120"/>
      <c r="M445" s="120"/>
      <c r="N445" s="120"/>
      <c r="O445" s="120"/>
      <c r="P445" s="120"/>
      <c r="Q445" s="120"/>
      <c r="R445" s="120"/>
      <c r="S445" s="120"/>
      <c r="T445" s="120"/>
      <c r="U445" s="120"/>
      <c r="V445" s="120"/>
      <c r="W445" s="120"/>
      <c r="X445" s="120"/>
      <c r="Y445" s="120"/>
      <c r="Z445" s="120"/>
      <c r="AA445" s="120"/>
    </row>
    <row r="446">
      <c r="A446" s="120"/>
      <c r="B446" s="120"/>
      <c r="C446" s="120"/>
      <c r="D446" s="120"/>
      <c r="E446" s="120"/>
      <c r="F446" s="120"/>
      <c r="G446" s="120"/>
      <c r="H446" s="120"/>
      <c r="I446" s="120"/>
      <c r="J446" s="120"/>
      <c r="K446" s="120"/>
      <c r="L446" s="120"/>
      <c r="M446" s="120"/>
      <c r="N446" s="120"/>
      <c r="O446" s="120"/>
      <c r="P446" s="120"/>
      <c r="Q446" s="120"/>
      <c r="R446" s="120"/>
      <c r="S446" s="120"/>
      <c r="T446" s="120"/>
      <c r="U446" s="120"/>
      <c r="V446" s="120"/>
      <c r="W446" s="120"/>
      <c r="X446" s="120"/>
      <c r="Y446" s="120"/>
      <c r="Z446" s="120"/>
      <c r="AA446" s="120"/>
    </row>
    <row r="447">
      <c r="A447" s="120"/>
      <c r="B447" s="120"/>
      <c r="C447" s="120"/>
      <c r="D447" s="120"/>
      <c r="E447" s="120"/>
      <c r="F447" s="120"/>
      <c r="G447" s="120"/>
      <c r="H447" s="120"/>
      <c r="I447" s="120"/>
      <c r="J447" s="120"/>
      <c r="K447" s="120"/>
      <c r="L447" s="120"/>
      <c r="M447" s="120"/>
      <c r="N447" s="120"/>
      <c r="O447" s="120"/>
      <c r="P447" s="120"/>
      <c r="Q447" s="120"/>
      <c r="R447" s="120"/>
      <c r="S447" s="120"/>
      <c r="T447" s="120"/>
      <c r="U447" s="120"/>
      <c r="V447" s="120"/>
      <c r="W447" s="120"/>
      <c r="X447" s="120"/>
      <c r="Y447" s="120"/>
      <c r="Z447" s="120"/>
      <c r="AA447" s="120"/>
    </row>
    <row r="448">
      <c r="A448" s="120"/>
      <c r="B448" s="120"/>
      <c r="C448" s="120"/>
      <c r="D448" s="120"/>
      <c r="E448" s="120"/>
      <c r="F448" s="120"/>
      <c r="G448" s="120"/>
      <c r="H448" s="120"/>
      <c r="I448" s="120"/>
      <c r="J448" s="120"/>
      <c r="K448" s="120"/>
      <c r="L448" s="120"/>
      <c r="M448" s="120"/>
      <c r="N448" s="120"/>
      <c r="O448" s="120"/>
      <c r="P448" s="120"/>
      <c r="Q448" s="120"/>
      <c r="R448" s="120"/>
      <c r="S448" s="120"/>
      <c r="T448" s="120"/>
      <c r="U448" s="120"/>
      <c r="V448" s="120"/>
      <c r="W448" s="120"/>
      <c r="X448" s="120"/>
      <c r="Y448" s="120"/>
      <c r="Z448" s="120"/>
      <c r="AA448" s="120"/>
    </row>
    <row r="449">
      <c r="A449" s="120"/>
      <c r="B449" s="120"/>
      <c r="C449" s="120"/>
      <c r="D449" s="120"/>
      <c r="E449" s="120"/>
      <c r="F449" s="120"/>
      <c r="G449" s="120"/>
      <c r="H449" s="120"/>
      <c r="I449" s="120"/>
      <c r="J449" s="120"/>
      <c r="K449" s="120"/>
      <c r="L449" s="120"/>
      <c r="M449" s="120"/>
      <c r="N449" s="120"/>
      <c r="O449" s="120"/>
      <c r="P449" s="120"/>
      <c r="Q449" s="120"/>
      <c r="R449" s="120"/>
      <c r="S449" s="120"/>
      <c r="T449" s="120"/>
      <c r="U449" s="120"/>
      <c r="V449" s="120"/>
      <c r="W449" s="120"/>
      <c r="X449" s="120"/>
      <c r="Y449" s="120"/>
      <c r="Z449" s="120"/>
      <c r="AA449" s="120"/>
    </row>
    <row r="450">
      <c r="A450" s="120"/>
      <c r="B450" s="120"/>
      <c r="C450" s="120"/>
      <c r="D450" s="120"/>
      <c r="E450" s="120"/>
      <c r="F450" s="120"/>
      <c r="G450" s="120"/>
      <c r="H450" s="120"/>
      <c r="I450" s="120"/>
      <c r="J450" s="120"/>
      <c r="K450" s="120"/>
      <c r="L450" s="120"/>
      <c r="M450" s="120"/>
      <c r="N450" s="120"/>
      <c r="O450" s="120"/>
      <c r="P450" s="120"/>
      <c r="Q450" s="120"/>
      <c r="R450" s="120"/>
      <c r="S450" s="120"/>
      <c r="T450" s="120"/>
      <c r="U450" s="120"/>
      <c r="V450" s="120"/>
      <c r="W450" s="120"/>
      <c r="X450" s="120"/>
      <c r="Y450" s="120"/>
      <c r="Z450" s="120"/>
      <c r="AA450" s="120"/>
    </row>
    <row r="451">
      <c r="A451" s="120"/>
      <c r="B451" s="120"/>
      <c r="C451" s="120"/>
      <c r="D451" s="120"/>
      <c r="E451" s="120"/>
      <c r="F451" s="120"/>
      <c r="G451" s="120"/>
      <c r="H451" s="120"/>
      <c r="I451" s="120"/>
      <c r="J451" s="120"/>
      <c r="K451" s="120"/>
      <c r="L451" s="120"/>
      <c r="M451" s="120"/>
      <c r="N451" s="120"/>
      <c r="O451" s="120"/>
      <c r="P451" s="120"/>
      <c r="Q451" s="120"/>
      <c r="R451" s="120"/>
      <c r="S451" s="120"/>
      <c r="T451" s="120"/>
      <c r="U451" s="120"/>
      <c r="V451" s="120"/>
      <c r="W451" s="120"/>
      <c r="X451" s="120"/>
      <c r="Y451" s="120"/>
      <c r="Z451" s="120"/>
      <c r="AA451" s="120"/>
    </row>
    <row r="452">
      <c r="A452" s="120"/>
      <c r="B452" s="120"/>
      <c r="C452" s="120"/>
      <c r="D452" s="120"/>
      <c r="E452" s="120"/>
      <c r="F452" s="120"/>
      <c r="G452" s="120"/>
      <c r="H452" s="120"/>
      <c r="I452" s="120"/>
      <c r="J452" s="120"/>
      <c r="K452" s="120"/>
      <c r="L452" s="120"/>
      <c r="M452" s="120"/>
      <c r="N452" s="120"/>
      <c r="O452" s="120"/>
      <c r="P452" s="120"/>
      <c r="Q452" s="120"/>
      <c r="R452" s="120"/>
      <c r="S452" s="120"/>
      <c r="T452" s="120"/>
      <c r="U452" s="120"/>
      <c r="V452" s="120"/>
      <c r="W452" s="120"/>
      <c r="X452" s="120"/>
      <c r="Y452" s="120"/>
      <c r="Z452" s="120"/>
      <c r="AA452" s="120"/>
    </row>
    <row r="453">
      <c r="A453" s="120"/>
      <c r="B453" s="120"/>
      <c r="C453" s="120"/>
      <c r="D453" s="120"/>
      <c r="E453" s="120"/>
      <c r="F453" s="120"/>
      <c r="G453" s="120"/>
      <c r="H453" s="120"/>
      <c r="I453" s="120"/>
      <c r="J453" s="120"/>
      <c r="K453" s="120"/>
      <c r="L453" s="120"/>
      <c r="M453" s="120"/>
      <c r="N453" s="120"/>
      <c r="O453" s="120"/>
      <c r="P453" s="120"/>
      <c r="Q453" s="120"/>
      <c r="R453" s="120"/>
      <c r="S453" s="120"/>
      <c r="T453" s="120"/>
      <c r="U453" s="120"/>
      <c r="V453" s="120"/>
      <c r="W453" s="120"/>
      <c r="X453" s="120"/>
      <c r="Y453" s="120"/>
      <c r="Z453" s="120"/>
      <c r="AA453" s="120"/>
    </row>
    <row r="454">
      <c r="A454" s="120"/>
      <c r="B454" s="120"/>
      <c r="C454" s="120"/>
      <c r="D454" s="120"/>
      <c r="E454" s="120"/>
      <c r="F454" s="120"/>
      <c r="G454" s="120"/>
      <c r="H454" s="120"/>
      <c r="I454" s="120"/>
      <c r="J454" s="120"/>
      <c r="K454" s="120"/>
      <c r="L454" s="120"/>
      <c r="M454" s="120"/>
      <c r="N454" s="120"/>
      <c r="O454" s="120"/>
      <c r="P454" s="120"/>
      <c r="Q454" s="120"/>
      <c r="R454" s="120"/>
      <c r="S454" s="120"/>
      <c r="T454" s="120"/>
      <c r="U454" s="120"/>
      <c r="V454" s="120"/>
      <c r="W454" s="120"/>
      <c r="X454" s="120"/>
      <c r="Y454" s="120"/>
      <c r="Z454" s="120"/>
      <c r="AA454" s="120"/>
    </row>
    <row r="455">
      <c r="A455" s="120"/>
      <c r="B455" s="120"/>
      <c r="C455" s="120"/>
      <c r="D455" s="120"/>
      <c r="E455" s="120"/>
      <c r="F455" s="120"/>
      <c r="G455" s="120"/>
      <c r="H455" s="120"/>
      <c r="I455" s="120"/>
      <c r="J455" s="120"/>
      <c r="K455" s="120"/>
      <c r="L455" s="120"/>
      <c r="M455" s="120"/>
      <c r="N455" s="120"/>
      <c r="O455" s="120"/>
      <c r="P455" s="120"/>
      <c r="Q455" s="120"/>
      <c r="R455" s="120"/>
      <c r="S455" s="120"/>
      <c r="T455" s="120"/>
      <c r="U455" s="120"/>
      <c r="V455" s="120"/>
      <c r="W455" s="120"/>
      <c r="X455" s="120"/>
      <c r="Y455" s="120"/>
      <c r="Z455" s="120"/>
      <c r="AA455" s="120"/>
    </row>
    <row r="456">
      <c r="A456" s="120"/>
      <c r="B456" s="120"/>
      <c r="C456" s="120"/>
      <c r="D456" s="120"/>
      <c r="E456" s="120"/>
      <c r="F456" s="120"/>
      <c r="G456" s="120"/>
      <c r="H456" s="120"/>
      <c r="I456" s="120"/>
      <c r="J456" s="120"/>
      <c r="K456" s="120"/>
      <c r="L456" s="120"/>
      <c r="M456" s="120"/>
      <c r="N456" s="120"/>
      <c r="O456" s="120"/>
      <c r="P456" s="120"/>
      <c r="Q456" s="120"/>
      <c r="R456" s="120"/>
      <c r="S456" s="120"/>
      <c r="T456" s="120"/>
      <c r="U456" s="120"/>
      <c r="V456" s="120"/>
      <c r="W456" s="120"/>
      <c r="X456" s="120"/>
      <c r="Y456" s="120"/>
      <c r="Z456" s="120"/>
      <c r="AA456" s="120"/>
    </row>
    <row r="457">
      <c r="A457" s="120"/>
      <c r="B457" s="120"/>
      <c r="C457" s="120"/>
      <c r="D457" s="120"/>
      <c r="E457" s="120"/>
      <c r="F457" s="120"/>
      <c r="G457" s="120"/>
      <c r="H457" s="120"/>
      <c r="I457" s="120"/>
      <c r="J457" s="120"/>
      <c r="K457" s="120"/>
      <c r="L457" s="120"/>
      <c r="M457" s="120"/>
      <c r="N457" s="120"/>
      <c r="O457" s="120"/>
      <c r="P457" s="120"/>
      <c r="Q457" s="120"/>
      <c r="R457" s="120"/>
      <c r="S457" s="120"/>
      <c r="T457" s="120"/>
      <c r="U457" s="120"/>
      <c r="V457" s="120"/>
      <c r="W457" s="120"/>
      <c r="X457" s="120"/>
      <c r="Y457" s="120"/>
      <c r="Z457" s="120"/>
      <c r="AA457" s="120"/>
    </row>
    <row r="458">
      <c r="A458" s="120"/>
      <c r="B458" s="120"/>
      <c r="C458" s="120"/>
      <c r="D458" s="120"/>
      <c r="E458" s="120"/>
      <c r="F458" s="120"/>
      <c r="G458" s="120"/>
      <c r="H458" s="120"/>
      <c r="I458" s="120"/>
      <c r="J458" s="120"/>
      <c r="K458" s="120"/>
      <c r="L458" s="120"/>
      <c r="M458" s="120"/>
      <c r="N458" s="120"/>
      <c r="O458" s="120"/>
      <c r="P458" s="120"/>
      <c r="Q458" s="120"/>
      <c r="R458" s="120"/>
      <c r="S458" s="120"/>
      <c r="T458" s="120"/>
      <c r="U458" s="120"/>
      <c r="V458" s="120"/>
      <c r="W458" s="120"/>
      <c r="X458" s="120"/>
      <c r="Y458" s="120"/>
      <c r="Z458" s="120"/>
      <c r="AA458" s="120"/>
    </row>
    <row r="459">
      <c r="A459" s="120"/>
      <c r="B459" s="120"/>
      <c r="C459" s="120"/>
      <c r="D459" s="120"/>
      <c r="E459" s="120"/>
      <c r="F459" s="120"/>
      <c r="G459" s="120"/>
      <c r="H459" s="120"/>
      <c r="I459" s="120"/>
      <c r="J459" s="120"/>
      <c r="K459" s="120"/>
      <c r="L459" s="120"/>
      <c r="M459" s="120"/>
      <c r="N459" s="120"/>
      <c r="O459" s="120"/>
      <c r="P459" s="120"/>
      <c r="Q459" s="120"/>
      <c r="R459" s="120"/>
      <c r="S459" s="120"/>
      <c r="T459" s="120"/>
      <c r="U459" s="120"/>
      <c r="V459" s="120"/>
      <c r="W459" s="120"/>
      <c r="X459" s="120"/>
      <c r="Y459" s="120"/>
      <c r="Z459" s="120"/>
      <c r="AA459" s="120"/>
    </row>
    <row r="460">
      <c r="A460" s="120"/>
      <c r="B460" s="120"/>
      <c r="C460" s="120"/>
      <c r="D460" s="120"/>
      <c r="E460" s="120"/>
      <c r="F460" s="120"/>
      <c r="G460" s="120"/>
      <c r="H460" s="120"/>
      <c r="I460" s="120"/>
      <c r="J460" s="120"/>
      <c r="K460" s="120"/>
      <c r="L460" s="120"/>
      <c r="M460" s="120"/>
      <c r="N460" s="120"/>
      <c r="O460" s="120"/>
      <c r="P460" s="120"/>
      <c r="Q460" s="120"/>
      <c r="R460" s="120"/>
      <c r="S460" s="120"/>
      <c r="T460" s="120"/>
      <c r="U460" s="120"/>
      <c r="V460" s="120"/>
      <c r="W460" s="120"/>
      <c r="X460" s="120"/>
      <c r="Y460" s="120"/>
      <c r="Z460" s="120"/>
      <c r="AA460" s="120"/>
    </row>
    <row r="461">
      <c r="A461" s="120"/>
      <c r="B461" s="120"/>
      <c r="C461" s="120"/>
      <c r="D461" s="120"/>
      <c r="E461" s="120"/>
      <c r="F461" s="120"/>
      <c r="G461" s="120"/>
      <c r="H461" s="120"/>
      <c r="I461" s="120"/>
      <c r="J461" s="120"/>
      <c r="K461" s="120"/>
      <c r="L461" s="120"/>
      <c r="M461" s="120"/>
      <c r="N461" s="120"/>
      <c r="O461" s="120"/>
      <c r="P461" s="120"/>
      <c r="Q461" s="120"/>
      <c r="R461" s="120"/>
      <c r="S461" s="120"/>
      <c r="T461" s="120"/>
      <c r="U461" s="120"/>
      <c r="V461" s="120"/>
      <c r="W461" s="120"/>
      <c r="X461" s="120"/>
      <c r="Y461" s="120"/>
      <c r="Z461" s="120"/>
      <c r="AA461" s="120"/>
    </row>
    <row r="462">
      <c r="A462" s="120"/>
      <c r="B462" s="120"/>
      <c r="C462" s="120"/>
      <c r="D462" s="120"/>
      <c r="E462" s="120"/>
      <c r="F462" s="120"/>
      <c r="G462" s="120"/>
      <c r="H462" s="120"/>
      <c r="I462" s="120"/>
      <c r="J462" s="120"/>
      <c r="K462" s="120"/>
      <c r="L462" s="120"/>
      <c r="M462" s="120"/>
      <c r="N462" s="120"/>
      <c r="O462" s="120"/>
      <c r="P462" s="120"/>
      <c r="Q462" s="120"/>
      <c r="R462" s="120"/>
      <c r="S462" s="120"/>
      <c r="T462" s="120"/>
      <c r="U462" s="120"/>
      <c r="V462" s="120"/>
      <c r="W462" s="120"/>
      <c r="X462" s="120"/>
      <c r="Y462" s="120"/>
      <c r="Z462" s="120"/>
      <c r="AA462" s="120"/>
    </row>
    <row r="463">
      <c r="A463" s="120"/>
      <c r="B463" s="120"/>
      <c r="C463" s="120"/>
      <c r="D463" s="120"/>
      <c r="E463" s="120"/>
      <c r="F463" s="120"/>
      <c r="G463" s="120"/>
      <c r="H463" s="120"/>
      <c r="I463" s="120"/>
      <c r="J463" s="120"/>
      <c r="K463" s="120"/>
      <c r="L463" s="120"/>
      <c r="M463" s="120"/>
      <c r="N463" s="120"/>
      <c r="O463" s="120"/>
      <c r="P463" s="120"/>
      <c r="Q463" s="120"/>
      <c r="R463" s="120"/>
      <c r="S463" s="120"/>
      <c r="T463" s="120"/>
      <c r="U463" s="120"/>
      <c r="V463" s="120"/>
      <c r="W463" s="120"/>
      <c r="X463" s="120"/>
      <c r="Y463" s="120"/>
      <c r="Z463" s="120"/>
      <c r="AA463" s="120"/>
    </row>
    <row r="464">
      <c r="A464" s="120"/>
      <c r="B464" s="120"/>
      <c r="C464" s="120"/>
      <c r="D464" s="120"/>
      <c r="E464" s="120"/>
      <c r="F464" s="120"/>
      <c r="G464" s="120"/>
      <c r="H464" s="120"/>
      <c r="I464" s="120"/>
      <c r="J464" s="120"/>
      <c r="K464" s="120"/>
      <c r="L464" s="120"/>
      <c r="M464" s="120"/>
      <c r="N464" s="120"/>
      <c r="O464" s="120"/>
      <c r="P464" s="120"/>
      <c r="Q464" s="120"/>
      <c r="R464" s="120"/>
      <c r="S464" s="120"/>
      <c r="T464" s="120"/>
      <c r="U464" s="120"/>
      <c r="V464" s="120"/>
      <c r="W464" s="120"/>
      <c r="X464" s="120"/>
      <c r="Y464" s="120"/>
      <c r="Z464" s="120"/>
      <c r="AA464" s="120"/>
    </row>
    <row r="465">
      <c r="A465" s="120"/>
      <c r="B465" s="120"/>
      <c r="C465" s="120"/>
      <c r="D465" s="120"/>
      <c r="E465" s="120"/>
      <c r="F465" s="120"/>
      <c r="G465" s="120"/>
      <c r="H465" s="120"/>
      <c r="I465" s="120"/>
      <c r="J465" s="120"/>
      <c r="K465" s="120"/>
      <c r="L465" s="120"/>
      <c r="M465" s="120"/>
      <c r="N465" s="120"/>
      <c r="O465" s="120"/>
      <c r="P465" s="120"/>
      <c r="Q465" s="120"/>
      <c r="R465" s="120"/>
      <c r="S465" s="120"/>
      <c r="T465" s="120"/>
      <c r="U465" s="120"/>
      <c r="V465" s="120"/>
      <c r="W465" s="120"/>
      <c r="X465" s="120"/>
      <c r="Y465" s="120"/>
      <c r="Z465" s="120"/>
      <c r="AA465" s="120"/>
    </row>
    <row r="466">
      <c r="A466" s="120"/>
      <c r="B466" s="120"/>
      <c r="C466" s="120"/>
      <c r="D466" s="120"/>
      <c r="E466" s="120"/>
      <c r="F466" s="120"/>
      <c r="G466" s="120"/>
      <c r="H466" s="120"/>
      <c r="I466" s="120"/>
      <c r="J466" s="120"/>
      <c r="K466" s="120"/>
      <c r="L466" s="120"/>
      <c r="M466" s="120"/>
      <c r="N466" s="120"/>
      <c r="O466" s="120"/>
      <c r="P466" s="120"/>
      <c r="Q466" s="120"/>
      <c r="R466" s="120"/>
      <c r="S466" s="120"/>
      <c r="T466" s="120"/>
      <c r="U466" s="120"/>
      <c r="V466" s="120"/>
      <c r="W466" s="120"/>
      <c r="X466" s="120"/>
      <c r="Y466" s="120"/>
      <c r="Z466" s="120"/>
      <c r="AA466" s="120"/>
    </row>
    <row r="467">
      <c r="A467" s="120"/>
      <c r="B467" s="120"/>
      <c r="C467" s="120"/>
      <c r="D467" s="120"/>
      <c r="E467" s="120"/>
      <c r="F467" s="120"/>
      <c r="G467" s="120"/>
      <c r="H467" s="120"/>
      <c r="I467" s="120"/>
      <c r="J467" s="120"/>
      <c r="K467" s="120"/>
      <c r="L467" s="120"/>
      <c r="M467" s="120"/>
      <c r="N467" s="120"/>
      <c r="O467" s="120"/>
      <c r="P467" s="120"/>
      <c r="Q467" s="120"/>
      <c r="R467" s="120"/>
      <c r="S467" s="120"/>
      <c r="T467" s="120"/>
      <c r="U467" s="120"/>
      <c r="V467" s="120"/>
      <c r="W467" s="120"/>
      <c r="X467" s="120"/>
      <c r="Y467" s="120"/>
      <c r="Z467" s="120"/>
      <c r="AA467" s="120"/>
    </row>
    <row r="468">
      <c r="A468" s="120"/>
      <c r="B468" s="120"/>
      <c r="C468" s="120"/>
      <c r="D468" s="120"/>
      <c r="E468" s="120"/>
      <c r="F468" s="120"/>
      <c r="G468" s="120"/>
      <c r="H468" s="120"/>
      <c r="I468" s="120"/>
      <c r="J468" s="120"/>
      <c r="K468" s="120"/>
      <c r="L468" s="120"/>
      <c r="M468" s="120"/>
      <c r="N468" s="120"/>
      <c r="O468" s="120"/>
      <c r="P468" s="120"/>
      <c r="Q468" s="120"/>
      <c r="R468" s="120"/>
      <c r="S468" s="120"/>
      <c r="T468" s="120"/>
      <c r="U468" s="120"/>
      <c r="V468" s="120"/>
      <c r="W468" s="120"/>
      <c r="X468" s="120"/>
      <c r="Y468" s="120"/>
      <c r="Z468" s="120"/>
      <c r="AA468" s="120"/>
    </row>
    <row r="469">
      <c r="A469" s="120"/>
      <c r="B469" s="120"/>
      <c r="C469" s="120"/>
      <c r="D469" s="120"/>
      <c r="E469" s="120"/>
      <c r="F469" s="120"/>
      <c r="G469" s="120"/>
      <c r="H469" s="120"/>
      <c r="I469" s="120"/>
      <c r="J469" s="120"/>
      <c r="K469" s="120"/>
      <c r="L469" s="120"/>
      <c r="M469" s="120"/>
      <c r="N469" s="120"/>
      <c r="O469" s="120"/>
      <c r="P469" s="120"/>
      <c r="Q469" s="120"/>
      <c r="R469" s="120"/>
      <c r="S469" s="120"/>
      <c r="T469" s="120"/>
      <c r="U469" s="120"/>
      <c r="V469" s="120"/>
      <c r="W469" s="120"/>
      <c r="X469" s="120"/>
      <c r="Y469" s="120"/>
      <c r="Z469" s="120"/>
      <c r="AA469" s="120"/>
    </row>
    <row r="470">
      <c r="A470" s="120"/>
      <c r="B470" s="120"/>
      <c r="C470" s="120"/>
      <c r="D470" s="120"/>
      <c r="E470" s="120"/>
      <c r="F470" s="120"/>
      <c r="G470" s="120"/>
      <c r="H470" s="120"/>
      <c r="I470" s="120"/>
      <c r="J470" s="120"/>
      <c r="K470" s="120"/>
      <c r="L470" s="120"/>
      <c r="M470" s="120"/>
      <c r="N470" s="120"/>
      <c r="O470" s="120"/>
      <c r="P470" s="120"/>
      <c r="Q470" s="120"/>
      <c r="R470" s="120"/>
      <c r="S470" s="120"/>
      <c r="T470" s="120"/>
      <c r="U470" s="120"/>
      <c r="V470" s="120"/>
      <c r="W470" s="120"/>
      <c r="X470" s="120"/>
      <c r="Y470" s="120"/>
      <c r="Z470" s="120"/>
      <c r="AA470" s="120"/>
    </row>
    <row r="471">
      <c r="A471" s="120"/>
      <c r="B471" s="120"/>
      <c r="C471" s="120"/>
      <c r="D471" s="120"/>
      <c r="E471" s="120"/>
      <c r="F471" s="120"/>
      <c r="G471" s="120"/>
      <c r="H471" s="120"/>
      <c r="I471" s="120"/>
      <c r="J471" s="120"/>
      <c r="K471" s="120"/>
      <c r="L471" s="120"/>
      <c r="M471" s="120"/>
      <c r="N471" s="120"/>
      <c r="O471" s="120"/>
      <c r="P471" s="120"/>
      <c r="Q471" s="120"/>
      <c r="R471" s="120"/>
      <c r="S471" s="120"/>
      <c r="T471" s="120"/>
      <c r="U471" s="120"/>
      <c r="V471" s="120"/>
      <c r="W471" s="120"/>
      <c r="X471" s="120"/>
      <c r="Y471" s="120"/>
      <c r="Z471" s="120"/>
      <c r="AA471" s="120"/>
    </row>
    <row r="472">
      <c r="A472" s="120"/>
      <c r="B472" s="120"/>
      <c r="C472" s="120"/>
      <c r="D472" s="120"/>
      <c r="E472" s="120"/>
      <c r="F472" s="120"/>
      <c r="G472" s="120"/>
      <c r="H472" s="120"/>
      <c r="I472" s="120"/>
      <c r="J472" s="120"/>
      <c r="K472" s="120"/>
      <c r="L472" s="120"/>
      <c r="M472" s="120"/>
      <c r="N472" s="120"/>
      <c r="O472" s="120"/>
      <c r="P472" s="120"/>
      <c r="Q472" s="120"/>
      <c r="R472" s="120"/>
      <c r="S472" s="120"/>
      <c r="T472" s="120"/>
      <c r="U472" s="120"/>
      <c r="V472" s="120"/>
      <c r="W472" s="120"/>
      <c r="X472" s="120"/>
      <c r="Y472" s="120"/>
      <c r="Z472" s="120"/>
      <c r="AA472" s="120"/>
    </row>
    <row r="473">
      <c r="A473" s="120"/>
      <c r="B473" s="120"/>
      <c r="C473" s="120"/>
      <c r="D473" s="120"/>
      <c r="E473" s="120"/>
      <c r="F473" s="120"/>
      <c r="G473" s="120"/>
      <c r="H473" s="120"/>
      <c r="I473" s="120"/>
      <c r="J473" s="120"/>
      <c r="K473" s="120"/>
      <c r="L473" s="120"/>
      <c r="M473" s="120"/>
      <c r="N473" s="120"/>
      <c r="O473" s="120"/>
      <c r="P473" s="120"/>
      <c r="Q473" s="120"/>
      <c r="R473" s="120"/>
      <c r="S473" s="120"/>
      <c r="T473" s="120"/>
      <c r="U473" s="120"/>
      <c r="V473" s="120"/>
      <c r="W473" s="120"/>
      <c r="X473" s="120"/>
      <c r="Y473" s="120"/>
      <c r="Z473" s="120"/>
      <c r="AA473" s="120"/>
    </row>
    <row r="474">
      <c r="A474" s="120"/>
      <c r="B474" s="120"/>
      <c r="C474" s="120"/>
      <c r="D474" s="120"/>
      <c r="E474" s="120"/>
      <c r="F474" s="120"/>
      <c r="G474" s="120"/>
      <c r="H474" s="120"/>
      <c r="I474" s="120"/>
      <c r="J474" s="120"/>
      <c r="K474" s="120"/>
      <c r="L474" s="120"/>
      <c r="M474" s="120"/>
      <c r="N474" s="120"/>
      <c r="O474" s="120"/>
      <c r="P474" s="120"/>
      <c r="Q474" s="120"/>
      <c r="R474" s="120"/>
      <c r="S474" s="120"/>
      <c r="T474" s="120"/>
      <c r="U474" s="120"/>
      <c r="V474" s="120"/>
      <c r="W474" s="120"/>
      <c r="X474" s="120"/>
      <c r="Y474" s="120"/>
      <c r="Z474" s="120"/>
      <c r="AA474" s="120"/>
    </row>
    <row r="475">
      <c r="A475" s="120"/>
      <c r="B475" s="120"/>
      <c r="C475" s="120"/>
      <c r="D475" s="120"/>
      <c r="E475" s="120"/>
      <c r="F475" s="120"/>
      <c r="G475" s="120"/>
      <c r="H475" s="120"/>
      <c r="I475" s="120"/>
      <c r="J475" s="120"/>
      <c r="K475" s="120"/>
      <c r="L475" s="120"/>
      <c r="M475" s="120"/>
      <c r="N475" s="120"/>
      <c r="O475" s="120"/>
      <c r="P475" s="120"/>
      <c r="Q475" s="120"/>
      <c r="R475" s="120"/>
      <c r="S475" s="120"/>
      <c r="T475" s="120"/>
      <c r="U475" s="120"/>
      <c r="V475" s="120"/>
      <c r="W475" s="120"/>
      <c r="X475" s="120"/>
      <c r="Y475" s="120"/>
      <c r="Z475" s="120"/>
      <c r="AA475" s="120"/>
    </row>
    <row r="476">
      <c r="A476" s="120"/>
      <c r="B476" s="120"/>
      <c r="C476" s="120"/>
      <c r="D476" s="120"/>
      <c r="E476" s="120"/>
      <c r="F476" s="120"/>
      <c r="G476" s="120"/>
      <c r="H476" s="120"/>
      <c r="I476" s="120"/>
      <c r="J476" s="120"/>
      <c r="K476" s="120"/>
      <c r="L476" s="120"/>
      <c r="M476" s="120"/>
      <c r="N476" s="120"/>
      <c r="O476" s="120"/>
      <c r="P476" s="120"/>
      <c r="Q476" s="120"/>
      <c r="R476" s="120"/>
      <c r="S476" s="120"/>
      <c r="T476" s="120"/>
      <c r="U476" s="120"/>
      <c r="V476" s="120"/>
      <c r="W476" s="120"/>
      <c r="X476" s="120"/>
      <c r="Y476" s="120"/>
      <c r="Z476" s="120"/>
      <c r="AA476" s="120"/>
    </row>
    <row r="477">
      <c r="A477" s="120"/>
      <c r="B477" s="120"/>
      <c r="C477" s="120"/>
      <c r="D477" s="120"/>
      <c r="E477" s="120"/>
      <c r="F477" s="120"/>
      <c r="G477" s="120"/>
      <c r="H477" s="120"/>
      <c r="I477" s="120"/>
      <c r="J477" s="120"/>
      <c r="K477" s="120"/>
      <c r="L477" s="120"/>
      <c r="M477" s="120"/>
      <c r="N477" s="120"/>
      <c r="O477" s="120"/>
      <c r="P477" s="120"/>
      <c r="Q477" s="120"/>
      <c r="R477" s="120"/>
      <c r="S477" s="120"/>
      <c r="T477" s="120"/>
      <c r="U477" s="120"/>
      <c r="V477" s="120"/>
      <c r="W477" s="120"/>
      <c r="X477" s="120"/>
      <c r="Y477" s="120"/>
      <c r="Z477" s="120"/>
      <c r="AA477" s="120"/>
    </row>
    <row r="478">
      <c r="A478" s="120"/>
      <c r="B478" s="120"/>
      <c r="C478" s="120"/>
      <c r="D478" s="120"/>
      <c r="E478" s="120"/>
      <c r="F478" s="120"/>
      <c r="G478" s="120"/>
      <c r="H478" s="120"/>
      <c r="I478" s="120"/>
      <c r="J478" s="120"/>
      <c r="K478" s="120"/>
      <c r="L478" s="120"/>
      <c r="M478" s="120"/>
      <c r="N478" s="120"/>
      <c r="O478" s="120"/>
      <c r="P478" s="120"/>
      <c r="Q478" s="120"/>
      <c r="R478" s="120"/>
      <c r="S478" s="120"/>
      <c r="T478" s="120"/>
      <c r="U478" s="120"/>
      <c r="V478" s="120"/>
      <c r="W478" s="120"/>
      <c r="X478" s="120"/>
      <c r="Y478" s="120"/>
      <c r="Z478" s="120"/>
      <c r="AA478" s="120"/>
    </row>
    <row r="479">
      <c r="A479" s="120"/>
      <c r="B479" s="120"/>
      <c r="C479" s="120"/>
      <c r="D479" s="120"/>
      <c r="E479" s="120"/>
      <c r="F479" s="120"/>
      <c r="G479" s="120"/>
      <c r="H479" s="120"/>
      <c r="I479" s="120"/>
      <c r="J479" s="120"/>
      <c r="K479" s="120"/>
      <c r="L479" s="120"/>
      <c r="M479" s="120"/>
      <c r="N479" s="120"/>
      <c r="O479" s="120"/>
      <c r="P479" s="120"/>
      <c r="Q479" s="120"/>
      <c r="R479" s="120"/>
      <c r="S479" s="120"/>
      <c r="T479" s="120"/>
      <c r="U479" s="120"/>
      <c r="V479" s="120"/>
      <c r="W479" s="120"/>
      <c r="X479" s="120"/>
      <c r="Y479" s="120"/>
      <c r="Z479" s="120"/>
      <c r="AA479" s="120"/>
    </row>
    <row r="480">
      <c r="A480" s="120"/>
      <c r="B480" s="120"/>
      <c r="C480" s="120"/>
      <c r="D480" s="120"/>
      <c r="E480" s="120"/>
      <c r="F480" s="120"/>
      <c r="G480" s="120"/>
      <c r="H480" s="120"/>
      <c r="I480" s="120"/>
      <c r="J480" s="120"/>
      <c r="K480" s="120"/>
      <c r="L480" s="120"/>
      <c r="M480" s="120"/>
      <c r="N480" s="120"/>
      <c r="O480" s="120"/>
      <c r="P480" s="120"/>
      <c r="Q480" s="120"/>
      <c r="R480" s="120"/>
      <c r="S480" s="120"/>
      <c r="T480" s="120"/>
      <c r="U480" s="120"/>
      <c r="V480" s="120"/>
      <c r="W480" s="120"/>
      <c r="X480" s="120"/>
      <c r="Y480" s="120"/>
      <c r="Z480" s="120"/>
      <c r="AA480" s="120"/>
    </row>
    <row r="481">
      <c r="A481" s="120"/>
      <c r="B481" s="120"/>
      <c r="C481" s="120"/>
      <c r="D481" s="120"/>
      <c r="E481" s="120"/>
      <c r="F481" s="120"/>
      <c r="G481" s="120"/>
      <c r="H481" s="120"/>
      <c r="I481" s="120"/>
      <c r="J481" s="120"/>
      <c r="K481" s="120"/>
      <c r="L481" s="120"/>
      <c r="M481" s="120"/>
      <c r="N481" s="120"/>
      <c r="O481" s="120"/>
      <c r="P481" s="120"/>
      <c r="Q481" s="120"/>
      <c r="R481" s="120"/>
      <c r="S481" s="120"/>
      <c r="T481" s="120"/>
      <c r="U481" s="120"/>
      <c r="V481" s="120"/>
      <c r="W481" s="120"/>
      <c r="X481" s="120"/>
      <c r="Y481" s="120"/>
      <c r="Z481" s="120"/>
      <c r="AA481" s="120"/>
    </row>
    <row r="482">
      <c r="A482" s="120"/>
      <c r="B482" s="120"/>
      <c r="C482" s="120"/>
      <c r="D482" s="120"/>
      <c r="E482" s="120"/>
      <c r="F482" s="120"/>
      <c r="G482" s="120"/>
      <c r="H482" s="120"/>
      <c r="I482" s="120"/>
      <c r="J482" s="120"/>
      <c r="K482" s="120"/>
      <c r="L482" s="120"/>
      <c r="M482" s="120"/>
      <c r="N482" s="120"/>
      <c r="O482" s="120"/>
      <c r="P482" s="120"/>
      <c r="Q482" s="120"/>
      <c r="R482" s="120"/>
      <c r="S482" s="120"/>
      <c r="T482" s="120"/>
      <c r="U482" s="120"/>
      <c r="V482" s="120"/>
      <c r="W482" s="120"/>
      <c r="X482" s="120"/>
      <c r="Y482" s="120"/>
      <c r="Z482" s="120"/>
      <c r="AA482" s="120"/>
    </row>
    <row r="483">
      <c r="A483" s="120"/>
      <c r="B483" s="120"/>
      <c r="C483" s="120"/>
      <c r="D483" s="120"/>
      <c r="E483" s="120"/>
      <c r="F483" s="120"/>
      <c r="G483" s="120"/>
      <c r="H483" s="120"/>
      <c r="I483" s="120"/>
      <c r="J483" s="120"/>
      <c r="K483" s="120"/>
      <c r="L483" s="120"/>
      <c r="M483" s="120"/>
      <c r="N483" s="120"/>
      <c r="O483" s="120"/>
      <c r="P483" s="120"/>
      <c r="Q483" s="120"/>
      <c r="R483" s="120"/>
      <c r="S483" s="120"/>
      <c r="T483" s="120"/>
      <c r="U483" s="120"/>
      <c r="V483" s="120"/>
      <c r="W483" s="120"/>
      <c r="X483" s="120"/>
      <c r="Y483" s="120"/>
      <c r="Z483" s="120"/>
      <c r="AA483" s="120"/>
    </row>
    <row r="484">
      <c r="A484" s="120"/>
      <c r="B484" s="120"/>
      <c r="C484" s="120"/>
      <c r="D484" s="120"/>
      <c r="E484" s="120"/>
      <c r="F484" s="120"/>
      <c r="G484" s="120"/>
      <c r="H484" s="120"/>
      <c r="I484" s="120"/>
      <c r="J484" s="120"/>
      <c r="K484" s="120"/>
      <c r="L484" s="120"/>
      <c r="M484" s="120"/>
      <c r="N484" s="120"/>
      <c r="O484" s="120"/>
      <c r="P484" s="120"/>
      <c r="Q484" s="120"/>
      <c r="R484" s="120"/>
      <c r="S484" s="120"/>
      <c r="T484" s="120"/>
      <c r="U484" s="120"/>
      <c r="V484" s="120"/>
      <c r="W484" s="120"/>
      <c r="X484" s="120"/>
      <c r="Y484" s="120"/>
      <c r="Z484" s="120"/>
      <c r="AA484" s="120"/>
    </row>
    <row r="485">
      <c r="A485" s="120"/>
      <c r="B485" s="120"/>
      <c r="C485" s="120"/>
      <c r="D485" s="120"/>
      <c r="E485" s="120"/>
      <c r="F485" s="120"/>
      <c r="G485" s="120"/>
      <c r="H485" s="120"/>
      <c r="I485" s="120"/>
      <c r="J485" s="120"/>
      <c r="K485" s="120"/>
      <c r="L485" s="120"/>
      <c r="M485" s="120"/>
      <c r="N485" s="120"/>
      <c r="O485" s="120"/>
      <c r="P485" s="120"/>
      <c r="Q485" s="120"/>
      <c r="R485" s="120"/>
      <c r="S485" s="120"/>
      <c r="T485" s="120"/>
      <c r="U485" s="120"/>
      <c r="V485" s="120"/>
      <c r="W485" s="120"/>
      <c r="X485" s="120"/>
      <c r="Y485" s="120"/>
      <c r="Z485" s="120"/>
      <c r="AA485" s="120"/>
    </row>
    <row r="486">
      <c r="A486" s="120"/>
      <c r="B486" s="120"/>
      <c r="C486" s="120"/>
      <c r="D486" s="120"/>
      <c r="E486" s="120"/>
      <c r="F486" s="120"/>
      <c r="G486" s="120"/>
      <c r="H486" s="120"/>
      <c r="I486" s="120"/>
      <c r="J486" s="120"/>
      <c r="K486" s="120"/>
      <c r="L486" s="120"/>
      <c r="M486" s="120"/>
      <c r="N486" s="120"/>
      <c r="O486" s="120"/>
      <c r="P486" s="120"/>
      <c r="Q486" s="120"/>
      <c r="R486" s="120"/>
      <c r="S486" s="120"/>
      <c r="T486" s="120"/>
      <c r="U486" s="120"/>
      <c r="V486" s="120"/>
      <c r="W486" s="120"/>
      <c r="X486" s="120"/>
      <c r="Y486" s="120"/>
      <c r="Z486" s="120"/>
      <c r="AA486" s="120"/>
    </row>
    <row r="487">
      <c r="A487" s="120"/>
      <c r="B487" s="120"/>
      <c r="C487" s="120"/>
      <c r="D487" s="120"/>
      <c r="E487" s="120"/>
      <c r="F487" s="120"/>
      <c r="G487" s="120"/>
      <c r="H487" s="120"/>
      <c r="I487" s="120"/>
      <c r="J487" s="120"/>
      <c r="K487" s="120"/>
      <c r="L487" s="120"/>
      <c r="M487" s="120"/>
      <c r="N487" s="120"/>
      <c r="O487" s="120"/>
      <c r="P487" s="120"/>
      <c r="Q487" s="120"/>
      <c r="R487" s="120"/>
      <c r="S487" s="120"/>
      <c r="T487" s="120"/>
      <c r="U487" s="120"/>
      <c r="V487" s="120"/>
      <c r="W487" s="120"/>
      <c r="X487" s="120"/>
      <c r="Y487" s="120"/>
      <c r="Z487" s="120"/>
      <c r="AA487" s="120"/>
    </row>
    <row r="488">
      <c r="A488" s="120"/>
      <c r="B488" s="120"/>
      <c r="C488" s="120"/>
      <c r="D488" s="120"/>
      <c r="E488" s="120"/>
      <c r="F488" s="120"/>
      <c r="G488" s="120"/>
      <c r="H488" s="120"/>
      <c r="I488" s="120"/>
      <c r="J488" s="120"/>
      <c r="K488" s="120"/>
      <c r="L488" s="120"/>
      <c r="M488" s="120"/>
      <c r="N488" s="120"/>
      <c r="O488" s="120"/>
      <c r="P488" s="120"/>
      <c r="Q488" s="120"/>
      <c r="R488" s="120"/>
      <c r="S488" s="120"/>
      <c r="T488" s="120"/>
      <c r="U488" s="120"/>
      <c r="V488" s="120"/>
      <c r="W488" s="120"/>
      <c r="X488" s="120"/>
      <c r="Y488" s="120"/>
      <c r="Z488" s="120"/>
      <c r="AA488" s="120"/>
    </row>
    <row r="489">
      <c r="A489" s="120"/>
      <c r="B489" s="120"/>
      <c r="C489" s="120"/>
      <c r="D489" s="120"/>
      <c r="E489" s="120"/>
      <c r="F489" s="120"/>
      <c r="G489" s="120"/>
      <c r="H489" s="120"/>
      <c r="I489" s="120"/>
      <c r="J489" s="120"/>
      <c r="K489" s="120"/>
      <c r="L489" s="120"/>
      <c r="M489" s="120"/>
      <c r="N489" s="120"/>
      <c r="O489" s="120"/>
      <c r="P489" s="120"/>
      <c r="Q489" s="120"/>
      <c r="R489" s="120"/>
      <c r="S489" s="120"/>
      <c r="T489" s="120"/>
      <c r="U489" s="120"/>
      <c r="V489" s="120"/>
      <c r="W489" s="120"/>
      <c r="X489" s="120"/>
      <c r="Y489" s="120"/>
      <c r="Z489" s="120"/>
      <c r="AA489" s="120"/>
    </row>
    <row r="490">
      <c r="A490" s="120"/>
      <c r="B490" s="120"/>
      <c r="C490" s="120"/>
      <c r="D490" s="120"/>
      <c r="E490" s="120"/>
      <c r="F490" s="120"/>
      <c r="G490" s="120"/>
      <c r="H490" s="120"/>
      <c r="I490" s="120"/>
      <c r="J490" s="120"/>
      <c r="K490" s="120"/>
      <c r="L490" s="120"/>
      <c r="M490" s="120"/>
      <c r="N490" s="120"/>
      <c r="O490" s="120"/>
      <c r="P490" s="120"/>
      <c r="Q490" s="120"/>
      <c r="R490" s="120"/>
      <c r="S490" s="120"/>
      <c r="T490" s="120"/>
      <c r="U490" s="120"/>
      <c r="V490" s="120"/>
      <c r="W490" s="120"/>
      <c r="X490" s="120"/>
      <c r="Y490" s="120"/>
      <c r="Z490" s="120"/>
      <c r="AA490" s="120"/>
    </row>
    <row r="491">
      <c r="A491" s="120"/>
      <c r="B491" s="120"/>
      <c r="C491" s="120"/>
      <c r="D491" s="120"/>
      <c r="E491" s="120"/>
      <c r="F491" s="120"/>
      <c r="G491" s="120"/>
      <c r="H491" s="120"/>
      <c r="I491" s="120"/>
      <c r="J491" s="120"/>
      <c r="K491" s="120"/>
      <c r="L491" s="120"/>
      <c r="M491" s="120"/>
      <c r="N491" s="120"/>
      <c r="O491" s="120"/>
      <c r="P491" s="120"/>
      <c r="Q491" s="120"/>
      <c r="R491" s="120"/>
      <c r="S491" s="120"/>
      <c r="T491" s="120"/>
      <c r="U491" s="120"/>
      <c r="V491" s="120"/>
      <c r="W491" s="120"/>
      <c r="X491" s="120"/>
      <c r="Y491" s="120"/>
      <c r="Z491" s="120"/>
      <c r="AA491" s="120"/>
    </row>
    <row r="492">
      <c r="A492" s="120"/>
      <c r="B492" s="120"/>
      <c r="C492" s="120"/>
      <c r="D492" s="120"/>
      <c r="E492" s="120"/>
      <c r="F492" s="120"/>
      <c r="G492" s="120"/>
      <c r="H492" s="120"/>
      <c r="I492" s="120"/>
      <c r="J492" s="120"/>
      <c r="K492" s="120"/>
      <c r="L492" s="120"/>
      <c r="M492" s="120"/>
      <c r="N492" s="120"/>
      <c r="O492" s="120"/>
      <c r="P492" s="120"/>
      <c r="Q492" s="120"/>
      <c r="R492" s="120"/>
      <c r="S492" s="120"/>
      <c r="T492" s="120"/>
      <c r="U492" s="120"/>
      <c r="V492" s="120"/>
      <c r="W492" s="120"/>
      <c r="X492" s="120"/>
      <c r="Y492" s="120"/>
      <c r="Z492" s="120"/>
      <c r="AA492" s="120"/>
    </row>
    <row r="493">
      <c r="A493" s="120"/>
      <c r="B493" s="120"/>
      <c r="C493" s="120"/>
      <c r="D493" s="120"/>
      <c r="E493" s="120"/>
      <c r="F493" s="120"/>
      <c r="G493" s="120"/>
      <c r="H493" s="120"/>
      <c r="I493" s="120"/>
      <c r="J493" s="120"/>
      <c r="K493" s="120"/>
      <c r="L493" s="120"/>
      <c r="M493" s="120"/>
      <c r="N493" s="120"/>
      <c r="O493" s="120"/>
      <c r="P493" s="120"/>
      <c r="Q493" s="120"/>
      <c r="R493" s="120"/>
      <c r="S493" s="120"/>
      <c r="T493" s="120"/>
      <c r="U493" s="120"/>
      <c r="V493" s="120"/>
      <c r="W493" s="120"/>
      <c r="X493" s="120"/>
      <c r="Y493" s="120"/>
      <c r="Z493" s="120"/>
      <c r="AA493" s="120"/>
    </row>
    <row r="494">
      <c r="A494" s="120"/>
      <c r="B494" s="120"/>
      <c r="C494" s="120"/>
      <c r="D494" s="120"/>
      <c r="E494" s="120"/>
      <c r="F494" s="120"/>
      <c r="G494" s="120"/>
      <c r="H494" s="120"/>
      <c r="I494" s="120"/>
      <c r="J494" s="120"/>
      <c r="K494" s="120"/>
      <c r="L494" s="120"/>
      <c r="M494" s="120"/>
      <c r="N494" s="120"/>
      <c r="O494" s="120"/>
      <c r="P494" s="120"/>
      <c r="Q494" s="120"/>
      <c r="R494" s="120"/>
      <c r="S494" s="120"/>
      <c r="T494" s="120"/>
      <c r="U494" s="120"/>
      <c r="V494" s="120"/>
      <c r="W494" s="120"/>
      <c r="X494" s="120"/>
      <c r="Y494" s="120"/>
      <c r="Z494" s="120"/>
      <c r="AA494" s="120"/>
    </row>
    <row r="495">
      <c r="A495" s="120"/>
      <c r="B495" s="120"/>
      <c r="C495" s="120"/>
      <c r="D495" s="120"/>
      <c r="E495" s="120"/>
      <c r="F495" s="120"/>
      <c r="G495" s="120"/>
      <c r="H495" s="120"/>
      <c r="I495" s="120"/>
      <c r="J495" s="120"/>
      <c r="K495" s="120"/>
      <c r="L495" s="120"/>
      <c r="M495" s="120"/>
      <c r="N495" s="120"/>
      <c r="O495" s="120"/>
      <c r="P495" s="120"/>
      <c r="Q495" s="120"/>
      <c r="R495" s="120"/>
      <c r="S495" s="120"/>
      <c r="T495" s="120"/>
      <c r="U495" s="120"/>
      <c r="V495" s="120"/>
      <c r="W495" s="120"/>
      <c r="X495" s="120"/>
      <c r="Y495" s="120"/>
      <c r="Z495" s="120"/>
      <c r="AA495" s="120"/>
    </row>
    <row r="496">
      <c r="A496" s="120"/>
      <c r="B496" s="120"/>
      <c r="C496" s="120"/>
      <c r="D496" s="120"/>
      <c r="E496" s="120"/>
      <c r="F496" s="120"/>
      <c r="G496" s="120"/>
      <c r="H496" s="120"/>
      <c r="I496" s="120"/>
      <c r="J496" s="120"/>
      <c r="K496" s="120"/>
      <c r="L496" s="120"/>
      <c r="M496" s="120"/>
      <c r="N496" s="120"/>
      <c r="O496" s="120"/>
      <c r="P496" s="120"/>
      <c r="Q496" s="120"/>
      <c r="R496" s="120"/>
      <c r="S496" s="120"/>
      <c r="T496" s="120"/>
      <c r="U496" s="120"/>
      <c r="V496" s="120"/>
      <c r="W496" s="120"/>
      <c r="X496" s="120"/>
      <c r="Y496" s="120"/>
      <c r="Z496" s="120"/>
      <c r="AA496" s="120"/>
    </row>
    <row r="497">
      <c r="A497" s="120"/>
      <c r="B497" s="120"/>
      <c r="C497" s="120"/>
      <c r="D497" s="120"/>
      <c r="E497" s="120"/>
      <c r="F497" s="120"/>
      <c r="G497" s="120"/>
      <c r="H497" s="120"/>
      <c r="I497" s="120"/>
      <c r="J497" s="120"/>
      <c r="K497" s="120"/>
      <c r="L497" s="120"/>
      <c r="M497" s="120"/>
      <c r="N497" s="120"/>
      <c r="O497" s="120"/>
      <c r="P497" s="120"/>
      <c r="Q497" s="120"/>
      <c r="R497" s="120"/>
      <c r="S497" s="120"/>
      <c r="T497" s="120"/>
      <c r="U497" s="120"/>
      <c r="V497" s="120"/>
      <c r="W497" s="120"/>
      <c r="X497" s="120"/>
      <c r="Y497" s="120"/>
      <c r="Z497" s="120"/>
      <c r="AA497" s="120"/>
    </row>
    <row r="498">
      <c r="A498" s="120"/>
      <c r="B498" s="120"/>
      <c r="C498" s="120"/>
      <c r="D498" s="120"/>
      <c r="E498" s="120"/>
      <c r="F498" s="120"/>
      <c r="G498" s="120"/>
      <c r="H498" s="120"/>
      <c r="I498" s="120"/>
      <c r="J498" s="120"/>
      <c r="K498" s="120"/>
      <c r="L498" s="120"/>
      <c r="M498" s="120"/>
      <c r="N498" s="120"/>
      <c r="O498" s="120"/>
      <c r="P498" s="120"/>
      <c r="Q498" s="120"/>
      <c r="R498" s="120"/>
      <c r="S498" s="120"/>
      <c r="T498" s="120"/>
      <c r="U498" s="120"/>
      <c r="V498" s="120"/>
      <c r="W498" s="120"/>
      <c r="X498" s="120"/>
      <c r="Y498" s="120"/>
      <c r="Z498" s="120"/>
      <c r="AA498" s="120"/>
    </row>
    <row r="499">
      <c r="A499" s="120"/>
      <c r="B499" s="120"/>
      <c r="C499" s="120"/>
      <c r="D499" s="120"/>
      <c r="E499" s="120"/>
      <c r="F499" s="120"/>
      <c r="G499" s="120"/>
      <c r="H499" s="120"/>
      <c r="I499" s="120"/>
      <c r="J499" s="120"/>
      <c r="K499" s="120"/>
      <c r="L499" s="120"/>
      <c r="M499" s="120"/>
      <c r="N499" s="120"/>
      <c r="O499" s="120"/>
      <c r="P499" s="120"/>
      <c r="Q499" s="120"/>
      <c r="R499" s="120"/>
      <c r="S499" s="120"/>
      <c r="T499" s="120"/>
      <c r="U499" s="120"/>
      <c r="V499" s="120"/>
      <c r="W499" s="120"/>
      <c r="X499" s="120"/>
      <c r="Y499" s="120"/>
      <c r="Z499" s="120"/>
      <c r="AA499" s="120"/>
    </row>
    <row r="500">
      <c r="A500" s="120"/>
      <c r="B500" s="120"/>
      <c r="C500" s="120"/>
      <c r="D500" s="120"/>
      <c r="E500" s="120"/>
      <c r="F500" s="120"/>
      <c r="G500" s="120"/>
      <c r="H500" s="120"/>
      <c r="I500" s="120"/>
      <c r="J500" s="120"/>
      <c r="K500" s="120"/>
      <c r="L500" s="120"/>
      <c r="M500" s="120"/>
      <c r="N500" s="120"/>
      <c r="O500" s="120"/>
      <c r="P500" s="120"/>
      <c r="Q500" s="120"/>
      <c r="R500" s="120"/>
      <c r="S500" s="120"/>
      <c r="T500" s="120"/>
      <c r="U500" s="120"/>
      <c r="V500" s="120"/>
      <c r="W500" s="120"/>
      <c r="X500" s="120"/>
      <c r="Y500" s="120"/>
      <c r="Z500" s="120"/>
      <c r="AA500" s="120"/>
    </row>
    <row r="501">
      <c r="A501" s="120"/>
      <c r="B501" s="120"/>
      <c r="C501" s="120"/>
      <c r="D501" s="120"/>
      <c r="E501" s="120"/>
      <c r="F501" s="120"/>
      <c r="G501" s="120"/>
      <c r="H501" s="120"/>
      <c r="I501" s="120"/>
      <c r="J501" s="120"/>
      <c r="K501" s="120"/>
      <c r="L501" s="120"/>
      <c r="M501" s="120"/>
      <c r="N501" s="120"/>
      <c r="O501" s="120"/>
      <c r="P501" s="120"/>
      <c r="Q501" s="120"/>
      <c r="R501" s="120"/>
      <c r="S501" s="120"/>
      <c r="T501" s="120"/>
      <c r="U501" s="120"/>
      <c r="V501" s="120"/>
      <c r="W501" s="120"/>
      <c r="X501" s="120"/>
      <c r="Y501" s="120"/>
      <c r="Z501" s="120"/>
      <c r="AA501" s="120"/>
    </row>
    <row r="502">
      <c r="A502" s="120"/>
      <c r="B502" s="120"/>
      <c r="C502" s="120"/>
      <c r="D502" s="120"/>
      <c r="E502" s="120"/>
      <c r="F502" s="120"/>
      <c r="G502" s="120"/>
      <c r="H502" s="120"/>
      <c r="I502" s="120"/>
      <c r="J502" s="120"/>
      <c r="K502" s="120"/>
      <c r="L502" s="120"/>
      <c r="M502" s="120"/>
      <c r="N502" s="120"/>
      <c r="O502" s="120"/>
      <c r="P502" s="120"/>
      <c r="Q502" s="120"/>
      <c r="R502" s="120"/>
      <c r="S502" s="120"/>
      <c r="T502" s="120"/>
      <c r="U502" s="120"/>
      <c r="V502" s="120"/>
      <c r="W502" s="120"/>
      <c r="X502" s="120"/>
      <c r="Y502" s="120"/>
      <c r="Z502" s="120"/>
      <c r="AA502" s="120"/>
    </row>
    <row r="503">
      <c r="A503" s="120"/>
      <c r="B503" s="120"/>
      <c r="C503" s="120"/>
      <c r="D503" s="120"/>
      <c r="E503" s="120"/>
      <c r="F503" s="120"/>
      <c r="G503" s="120"/>
      <c r="H503" s="120"/>
      <c r="I503" s="120"/>
      <c r="J503" s="120"/>
      <c r="K503" s="120"/>
      <c r="L503" s="120"/>
      <c r="M503" s="120"/>
      <c r="N503" s="120"/>
      <c r="O503" s="120"/>
      <c r="P503" s="120"/>
      <c r="Q503" s="120"/>
      <c r="R503" s="120"/>
      <c r="S503" s="120"/>
      <c r="T503" s="120"/>
      <c r="U503" s="120"/>
      <c r="V503" s="120"/>
      <c r="W503" s="120"/>
      <c r="X503" s="120"/>
      <c r="Y503" s="120"/>
      <c r="Z503" s="120"/>
      <c r="AA503" s="120"/>
    </row>
    <row r="504">
      <c r="A504" s="120"/>
      <c r="B504" s="120"/>
      <c r="C504" s="120"/>
      <c r="D504" s="120"/>
      <c r="E504" s="120"/>
      <c r="F504" s="120"/>
      <c r="G504" s="120"/>
      <c r="H504" s="120"/>
      <c r="I504" s="120"/>
      <c r="J504" s="120"/>
      <c r="K504" s="120"/>
      <c r="L504" s="120"/>
      <c r="M504" s="120"/>
      <c r="N504" s="120"/>
      <c r="O504" s="120"/>
      <c r="P504" s="120"/>
      <c r="Q504" s="120"/>
      <c r="R504" s="120"/>
      <c r="S504" s="120"/>
      <c r="T504" s="120"/>
      <c r="U504" s="120"/>
      <c r="V504" s="120"/>
      <c r="W504" s="120"/>
      <c r="X504" s="120"/>
      <c r="Y504" s="120"/>
      <c r="Z504" s="120"/>
      <c r="AA504" s="120"/>
    </row>
    <row r="505">
      <c r="A505" s="120"/>
      <c r="B505" s="120"/>
      <c r="C505" s="120"/>
      <c r="D505" s="120"/>
      <c r="E505" s="120"/>
      <c r="F505" s="120"/>
      <c r="G505" s="120"/>
      <c r="H505" s="120"/>
      <c r="I505" s="120"/>
      <c r="J505" s="120"/>
      <c r="K505" s="120"/>
      <c r="L505" s="120"/>
      <c r="M505" s="120"/>
      <c r="N505" s="120"/>
      <c r="O505" s="120"/>
      <c r="P505" s="120"/>
      <c r="Q505" s="120"/>
      <c r="R505" s="120"/>
      <c r="S505" s="120"/>
      <c r="T505" s="120"/>
      <c r="U505" s="120"/>
      <c r="V505" s="120"/>
      <c r="W505" s="120"/>
      <c r="X505" s="120"/>
      <c r="Y505" s="120"/>
      <c r="Z505" s="120"/>
      <c r="AA505" s="120"/>
    </row>
    <row r="506">
      <c r="A506" s="120"/>
      <c r="B506" s="120"/>
      <c r="C506" s="120"/>
      <c r="D506" s="120"/>
      <c r="E506" s="120"/>
      <c r="F506" s="120"/>
      <c r="G506" s="120"/>
      <c r="H506" s="120"/>
      <c r="I506" s="120"/>
      <c r="J506" s="120"/>
      <c r="K506" s="120"/>
      <c r="L506" s="120"/>
      <c r="M506" s="120"/>
      <c r="N506" s="120"/>
      <c r="O506" s="120"/>
      <c r="P506" s="120"/>
      <c r="Q506" s="120"/>
      <c r="R506" s="120"/>
      <c r="S506" s="120"/>
      <c r="T506" s="120"/>
      <c r="U506" s="120"/>
      <c r="V506" s="120"/>
      <c r="W506" s="120"/>
      <c r="X506" s="120"/>
      <c r="Y506" s="120"/>
      <c r="Z506" s="120"/>
      <c r="AA506" s="120"/>
    </row>
    <row r="507">
      <c r="A507" s="120"/>
      <c r="B507" s="120"/>
      <c r="C507" s="120"/>
      <c r="D507" s="120"/>
      <c r="E507" s="120"/>
      <c r="F507" s="120"/>
      <c r="G507" s="120"/>
      <c r="H507" s="120"/>
      <c r="I507" s="120"/>
      <c r="J507" s="120"/>
      <c r="K507" s="120"/>
      <c r="L507" s="120"/>
      <c r="M507" s="120"/>
      <c r="N507" s="120"/>
      <c r="O507" s="120"/>
      <c r="P507" s="120"/>
      <c r="Q507" s="120"/>
      <c r="R507" s="120"/>
      <c r="S507" s="120"/>
      <c r="T507" s="120"/>
      <c r="U507" s="120"/>
      <c r="V507" s="120"/>
      <c r="W507" s="120"/>
      <c r="X507" s="120"/>
      <c r="Y507" s="120"/>
      <c r="Z507" s="120"/>
      <c r="AA507" s="120"/>
    </row>
    <row r="508">
      <c r="A508" s="120"/>
      <c r="B508" s="120"/>
      <c r="C508" s="120"/>
      <c r="D508" s="120"/>
      <c r="E508" s="120"/>
      <c r="F508" s="120"/>
      <c r="G508" s="120"/>
      <c r="H508" s="120"/>
      <c r="I508" s="120"/>
      <c r="J508" s="120"/>
      <c r="K508" s="120"/>
      <c r="L508" s="120"/>
      <c r="M508" s="120"/>
      <c r="N508" s="120"/>
      <c r="O508" s="120"/>
      <c r="P508" s="120"/>
      <c r="Q508" s="120"/>
      <c r="R508" s="120"/>
      <c r="S508" s="120"/>
      <c r="T508" s="120"/>
      <c r="U508" s="120"/>
      <c r="V508" s="120"/>
      <c r="W508" s="120"/>
      <c r="X508" s="120"/>
      <c r="Y508" s="120"/>
      <c r="Z508" s="120"/>
      <c r="AA508" s="120"/>
    </row>
    <row r="509">
      <c r="A509" s="120"/>
      <c r="B509" s="120"/>
      <c r="C509" s="120"/>
      <c r="D509" s="120"/>
      <c r="E509" s="120"/>
      <c r="F509" s="120"/>
      <c r="G509" s="120"/>
      <c r="H509" s="120"/>
      <c r="I509" s="120"/>
      <c r="J509" s="120"/>
      <c r="K509" s="120"/>
      <c r="L509" s="120"/>
      <c r="M509" s="120"/>
      <c r="N509" s="120"/>
      <c r="O509" s="120"/>
      <c r="P509" s="120"/>
      <c r="Q509" s="120"/>
      <c r="R509" s="120"/>
      <c r="S509" s="120"/>
      <c r="T509" s="120"/>
      <c r="U509" s="120"/>
      <c r="V509" s="120"/>
      <c r="W509" s="120"/>
      <c r="X509" s="120"/>
      <c r="Y509" s="120"/>
      <c r="Z509" s="120"/>
      <c r="AA509" s="120"/>
    </row>
    <row r="510">
      <c r="A510" s="120"/>
      <c r="B510" s="120"/>
      <c r="C510" s="120"/>
      <c r="D510" s="120"/>
      <c r="E510" s="120"/>
      <c r="F510" s="120"/>
      <c r="G510" s="120"/>
      <c r="H510" s="120"/>
      <c r="I510" s="120"/>
      <c r="J510" s="120"/>
      <c r="K510" s="120"/>
      <c r="L510" s="120"/>
      <c r="M510" s="120"/>
      <c r="N510" s="120"/>
      <c r="O510" s="120"/>
      <c r="P510" s="120"/>
      <c r="Q510" s="120"/>
      <c r="R510" s="120"/>
      <c r="S510" s="120"/>
      <c r="T510" s="120"/>
      <c r="U510" s="120"/>
      <c r="V510" s="120"/>
      <c r="W510" s="120"/>
      <c r="X510" s="120"/>
      <c r="Y510" s="120"/>
      <c r="Z510" s="120"/>
      <c r="AA510" s="120"/>
    </row>
    <row r="511">
      <c r="A511" s="120"/>
      <c r="B511" s="120"/>
      <c r="C511" s="120"/>
      <c r="D511" s="120"/>
      <c r="E511" s="120"/>
      <c r="F511" s="120"/>
      <c r="G511" s="120"/>
      <c r="H511" s="120"/>
      <c r="I511" s="120"/>
      <c r="J511" s="120"/>
      <c r="K511" s="120"/>
      <c r="L511" s="120"/>
      <c r="M511" s="120"/>
      <c r="N511" s="120"/>
      <c r="O511" s="120"/>
      <c r="P511" s="120"/>
      <c r="Q511" s="120"/>
      <c r="R511" s="120"/>
      <c r="S511" s="120"/>
      <c r="T511" s="120"/>
      <c r="U511" s="120"/>
      <c r="V511" s="120"/>
      <c r="W511" s="120"/>
      <c r="X511" s="120"/>
      <c r="Y511" s="120"/>
      <c r="Z511" s="120"/>
      <c r="AA511" s="120"/>
    </row>
    <row r="512">
      <c r="A512" s="120"/>
      <c r="B512" s="120"/>
      <c r="C512" s="120"/>
      <c r="D512" s="120"/>
      <c r="E512" s="120"/>
      <c r="F512" s="120"/>
      <c r="G512" s="120"/>
      <c r="H512" s="120"/>
      <c r="I512" s="120"/>
      <c r="J512" s="120"/>
      <c r="K512" s="120"/>
      <c r="L512" s="120"/>
      <c r="M512" s="120"/>
      <c r="N512" s="120"/>
      <c r="O512" s="120"/>
      <c r="P512" s="120"/>
      <c r="Q512" s="120"/>
      <c r="R512" s="120"/>
      <c r="S512" s="120"/>
      <c r="T512" s="120"/>
      <c r="U512" s="120"/>
      <c r="V512" s="120"/>
      <c r="W512" s="120"/>
      <c r="X512" s="120"/>
      <c r="Y512" s="120"/>
      <c r="Z512" s="120"/>
      <c r="AA512" s="120"/>
    </row>
    <row r="513">
      <c r="A513" s="120"/>
      <c r="B513" s="120"/>
      <c r="C513" s="120"/>
      <c r="D513" s="120"/>
      <c r="E513" s="120"/>
      <c r="F513" s="120"/>
      <c r="G513" s="120"/>
      <c r="H513" s="120"/>
      <c r="I513" s="120"/>
      <c r="J513" s="120"/>
      <c r="K513" s="120"/>
      <c r="L513" s="120"/>
      <c r="M513" s="120"/>
      <c r="N513" s="120"/>
      <c r="O513" s="120"/>
      <c r="P513" s="120"/>
      <c r="Q513" s="120"/>
      <c r="R513" s="120"/>
      <c r="S513" s="120"/>
      <c r="T513" s="120"/>
      <c r="U513" s="120"/>
      <c r="V513" s="120"/>
      <c r="W513" s="120"/>
      <c r="X513" s="120"/>
      <c r="Y513" s="120"/>
      <c r="Z513" s="120"/>
      <c r="AA513" s="120"/>
    </row>
    <row r="514">
      <c r="A514" s="120"/>
      <c r="B514" s="120"/>
      <c r="C514" s="120"/>
      <c r="D514" s="120"/>
      <c r="E514" s="120"/>
      <c r="F514" s="120"/>
      <c r="G514" s="120"/>
      <c r="H514" s="120"/>
      <c r="I514" s="120"/>
      <c r="J514" s="120"/>
      <c r="K514" s="120"/>
      <c r="L514" s="120"/>
      <c r="M514" s="120"/>
      <c r="N514" s="120"/>
      <c r="O514" s="120"/>
      <c r="P514" s="120"/>
      <c r="Q514" s="120"/>
      <c r="R514" s="120"/>
      <c r="S514" s="120"/>
      <c r="T514" s="120"/>
      <c r="U514" s="120"/>
      <c r="V514" s="120"/>
      <c r="W514" s="120"/>
      <c r="X514" s="120"/>
      <c r="Y514" s="120"/>
      <c r="Z514" s="120"/>
      <c r="AA514" s="120"/>
    </row>
    <row r="515">
      <c r="A515" s="120"/>
      <c r="B515" s="120"/>
      <c r="C515" s="120"/>
      <c r="D515" s="120"/>
      <c r="E515" s="120"/>
      <c r="F515" s="120"/>
      <c r="G515" s="120"/>
      <c r="H515" s="120"/>
      <c r="I515" s="120"/>
      <c r="J515" s="120"/>
      <c r="K515" s="120"/>
      <c r="L515" s="120"/>
      <c r="M515" s="120"/>
      <c r="N515" s="120"/>
      <c r="O515" s="120"/>
      <c r="P515" s="120"/>
      <c r="Q515" s="120"/>
      <c r="R515" s="120"/>
      <c r="S515" s="120"/>
      <c r="T515" s="120"/>
      <c r="U515" s="120"/>
      <c r="V515" s="120"/>
      <c r="W515" s="120"/>
      <c r="X515" s="120"/>
      <c r="Y515" s="120"/>
      <c r="Z515" s="120"/>
      <c r="AA515" s="120"/>
    </row>
    <row r="516">
      <c r="A516" s="120"/>
      <c r="B516" s="120"/>
      <c r="C516" s="120"/>
      <c r="D516" s="120"/>
      <c r="E516" s="120"/>
      <c r="F516" s="120"/>
      <c r="G516" s="120"/>
      <c r="H516" s="120"/>
      <c r="I516" s="120"/>
      <c r="J516" s="120"/>
      <c r="K516" s="120"/>
      <c r="L516" s="120"/>
      <c r="M516" s="120"/>
      <c r="N516" s="120"/>
      <c r="O516" s="120"/>
      <c r="P516" s="120"/>
      <c r="Q516" s="120"/>
      <c r="R516" s="120"/>
      <c r="S516" s="120"/>
      <c r="T516" s="120"/>
      <c r="U516" s="120"/>
      <c r="V516" s="120"/>
      <c r="W516" s="120"/>
      <c r="X516" s="120"/>
      <c r="Y516" s="120"/>
      <c r="Z516" s="120"/>
      <c r="AA516" s="120"/>
    </row>
    <row r="517">
      <c r="A517" s="120"/>
      <c r="B517" s="120"/>
      <c r="C517" s="120"/>
      <c r="D517" s="120"/>
      <c r="E517" s="120"/>
      <c r="F517" s="120"/>
      <c r="G517" s="120"/>
      <c r="H517" s="120"/>
      <c r="I517" s="120"/>
      <c r="J517" s="120"/>
      <c r="K517" s="120"/>
      <c r="L517" s="120"/>
      <c r="M517" s="120"/>
      <c r="N517" s="120"/>
      <c r="O517" s="120"/>
      <c r="P517" s="120"/>
      <c r="Q517" s="120"/>
      <c r="R517" s="120"/>
      <c r="S517" s="120"/>
      <c r="T517" s="120"/>
      <c r="U517" s="120"/>
      <c r="V517" s="120"/>
      <c r="W517" s="120"/>
      <c r="X517" s="120"/>
      <c r="Y517" s="120"/>
      <c r="Z517" s="120"/>
      <c r="AA517" s="120"/>
    </row>
    <row r="518">
      <c r="A518" s="120"/>
      <c r="B518" s="120"/>
      <c r="C518" s="120"/>
      <c r="D518" s="120"/>
      <c r="E518" s="120"/>
      <c r="F518" s="120"/>
      <c r="G518" s="120"/>
      <c r="H518" s="120"/>
      <c r="I518" s="120"/>
      <c r="J518" s="120"/>
      <c r="K518" s="120"/>
      <c r="L518" s="120"/>
      <c r="M518" s="120"/>
      <c r="N518" s="120"/>
      <c r="O518" s="120"/>
      <c r="P518" s="120"/>
      <c r="Q518" s="120"/>
      <c r="R518" s="120"/>
      <c r="S518" s="120"/>
      <c r="T518" s="120"/>
      <c r="U518" s="120"/>
      <c r="V518" s="120"/>
      <c r="W518" s="120"/>
      <c r="X518" s="120"/>
      <c r="Y518" s="120"/>
      <c r="Z518" s="120"/>
      <c r="AA518" s="120"/>
    </row>
    <row r="519">
      <c r="A519" s="120"/>
      <c r="B519" s="120"/>
      <c r="C519" s="120"/>
      <c r="D519" s="120"/>
      <c r="E519" s="120"/>
      <c r="F519" s="120"/>
      <c r="G519" s="120"/>
      <c r="H519" s="120"/>
      <c r="I519" s="120"/>
      <c r="J519" s="120"/>
      <c r="K519" s="120"/>
      <c r="L519" s="120"/>
      <c r="M519" s="120"/>
      <c r="N519" s="120"/>
      <c r="O519" s="120"/>
      <c r="P519" s="120"/>
      <c r="Q519" s="120"/>
      <c r="R519" s="120"/>
      <c r="S519" s="120"/>
      <c r="T519" s="120"/>
      <c r="U519" s="120"/>
      <c r="V519" s="120"/>
      <c r="W519" s="120"/>
      <c r="X519" s="120"/>
      <c r="Y519" s="120"/>
      <c r="Z519" s="120"/>
      <c r="AA519" s="120"/>
    </row>
    <row r="520">
      <c r="A520" s="120"/>
      <c r="B520" s="120"/>
      <c r="C520" s="120"/>
      <c r="D520" s="120"/>
      <c r="E520" s="120"/>
      <c r="F520" s="120"/>
      <c r="G520" s="120"/>
      <c r="H520" s="120"/>
      <c r="I520" s="120"/>
      <c r="J520" s="120"/>
      <c r="K520" s="120"/>
      <c r="L520" s="120"/>
      <c r="M520" s="120"/>
      <c r="N520" s="120"/>
      <c r="O520" s="120"/>
      <c r="P520" s="120"/>
      <c r="Q520" s="120"/>
      <c r="R520" s="120"/>
      <c r="S520" s="120"/>
      <c r="T520" s="120"/>
      <c r="U520" s="120"/>
      <c r="V520" s="120"/>
      <c r="W520" s="120"/>
      <c r="X520" s="120"/>
      <c r="Y520" s="120"/>
      <c r="Z520" s="120"/>
      <c r="AA520" s="120"/>
    </row>
    <row r="521">
      <c r="A521" s="120"/>
      <c r="B521" s="120"/>
      <c r="C521" s="120"/>
      <c r="D521" s="120"/>
      <c r="E521" s="120"/>
      <c r="F521" s="120"/>
      <c r="G521" s="120"/>
      <c r="H521" s="120"/>
      <c r="I521" s="120"/>
      <c r="J521" s="120"/>
      <c r="K521" s="120"/>
      <c r="L521" s="120"/>
      <c r="M521" s="120"/>
      <c r="N521" s="120"/>
      <c r="O521" s="120"/>
      <c r="P521" s="120"/>
      <c r="Q521" s="120"/>
      <c r="R521" s="120"/>
      <c r="S521" s="120"/>
      <c r="T521" s="120"/>
      <c r="U521" s="120"/>
      <c r="V521" s="120"/>
      <c r="W521" s="120"/>
      <c r="X521" s="120"/>
      <c r="Y521" s="120"/>
      <c r="Z521" s="120"/>
      <c r="AA521" s="120"/>
    </row>
    <row r="522">
      <c r="A522" s="120"/>
      <c r="B522" s="120"/>
      <c r="C522" s="120"/>
      <c r="D522" s="120"/>
      <c r="E522" s="120"/>
      <c r="F522" s="120"/>
      <c r="G522" s="120"/>
      <c r="H522" s="120"/>
      <c r="I522" s="120"/>
      <c r="J522" s="120"/>
      <c r="K522" s="120"/>
      <c r="L522" s="120"/>
      <c r="M522" s="120"/>
      <c r="N522" s="120"/>
      <c r="O522" s="120"/>
      <c r="P522" s="120"/>
      <c r="Q522" s="120"/>
      <c r="R522" s="120"/>
      <c r="S522" s="120"/>
      <c r="T522" s="120"/>
      <c r="U522" s="120"/>
      <c r="V522" s="120"/>
      <c r="W522" s="120"/>
      <c r="X522" s="120"/>
      <c r="Y522" s="120"/>
      <c r="Z522" s="120"/>
      <c r="AA522" s="120"/>
    </row>
    <row r="523">
      <c r="A523" s="120"/>
      <c r="B523" s="120"/>
      <c r="C523" s="120"/>
      <c r="D523" s="120"/>
      <c r="E523" s="120"/>
      <c r="F523" s="120"/>
      <c r="G523" s="120"/>
      <c r="H523" s="120"/>
      <c r="I523" s="120"/>
      <c r="J523" s="120"/>
      <c r="K523" s="120"/>
      <c r="L523" s="120"/>
      <c r="M523" s="120"/>
      <c r="N523" s="120"/>
      <c r="O523" s="120"/>
      <c r="P523" s="120"/>
      <c r="Q523" s="120"/>
      <c r="R523" s="120"/>
      <c r="S523" s="120"/>
      <c r="T523" s="120"/>
      <c r="U523" s="120"/>
      <c r="V523" s="120"/>
      <c r="W523" s="120"/>
      <c r="X523" s="120"/>
      <c r="Y523" s="120"/>
      <c r="Z523" s="120"/>
      <c r="AA523" s="120"/>
    </row>
    <row r="524">
      <c r="A524" s="120"/>
      <c r="B524" s="120"/>
      <c r="C524" s="120"/>
      <c r="D524" s="120"/>
      <c r="E524" s="120"/>
      <c r="F524" s="120"/>
      <c r="G524" s="120"/>
      <c r="H524" s="120"/>
      <c r="I524" s="120"/>
      <c r="J524" s="120"/>
      <c r="K524" s="120"/>
      <c r="L524" s="120"/>
      <c r="M524" s="120"/>
      <c r="N524" s="120"/>
      <c r="O524" s="120"/>
      <c r="P524" s="120"/>
      <c r="Q524" s="120"/>
      <c r="R524" s="120"/>
      <c r="S524" s="120"/>
      <c r="T524" s="120"/>
      <c r="U524" s="120"/>
      <c r="V524" s="120"/>
      <c r="W524" s="120"/>
      <c r="X524" s="120"/>
      <c r="Y524" s="120"/>
      <c r="Z524" s="120"/>
      <c r="AA524" s="120"/>
    </row>
    <row r="525">
      <c r="A525" s="120"/>
      <c r="B525" s="120"/>
      <c r="C525" s="120"/>
      <c r="D525" s="120"/>
      <c r="E525" s="120"/>
      <c r="F525" s="120"/>
      <c r="G525" s="120"/>
      <c r="H525" s="120"/>
      <c r="I525" s="120"/>
      <c r="J525" s="120"/>
      <c r="K525" s="120"/>
      <c r="L525" s="120"/>
      <c r="M525" s="120"/>
      <c r="N525" s="120"/>
      <c r="O525" s="120"/>
      <c r="P525" s="120"/>
      <c r="Q525" s="120"/>
      <c r="R525" s="120"/>
      <c r="S525" s="120"/>
      <c r="T525" s="120"/>
      <c r="U525" s="120"/>
      <c r="V525" s="120"/>
      <c r="W525" s="120"/>
      <c r="X525" s="120"/>
      <c r="Y525" s="120"/>
      <c r="Z525" s="120"/>
      <c r="AA525" s="120"/>
    </row>
    <row r="526">
      <c r="A526" s="120"/>
      <c r="B526" s="120"/>
      <c r="C526" s="120"/>
      <c r="D526" s="120"/>
      <c r="E526" s="120"/>
      <c r="F526" s="120"/>
      <c r="G526" s="120"/>
      <c r="H526" s="120"/>
      <c r="I526" s="120"/>
      <c r="J526" s="120"/>
      <c r="K526" s="120"/>
      <c r="L526" s="120"/>
      <c r="M526" s="120"/>
      <c r="N526" s="120"/>
      <c r="O526" s="120"/>
      <c r="P526" s="120"/>
      <c r="Q526" s="120"/>
      <c r="R526" s="120"/>
      <c r="S526" s="120"/>
      <c r="T526" s="120"/>
      <c r="U526" s="120"/>
      <c r="V526" s="120"/>
      <c r="W526" s="120"/>
      <c r="X526" s="120"/>
      <c r="Y526" s="120"/>
      <c r="Z526" s="120"/>
      <c r="AA526" s="120"/>
    </row>
    <row r="527">
      <c r="A527" s="120"/>
      <c r="B527" s="120"/>
      <c r="C527" s="120"/>
      <c r="D527" s="120"/>
      <c r="E527" s="120"/>
      <c r="F527" s="120"/>
      <c r="G527" s="120"/>
      <c r="H527" s="120"/>
      <c r="I527" s="120"/>
      <c r="J527" s="120"/>
      <c r="K527" s="120"/>
      <c r="L527" s="120"/>
      <c r="M527" s="120"/>
      <c r="N527" s="120"/>
      <c r="O527" s="120"/>
      <c r="P527" s="120"/>
      <c r="Q527" s="120"/>
      <c r="R527" s="120"/>
      <c r="S527" s="120"/>
      <c r="T527" s="120"/>
      <c r="U527" s="120"/>
      <c r="V527" s="120"/>
      <c r="W527" s="120"/>
      <c r="X527" s="120"/>
      <c r="Y527" s="120"/>
      <c r="Z527" s="120"/>
      <c r="AA527" s="120"/>
    </row>
    <row r="528">
      <c r="A528" s="120"/>
      <c r="B528" s="120"/>
      <c r="C528" s="120"/>
      <c r="D528" s="120"/>
      <c r="E528" s="120"/>
      <c r="F528" s="120"/>
      <c r="G528" s="120"/>
      <c r="H528" s="120"/>
      <c r="I528" s="120"/>
      <c r="J528" s="120"/>
      <c r="K528" s="120"/>
      <c r="L528" s="120"/>
      <c r="M528" s="120"/>
      <c r="N528" s="120"/>
      <c r="O528" s="120"/>
      <c r="P528" s="120"/>
      <c r="Q528" s="120"/>
      <c r="R528" s="120"/>
      <c r="S528" s="120"/>
      <c r="T528" s="120"/>
      <c r="U528" s="120"/>
      <c r="V528" s="120"/>
      <c r="W528" s="120"/>
      <c r="X528" s="120"/>
      <c r="Y528" s="120"/>
      <c r="Z528" s="120"/>
      <c r="AA528" s="120"/>
    </row>
    <row r="529">
      <c r="A529" s="120"/>
      <c r="B529" s="120"/>
      <c r="C529" s="120"/>
      <c r="D529" s="120"/>
      <c r="E529" s="120"/>
      <c r="F529" s="120"/>
      <c r="G529" s="120"/>
      <c r="H529" s="120"/>
      <c r="I529" s="120"/>
      <c r="J529" s="120"/>
      <c r="K529" s="120"/>
      <c r="L529" s="120"/>
      <c r="M529" s="120"/>
      <c r="N529" s="120"/>
      <c r="O529" s="120"/>
      <c r="P529" s="120"/>
      <c r="Q529" s="120"/>
      <c r="R529" s="120"/>
      <c r="S529" s="120"/>
      <c r="T529" s="120"/>
      <c r="U529" s="120"/>
      <c r="V529" s="120"/>
      <c r="W529" s="120"/>
      <c r="X529" s="120"/>
      <c r="Y529" s="120"/>
      <c r="Z529" s="120"/>
      <c r="AA529" s="120"/>
    </row>
    <row r="530">
      <c r="A530" s="120"/>
      <c r="B530" s="120"/>
      <c r="C530" s="120"/>
      <c r="D530" s="120"/>
      <c r="E530" s="120"/>
      <c r="F530" s="120"/>
      <c r="G530" s="120"/>
      <c r="H530" s="120"/>
      <c r="I530" s="120"/>
      <c r="J530" s="120"/>
      <c r="K530" s="120"/>
      <c r="L530" s="120"/>
      <c r="M530" s="120"/>
      <c r="N530" s="120"/>
      <c r="O530" s="120"/>
      <c r="P530" s="120"/>
      <c r="Q530" s="120"/>
      <c r="R530" s="120"/>
      <c r="S530" s="120"/>
      <c r="T530" s="120"/>
      <c r="U530" s="120"/>
      <c r="V530" s="120"/>
      <c r="W530" s="120"/>
      <c r="X530" s="120"/>
      <c r="Y530" s="120"/>
      <c r="Z530" s="120"/>
      <c r="AA530" s="120"/>
    </row>
    <row r="531">
      <c r="A531" s="120"/>
      <c r="B531" s="120"/>
      <c r="C531" s="120"/>
      <c r="D531" s="120"/>
      <c r="E531" s="120"/>
      <c r="F531" s="120"/>
      <c r="G531" s="120"/>
      <c r="H531" s="120"/>
      <c r="I531" s="120"/>
      <c r="J531" s="120"/>
      <c r="K531" s="120"/>
      <c r="L531" s="120"/>
      <c r="M531" s="120"/>
      <c r="N531" s="120"/>
      <c r="O531" s="120"/>
      <c r="P531" s="120"/>
      <c r="Q531" s="120"/>
      <c r="R531" s="120"/>
      <c r="S531" s="120"/>
      <c r="T531" s="120"/>
      <c r="U531" s="120"/>
      <c r="V531" s="120"/>
      <c r="W531" s="120"/>
      <c r="X531" s="120"/>
      <c r="Y531" s="120"/>
      <c r="Z531" s="120"/>
      <c r="AA531" s="120"/>
    </row>
    <row r="532">
      <c r="A532" s="120"/>
      <c r="B532" s="120"/>
      <c r="C532" s="120"/>
      <c r="D532" s="120"/>
      <c r="E532" s="120"/>
      <c r="F532" s="120"/>
      <c r="G532" s="120"/>
      <c r="H532" s="120"/>
      <c r="I532" s="120"/>
      <c r="J532" s="120"/>
      <c r="K532" s="120"/>
      <c r="L532" s="120"/>
      <c r="M532" s="120"/>
      <c r="N532" s="120"/>
      <c r="O532" s="120"/>
      <c r="P532" s="120"/>
      <c r="Q532" s="120"/>
      <c r="R532" s="120"/>
      <c r="S532" s="120"/>
      <c r="T532" s="120"/>
      <c r="U532" s="120"/>
      <c r="V532" s="120"/>
      <c r="W532" s="120"/>
      <c r="X532" s="120"/>
      <c r="Y532" s="120"/>
      <c r="Z532" s="120"/>
      <c r="AA532" s="120"/>
    </row>
    <row r="533">
      <c r="A533" s="120"/>
      <c r="B533" s="120"/>
      <c r="C533" s="120"/>
      <c r="D533" s="120"/>
      <c r="E533" s="120"/>
      <c r="F533" s="120"/>
      <c r="G533" s="120"/>
      <c r="H533" s="120"/>
      <c r="I533" s="120"/>
      <c r="J533" s="120"/>
      <c r="K533" s="120"/>
      <c r="L533" s="120"/>
      <c r="M533" s="120"/>
      <c r="N533" s="120"/>
      <c r="O533" s="120"/>
      <c r="P533" s="120"/>
      <c r="Q533" s="120"/>
      <c r="R533" s="120"/>
      <c r="S533" s="120"/>
      <c r="T533" s="120"/>
      <c r="U533" s="120"/>
      <c r="V533" s="120"/>
      <c r="W533" s="120"/>
      <c r="X533" s="120"/>
      <c r="Y533" s="120"/>
      <c r="Z533" s="120"/>
      <c r="AA533" s="120"/>
    </row>
    <row r="534">
      <c r="A534" s="120"/>
      <c r="B534" s="120"/>
      <c r="C534" s="120"/>
      <c r="D534" s="120"/>
      <c r="E534" s="120"/>
      <c r="F534" s="120"/>
      <c r="G534" s="120"/>
      <c r="H534" s="120"/>
      <c r="I534" s="120"/>
      <c r="J534" s="120"/>
      <c r="K534" s="120"/>
      <c r="L534" s="120"/>
      <c r="M534" s="120"/>
      <c r="N534" s="120"/>
      <c r="O534" s="120"/>
      <c r="P534" s="120"/>
      <c r="Q534" s="120"/>
      <c r="R534" s="120"/>
      <c r="S534" s="120"/>
      <c r="T534" s="120"/>
      <c r="U534" s="120"/>
      <c r="V534" s="120"/>
      <c r="W534" s="120"/>
      <c r="X534" s="120"/>
      <c r="Y534" s="120"/>
      <c r="Z534" s="120"/>
      <c r="AA534" s="120"/>
    </row>
    <row r="535">
      <c r="A535" s="120"/>
      <c r="B535" s="120"/>
      <c r="C535" s="120"/>
      <c r="D535" s="120"/>
      <c r="E535" s="120"/>
      <c r="F535" s="120"/>
      <c r="G535" s="120"/>
      <c r="H535" s="120"/>
      <c r="I535" s="120"/>
      <c r="J535" s="120"/>
      <c r="K535" s="120"/>
      <c r="L535" s="120"/>
      <c r="M535" s="120"/>
      <c r="N535" s="120"/>
      <c r="O535" s="120"/>
      <c r="P535" s="120"/>
      <c r="Q535" s="120"/>
      <c r="R535" s="120"/>
      <c r="S535" s="120"/>
      <c r="T535" s="120"/>
      <c r="U535" s="120"/>
      <c r="V535" s="120"/>
      <c r="W535" s="120"/>
      <c r="X535" s="120"/>
      <c r="Y535" s="120"/>
      <c r="Z535" s="120"/>
      <c r="AA535" s="120"/>
    </row>
    <row r="536">
      <c r="A536" s="120"/>
      <c r="B536" s="120"/>
      <c r="C536" s="120"/>
      <c r="D536" s="120"/>
      <c r="E536" s="120"/>
      <c r="F536" s="120"/>
      <c r="G536" s="120"/>
      <c r="H536" s="120"/>
      <c r="I536" s="120"/>
      <c r="J536" s="120"/>
      <c r="K536" s="120"/>
      <c r="L536" s="120"/>
      <c r="M536" s="120"/>
      <c r="N536" s="120"/>
      <c r="O536" s="120"/>
      <c r="P536" s="120"/>
      <c r="Q536" s="120"/>
      <c r="R536" s="120"/>
      <c r="S536" s="120"/>
      <c r="T536" s="120"/>
      <c r="U536" s="120"/>
      <c r="V536" s="120"/>
      <c r="W536" s="120"/>
      <c r="X536" s="120"/>
      <c r="Y536" s="120"/>
      <c r="Z536" s="120"/>
      <c r="AA536" s="120"/>
    </row>
    <row r="537">
      <c r="A537" s="120"/>
      <c r="B537" s="120"/>
      <c r="C537" s="120"/>
      <c r="D537" s="120"/>
      <c r="E537" s="120"/>
      <c r="F537" s="120"/>
      <c r="G537" s="120"/>
      <c r="H537" s="120"/>
      <c r="I537" s="120"/>
      <c r="J537" s="120"/>
      <c r="K537" s="120"/>
      <c r="L537" s="120"/>
      <c r="M537" s="120"/>
      <c r="N537" s="120"/>
      <c r="O537" s="120"/>
      <c r="P537" s="120"/>
      <c r="Q537" s="120"/>
      <c r="R537" s="120"/>
      <c r="S537" s="120"/>
      <c r="T537" s="120"/>
      <c r="U537" s="120"/>
      <c r="V537" s="120"/>
      <c r="W537" s="120"/>
      <c r="X537" s="120"/>
      <c r="Y537" s="120"/>
      <c r="Z537" s="120"/>
      <c r="AA537" s="120"/>
    </row>
    <row r="538">
      <c r="A538" s="120"/>
      <c r="B538" s="120"/>
      <c r="C538" s="120"/>
      <c r="D538" s="120"/>
      <c r="E538" s="120"/>
      <c r="F538" s="120"/>
      <c r="G538" s="120"/>
      <c r="H538" s="120"/>
      <c r="I538" s="120"/>
      <c r="J538" s="120"/>
      <c r="K538" s="120"/>
      <c r="L538" s="120"/>
      <c r="M538" s="120"/>
      <c r="N538" s="120"/>
      <c r="O538" s="120"/>
      <c r="P538" s="120"/>
      <c r="Q538" s="120"/>
      <c r="R538" s="120"/>
      <c r="S538" s="120"/>
      <c r="T538" s="120"/>
      <c r="U538" s="120"/>
      <c r="V538" s="120"/>
      <c r="W538" s="120"/>
      <c r="X538" s="120"/>
      <c r="Y538" s="120"/>
      <c r="Z538" s="120"/>
      <c r="AA538" s="120"/>
    </row>
    <row r="539">
      <c r="A539" s="120"/>
      <c r="B539" s="120"/>
      <c r="C539" s="120"/>
      <c r="D539" s="120"/>
      <c r="E539" s="120"/>
      <c r="F539" s="120"/>
      <c r="G539" s="120"/>
      <c r="H539" s="120"/>
      <c r="I539" s="120"/>
      <c r="J539" s="120"/>
      <c r="K539" s="120"/>
      <c r="L539" s="120"/>
      <c r="M539" s="120"/>
      <c r="N539" s="120"/>
      <c r="O539" s="120"/>
      <c r="P539" s="120"/>
      <c r="Q539" s="120"/>
      <c r="R539" s="120"/>
      <c r="S539" s="120"/>
      <c r="T539" s="120"/>
      <c r="U539" s="120"/>
      <c r="V539" s="120"/>
      <c r="W539" s="120"/>
      <c r="X539" s="120"/>
      <c r="Y539" s="120"/>
      <c r="Z539" s="120"/>
      <c r="AA539" s="120"/>
    </row>
    <row r="540">
      <c r="A540" s="120"/>
      <c r="B540" s="120"/>
      <c r="C540" s="120"/>
      <c r="D540" s="120"/>
      <c r="E540" s="120"/>
      <c r="F540" s="120"/>
      <c r="G540" s="120"/>
      <c r="H540" s="120"/>
      <c r="I540" s="120"/>
      <c r="J540" s="120"/>
      <c r="K540" s="120"/>
      <c r="L540" s="120"/>
      <c r="M540" s="120"/>
      <c r="N540" s="120"/>
      <c r="O540" s="120"/>
      <c r="P540" s="120"/>
      <c r="Q540" s="120"/>
      <c r="R540" s="120"/>
      <c r="S540" s="120"/>
      <c r="T540" s="120"/>
      <c r="U540" s="120"/>
      <c r="V540" s="120"/>
      <c r="W540" s="120"/>
      <c r="X540" s="120"/>
      <c r="Y540" s="120"/>
      <c r="Z540" s="120"/>
      <c r="AA540" s="120"/>
    </row>
    <row r="541">
      <c r="A541" s="120"/>
      <c r="B541" s="120"/>
      <c r="C541" s="120"/>
      <c r="D541" s="120"/>
      <c r="E541" s="120"/>
      <c r="F541" s="120"/>
      <c r="G541" s="120"/>
      <c r="H541" s="120"/>
      <c r="I541" s="120"/>
      <c r="J541" s="120"/>
      <c r="K541" s="120"/>
      <c r="L541" s="120"/>
      <c r="M541" s="120"/>
      <c r="N541" s="120"/>
      <c r="O541" s="120"/>
      <c r="P541" s="120"/>
      <c r="Q541" s="120"/>
      <c r="R541" s="120"/>
      <c r="S541" s="120"/>
      <c r="T541" s="120"/>
      <c r="U541" s="120"/>
      <c r="V541" s="120"/>
      <c r="W541" s="120"/>
      <c r="X541" s="120"/>
      <c r="Y541" s="120"/>
      <c r="Z541" s="120"/>
      <c r="AA541" s="120"/>
    </row>
    <row r="542">
      <c r="A542" s="120"/>
      <c r="B542" s="120"/>
      <c r="C542" s="120"/>
      <c r="D542" s="120"/>
      <c r="E542" s="120"/>
      <c r="F542" s="120"/>
      <c r="G542" s="120"/>
      <c r="H542" s="120"/>
      <c r="I542" s="120"/>
      <c r="J542" s="120"/>
      <c r="K542" s="120"/>
      <c r="L542" s="120"/>
      <c r="M542" s="120"/>
      <c r="N542" s="120"/>
      <c r="O542" s="120"/>
      <c r="P542" s="120"/>
      <c r="Q542" s="120"/>
      <c r="R542" s="120"/>
      <c r="S542" s="120"/>
      <c r="T542" s="120"/>
      <c r="U542" s="120"/>
      <c r="V542" s="120"/>
      <c r="W542" s="120"/>
      <c r="X542" s="120"/>
      <c r="Y542" s="120"/>
      <c r="Z542" s="120"/>
      <c r="AA542" s="120"/>
    </row>
    <row r="543">
      <c r="A543" s="120"/>
      <c r="B543" s="120"/>
      <c r="C543" s="120"/>
      <c r="D543" s="120"/>
      <c r="E543" s="120"/>
      <c r="F543" s="120"/>
      <c r="G543" s="120"/>
      <c r="H543" s="120"/>
      <c r="I543" s="120"/>
      <c r="J543" s="120"/>
      <c r="K543" s="120"/>
      <c r="L543" s="120"/>
      <c r="M543" s="120"/>
      <c r="N543" s="120"/>
      <c r="O543" s="120"/>
      <c r="P543" s="120"/>
      <c r="Q543" s="120"/>
      <c r="R543" s="120"/>
      <c r="S543" s="120"/>
      <c r="T543" s="120"/>
      <c r="U543" s="120"/>
      <c r="V543" s="120"/>
      <c r="W543" s="120"/>
      <c r="X543" s="120"/>
      <c r="Y543" s="120"/>
      <c r="Z543" s="120"/>
      <c r="AA543" s="120"/>
    </row>
    <row r="544">
      <c r="A544" s="120"/>
      <c r="B544" s="120"/>
      <c r="C544" s="120"/>
      <c r="D544" s="120"/>
      <c r="E544" s="120"/>
      <c r="F544" s="120"/>
      <c r="G544" s="120"/>
      <c r="H544" s="120"/>
      <c r="I544" s="120"/>
      <c r="J544" s="120"/>
      <c r="K544" s="120"/>
      <c r="L544" s="120"/>
      <c r="M544" s="120"/>
      <c r="N544" s="120"/>
      <c r="O544" s="120"/>
      <c r="P544" s="120"/>
      <c r="Q544" s="120"/>
      <c r="R544" s="120"/>
      <c r="S544" s="120"/>
      <c r="T544" s="120"/>
      <c r="U544" s="120"/>
      <c r="V544" s="120"/>
      <c r="W544" s="120"/>
      <c r="X544" s="120"/>
      <c r="Y544" s="120"/>
      <c r="Z544" s="120"/>
      <c r="AA544" s="120"/>
    </row>
    <row r="545">
      <c r="A545" s="120"/>
      <c r="B545" s="120"/>
      <c r="C545" s="120"/>
      <c r="D545" s="120"/>
      <c r="E545" s="120"/>
      <c r="F545" s="120"/>
      <c r="G545" s="120"/>
      <c r="H545" s="120"/>
      <c r="I545" s="120"/>
      <c r="J545" s="120"/>
      <c r="K545" s="120"/>
      <c r="L545" s="120"/>
      <c r="M545" s="120"/>
      <c r="N545" s="120"/>
      <c r="O545" s="120"/>
      <c r="P545" s="120"/>
      <c r="Q545" s="120"/>
      <c r="R545" s="120"/>
      <c r="S545" s="120"/>
      <c r="T545" s="120"/>
      <c r="U545" s="120"/>
      <c r="V545" s="120"/>
      <c r="W545" s="120"/>
      <c r="X545" s="120"/>
      <c r="Y545" s="120"/>
      <c r="Z545" s="120"/>
      <c r="AA545" s="120"/>
    </row>
    <row r="546">
      <c r="A546" s="120"/>
      <c r="B546" s="120"/>
      <c r="C546" s="120"/>
      <c r="D546" s="120"/>
      <c r="E546" s="120"/>
      <c r="F546" s="120"/>
      <c r="G546" s="120"/>
      <c r="H546" s="120"/>
      <c r="I546" s="120"/>
      <c r="J546" s="120"/>
      <c r="K546" s="120"/>
      <c r="L546" s="120"/>
      <c r="M546" s="120"/>
      <c r="N546" s="120"/>
      <c r="O546" s="120"/>
      <c r="P546" s="120"/>
      <c r="Q546" s="120"/>
      <c r="R546" s="120"/>
      <c r="S546" s="120"/>
      <c r="T546" s="120"/>
      <c r="U546" s="120"/>
      <c r="V546" s="120"/>
      <c r="W546" s="120"/>
      <c r="X546" s="120"/>
      <c r="Y546" s="120"/>
      <c r="Z546" s="120"/>
      <c r="AA546" s="120"/>
    </row>
    <row r="547">
      <c r="A547" s="120"/>
      <c r="B547" s="120"/>
      <c r="C547" s="120"/>
      <c r="D547" s="120"/>
      <c r="E547" s="120"/>
      <c r="F547" s="120"/>
      <c r="G547" s="120"/>
      <c r="H547" s="120"/>
      <c r="I547" s="120"/>
      <c r="J547" s="120"/>
      <c r="K547" s="120"/>
      <c r="L547" s="120"/>
      <c r="M547" s="120"/>
      <c r="N547" s="120"/>
      <c r="O547" s="120"/>
      <c r="P547" s="120"/>
      <c r="Q547" s="120"/>
      <c r="R547" s="120"/>
      <c r="S547" s="120"/>
      <c r="T547" s="120"/>
      <c r="U547" s="120"/>
      <c r="V547" s="120"/>
      <c r="W547" s="120"/>
      <c r="X547" s="120"/>
      <c r="Y547" s="120"/>
      <c r="Z547" s="120"/>
      <c r="AA547" s="120"/>
    </row>
    <row r="548">
      <c r="A548" s="120"/>
      <c r="B548" s="120"/>
      <c r="C548" s="120"/>
      <c r="D548" s="120"/>
      <c r="E548" s="120"/>
      <c r="F548" s="120"/>
      <c r="G548" s="120"/>
      <c r="H548" s="120"/>
      <c r="I548" s="120"/>
      <c r="J548" s="120"/>
      <c r="K548" s="120"/>
      <c r="L548" s="120"/>
      <c r="M548" s="120"/>
      <c r="N548" s="120"/>
      <c r="O548" s="120"/>
      <c r="P548" s="120"/>
      <c r="Q548" s="120"/>
      <c r="R548" s="120"/>
      <c r="S548" s="120"/>
      <c r="T548" s="120"/>
      <c r="U548" s="120"/>
      <c r="V548" s="120"/>
      <c r="W548" s="120"/>
      <c r="X548" s="120"/>
      <c r="Y548" s="120"/>
      <c r="Z548" s="120"/>
      <c r="AA548" s="120"/>
    </row>
    <row r="549">
      <c r="A549" s="120"/>
      <c r="B549" s="120"/>
      <c r="C549" s="120"/>
      <c r="D549" s="120"/>
      <c r="E549" s="120"/>
      <c r="F549" s="120"/>
      <c r="G549" s="120"/>
      <c r="H549" s="120"/>
      <c r="I549" s="120"/>
      <c r="J549" s="120"/>
      <c r="K549" s="120"/>
      <c r="L549" s="120"/>
      <c r="M549" s="120"/>
      <c r="N549" s="120"/>
      <c r="O549" s="120"/>
      <c r="P549" s="120"/>
      <c r="Q549" s="120"/>
      <c r="R549" s="120"/>
      <c r="S549" s="120"/>
      <c r="T549" s="120"/>
      <c r="U549" s="120"/>
      <c r="V549" s="120"/>
      <c r="W549" s="120"/>
      <c r="X549" s="120"/>
      <c r="Y549" s="120"/>
      <c r="Z549" s="120"/>
      <c r="AA549" s="120"/>
    </row>
    <row r="550">
      <c r="A550" s="120"/>
      <c r="B550" s="120"/>
      <c r="C550" s="120"/>
      <c r="D550" s="120"/>
      <c r="E550" s="120"/>
      <c r="F550" s="120"/>
      <c r="G550" s="120"/>
      <c r="H550" s="120"/>
      <c r="I550" s="120"/>
      <c r="J550" s="120"/>
      <c r="K550" s="120"/>
      <c r="L550" s="120"/>
      <c r="M550" s="120"/>
      <c r="N550" s="120"/>
      <c r="O550" s="120"/>
      <c r="P550" s="120"/>
      <c r="Q550" s="120"/>
      <c r="R550" s="120"/>
      <c r="S550" s="120"/>
      <c r="T550" s="120"/>
      <c r="U550" s="120"/>
      <c r="V550" s="120"/>
      <c r="W550" s="120"/>
      <c r="X550" s="120"/>
      <c r="Y550" s="120"/>
      <c r="Z550" s="120"/>
      <c r="AA550" s="120"/>
    </row>
    <row r="551">
      <c r="A551" s="120"/>
      <c r="B551" s="120"/>
      <c r="C551" s="120"/>
      <c r="D551" s="120"/>
      <c r="E551" s="120"/>
      <c r="F551" s="120"/>
      <c r="G551" s="120"/>
      <c r="H551" s="120"/>
      <c r="I551" s="120"/>
      <c r="J551" s="120"/>
      <c r="K551" s="120"/>
      <c r="L551" s="120"/>
      <c r="M551" s="120"/>
      <c r="N551" s="120"/>
      <c r="O551" s="120"/>
      <c r="P551" s="120"/>
      <c r="Q551" s="120"/>
      <c r="R551" s="120"/>
      <c r="S551" s="120"/>
      <c r="T551" s="120"/>
      <c r="U551" s="120"/>
      <c r="V551" s="120"/>
      <c r="W551" s="120"/>
      <c r="X551" s="120"/>
      <c r="Y551" s="120"/>
      <c r="Z551" s="120"/>
      <c r="AA551" s="120"/>
    </row>
    <row r="552">
      <c r="A552" s="120"/>
      <c r="B552" s="120"/>
      <c r="C552" s="120"/>
      <c r="D552" s="120"/>
      <c r="E552" s="120"/>
      <c r="F552" s="120"/>
      <c r="G552" s="120"/>
      <c r="H552" s="120"/>
      <c r="I552" s="120"/>
      <c r="J552" s="120"/>
      <c r="K552" s="120"/>
      <c r="L552" s="120"/>
      <c r="M552" s="120"/>
      <c r="N552" s="120"/>
      <c r="O552" s="120"/>
      <c r="P552" s="120"/>
      <c r="Q552" s="120"/>
      <c r="R552" s="120"/>
      <c r="S552" s="120"/>
      <c r="T552" s="120"/>
      <c r="U552" s="120"/>
      <c r="V552" s="120"/>
      <c r="W552" s="120"/>
      <c r="X552" s="120"/>
      <c r="Y552" s="120"/>
      <c r="Z552" s="120"/>
      <c r="AA552" s="120"/>
    </row>
    <row r="553">
      <c r="A553" s="120"/>
      <c r="B553" s="120"/>
      <c r="C553" s="120"/>
      <c r="D553" s="120"/>
      <c r="E553" s="120"/>
      <c r="F553" s="120"/>
      <c r="G553" s="120"/>
      <c r="H553" s="120"/>
      <c r="I553" s="120"/>
      <c r="J553" s="120"/>
      <c r="K553" s="120"/>
      <c r="L553" s="120"/>
      <c r="M553" s="120"/>
      <c r="N553" s="120"/>
      <c r="O553" s="120"/>
      <c r="P553" s="120"/>
      <c r="Q553" s="120"/>
      <c r="R553" s="120"/>
      <c r="S553" s="120"/>
      <c r="T553" s="120"/>
      <c r="U553" s="120"/>
      <c r="V553" s="120"/>
      <c r="W553" s="120"/>
      <c r="X553" s="120"/>
      <c r="Y553" s="120"/>
      <c r="Z553" s="120"/>
      <c r="AA553" s="120"/>
    </row>
    <row r="554">
      <c r="A554" s="120"/>
      <c r="B554" s="120"/>
      <c r="C554" s="120"/>
      <c r="D554" s="120"/>
      <c r="E554" s="120"/>
      <c r="F554" s="120"/>
      <c r="G554" s="120"/>
      <c r="H554" s="120"/>
      <c r="I554" s="120"/>
      <c r="J554" s="120"/>
      <c r="K554" s="120"/>
      <c r="L554" s="120"/>
      <c r="M554" s="120"/>
      <c r="N554" s="120"/>
      <c r="O554" s="120"/>
      <c r="P554" s="120"/>
      <c r="Q554" s="120"/>
      <c r="R554" s="120"/>
      <c r="S554" s="120"/>
      <c r="T554" s="120"/>
      <c r="U554" s="120"/>
      <c r="V554" s="120"/>
      <c r="W554" s="120"/>
      <c r="X554" s="120"/>
      <c r="Y554" s="120"/>
      <c r="Z554" s="120"/>
      <c r="AA554" s="120"/>
    </row>
    <row r="555">
      <c r="A555" s="120"/>
      <c r="B555" s="120"/>
      <c r="C555" s="120"/>
      <c r="D555" s="120"/>
      <c r="E555" s="120"/>
      <c r="F555" s="120"/>
      <c r="G555" s="120"/>
      <c r="H555" s="120"/>
      <c r="I555" s="120"/>
      <c r="J555" s="120"/>
      <c r="K555" s="120"/>
      <c r="L555" s="120"/>
      <c r="M555" s="120"/>
      <c r="N555" s="120"/>
      <c r="O555" s="120"/>
      <c r="P555" s="120"/>
      <c r="Q555" s="120"/>
      <c r="R555" s="120"/>
      <c r="S555" s="120"/>
      <c r="T555" s="120"/>
      <c r="U555" s="120"/>
      <c r="V555" s="120"/>
      <c r="W555" s="120"/>
      <c r="X555" s="120"/>
      <c r="Y555" s="120"/>
      <c r="Z555" s="120"/>
      <c r="AA555" s="120"/>
    </row>
    <row r="556">
      <c r="A556" s="120"/>
      <c r="B556" s="120"/>
      <c r="C556" s="120"/>
      <c r="D556" s="120"/>
      <c r="E556" s="120"/>
      <c r="F556" s="120"/>
      <c r="G556" s="120"/>
      <c r="H556" s="120"/>
      <c r="I556" s="120"/>
      <c r="J556" s="120"/>
      <c r="K556" s="120"/>
      <c r="L556" s="120"/>
      <c r="M556" s="120"/>
      <c r="N556" s="120"/>
      <c r="O556" s="120"/>
      <c r="P556" s="120"/>
      <c r="Q556" s="120"/>
      <c r="R556" s="120"/>
      <c r="S556" s="120"/>
      <c r="T556" s="120"/>
      <c r="U556" s="120"/>
      <c r="V556" s="120"/>
      <c r="W556" s="120"/>
      <c r="X556" s="120"/>
      <c r="Y556" s="120"/>
      <c r="Z556" s="120"/>
      <c r="AA556" s="120"/>
    </row>
    <row r="557">
      <c r="A557" s="120"/>
      <c r="B557" s="120"/>
      <c r="C557" s="120"/>
      <c r="D557" s="120"/>
      <c r="E557" s="120"/>
      <c r="F557" s="120"/>
      <c r="G557" s="120"/>
      <c r="H557" s="120"/>
      <c r="I557" s="120"/>
      <c r="J557" s="120"/>
      <c r="K557" s="120"/>
      <c r="L557" s="120"/>
      <c r="M557" s="120"/>
      <c r="N557" s="120"/>
      <c r="O557" s="120"/>
      <c r="P557" s="120"/>
      <c r="Q557" s="120"/>
      <c r="R557" s="120"/>
      <c r="S557" s="120"/>
      <c r="T557" s="120"/>
      <c r="U557" s="120"/>
      <c r="V557" s="120"/>
      <c r="W557" s="120"/>
      <c r="X557" s="120"/>
      <c r="Y557" s="120"/>
      <c r="Z557" s="120"/>
      <c r="AA557" s="120"/>
    </row>
    <row r="558">
      <c r="A558" s="120"/>
      <c r="B558" s="120"/>
      <c r="C558" s="120"/>
      <c r="D558" s="120"/>
      <c r="E558" s="120"/>
      <c r="F558" s="120"/>
      <c r="G558" s="120"/>
      <c r="H558" s="120"/>
      <c r="I558" s="120"/>
      <c r="J558" s="120"/>
      <c r="K558" s="120"/>
      <c r="L558" s="120"/>
      <c r="M558" s="120"/>
      <c r="N558" s="120"/>
      <c r="O558" s="120"/>
      <c r="P558" s="120"/>
      <c r="Q558" s="120"/>
      <c r="R558" s="120"/>
      <c r="S558" s="120"/>
      <c r="T558" s="120"/>
      <c r="U558" s="120"/>
      <c r="V558" s="120"/>
      <c r="W558" s="120"/>
      <c r="X558" s="120"/>
      <c r="Y558" s="120"/>
      <c r="Z558" s="120"/>
      <c r="AA558" s="120"/>
    </row>
    <row r="559">
      <c r="A559" s="120"/>
      <c r="B559" s="120"/>
      <c r="C559" s="120"/>
      <c r="D559" s="120"/>
      <c r="E559" s="120"/>
      <c r="F559" s="120"/>
      <c r="G559" s="120"/>
      <c r="H559" s="120"/>
      <c r="I559" s="120"/>
      <c r="J559" s="120"/>
      <c r="K559" s="120"/>
      <c r="L559" s="120"/>
      <c r="M559" s="120"/>
      <c r="N559" s="120"/>
      <c r="O559" s="120"/>
      <c r="P559" s="120"/>
      <c r="Q559" s="120"/>
      <c r="R559" s="120"/>
      <c r="S559" s="120"/>
      <c r="T559" s="120"/>
      <c r="U559" s="120"/>
      <c r="V559" s="120"/>
      <c r="W559" s="120"/>
      <c r="X559" s="120"/>
      <c r="Y559" s="120"/>
      <c r="Z559" s="120"/>
      <c r="AA559" s="120"/>
    </row>
    <row r="560">
      <c r="A560" s="120"/>
      <c r="B560" s="120"/>
      <c r="C560" s="120"/>
      <c r="D560" s="120"/>
      <c r="E560" s="120"/>
      <c r="F560" s="120"/>
      <c r="G560" s="120"/>
      <c r="H560" s="120"/>
      <c r="I560" s="120"/>
      <c r="J560" s="120"/>
      <c r="K560" s="120"/>
      <c r="L560" s="120"/>
      <c r="M560" s="120"/>
      <c r="N560" s="120"/>
      <c r="O560" s="120"/>
      <c r="P560" s="120"/>
      <c r="Q560" s="120"/>
      <c r="R560" s="120"/>
      <c r="S560" s="120"/>
      <c r="T560" s="120"/>
      <c r="U560" s="120"/>
      <c r="V560" s="120"/>
      <c r="W560" s="120"/>
      <c r="X560" s="120"/>
      <c r="Y560" s="120"/>
      <c r="Z560" s="120"/>
      <c r="AA560" s="120"/>
    </row>
    <row r="561">
      <c r="A561" s="120"/>
      <c r="B561" s="120"/>
      <c r="C561" s="120"/>
      <c r="D561" s="120"/>
      <c r="E561" s="120"/>
      <c r="F561" s="120"/>
      <c r="G561" s="120"/>
      <c r="H561" s="120"/>
      <c r="I561" s="120"/>
      <c r="J561" s="120"/>
      <c r="K561" s="120"/>
      <c r="L561" s="120"/>
      <c r="M561" s="120"/>
      <c r="N561" s="120"/>
      <c r="O561" s="120"/>
      <c r="P561" s="120"/>
      <c r="Q561" s="120"/>
      <c r="R561" s="120"/>
      <c r="S561" s="120"/>
      <c r="T561" s="120"/>
      <c r="U561" s="120"/>
      <c r="V561" s="120"/>
      <c r="W561" s="120"/>
      <c r="X561" s="120"/>
      <c r="Y561" s="120"/>
      <c r="Z561" s="120"/>
      <c r="AA561" s="120"/>
    </row>
    <row r="562">
      <c r="A562" s="120"/>
      <c r="B562" s="120"/>
      <c r="C562" s="120"/>
      <c r="D562" s="120"/>
      <c r="E562" s="120"/>
      <c r="F562" s="120"/>
      <c r="G562" s="120"/>
      <c r="H562" s="120"/>
      <c r="I562" s="120"/>
      <c r="J562" s="120"/>
      <c r="K562" s="120"/>
      <c r="L562" s="120"/>
      <c r="M562" s="120"/>
      <c r="N562" s="120"/>
      <c r="O562" s="120"/>
      <c r="P562" s="120"/>
      <c r="Q562" s="120"/>
      <c r="R562" s="120"/>
      <c r="S562" s="120"/>
      <c r="T562" s="120"/>
      <c r="U562" s="120"/>
      <c r="V562" s="120"/>
      <c r="W562" s="120"/>
      <c r="X562" s="120"/>
      <c r="Y562" s="120"/>
      <c r="Z562" s="120"/>
      <c r="AA562" s="120"/>
    </row>
    <row r="563">
      <c r="A563" s="120"/>
      <c r="B563" s="120"/>
      <c r="C563" s="120"/>
      <c r="D563" s="120"/>
      <c r="E563" s="120"/>
      <c r="F563" s="120"/>
      <c r="G563" s="120"/>
      <c r="H563" s="120"/>
      <c r="I563" s="120"/>
      <c r="J563" s="120"/>
      <c r="K563" s="120"/>
      <c r="L563" s="120"/>
      <c r="M563" s="120"/>
      <c r="N563" s="120"/>
      <c r="O563" s="120"/>
      <c r="P563" s="120"/>
      <c r="Q563" s="120"/>
      <c r="R563" s="120"/>
      <c r="S563" s="120"/>
      <c r="T563" s="120"/>
      <c r="U563" s="120"/>
      <c r="V563" s="120"/>
      <c r="W563" s="120"/>
      <c r="X563" s="120"/>
      <c r="Y563" s="120"/>
      <c r="Z563" s="120"/>
      <c r="AA563" s="120"/>
    </row>
    <row r="564">
      <c r="A564" s="120"/>
      <c r="B564" s="120"/>
      <c r="C564" s="120"/>
      <c r="D564" s="120"/>
      <c r="E564" s="120"/>
      <c r="F564" s="120"/>
      <c r="G564" s="120"/>
      <c r="H564" s="120"/>
      <c r="I564" s="120"/>
      <c r="J564" s="120"/>
      <c r="K564" s="120"/>
      <c r="L564" s="120"/>
      <c r="M564" s="120"/>
      <c r="N564" s="120"/>
      <c r="O564" s="120"/>
      <c r="P564" s="120"/>
      <c r="Q564" s="120"/>
      <c r="R564" s="120"/>
      <c r="S564" s="120"/>
      <c r="T564" s="120"/>
      <c r="U564" s="120"/>
      <c r="V564" s="120"/>
      <c r="W564" s="120"/>
      <c r="X564" s="120"/>
      <c r="Y564" s="120"/>
      <c r="Z564" s="120"/>
      <c r="AA564" s="120"/>
    </row>
    <row r="565">
      <c r="A565" s="120"/>
      <c r="B565" s="120"/>
      <c r="C565" s="120"/>
      <c r="D565" s="120"/>
      <c r="E565" s="120"/>
      <c r="F565" s="120"/>
      <c r="G565" s="120"/>
      <c r="H565" s="120"/>
      <c r="I565" s="120"/>
      <c r="J565" s="120"/>
      <c r="K565" s="120"/>
      <c r="L565" s="120"/>
      <c r="M565" s="120"/>
      <c r="N565" s="120"/>
      <c r="O565" s="120"/>
      <c r="P565" s="120"/>
      <c r="Q565" s="120"/>
      <c r="R565" s="120"/>
      <c r="S565" s="120"/>
      <c r="T565" s="120"/>
      <c r="U565" s="120"/>
      <c r="V565" s="120"/>
      <c r="W565" s="120"/>
      <c r="X565" s="120"/>
      <c r="Y565" s="120"/>
      <c r="Z565" s="120"/>
      <c r="AA565" s="120"/>
    </row>
    <row r="566">
      <c r="A566" s="120"/>
      <c r="B566" s="120"/>
      <c r="C566" s="120"/>
      <c r="D566" s="120"/>
      <c r="E566" s="120"/>
      <c r="F566" s="120"/>
      <c r="G566" s="120"/>
      <c r="H566" s="120"/>
      <c r="I566" s="120"/>
      <c r="J566" s="120"/>
      <c r="K566" s="120"/>
      <c r="L566" s="120"/>
      <c r="M566" s="120"/>
      <c r="N566" s="120"/>
      <c r="O566" s="120"/>
      <c r="P566" s="120"/>
      <c r="Q566" s="120"/>
      <c r="R566" s="120"/>
      <c r="S566" s="120"/>
      <c r="T566" s="120"/>
      <c r="U566" s="120"/>
      <c r="V566" s="120"/>
      <c r="W566" s="120"/>
      <c r="X566" s="120"/>
      <c r="Y566" s="120"/>
      <c r="Z566" s="120"/>
      <c r="AA566" s="120"/>
    </row>
    <row r="567">
      <c r="A567" s="120"/>
      <c r="B567" s="120"/>
      <c r="C567" s="120"/>
      <c r="D567" s="120"/>
      <c r="E567" s="120"/>
      <c r="F567" s="120"/>
      <c r="G567" s="120"/>
      <c r="H567" s="120"/>
      <c r="I567" s="120"/>
      <c r="J567" s="120"/>
      <c r="K567" s="120"/>
      <c r="L567" s="120"/>
      <c r="M567" s="120"/>
      <c r="N567" s="120"/>
      <c r="O567" s="120"/>
      <c r="P567" s="120"/>
      <c r="Q567" s="120"/>
      <c r="R567" s="120"/>
      <c r="S567" s="120"/>
      <c r="T567" s="120"/>
      <c r="U567" s="120"/>
      <c r="V567" s="120"/>
      <c r="W567" s="120"/>
      <c r="X567" s="120"/>
      <c r="Y567" s="120"/>
      <c r="Z567" s="120"/>
      <c r="AA567" s="120"/>
    </row>
    <row r="568">
      <c r="A568" s="120"/>
      <c r="B568" s="120"/>
      <c r="C568" s="120"/>
      <c r="D568" s="120"/>
      <c r="E568" s="120"/>
      <c r="F568" s="120"/>
      <c r="G568" s="120"/>
      <c r="H568" s="120"/>
      <c r="I568" s="120"/>
      <c r="J568" s="120"/>
      <c r="K568" s="120"/>
      <c r="L568" s="120"/>
      <c r="M568" s="120"/>
      <c r="N568" s="120"/>
      <c r="O568" s="120"/>
      <c r="P568" s="120"/>
      <c r="Q568" s="120"/>
      <c r="R568" s="120"/>
      <c r="S568" s="120"/>
      <c r="T568" s="120"/>
      <c r="U568" s="120"/>
      <c r="V568" s="120"/>
      <c r="W568" s="120"/>
      <c r="X568" s="120"/>
      <c r="Y568" s="120"/>
      <c r="Z568" s="120"/>
      <c r="AA568" s="120"/>
    </row>
    <row r="569">
      <c r="A569" s="120"/>
      <c r="B569" s="120"/>
      <c r="C569" s="120"/>
      <c r="D569" s="120"/>
      <c r="E569" s="120"/>
      <c r="F569" s="120"/>
      <c r="G569" s="120"/>
      <c r="H569" s="120"/>
      <c r="I569" s="120"/>
      <c r="J569" s="120"/>
      <c r="K569" s="120"/>
      <c r="L569" s="120"/>
      <c r="M569" s="120"/>
      <c r="N569" s="120"/>
      <c r="O569" s="120"/>
      <c r="P569" s="120"/>
      <c r="Q569" s="120"/>
      <c r="R569" s="120"/>
      <c r="S569" s="120"/>
      <c r="T569" s="120"/>
      <c r="U569" s="120"/>
      <c r="V569" s="120"/>
      <c r="W569" s="120"/>
      <c r="X569" s="120"/>
      <c r="Y569" s="120"/>
      <c r="Z569" s="120"/>
      <c r="AA569" s="120"/>
    </row>
    <row r="570">
      <c r="A570" s="120"/>
      <c r="B570" s="120"/>
      <c r="C570" s="120"/>
      <c r="D570" s="120"/>
      <c r="E570" s="120"/>
      <c r="F570" s="120"/>
      <c r="G570" s="120"/>
      <c r="H570" s="120"/>
      <c r="I570" s="120"/>
      <c r="J570" s="120"/>
      <c r="K570" s="120"/>
      <c r="L570" s="120"/>
      <c r="M570" s="120"/>
      <c r="N570" s="120"/>
      <c r="O570" s="120"/>
      <c r="P570" s="120"/>
      <c r="Q570" s="120"/>
      <c r="R570" s="120"/>
      <c r="S570" s="120"/>
      <c r="T570" s="120"/>
      <c r="U570" s="120"/>
      <c r="V570" s="120"/>
      <c r="W570" s="120"/>
      <c r="X570" s="120"/>
      <c r="Y570" s="120"/>
      <c r="Z570" s="120"/>
      <c r="AA570" s="120"/>
    </row>
    <row r="571">
      <c r="A571" s="120"/>
      <c r="B571" s="120"/>
      <c r="C571" s="120"/>
      <c r="D571" s="120"/>
      <c r="E571" s="120"/>
      <c r="F571" s="120"/>
      <c r="G571" s="120"/>
      <c r="H571" s="120"/>
      <c r="I571" s="120"/>
      <c r="J571" s="120"/>
      <c r="K571" s="120"/>
      <c r="L571" s="120"/>
      <c r="M571" s="120"/>
      <c r="N571" s="120"/>
      <c r="O571" s="120"/>
      <c r="P571" s="120"/>
      <c r="Q571" s="120"/>
      <c r="R571" s="120"/>
      <c r="S571" s="120"/>
      <c r="T571" s="120"/>
      <c r="U571" s="120"/>
      <c r="V571" s="120"/>
      <c r="W571" s="120"/>
      <c r="X571" s="120"/>
      <c r="Y571" s="120"/>
      <c r="Z571" s="120"/>
      <c r="AA571" s="120"/>
    </row>
    <row r="572">
      <c r="A572" s="120"/>
      <c r="B572" s="120"/>
      <c r="C572" s="120"/>
      <c r="D572" s="120"/>
      <c r="E572" s="120"/>
      <c r="F572" s="120"/>
      <c r="G572" s="120"/>
      <c r="H572" s="120"/>
      <c r="I572" s="120"/>
      <c r="J572" s="120"/>
      <c r="K572" s="120"/>
      <c r="L572" s="120"/>
      <c r="M572" s="120"/>
      <c r="N572" s="120"/>
      <c r="O572" s="120"/>
      <c r="P572" s="120"/>
      <c r="Q572" s="120"/>
      <c r="R572" s="120"/>
      <c r="S572" s="120"/>
      <c r="T572" s="120"/>
      <c r="U572" s="120"/>
      <c r="V572" s="120"/>
      <c r="W572" s="120"/>
      <c r="X572" s="120"/>
      <c r="Y572" s="120"/>
      <c r="Z572" s="120"/>
      <c r="AA572" s="120"/>
    </row>
    <row r="573">
      <c r="A573" s="120"/>
      <c r="B573" s="120"/>
      <c r="C573" s="120"/>
      <c r="D573" s="120"/>
      <c r="E573" s="120"/>
      <c r="F573" s="120"/>
      <c r="G573" s="120"/>
      <c r="H573" s="120"/>
      <c r="I573" s="120"/>
      <c r="J573" s="120"/>
      <c r="K573" s="120"/>
      <c r="L573" s="120"/>
      <c r="M573" s="120"/>
      <c r="N573" s="120"/>
      <c r="O573" s="120"/>
      <c r="P573" s="120"/>
      <c r="Q573" s="120"/>
      <c r="R573" s="120"/>
      <c r="S573" s="120"/>
      <c r="T573" s="120"/>
      <c r="U573" s="120"/>
      <c r="V573" s="120"/>
      <c r="W573" s="120"/>
      <c r="X573" s="120"/>
      <c r="Y573" s="120"/>
      <c r="Z573" s="120"/>
      <c r="AA573" s="120"/>
    </row>
    <row r="574">
      <c r="A574" s="120"/>
      <c r="B574" s="120"/>
      <c r="C574" s="120"/>
      <c r="D574" s="120"/>
      <c r="E574" s="120"/>
      <c r="F574" s="120"/>
      <c r="G574" s="120"/>
      <c r="H574" s="120"/>
      <c r="I574" s="120"/>
      <c r="J574" s="120"/>
      <c r="K574" s="120"/>
      <c r="L574" s="120"/>
      <c r="M574" s="120"/>
      <c r="N574" s="120"/>
      <c r="O574" s="120"/>
      <c r="P574" s="120"/>
      <c r="Q574" s="120"/>
      <c r="R574" s="120"/>
      <c r="S574" s="120"/>
      <c r="T574" s="120"/>
      <c r="U574" s="120"/>
      <c r="V574" s="120"/>
      <c r="W574" s="120"/>
      <c r="X574" s="120"/>
      <c r="Y574" s="120"/>
      <c r="Z574" s="120"/>
      <c r="AA574" s="120"/>
    </row>
    <row r="575">
      <c r="A575" s="120"/>
      <c r="B575" s="120"/>
      <c r="C575" s="120"/>
      <c r="D575" s="120"/>
      <c r="E575" s="120"/>
      <c r="F575" s="120"/>
      <c r="G575" s="120"/>
      <c r="H575" s="120"/>
      <c r="I575" s="120"/>
      <c r="J575" s="120"/>
      <c r="K575" s="120"/>
      <c r="L575" s="120"/>
      <c r="M575" s="120"/>
      <c r="N575" s="120"/>
      <c r="O575" s="120"/>
      <c r="P575" s="120"/>
      <c r="Q575" s="120"/>
      <c r="R575" s="120"/>
      <c r="S575" s="120"/>
      <c r="T575" s="120"/>
      <c r="U575" s="120"/>
      <c r="V575" s="120"/>
      <c r="W575" s="120"/>
      <c r="X575" s="120"/>
      <c r="Y575" s="120"/>
      <c r="Z575" s="120"/>
      <c r="AA575" s="120"/>
    </row>
    <row r="576">
      <c r="A576" s="120"/>
      <c r="B576" s="120"/>
      <c r="C576" s="120"/>
      <c r="D576" s="120"/>
      <c r="E576" s="120"/>
      <c r="F576" s="120"/>
      <c r="G576" s="120"/>
      <c r="H576" s="120"/>
      <c r="I576" s="120"/>
      <c r="J576" s="120"/>
      <c r="K576" s="120"/>
      <c r="L576" s="120"/>
      <c r="M576" s="120"/>
      <c r="N576" s="120"/>
      <c r="O576" s="120"/>
      <c r="P576" s="120"/>
      <c r="Q576" s="120"/>
      <c r="R576" s="120"/>
      <c r="S576" s="120"/>
      <c r="T576" s="120"/>
      <c r="U576" s="120"/>
      <c r="V576" s="120"/>
      <c r="W576" s="120"/>
      <c r="X576" s="120"/>
      <c r="Y576" s="120"/>
      <c r="Z576" s="120"/>
      <c r="AA576" s="120"/>
    </row>
    <row r="577">
      <c r="A577" s="120"/>
      <c r="B577" s="120"/>
      <c r="C577" s="120"/>
      <c r="D577" s="120"/>
      <c r="E577" s="120"/>
      <c r="F577" s="120"/>
      <c r="G577" s="120"/>
      <c r="H577" s="120"/>
      <c r="I577" s="120"/>
      <c r="J577" s="120"/>
      <c r="K577" s="120"/>
      <c r="L577" s="120"/>
      <c r="M577" s="120"/>
      <c r="N577" s="120"/>
      <c r="O577" s="120"/>
      <c r="P577" s="120"/>
      <c r="Q577" s="120"/>
      <c r="R577" s="120"/>
      <c r="S577" s="120"/>
      <c r="T577" s="120"/>
      <c r="U577" s="120"/>
      <c r="V577" s="120"/>
      <c r="W577" s="120"/>
      <c r="X577" s="120"/>
      <c r="Y577" s="120"/>
      <c r="Z577" s="120"/>
      <c r="AA577" s="120"/>
    </row>
    <row r="578">
      <c r="A578" s="120"/>
      <c r="B578" s="120"/>
      <c r="C578" s="120"/>
      <c r="D578" s="120"/>
      <c r="E578" s="120"/>
      <c r="F578" s="120"/>
      <c r="G578" s="120"/>
      <c r="H578" s="120"/>
      <c r="I578" s="120"/>
      <c r="J578" s="120"/>
      <c r="K578" s="120"/>
      <c r="L578" s="120"/>
      <c r="M578" s="120"/>
      <c r="N578" s="120"/>
      <c r="O578" s="120"/>
      <c r="P578" s="120"/>
      <c r="Q578" s="120"/>
      <c r="R578" s="120"/>
      <c r="S578" s="120"/>
      <c r="T578" s="120"/>
      <c r="U578" s="120"/>
      <c r="V578" s="120"/>
      <c r="W578" s="120"/>
      <c r="X578" s="120"/>
      <c r="Y578" s="120"/>
      <c r="Z578" s="120"/>
      <c r="AA578" s="120"/>
    </row>
    <row r="579">
      <c r="A579" s="120"/>
      <c r="B579" s="120"/>
      <c r="C579" s="120"/>
      <c r="D579" s="120"/>
      <c r="E579" s="120"/>
      <c r="F579" s="120"/>
      <c r="G579" s="120"/>
      <c r="H579" s="120"/>
      <c r="I579" s="120"/>
      <c r="J579" s="120"/>
      <c r="K579" s="120"/>
      <c r="L579" s="120"/>
      <c r="M579" s="120"/>
      <c r="N579" s="120"/>
      <c r="O579" s="120"/>
      <c r="P579" s="120"/>
      <c r="Q579" s="120"/>
      <c r="R579" s="120"/>
      <c r="S579" s="120"/>
      <c r="T579" s="120"/>
      <c r="U579" s="120"/>
      <c r="V579" s="120"/>
      <c r="W579" s="120"/>
      <c r="X579" s="120"/>
      <c r="Y579" s="120"/>
      <c r="Z579" s="120"/>
      <c r="AA579" s="120"/>
    </row>
    <row r="580">
      <c r="A580" s="120"/>
      <c r="B580" s="120"/>
      <c r="C580" s="120"/>
      <c r="D580" s="120"/>
      <c r="E580" s="120"/>
      <c r="F580" s="120"/>
      <c r="G580" s="120"/>
      <c r="H580" s="120"/>
      <c r="I580" s="120"/>
      <c r="J580" s="120"/>
      <c r="K580" s="120"/>
      <c r="L580" s="120"/>
      <c r="M580" s="120"/>
      <c r="N580" s="120"/>
      <c r="O580" s="120"/>
      <c r="P580" s="120"/>
      <c r="Q580" s="120"/>
      <c r="R580" s="120"/>
      <c r="S580" s="120"/>
      <c r="T580" s="120"/>
      <c r="U580" s="120"/>
      <c r="V580" s="120"/>
      <c r="W580" s="120"/>
      <c r="X580" s="120"/>
      <c r="Y580" s="120"/>
      <c r="Z580" s="120"/>
      <c r="AA580" s="120"/>
    </row>
    <row r="581">
      <c r="A581" s="120"/>
      <c r="B581" s="120"/>
      <c r="C581" s="120"/>
      <c r="D581" s="120"/>
      <c r="E581" s="120"/>
      <c r="F581" s="120"/>
      <c r="G581" s="120"/>
      <c r="H581" s="120"/>
      <c r="I581" s="120"/>
      <c r="J581" s="120"/>
      <c r="K581" s="120"/>
      <c r="L581" s="120"/>
      <c r="M581" s="120"/>
      <c r="N581" s="120"/>
      <c r="O581" s="120"/>
      <c r="P581" s="120"/>
      <c r="Q581" s="120"/>
      <c r="R581" s="120"/>
      <c r="S581" s="120"/>
      <c r="T581" s="120"/>
      <c r="U581" s="120"/>
      <c r="V581" s="120"/>
      <c r="W581" s="120"/>
      <c r="X581" s="120"/>
      <c r="Y581" s="120"/>
      <c r="Z581" s="120"/>
      <c r="AA581" s="120"/>
    </row>
    <row r="582">
      <c r="A582" s="120"/>
      <c r="B582" s="120"/>
      <c r="C582" s="120"/>
      <c r="D582" s="120"/>
      <c r="E582" s="120"/>
      <c r="F582" s="120"/>
      <c r="G582" s="120"/>
      <c r="H582" s="120"/>
      <c r="I582" s="120"/>
      <c r="J582" s="120"/>
      <c r="K582" s="120"/>
      <c r="L582" s="120"/>
      <c r="M582" s="120"/>
      <c r="N582" s="120"/>
      <c r="O582" s="120"/>
      <c r="P582" s="120"/>
      <c r="Q582" s="120"/>
      <c r="R582" s="120"/>
      <c r="S582" s="120"/>
      <c r="T582" s="120"/>
      <c r="U582" s="120"/>
      <c r="V582" s="120"/>
      <c r="W582" s="120"/>
      <c r="X582" s="120"/>
      <c r="Y582" s="120"/>
      <c r="Z582" s="120"/>
      <c r="AA582" s="120"/>
    </row>
    <row r="583">
      <c r="A583" s="120"/>
      <c r="B583" s="120"/>
      <c r="C583" s="120"/>
      <c r="D583" s="120"/>
      <c r="E583" s="120"/>
      <c r="F583" s="120"/>
      <c r="G583" s="120"/>
      <c r="H583" s="120"/>
      <c r="I583" s="120"/>
      <c r="J583" s="120"/>
      <c r="K583" s="120"/>
      <c r="L583" s="120"/>
      <c r="M583" s="120"/>
      <c r="N583" s="120"/>
      <c r="O583" s="120"/>
      <c r="P583" s="120"/>
      <c r="Q583" s="120"/>
      <c r="R583" s="120"/>
      <c r="S583" s="120"/>
      <c r="T583" s="120"/>
      <c r="U583" s="120"/>
      <c r="V583" s="120"/>
      <c r="W583" s="120"/>
      <c r="X583" s="120"/>
      <c r="Y583" s="120"/>
      <c r="Z583" s="120"/>
      <c r="AA583" s="120"/>
    </row>
    <row r="584">
      <c r="A584" s="120"/>
      <c r="B584" s="120"/>
      <c r="C584" s="120"/>
      <c r="D584" s="120"/>
      <c r="E584" s="120"/>
      <c r="F584" s="120"/>
      <c r="G584" s="120"/>
      <c r="H584" s="120"/>
      <c r="I584" s="120"/>
      <c r="J584" s="120"/>
      <c r="K584" s="120"/>
      <c r="L584" s="120"/>
      <c r="M584" s="120"/>
      <c r="N584" s="120"/>
      <c r="O584" s="120"/>
      <c r="P584" s="120"/>
      <c r="Q584" s="120"/>
      <c r="R584" s="120"/>
      <c r="S584" s="120"/>
      <c r="T584" s="120"/>
      <c r="U584" s="120"/>
      <c r="V584" s="120"/>
      <c r="W584" s="120"/>
      <c r="X584" s="120"/>
      <c r="Y584" s="120"/>
      <c r="Z584" s="120"/>
      <c r="AA584" s="120"/>
    </row>
    <row r="585">
      <c r="A585" s="120"/>
      <c r="B585" s="120"/>
      <c r="C585" s="120"/>
      <c r="D585" s="120"/>
      <c r="E585" s="120"/>
      <c r="F585" s="120"/>
      <c r="G585" s="120"/>
      <c r="H585" s="120"/>
      <c r="I585" s="120"/>
      <c r="J585" s="120"/>
      <c r="K585" s="120"/>
      <c r="L585" s="120"/>
      <c r="M585" s="120"/>
      <c r="N585" s="120"/>
      <c r="O585" s="120"/>
      <c r="P585" s="120"/>
      <c r="Q585" s="120"/>
      <c r="R585" s="120"/>
      <c r="S585" s="120"/>
      <c r="T585" s="120"/>
      <c r="U585" s="120"/>
      <c r="V585" s="120"/>
      <c r="W585" s="120"/>
      <c r="X585" s="120"/>
      <c r="Y585" s="120"/>
      <c r="Z585" s="120"/>
      <c r="AA585" s="120"/>
    </row>
    <row r="586">
      <c r="A586" s="120"/>
      <c r="B586" s="120"/>
      <c r="C586" s="120"/>
      <c r="D586" s="120"/>
      <c r="E586" s="120"/>
      <c r="F586" s="120"/>
      <c r="G586" s="120"/>
      <c r="H586" s="120"/>
      <c r="I586" s="120"/>
      <c r="J586" s="120"/>
      <c r="K586" s="120"/>
      <c r="L586" s="120"/>
      <c r="M586" s="120"/>
      <c r="N586" s="120"/>
      <c r="O586" s="120"/>
      <c r="P586" s="120"/>
      <c r="Q586" s="120"/>
      <c r="R586" s="120"/>
      <c r="S586" s="120"/>
      <c r="T586" s="120"/>
      <c r="U586" s="120"/>
      <c r="V586" s="120"/>
      <c r="W586" s="120"/>
      <c r="X586" s="120"/>
      <c r="Y586" s="120"/>
      <c r="Z586" s="120"/>
      <c r="AA586" s="120"/>
    </row>
    <row r="587">
      <c r="A587" s="120"/>
      <c r="B587" s="120"/>
      <c r="C587" s="120"/>
      <c r="D587" s="120"/>
      <c r="E587" s="120"/>
      <c r="F587" s="120"/>
      <c r="G587" s="120"/>
      <c r="H587" s="120"/>
      <c r="I587" s="120"/>
      <c r="J587" s="120"/>
      <c r="K587" s="120"/>
      <c r="L587" s="120"/>
      <c r="M587" s="120"/>
      <c r="N587" s="120"/>
      <c r="O587" s="120"/>
      <c r="P587" s="120"/>
      <c r="Q587" s="120"/>
      <c r="R587" s="120"/>
      <c r="S587" s="120"/>
      <c r="T587" s="120"/>
      <c r="U587" s="120"/>
      <c r="V587" s="120"/>
      <c r="W587" s="120"/>
      <c r="X587" s="120"/>
      <c r="Y587" s="120"/>
      <c r="Z587" s="120"/>
      <c r="AA587" s="120"/>
    </row>
    <row r="588">
      <c r="A588" s="120"/>
      <c r="B588" s="120"/>
      <c r="C588" s="120"/>
      <c r="D588" s="120"/>
      <c r="E588" s="120"/>
      <c r="F588" s="120"/>
      <c r="G588" s="120"/>
      <c r="H588" s="120"/>
      <c r="I588" s="120"/>
      <c r="J588" s="120"/>
      <c r="K588" s="120"/>
      <c r="L588" s="120"/>
      <c r="M588" s="120"/>
      <c r="N588" s="120"/>
      <c r="O588" s="120"/>
      <c r="P588" s="120"/>
      <c r="Q588" s="120"/>
      <c r="R588" s="120"/>
      <c r="S588" s="120"/>
      <c r="T588" s="120"/>
      <c r="U588" s="120"/>
      <c r="V588" s="120"/>
      <c r="W588" s="120"/>
      <c r="X588" s="120"/>
      <c r="Y588" s="120"/>
      <c r="Z588" s="120"/>
      <c r="AA588" s="120"/>
    </row>
    <row r="589">
      <c r="A589" s="120"/>
      <c r="B589" s="120"/>
      <c r="C589" s="120"/>
      <c r="D589" s="120"/>
      <c r="E589" s="120"/>
      <c r="F589" s="120"/>
      <c r="G589" s="120"/>
      <c r="H589" s="120"/>
      <c r="I589" s="120"/>
      <c r="J589" s="120"/>
      <c r="K589" s="120"/>
      <c r="L589" s="120"/>
      <c r="M589" s="120"/>
      <c r="N589" s="120"/>
      <c r="O589" s="120"/>
      <c r="P589" s="120"/>
      <c r="Q589" s="120"/>
      <c r="R589" s="120"/>
      <c r="S589" s="120"/>
      <c r="T589" s="120"/>
      <c r="U589" s="120"/>
      <c r="V589" s="120"/>
      <c r="W589" s="120"/>
      <c r="X589" s="120"/>
      <c r="Y589" s="120"/>
      <c r="Z589" s="120"/>
      <c r="AA589" s="120"/>
    </row>
    <row r="590">
      <c r="A590" s="120"/>
      <c r="B590" s="120"/>
      <c r="C590" s="120"/>
      <c r="D590" s="120"/>
      <c r="E590" s="120"/>
      <c r="F590" s="120"/>
      <c r="G590" s="120"/>
      <c r="H590" s="120"/>
      <c r="I590" s="120"/>
      <c r="J590" s="120"/>
      <c r="K590" s="120"/>
      <c r="L590" s="120"/>
      <c r="M590" s="120"/>
      <c r="N590" s="120"/>
      <c r="O590" s="120"/>
      <c r="P590" s="120"/>
      <c r="Q590" s="120"/>
      <c r="R590" s="120"/>
      <c r="S590" s="120"/>
      <c r="T590" s="120"/>
      <c r="U590" s="120"/>
      <c r="V590" s="120"/>
      <c r="W590" s="120"/>
      <c r="X590" s="120"/>
      <c r="Y590" s="120"/>
      <c r="Z590" s="120"/>
      <c r="AA590" s="120"/>
    </row>
    <row r="591">
      <c r="A591" s="120"/>
      <c r="B591" s="120"/>
      <c r="C591" s="120"/>
      <c r="D591" s="120"/>
      <c r="E591" s="120"/>
      <c r="F591" s="120"/>
      <c r="G591" s="120"/>
      <c r="H591" s="120"/>
      <c r="I591" s="120"/>
      <c r="J591" s="120"/>
      <c r="K591" s="120"/>
      <c r="L591" s="120"/>
      <c r="M591" s="120"/>
      <c r="N591" s="120"/>
      <c r="O591" s="120"/>
      <c r="P591" s="120"/>
      <c r="Q591" s="120"/>
      <c r="R591" s="120"/>
      <c r="S591" s="120"/>
      <c r="T591" s="120"/>
      <c r="U591" s="120"/>
      <c r="V591" s="120"/>
      <c r="W591" s="120"/>
      <c r="X591" s="120"/>
      <c r="Y591" s="120"/>
      <c r="Z591" s="120"/>
      <c r="AA591" s="120"/>
    </row>
    <row r="592">
      <c r="A592" s="120"/>
      <c r="B592" s="120"/>
      <c r="C592" s="120"/>
      <c r="D592" s="120"/>
      <c r="E592" s="120"/>
      <c r="F592" s="120"/>
      <c r="G592" s="120"/>
      <c r="H592" s="120"/>
      <c r="I592" s="120"/>
      <c r="J592" s="120"/>
      <c r="K592" s="120"/>
      <c r="L592" s="120"/>
      <c r="M592" s="120"/>
      <c r="N592" s="120"/>
      <c r="O592" s="120"/>
      <c r="P592" s="120"/>
      <c r="Q592" s="120"/>
      <c r="R592" s="120"/>
      <c r="S592" s="120"/>
      <c r="T592" s="120"/>
      <c r="U592" s="120"/>
      <c r="V592" s="120"/>
      <c r="W592" s="120"/>
      <c r="X592" s="120"/>
      <c r="Y592" s="120"/>
      <c r="Z592" s="120"/>
      <c r="AA592" s="120"/>
    </row>
    <row r="593">
      <c r="A593" s="120"/>
      <c r="B593" s="120"/>
      <c r="C593" s="120"/>
      <c r="D593" s="120"/>
      <c r="E593" s="120"/>
      <c r="F593" s="120"/>
      <c r="G593" s="120"/>
      <c r="H593" s="120"/>
      <c r="I593" s="120"/>
      <c r="J593" s="120"/>
      <c r="K593" s="120"/>
      <c r="L593" s="120"/>
      <c r="M593" s="120"/>
      <c r="N593" s="120"/>
      <c r="O593" s="120"/>
      <c r="P593" s="120"/>
      <c r="Q593" s="120"/>
      <c r="R593" s="120"/>
      <c r="S593" s="120"/>
      <c r="T593" s="120"/>
      <c r="U593" s="120"/>
      <c r="V593" s="120"/>
      <c r="W593" s="120"/>
      <c r="X593" s="120"/>
      <c r="Y593" s="120"/>
      <c r="Z593" s="120"/>
      <c r="AA593" s="120"/>
    </row>
    <row r="594">
      <c r="A594" s="120"/>
      <c r="B594" s="120"/>
      <c r="C594" s="120"/>
      <c r="D594" s="120"/>
      <c r="E594" s="120"/>
      <c r="F594" s="120"/>
      <c r="G594" s="120"/>
      <c r="H594" s="120"/>
      <c r="I594" s="120"/>
      <c r="J594" s="120"/>
      <c r="K594" s="120"/>
      <c r="L594" s="120"/>
      <c r="M594" s="120"/>
      <c r="N594" s="120"/>
      <c r="O594" s="120"/>
      <c r="P594" s="120"/>
      <c r="Q594" s="120"/>
      <c r="R594" s="120"/>
      <c r="S594" s="120"/>
      <c r="T594" s="120"/>
      <c r="U594" s="120"/>
      <c r="V594" s="120"/>
      <c r="W594" s="120"/>
      <c r="X594" s="120"/>
      <c r="Y594" s="120"/>
      <c r="Z594" s="120"/>
      <c r="AA594" s="120"/>
    </row>
    <row r="595">
      <c r="A595" s="120"/>
      <c r="B595" s="120"/>
      <c r="C595" s="120"/>
      <c r="D595" s="120"/>
      <c r="E595" s="120"/>
      <c r="F595" s="120"/>
      <c r="G595" s="120"/>
      <c r="H595" s="120"/>
      <c r="I595" s="120"/>
      <c r="J595" s="120"/>
      <c r="K595" s="120"/>
      <c r="L595" s="120"/>
      <c r="M595" s="120"/>
      <c r="N595" s="120"/>
      <c r="O595" s="120"/>
      <c r="P595" s="120"/>
      <c r="Q595" s="120"/>
      <c r="R595" s="120"/>
      <c r="S595" s="120"/>
      <c r="T595" s="120"/>
      <c r="U595" s="120"/>
      <c r="V595" s="120"/>
      <c r="W595" s="120"/>
      <c r="X595" s="120"/>
      <c r="Y595" s="120"/>
      <c r="Z595" s="120"/>
      <c r="AA595" s="120"/>
    </row>
    <row r="596">
      <c r="A596" s="120"/>
      <c r="B596" s="120"/>
      <c r="C596" s="120"/>
      <c r="D596" s="120"/>
      <c r="E596" s="120"/>
      <c r="F596" s="120"/>
      <c r="G596" s="120"/>
      <c r="H596" s="120"/>
      <c r="I596" s="120"/>
      <c r="J596" s="120"/>
      <c r="K596" s="120"/>
      <c r="L596" s="120"/>
      <c r="M596" s="120"/>
      <c r="N596" s="120"/>
      <c r="O596" s="120"/>
      <c r="P596" s="120"/>
      <c r="Q596" s="120"/>
      <c r="R596" s="120"/>
      <c r="S596" s="120"/>
      <c r="T596" s="120"/>
      <c r="U596" s="120"/>
      <c r="V596" s="120"/>
      <c r="W596" s="120"/>
      <c r="X596" s="120"/>
      <c r="Y596" s="120"/>
      <c r="Z596" s="120"/>
      <c r="AA596" s="120"/>
    </row>
    <row r="597">
      <c r="A597" s="120"/>
      <c r="B597" s="120"/>
      <c r="C597" s="120"/>
      <c r="D597" s="120"/>
      <c r="E597" s="120"/>
      <c r="F597" s="120"/>
      <c r="G597" s="120"/>
      <c r="H597" s="120"/>
      <c r="I597" s="120"/>
      <c r="J597" s="120"/>
      <c r="K597" s="120"/>
      <c r="L597" s="120"/>
      <c r="M597" s="120"/>
      <c r="N597" s="120"/>
      <c r="O597" s="120"/>
      <c r="P597" s="120"/>
      <c r="Q597" s="120"/>
      <c r="R597" s="120"/>
      <c r="S597" s="120"/>
      <c r="T597" s="120"/>
      <c r="U597" s="120"/>
      <c r="V597" s="120"/>
      <c r="W597" s="120"/>
      <c r="X597" s="120"/>
      <c r="Y597" s="120"/>
      <c r="Z597" s="120"/>
      <c r="AA597" s="120"/>
    </row>
    <row r="598">
      <c r="A598" s="120"/>
      <c r="B598" s="120"/>
      <c r="C598" s="120"/>
      <c r="D598" s="120"/>
      <c r="E598" s="120"/>
      <c r="F598" s="120"/>
      <c r="G598" s="120"/>
      <c r="H598" s="120"/>
      <c r="I598" s="120"/>
      <c r="J598" s="120"/>
      <c r="K598" s="120"/>
      <c r="L598" s="120"/>
      <c r="M598" s="120"/>
      <c r="N598" s="120"/>
      <c r="O598" s="120"/>
      <c r="P598" s="120"/>
      <c r="Q598" s="120"/>
      <c r="R598" s="120"/>
      <c r="S598" s="120"/>
      <c r="T598" s="120"/>
      <c r="U598" s="120"/>
      <c r="V598" s="120"/>
      <c r="W598" s="120"/>
      <c r="X598" s="120"/>
      <c r="Y598" s="120"/>
      <c r="Z598" s="120"/>
      <c r="AA598" s="120"/>
    </row>
    <row r="599">
      <c r="A599" s="120"/>
      <c r="B599" s="120"/>
      <c r="C599" s="120"/>
      <c r="D599" s="120"/>
      <c r="E599" s="120"/>
      <c r="F599" s="120"/>
      <c r="G599" s="120"/>
      <c r="H599" s="120"/>
      <c r="I599" s="120"/>
      <c r="J599" s="120"/>
      <c r="K599" s="120"/>
      <c r="L599" s="120"/>
      <c r="M599" s="120"/>
      <c r="N599" s="120"/>
      <c r="O599" s="120"/>
      <c r="P599" s="120"/>
      <c r="Q599" s="120"/>
      <c r="R599" s="120"/>
      <c r="S599" s="120"/>
      <c r="T599" s="120"/>
      <c r="U599" s="120"/>
      <c r="V599" s="120"/>
      <c r="W599" s="120"/>
      <c r="X599" s="120"/>
      <c r="Y599" s="120"/>
      <c r="Z599" s="120"/>
      <c r="AA599" s="120"/>
    </row>
    <row r="600">
      <c r="A600" s="120"/>
      <c r="B600" s="120"/>
      <c r="C600" s="120"/>
      <c r="D600" s="120"/>
      <c r="E600" s="120"/>
      <c r="F600" s="120"/>
      <c r="G600" s="120"/>
      <c r="H600" s="120"/>
      <c r="I600" s="120"/>
      <c r="J600" s="120"/>
      <c r="K600" s="120"/>
      <c r="L600" s="120"/>
      <c r="M600" s="120"/>
      <c r="N600" s="120"/>
      <c r="O600" s="120"/>
      <c r="P600" s="120"/>
      <c r="Q600" s="120"/>
      <c r="R600" s="120"/>
      <c r="S600" s="120"/>
      <c r="T600" s="120"/>
      <c r="U600" s="120"/>
      <c r="V600" s="120"/>
      <c r="W600" s="120"/>
      <c r="X600" s="120"/>
      <c r="Y600" s="120"/>
      <c r="Z600" s="120"/>
      <c r="AA600" s="120"/>
    </row>
    <row r="601">
      <c r="A601" s="120"/>
      <c r="B601" s="120"/>
      <c r="C601" s="120"/>
      <c r="D601" s="120"/>
      <c r="E601" s="120"/>
      <c r="F601" s="120"/>
      <c r="G601" s="120"/>
      <c r="H601" s="120"/>
      <c r="I601" s="120"/>
      <c r="J601" s="120"/>
      <c r="K601" s="120"/>
      <c r="L601" s="120"/>
      <c r="M601" s="120"/>
      <c r="N601" s="120"/>
      <c r="O601" s="120"/>
      <c r="P601" s="120"/>
      <c r="Q601" s="120"/>
      <c r="R601" s="120"/>
      <c r="S601" s="120"/>
      <c r="T601" s="120"/>
      <c r="U601" s="120"/>
      <c r="V601" s="120"/>
      <c r="W601" s="120"/>
      <c r="X601" s="120"/>
      <c r="Y601" s="120"/>
      <c r="Z601" s="120"/>
      <c r="AA601" s="120"/>
    </row>
    <row r="602">
      <c r="A602" s="120"/>
      <c r="B602" s="120"/>
      <c r="C602" s="120"/>
      <c r="D602" s="120"/>
      <c r="E602" s="120"/>
      <c r="F602" s="120"/>
      <c r="G602" s="120"/>
      <c r="H602" s="120"/>
      <c r="I602" s="120"/>
      <c r="J602" s="120"/>
      <c r="K602" s="120"/>
      <c r="L602" s="120"/>
      <c r="M602" s="120"/>
      <c r="N602" s="120"/>
      <c r="O602" s="120"/>
      <c r="P602" s="120"/>
      <c r="Q602" s="120"/>
      <c r="R602" s="120"/>
      <c r="S602" s="120"/>
      <c r="T602" s="120"/>
      <c r="U602" s="120"/>
      <c r="V602" s="120"/>
      <c r="W602" s="120"/>
      <c r="X602" s="120"/>
      <c r="Y602" s="120"/>
      <c r="Z602" s="120"/>
      <c r="AA602" s="120"/>
    </row>
    <row r="603">
      <c r="A603" s="120"/>
      <c r="B603" s="120"/>
      <c r="C603" s="120"/>
      <c r="D603" s="120"/>
      <c r="E603" s="120"/>
      <c r="F603" s="120"/>
      <c r="G603" s="120"/>
      <c r="H603" s="120"/>
      <c r="I603" s="120"/>
      <c r="J603" s="120"/>
      <c r="K603" s="120"/>
      <c r="L603" s="120"/>
      <c r="M603" s="120"/>
      <c r="N603" s="120"/>
      <c r="O603" s="120"/>
      <c r="P603" s="120"/>
      <c r="Q603" s="120"/>
      <c r="R603" s="120"/>
      <c r="S603" s="120"/>
      <c r="T603" s="120"/>
      <c r="U603" s="120"/>
      <c r="V603" s="120"/>
      <c r="W603" s="120"/>
      <c r="X603" s="120"/>
      <c r="Y603" s="120"/>
      <c r="Z603" s="120"/>
      <c r="AA603" s="120"/>
    </row>
    <row r="604">
      <c r="A604" s="120"/>
      <c r="B604" s="120"/>
      <c r="C604" s="120"/>
      <c r="D604" s="120"/>
      <c r="E604" s="120"/>
      <c r="F604" s="120"/>
      <c r="G604" s="120"/>
      <c r="H604" s="120"/>
      <c r="I604" s="120"/>
      <c r="J604" s="120"/>
      <c r="K604" s="120"/>
      <c r="L604" s="120"/>
      <c r="M604" s="120"/>
      <c r="N604" s="120"/>
      <c r="O604" s="120"/>
      <c r="P604" s="120"/>
      <c r="Q604" s="120"/>
      <c r="R604" s="120"/>
      <c r="S604" s="120"/>
      <c r="T604" s="120"/>
      <c r="U604" s="120"/>
      <c r="V604" s="120"/>
      <c r="W604" s="120"/>
      <c r="X604" s="120"/>
      <c r="Y604" s="120"/>
      <c r="Z604" s="120"/>
      <c r="AA604" s="120"/>
    </row>
    <row r="605">
      <c r="A605" s="120"/>
      <c r="B605" s="120"/>
      <c r="C605" s="120"/>
      <c r="D605" s="120"/>
      <c r="E605" s="120"/>
      <c r="F605" s="120"/>
      <c r="G605" s="120"/>
      <c r="H605" s="120"/>
      <c r="I605" s="120"/>
      <c r="J605" s="120"/>
      <c r="K605" s="120"/>
      <c r="L605" s="120"/>
      <c r="M605" s="120"/>
      <c r="N605" s="120"/>
      <c r="O605" s="120"/>
      <c r="P605" s="120"/>
      <c r="Q605" s="120"/>
      <c r="R605" s="120"/>
      <c r="S605" s="120"/>
      <c r="T605" s="120"/>
      <c r="U605" s="120"/>
      <c r="V605" s="120"/>
      <c r="W605" s="120"/>
      <c r="X605" s="120"/>
      <c r="Y605" s="120"/>
      <c r="Z605" s="120"/>
      <c r="AA605" s="120"/>
    </row>
    <row r="606">
      <c r="A606" s="120"/>
      <c r="B606" s="120"/>
      <c r="C606" s="120"/>
      <c r="D606" s="120"/>
      <c r="E606" s="120"/>
      <c r="F606" s="120"/>
      <c r="G606" s="120"/>
      <c r="H606" s="120"/>
      <c r="I606" s="120"/>
      <c r="J606" s="120"/>
      <c r="K606" s="120"/>
      <c r="L606" s="120"/>
      <c r="M606" s="120"/>
      <c r="N606" s="120"/>
      <c r="O606" s="120"/>
      <c r="P606" s="120"/>
      <c r="Q606" s="120"/>
      <c r="R606" s="120"/>
      <c r="S606" s="120"/>
      <c r="T606" s="120"/>
      <c r="U606" s="120"/>
      <c r="V606" s="120"/>
      <c r="W606" s="120"/>
      <c r="X606" s="120"/>
      <c r="Y606" s="120"/>
      <c r="Z606" s="120"/>
      <c r="AA606" s="120"/>
    </row>
    <row r="607">
      <c r="A607" s="120"/>
      <c r="B607" s="120"/>
      <c r="C607" s="120"/>
      <c r="D607" s="120"/>
      <c r="E607" s="120"/>
      <c r="F607" s="120"/>
      <c r="G607" s="120"/>
      <c r="H607" s="120"/>
      <c r="I607" s="120"/>
      <c r="J607" s="120"/>
      <c r="K607" s="120"/>
      <c r="L607" s="120"/>
      <c r="M607" s="120"/>
      <c r="N607" s="120"/>
      <c r="O607" s="120"/>
      <c r="P607" s="120"/>
      <c r="Q607" s="120"/>
      <c r="R607" s="120"/>
      <c r="S607" s="120"/>
      <c r="T607" s="120"/>
      <c r="U607" s="120"/>
      <c r="V607" s="120"/>
      <c r="W607" s="120"/>
      <c r="X607" s="120"/>
      <c r="Y607" s="120"/>
      <c r="Z607" s="120"/>
      <c r="AA607" s="120"/>
    </row>
    <row r="608">
      <c r="A608" s="120"/>
      <c r="B608" s="120"/>
      <c r="C608" s="120"/>
      <c r="D608" s="120"/>
      <c r="E608" s="120"/>
      <c r="F608" s="120"/>
      <c r="G608" s="120"/>
      <c r="H608" s="120"/>
      <c r="I608" s="120"/>
      <c r="J608" s="120"/>
      <c r="K608" s="120"/>
      <c r="L608" s="120"/>
      <c r="M608" s="120"/>
      <c r="N608" s="120"/>
      <c r="O608" s="120"/>
      <c r="P608" s="120"/>
      <c r="Q608" s="120"/>
      <c r="R608" s="120"/>
      <c r="S608" s="120"/>
      <c r="T608" s="120"/>
      <c r="U608" s="120"/>
      <c r="V608" s="120"/>
      <c r="W608" s="120"/>
      <c r="X608" s="120"/>
      <c r="Y608" s="120"/>
      <c r="Z608" s="120"/>
      <c r="AA608" s="120"/>
    </row>
    <row r="609">
      <c r="A609" s="120"/>
      <c r="B609" s="120"/>
      <c r="C609" s="120"/>
      <c r="D609" s="120"/>
      <c r="E609" s="120"/>
      <c r="F609" s="120"/>
      <c r="G609" s="120"/>
      <c r="H609" s="120"/>
      <c r="I609" s="120"/>
      <c r="J609" s="120"/>
      <c r="K609" s="120"/>
      <c r="L609" s="120"/>
      <c r="M609" s="120"/>
      <c r="N609" s="120"/>
      <c r="O609" s="120"/>
      <c r="P609" s="120"/>
      <c r="Q609" s="120"/>
      <c r="R609" s="120"/>
      <c r="S609" s="120"/>
      <c r="T609" s="120"/>
      <c r="U609" s="120"/>
      <c r="V609" s="120"/>
      <c r="W609" s="120"/>
      <c r="X609" s="120"/>
      <c r="Y609" s="120"/>
      <c r="Z609" s="120"/>
      <c r="AA609" s="120"/>
    </row>
    <row r="610">
      <c r="A610" s="120"/>
      <c r="B610" s="120"/>
      <c r="C610" s="120"/>
      <c r="D610" s="120"/>
      <c r="E610" s="120"/>
      <c r="F610" s="120"/>
      <c r="G610" s="120"/>
      <c r="H610" s="120"/>
      <c r="I610" s="120"/>
      <c r="J610" s="120"/>
      <c r="K610" s="120"/>
      <c r="L610" s="120"/>
      <c r="M610" s="120"/>
      <c r="N610" s="120"/>
      <c r="O610" s="120"/>
      <c r="P610" s="120"/>
      <c r="Q610" s="120"/>
      <c r="R610" s="120"/>
      <c r="S610" s="120"/>
      <c r="T610" s="120"/>
      <c r="U610" s="120"/>
      <c r="V610" s="120"/>
      <c r="W610" s="120"/>
      <c r="X610" s="120"/>
      <c r="Y610" s="120"/>
      <c r="Z610" s="120"/>
      <c r="AA610" s="120"/>
    </row>
    <row r="611">
      <c r="A611" s="120"/>
      <c r="B611" s="120"/>
      <c r="C611" s="120"/>
      <c r="D611" s="120"/>
      <c r="E611" s="120"/>
      <c r="F611" s="120"/>
      <c r="G611" s="120"/>
      <c r="H611" s="120"/>
      <c r="I611" s="120"/>
      <c r="J611" s="120"/>
      <c r="K611" s="120"/>
      <c r="L611" s="120"/>
      <c r="M611" s="120"/>
      <c r="N611" s="120"/>
      <c r="O611" s="120"/>
      <c r="P611" s="120"/>
      <c r="Q611" s="120"/>
      <c r="R611" s="120"/>
      <c r="S611" s="120"/>
      <c r="T611" s="120"/>
      <c r="U611" s="120"/>
      <c r="V611" s="120"/>
      <c r="W611" s="120"/>
      <c r="X611" s="120"/>
      <c r="Y611" s="120"/>
      <c r="Z611" s="120"/>
      <c r="AA611" s="120"/>
    </row>
    <row r="612">
      <c r="A612" s="120"/>
      <c r="B612" s="120"/>
      <c r="C612" s="120"/>
      <c r="D612" s="120"/>
      <c r="E612" s="120"/>
      <c r="F612" s="120"/>
      <c r="G612" s="120"/>
      <c r="H612" s="120"/>
      <c r="I612" s="120"/>
      <c r="J612" s="120"/>
      <c r="K612" s="120"/>
      <c r="L612" s="120"/>
      <c r="M612" s="120"/>
      <c r="N612" s="120"/>
      <c r="O612" s="120"/>
      <c r="P612" s="120"/>
      <c r="Q612" s="120"/>
      <c r="R612" s="120"/>
      <c r="S612" s="120"/>
      <c r="T612" s="120"/>
      <c r="U612" s="120"/>
      <c r="V612" s="120"/>
      <c r="W612" s="120"/>
      <c r="X612" s="120"/>
      <c r="Y612" s="120"/>
      <c r="Z612" s="120"/>
      <c r="AA612" s="120"/>
    </row>
    <row r="613">
      <c r="A613" s="120"/>
      <c r="B613" s="120"/>
      <c r="C613" s="120"/>
      <c r="D613" s="120"/>
      <c r="E613" s="120"/>
      <c r="F613" s="120"/>
      <c r="G613" s="120"/>
      <c r="H613" s="120"/>
      <c r="I613" s="120"/>
      <c r="J613" s="120"/>
      <c r="K613" s="120"/>
      <c r="L613" s="120"/>
      <c r="M613" s="120"/>
      <c r="N613" s="120"/>
      <c r="O613" s="120"/>
      <c r="P613" s="120"/>
      <c r="Q613" s="120"/>
      <c r="R613" s="120"/>
      <c r="S613" s="120"/>
      <c r="T613" s="120"/>
      <c r="U613" s="120"/>
      <c r="V613" s="120"/>
      <c r="W613" s="120"/>
      <c r="X613" s="120"/>
      <c r="Y613" s="120"/>
      <c r="Z613" s="120"/>
      <c r="AA613" s="120"/>
    </row>
    <row r="614">
      <c r="A614" s="120"/>
      <c r="B614" s="120"/>
      <c r="C614" s="120"/>
      <c r="D614" s="120"/>
      <c r="E614" s="120"/>
      <c r="F614" s="120"/>
      <c r="G614" s="120"/>
      <c r="H614" s="120"/>
      <c r="I614" s="120"/>
      <c r="J614" s="120"/>
      <c r="K614" s="120"/>
      <c r="L614" s="120"/>
      <c r="M614" s="120"/>
      <c r="N614" s="120"/>
      <c r="O614" s="120"/>
      <c r="P614" s="120"/>
      <c r="Q614" s="120"/>
      <c r="R614" s="120"/>
      <c r="S614" s="120"/>
      <c r="T614" s="120"/>
      <c r="U614" s="120"/>
      <c r="V614" s="120"/>
      <c r="W614" s="120"/>
      <c r="X614" s="120"/>
      <c r="Y614" s="120"/>
      <c r="Z614" s="120"/>
      <c r="AA614" s="120"/>
    </row>
    <row r="615">
      <c r="A615" s="120"/>
      <c r="B615" s="120"/>
      <c r="C615" s="120"/>
      <c r="D615" s="120"/>
      <c r="E615" s="120"/>
      <c r="F615" s="120"/>
      <c r="G615" s="120"/>
      <c r="H615" s="120"/>
      <c r="I615" s="120"/>
      <c r="J615" s="120"/>
      <c r="K615" s="120"/>
      <c r="L615" s="120"/>
      <c r="M615" s="120"/>
      <c r="N615" s="120"/>
      <c r="O615" s="120"/>
      <c r="P615" s="120"/>
      <c r="Q615" s="120"/>
      <c r="R615" s="120"/>
      <c r="S615" s="120"/>
      <c r="T615" s="120"/>
      <c r="U615" s="120"/>
      <c r="V615" s="120"/>
      <c r="W615" s="120"/>
      <c r="X615" s="120"/>
      <c r="Y615" s="120"/>
      <c r="Z615" s="120"/>
      <c r="AA615" s="120"/>
    </row>
    <row r="616">
      <c r="A616" s="120"/>
      <c r="B616" s="120"/>
      <c r="C616" s="120"/>
      <c r="D616" s="120"/>
      <c r="E616" s="120"/>
      <c r="F616" s="120"/>
      <c r="G616" s="120"/>
      <c r="H616" s="120"/>
      <c r="I616" s="120"/>
      <c r="J616" s="120"/>
      <c r="K616" s="120"/>
      <c r="L616" s="120"/>
      <c r="M616" s="120"/>
      <c r="N616" s="120"/>
      <c r="O616" s="120"/>
      <c r="P616" s="120"/>
      <c r="Q616" s="120"/>
      <c r="R616" s="120"/>
      <c r="S616" s="120"/>
      <c r="T616" s="120"/>
      <c r="U616" s="120"/>
      <c r="V616" s="120"/>
      <c r="W616" s="120"/>
      <c r="X616" s="120"/>
      <c r="Y616" s="120"/>
      <c r="Z616" s="120"/>
      <c r="AA616" s="120"/>
    </row>
    <row r="617">
      <c r="A617" s="120"/>
      <c r="B617" s="120"/>
      <c r="C617" s="120"/>
      <c r="D617" s="120"/>
      <c r="E617" s="120"/>
      <c r="F617" s="120"/>
      <c r="G617" s="120"/>
      <c r="H617" s="120"/>
      <c r="I617" s="120"/>
      <c r="J617" s="120"/>
      <c r="K617" s="120"/>
      <c r="L617" s="120"/>
      <c r="M617" s="120"/>
      <c r="N617" s="120"/>
      <c r="O617" s="120"/>
      <c r="P617" s="120"/>
      <c r="Q617" s="120"/>
      <c r="R617" s="120"/>
      <c r="S617" s="120"/>
      <c r="T617" s="120"/>
      <c r="U617" s="120"/>
      <c r="V617" s="120"/>
      <c r="W617" s="120"/>
      <c r="X617" s="120"/>
      <c r="Y617" s="120"/>
      <c r="Z617" s="120"/>
      <c r="AA617" s="120"/>
    </row>
    <row r="618">
      <c r="A618" s="120"/>
      <c r="B618" s="120"/>
      <c r="C618" s="120"/>
      <c r="D618" s="120"/>
      <c r="E618" s="120"/>
      <c r="F618" s="120"/>
      <c r="G618" s="120"/>
      <c r="H618" s="120"/>
      <c r="I618" s="120"/>
      <c r="J618" s="120"/>
      <c r="K618" s="120"/>
      <c r="L618" s="120"/>
      <c r="M618" s="120"/>
      <c r="N618" s="120"/>
      <c r="O618" s="120"/>
      <c r="P618" s="120"/>
      <c r="Q618" s="120"/>
      <c r="R618" s="120"/>
      <c r="S618" s="120"/>
      <c r="T618" s="120"/>
      <c r="U618" s="120"/>
      <c r="V618" s="120"/>
      <c r="W618" s="120"/>
      <c r="X618" s="120"/>
      <c r="Y618" s="120"/>
      <c r="Z618" s="120"/>
      <c r="AA618" s="120"/>
    </row>
    <row r="619">
      <c r="A619" s="120"/>
      <c r="B619" s="120"/>
      <c r="C619" s="120"/>
      <c r="D619" s="120"/>
      <c r="E619" s="120"/>
      <c r="F619" s="120"/>
      <c r="G619" s="120"/>
      <c r="H619" s="120"/>
      <c r="I619" s="120"/>
      <c r="J619" s="120"/>
      <c r="K619" s="120"/>
      <c r="L619" s="120"/>
      <c r="M619" s="120"/>
      <c r="N619" s="120"/>
      <c r="O619" s="120"/>
      <c r="P619" s="120"/>
      <c r="Q619" s="120"/>
      <c r="R619" s="120"/>
      <c r="S619" s="120"/>
      <c r="T619" s="120"/>
      <c r="U619" s="120"/>
      <c r="V619" s="120"/>
      <c r="W619" s="120"/>
      <c r="X619" s="120"/>
      <c r="Y619" s="120"/>
      <c r="Z619" s="120"/>
      <c r="AA619" s="120"/>
    </row>
    <row r="620">
      <c r="A620" s="120"/>
      <c r="B620" s="120"/>
      <c r="C620" s="120"/>
      <c r="D620" s="120"/>
      <c r="E620" s="120"/>
      <c r="F620" s="120"/>
      <c r="G620" s="120"/>
      <c r="H620" s="120"/>
      <c r="I620" s="120"/>
      <c r="J620" s="120"/>
      <c r="K620" s="120"/>
      <c r="L620" s="120"/>
      <c r="M620" s="120"/>
      <c r="N620" s="120"/>
      <c r="O620" s="120"/>
      <c r="P620" s="120"/>
      <c r="Q620" s="120"/>
      <c r="R620" s="120"/>
      <c r="S620" s="120"/>
      <c r="T620" s="120"/>
      <c r="U620" s="120"/>
      <c r="V620" s="120"/>
      <c r="W620" s="120"/>
      <c r="X620" s="120"/>
      <c r="Y620" s="120"/>
      <c r="Z620" s="120"/>
      <c r="AA620" s="120"/>
    </row>
    <row r="621">
      <c r="A621" s="120"/>
      <c r="B621" s="120"/>
      <c r="C621" s="120"/>
      <c r="D621" s="120"/>
      <c r="E621" s="120"/>
      <c r="F621" s="120"/>
      <c r="G621" s="120"/>
      <c r="H621" s="120"/>
      <c r="I621" s="120"/>
      <c r="J621" s="120"/>
      <c r="K621" s="120"/>
      <c r="L621" s="120"/>
      <c r="M621" s="120"/>
      <c r="N621" s="120"/>
      <c r="O621" s="120"/>
      <c r="P621" s="120"/>
      <c r="Q621" s="120"/>
      <c r="R621" s="120"/>
      <c r="S621" s="120"/>
      <c r="T621" s="120"/>
      <c r="U621" s="120"/>
      <c r="V621" s="120"/>
      <c r="W621" s="120"/>
      <c r="X621" s="120"/>
      <c r="Y621" s="120"/>
      <c r="Z621" s="120"/>
      <c r="AA621" s="120"/>
    </row>
    <row r="622">
      <c r="A622" s="120"/>
      <c r="B622" s="120"/>
      <c r="C622" s="120"/>
      <c r="D622" s="120"/>
      <c r="E622" s="120"/>
      <c r="F622" s="120"/>
      <c r="G622" s="120"/>
      <c r="H622" s="120"/>
      <c r="I622" s="120"/>
      <c r="J622" s="120"/>
      <c r="K622" s="120"/>
      <c r="L622" s="120"/>
      <c r="M622" s="120"/>
      <c r="N622" s="120"/>
      <c r="O622" s="120"/>
      <c r="P622" s="120"/>
      <c r="Q622" s="120"/>
      <c r="R622" s="120"/>
      <c r="S622" s="120"/>
      <c r="T622" s="120"/>
      <c r="U622" s="120"/>
      <c r="V622" s="120"/>
      <c r="W622" s="120"/>
      <c r="X622" s="120"/>
      <c r="Y622" s="120"/>
      <c r="Z622" s="120"/>
      <c r="AA622" s="120"/>
    </row>
    <row r="623">
      <c r="A623" s="120"/>
      <c r="B623" s="120"/>
      <c r="C623" s="120"/>
      <c r="D623" s="120"/>
      <c r="E623" s="120"/>
      <c r="F623" s="120"/>
      <c r="G623" s="120"/>
      <c r="H623" s="120"/>
      <c r="I623" s="120"/>
      <c r="J623" s="120"/>
      <c r="K623" s="120"/>
      <c r="L623" s="120"/>
      <c r="M623" s="120"/>
      <c r="N623" s="120"/>
      <c r="O623" s="120"/>
      <c r="P623" s="120"/>
      <c r="Q623" s="120"/>
      <c r="R623" s="120"/>
      <c r="S623" s="120"/>
      <c r="T623" s="120"/>
      <c r="U623" s="120"/>
      <c r="V623" s="120"/>
      <c r="W623" s="120"/>
      <c r="X623" s="120"/>
      <c r="Y623" s="120"/>
      <c r="Z623" s="120"/>
      <c r="AA623" s="120"/>
    </row>
    <row r="624">
      <c r="A624" s="120"/>
      <c r="B624" s="120"/>
      <c r="C624" s="120"/>
      <c r="D624" s="120"/>
      <c r="E624" s="120"/>
      <c r="F624" s="120"/>
      <c r="G624" s="120"/>
      <c r="H624" s="120"/>
      <c r="I624" s="120"/>
      <c r="J624" s="120"/>
      <c r="K624" s="120"/>
      <c r="L624" s="120"/>
      <c r="M624" s="120"/>
      <c r="N624" s="120"/>
      <c r="O624" s="120"/>
      <c r="P624" s="120"/>
      <c r="Q624" s="120"/>
      <c r="R624" s="120"/>
      <c r="S624" s="120"/>
      <c r="T624" s="120"/>
      <c r="U624" s="120"/>
      <c r="V624" s="120"/>
      <c r="W624" s="120"/>
      <c r="X624" s="120"/>
      <c r="Y624" s="120"/>
      <c r="Z624" s="120"/>
      <c r="AA624" s="120"/>
    </row>
    <row r="625">
      <c r="A625" s="120"/>
      <c r="B625" s="120"/>
      <c r="C625" s="120"/>
      <c r="D625" s="120"/>
      <c r="E625" s="120"/>
      <c r="F625" s="120"/>
      <c r="G625" s="120"/>
      <c r="H625" s="120"/>
      <c r="I625" s="120"/>
      <c r="J625" s="120"/>
      <c r="K625" s="120"/>
      <c r="L625" s="120"/>
      <c r="M625" s="120"/>
      <c r="N625" s="120"/>
      <c r="O625" s="120"/>
      <c r="P625" s="120"/>
      <c r="Q625" s="120"/>
      <c r="R625" s="120"/>
      <c r="S625" s="120"/>
      <c r="T625" s="120"/>
      <c r="U625" s="120"/>
      <c r="V625" s="120"/>
      <c r="W625" s="120"/>
      <c r="X625" s="120"/>
      <c r="Y625" s="120"/>
      <c r="Z625" s="120"/>
      <c r="AA625" s="120"/>
    </row>
    <row r="626">
      <c r="A626" s="120"/>
      <c r="B626" s="120"/>
      <c r="C626" s="120"/>
      <c r="D626" s="120"/>
      <c r="E626" s="120"/>
      <c r="F626" s="120"/>
      <c r="G626" s="120"/>
      <c r="H626" s="120"/>
      <c r="I626" s="120"/>
      <c r="J626" s="120"/>
      <c r="K626" s="120"/>
      <c r="L626" s="120"/>
      <c r="M626" s="120"/>
      <c r="N626" s="120"/>
      <c r="O626" s="120"/>
      <c r="P626" s="120"/>
      <c r="Q626" s="120"/>
      <c r="R626" s="120"/>
      <c r="S626" s="120"/>
      <c r="T626" s="120"/>
      <c r="U626" s="120"/>
      <c r="V626" s="120"/>
      <c r="W626" s="120"/>
      <c r="X626" s="120"/>
      <c r="Y626" s="120"/>
      <c r="Z626" s="120"/>
      <c r="AA626" s="120"/>
    </row>
    <row r="627">
      <c r="A627" s="120"/>
      <c r="B627" s="120"/>
      <c r="C627" s="120"/>
      <c r="D627" s="120"/>
      <c r="E627" s="120"/>
      <c r="F627" s="120"/>
      <c r="G627" s="120"/>
      <c r="H627" s="120"/>
      <c r="I627" s="120"/>
      <c r="J627" s="120"/>
      <c r="K627" s="120"/>
      <c r="L627" s="120"/>
      <c r="M627" s="120"/>
      <c r="N627" s="120"/>
      <c r="O627" s="120"/>
      <c r="P627" s="120"/>
      <c r="Q627" s="120"/>
      <c r="R627" s="120"/>
      <c r="S627" s="120"/>
      <c r="T627" s="120"/>
      <c r="U627" s="120"/>
      <c r="V627" s="120"/>
      <c r="W627" s="120"/>
      <c r="X627" s="120"/>
      <c r="Y627" s="120"/>
      <c r="Z627" s="120"/>
      <c r="AA627" s="120"/>
    </row>
    <row r="628">
      <c r="A628" s="120"/>
      <c r="B628" s="120"/>
      <c r="C628" s="120"/>
      <c r="D628" s="120"/>
      <c r="E628" s="120"/>
      <c r="F628" s="120"/>
      <c r="G628" s="120"/>
      <c r="H628" s="120"/>
      <c r="I628" s="120"/>
      <c r="J628" s="120"/>
      <c r="K628" s="120"/>
      <c r="L628" s="120"/>
      <c r="M628" s="120"/>
      <c r="N628" s="120"/>
      <c r="O628" s="120"/>
      <c r="P628" s="120"/>
      <c r="Q628" s="120"/>
      <c r="R628" s="120"/>
      <c r="S628" s="120"/>
      <c r="T628" s="120"/>
      <c r="U628" s="120"/>
      <c r="V628" s="120"/>
      <c r="W628" s="120"/>
      <c r="X628" s="120"/>
      <c r="Y628" s="120"/>
      <c r="Z628" s="120"/>
      <c r="AA628" s="120"/>
    </row>
    <row r="629">
      <c r="A629" s="120"/>
      <c r="B629" s="120"/>
      <c r="C629" s="120"/>
      <c r="D629" s="120"/>
      <c r="E629" s="120"/>
      <c r="F629" s="120"/>
      <c r="G629" s="120"/>
      <c r="H629" s="120"/>
      <c r="I629" s="120"/>
      <c r="J629" s="120"/>
      <c r="K629" s="120"/>
      <c r="L629" s="120"/>
      <c r="M629" s="120"/>
      <c r="N629" s="120"/>
      <c r="O629" s="120"/>
      <c r="P629" s="120"/>
      <c r="Q629" s="120"/>
      <c r="R629" s="120"/>
      <c r="S629" s="120"/>
      <c r="T629" s="120"/>
      <c r="U629" s="120"/>
      <c r="V629" s="120"/>
      <c r="W629" s="120"/>
      <c r="X629" s="120"/>
      <c r="Y629" s="120"/>
      <c r="Z629" s="120"/>
      <c r="AA629" s="120"/>
    </row>
    <row r="630">
      <c r="A630" s="120"/>
      <c r="B630" s="120"/>
      <c r="C630" s="120"/>
      <c r="D630" s="120"/>
      <c r="E630" s="120"/>
      <c r="F630" s="120"/>
      <c r="G630" s="120"/>
      <c r="H630" s="120"/>
      <c r="I630" s="120"/>
      <c r="J630" s="120"/>
      <c r="K630" s="120"/>
      <c r="L630" s="120"/>
      <c r="M630" s="120"/>
      <c r="N630" s="120"/>
      <c r="O630" s="120"/>
      <c r="P630" s="120"/>
      <c r="Q630" s="120"/>
      <c r="R630" s="120"/>
      <c r="S630" s="120"/>
      <c r="T630" s="120"/>
      <c r="U630" s="120"/>
      <c r="V630" s="120"/>
      <c r="W630" s="120"/>
      <c r="X630" s="120"/>
      <c r="Y630" s="120"/>
      <c r="Z630" s="120"/>
      <c r="AA630" s="120"/>
    </row>
    <row r="631">
      <c r="A631" s="120"/>
      <c r="B631" s="120"/>
      <c r="C631" s="120"/>
      <c r="D631" s="120"/>
      <c r="E631" s="120"/>
      <c r="F631" s="120"/>
      <c r="G631" s="120"/>
      <c r="H631" s="120"/>
      <c r="I631" s="120"/>
      <c r="J631" s="120"/>
      <c r="K631" s="120"/>
      <c r="L631" s="120"/>
      <c r="M631" s="120"/>
      <c r="N631" s="120"/>
      <c r="O631" s="120"/>
      <c r="P631" s="120"/>
      <c r="Q631" s="120"/>
      <c r="R631" s="120"/>
      <c r="S631" s="120"/>
      <c r="T631" s="120"/>
      <c r="U631" s="120"/>
      <c r="V631" s="120"/>
      <c r="W631" s="120"/>
      <c r="X631" s="120"/>
      <c r="Y631" s="120"/>
      <c r="Z631" s="120"/>
      <c r="AA631" s="120"/>
    </row>
    <row r="632">
      <c r="A632" s="120"/>
      <c r="B632" s="120"/>
      <c r="C632" s="120"/>
      <c r="D632" s="120"/>
      <c r="E632" s="120"/>
      <c r="F632" s="120"/>
      <c r="G632" s="120"/>
      <c r="H632" s="120"/>
      <c r="I632" s="120"/>
      <c r="J632" s="120"/>
      <c r="K632" s="120"/>
      <c r="L632" s="120"/>
      <c r="M632" s="120"/>
      <c r="N632" s="120"/>
      <c r="O632" s="120"/>
      <c r="P632" s="120"/>
      <c r="Q632" s="120"/>
      <c r="R632" s="120"/>
      <c r="S632" s="120"/>
      <c r="T632" s="120"/>
      <c r="U632" s="120"/>
      <c r="V632" s="120"/>
      <c r="W632" s="120"/>
      <c r="X632" s="120"/>
      <c r="Y632" s="120"/>
      <c r="Z632" s="120"/>
      <c r="AA632" s="120"/>
    </row>
    <row r="633">
      <c r="A633" s="120"/>
      <c r="B633" s="120"/>
      <c r="C633" s="120"/>
      <c r="D633" s="120"/>
      <c r="E633" s="120"/>
      <c r="F633" s="120"/>
      <c r="G633" s="120"/>
      <c r="H633" s="120"/>
      <c r="I633" s="120"/>
      <c r="J633" s="120"/>
      <c r="K633" s="120"/>
      <c r="L633" s="120"/>
      <c r="M633" s="120"/>
      <c r="N633" s="120"/>
      <c r="O633" s="120"/>
      <c r="P633" s="120"/>
      <c r="Q633" s="120"/>
      <c r="R633" s="120"/>
      <c r="S633" s="120"/>
      <c r="T633" s="120"/>
      <c r="U633" s="120"/>
      <c r="V633" s="120"/>
      <c r="W633" s="120"/>
      <c r="X633" s="120"/>
      <c r="Y633" s="120"/>
      <c r="Z633" s="120"/>
      <c r="AA633" s="120"/>
    </row>
    <row r="634">
      <c r="A634" s="120"/>
      <c r="B634" s="120"/>
      <c r="C634" s="120"/>
      <c r="D634" s="120"/>
      <c r="E634" s="120"/>
      <c r="F634" s="120"/>
      <c r="G634" s="120"/>
      <c r="H634" s="120"/>
      <c r="I634" s="120"/>
      <c r="J634" s="120"/>
      <c r="K634" s="120"/>
      <c r="L634" s="120"/>
      <c r="M634" s="120"/>
      <c r="N634" s="120"/>
      <c r="O634" s="120"/>
      <c r="P634" s="120"/>
      <c r="Q634" s="120"/>
      <c r="R634" s="120"/>
      <c r="S634" s="120"/>
      <c r="T634" s="120"/>
      <c r="U634" s="120"/>
      <c r="V634" s="120"/>
      <c r="W634" s="120"/>
      <c r="X634" s="120"/>
      <c r="Y634" s="120"/>
      <c r="Z634" s="120"/>
      <c r="AA634" s="120"/>
    </row>
    <row r="635">
      <c r="A635" s="120"/>
      <c r="B635" s="120"/>
      <c r="C635" s="120"/>
      <c r="D635" s="120"/>
      <c r="E635" s="120"/>
      <c r="F635" s="120"/>
      <c r="G635" s="120"/>
      <c r="H635" s="120"/>
      <c r="I635" s="120"/>
      <c r="J635" s="120"/>
      <c r="K635" s="120"/>
      <c r="L635" s="120"/>
      <c r="M635" s="120"/>
      <c r="N635" s="120"/>
      <c r="O635" s="120"/>
      <c r="P635" s="120"/>
      <c r="Q635" s="120"/>
      <c r="R635" s="120"/>
      <c r="S635" s="120"/>
      <c r="T635" s="120"/>
      <c r="U635" s="120"/>
      <c r="V635" s="120"/>
      <c r="W635" s="120"/>
      <c r="X635" s="120"/>
      <c r="Y635" s="120"/>
      <c r="Z635" s="120"/>
      <c r="AA635" s="120"/>
    </row>
    <row r="636">
      <c r="A636" s="120"/>
      <c r="B636" s="120"/>
      <c r="C636" s="120"/>
      <c r="D636" s="120"/>
      <c r="E636" s="120"/>
      <c r="F636" s="120"/>
      <c r="G636" s="120"/>
      <c r="H636" s="120"/>
      <c r="I636" s="120"/>
      <c r="J636" s="120"/>
      <c r="K636" s="120"/>
      <c r="L636" s="120"/>
      <c r="M636" s="120"/>
      <c r="N636" s="120"/>
      <c r="O636" s="120"/>
      <c r="P636" s="120"/>
      <c r="Q636" s="120"/>
      <c r="R636" s="120"/>
      <c r="S636" s="120"/>
      <c r="T636" s="120"/>
      <c r="U636" s="120"/>
      <c r="V636" s="120"/>
      <c r="W636" s="120"/>
      <c r="X636" s="120"/>
      <c r="Y636" s="120"/>
      <c r="Z636" s="120"/>
      <c r="AA636" s="120"/>
    </row>
    <row r="637">
      <c r="A637" s="120"/>
      <c r="B637" s="120"/>
      <c r="C637" s="120"/>
      <c r="D637" s="120"/>
      <c r="E637" s="120"/>
      <c r="F637" s="120"/>
      <c r="G637" s="120"/>
      <c r="H637" s="120"/>
      <c r="I637" s="120"/>
      <c r="J637" s="120"/>
      <c r="K637" s="120"/>
      <c r="L637" s="120"/>
      <c r="M637" s="120"/>
      <c r="N637" s="120"/>
      <c r="O637" s="120"/>
      <c r="P637" s="120"/>
      <c r="Q637" s="120"/>
      <c r="R637" s="120"/>
      <c r="S637" s="120"/>
      <c r="T637" s="120"/>
      <c r="U637" s="120"/>
      <c r="V637" s="120"/>
      <c r="W637" s="120"/>
      <c r="X637" s="120"/>
      <c r="Y637" s="120"/>
      <c r="Z637" s="120"/>
      <c r="AA637" s="120"/>
    </row>
    <row r="638">
      <c r="A638" s="120"/>
      <c r="B638" s="120"/>
      <c r="C638" s="120"/>
      <c r="D638" s="120"/>
      <c r="E638" s="120"/>
      <c r="F638" s="120"/>
      <c r="G638" s="120"/>
      <c r="H638" s="120"/>
      <c r="I638" s="120"/>
      <c r="J638" s="120"/>
      <c r="K638" s="120"/>
      <c r="L638" s="120"/>
      <c r="M638" s="120"/>
      <c r="N638" s="120"/>
      <c r="O638" s="120"/>
      <c r="P638" s="120"/>
      <c r="Q638" s="120"/>
      <c r="R638" s="120"/>
      <c r="S638" s="120"/>
      <c r="T638" s="120"/>
      <c r="U638" s="120"/>
      <c r="V638" s="120"/>
      <c r="W638" s="120"/>
      <c r="X638" s="120"/>
      <c r="Y638" s="120"/>
      <c r="Z638" s="120"/>
      <c r="AA638" s="120"/>
    </row>
    <row r="639">
      <c r="A639" s="120"/>
      <c r="B639" s="120"/>
      <c r="C639" s="120"/>
      <c r="D639" s="120"/>
      <c r="E639" s="120"/>
      <c r="F639" s="120"/>
      <c r="G639" s="120"/>
      <c r="H639" s="120"/>
      <c r="I639" s="120"/>
      <c r="J639" s="120"/>
      <c r="K639" s="120"/>
      <c r="L639" s="120"/>
      <c r="M639" s="120"/>
      <c r="N639" s="120"/>
      <c r="O639" s="120"/>
      <c r="P639" s="120"/>
      <c r="Q639" s="120"/>
      <c r="R639" s="120"/>
      <c r="S639" s="120"/>
      <c r="T639" s="120"/>
      <c r="U639" s="120"/>
      <c r="V639" s="120"/>
      <c r="W639" s="120"/>
      <c r="X639" s="120"/>
      <c r="Y639" s="120"/>
      <c r="Z639" s="120"/>
      <c r="AA639" s="120"/>
    </row>
    <row r="640">
      <c r="A640" s="120"/>
      <c r="B640" s="120"/>
      <c r="C640" s="120"/>
      <c r="D640" s="120"/>
      <c r="E640" s="120"/>
      <c r="F640" s="120"/>
      <c r="G640" s="120"/>
      <c r="H640" s="120"/>
      <c r="I640" s="120"/>
      <c r="J640" s="120"/>
      <c r="K640" s="120"/>
      <c r="L640" s="120"/>
      <c r="M640" s="120"/>
      <c r="N640" s="120"/>
      <c r="O640" s="120"/>
      <c r="P640" s="120"/>
      <c r="Q640" s="120"/>
      <c r="R640" s="120"/>
      <c r="S640" s="120"/>
      <c r="T640" s="120"/>
      <c r="U640" s="120"/>
      <c r="V640" s="120"/>
      <c r="W640" s="120"/>
      <c r="X640" s="120"/>
      <c r="Y640" s="120"/>
      <c r="Z640" s="120"/>
      <c r="AA640" s="120"/>
    </row>
    <row r="641">
      <c r="A641" s="120"/>
      <c r="B641" s="120"/>
      <c r="C641" s="120"/>
      <c r="D641" s="120"/>
      <c r="E641" s="120"/>
      <c r="F641" s="120"/>
      <c r="G641" s="120"/>
      <c r="H641" s="120"/>
      <c r="I641" s="120"/>
      <c r="J641" s="120"/>
      <c r="K641" s="120"/>
      <c r="L641" s="120"/>
      <c r="M641" s="120"/>
      <c r="N641" s="120"/>
      <c r="O641" s="120"/>
      <c r="P641" s="120"/>
      <c r="Q641" s="120"/>
      <c r="R641" s="120"/>
      <c r="S641" s="120"/>
      <c r="T641" s="120"/>
      <c r="U641" s="120"/>
      <c r="V641" s="120"/>
      <c r="W641" s="120"/>
      <c r="X641" s="120"/>
      <c r="Y641" s="120"/>
      <c r="Z641" s="120"/>
      <c r="AA641" s="120"/>
    </row>
    <row r="642">
      <c r="A642" s="120"/>
      <c r="B642" s="120"/>
      <c r="C642" s="120"/>
      <c r="D642" s="120"/>
      <c r="E642" s="120"/>
      <c r="F642" s="120"/>
      <c r="G642" s="120"/>
      <c r="H642" s="120"/>
      <c r="I642" s="120"/>
      <c r="J642" s="120"/>
      <c r="K642" s="120"/>
      <c r="L642" s="120"/>
      <c r="M642" s="120"/>
      <c r="N642" s="120"/>
      <c r="O642" s="120"/>
      <c r="P642" s="120"/>
      <c r="Q642" s="120"/>
      <c r="R642" s="120"/>
      <c r="S642" s="120"/>
      <c r="T642" s="120"/>
      <c r="U642" s="120"/>
      <c r="V642" s="120"/>
      <c r="W642" s="120"/>
      <c r="X642" s="120"/>
      <c r="Y642" s="120"/>
      <c r="Z642" s="120"/>
      <c r="AA642" s="120"/>
    </row>
    <row r="643">
      <c r="A643" s="120"/>
      <c r="B643" s="120"/>
      <c r="C643" s="120"/>
      <c r="D643" s="120"/>
      <c r="E643" s="120"/>
      <c r="F643" s="120"/>
      <c r="G643" s="120"/>
      <c r="H643" s="120"/>
      <c r="I643" s="120"/>
      <c r="J643" s="120"/>
      <c r="K643" s="120"/>
      <c r="L643" s="120"/>
      <c r="M643" s="120"/>
      <c r="N643" s="120"/>
      <c r="O643" s="120"/>
      <c r="P643" s="120"/>
      <c r="Q643" s="120"/>
      <c r="R643" s="120"/>
      <c r="S643" s="120"/>
      <c r="T643" s="120"/>
      <c r="U643" s="120"/>
      <c r="V643" s="120"/>
      <c r="W643" s="120"/>
      <c r="X643" s="120"/>
      <c r="Y643" s="120"/>
      <c r="Z643" s="120"/>
      <c r="AA643" s="120"/>
    </row>
    <row r="644">
      <c r="A644" s="120"/>
      <c r="B644" s="120"/>
      <c r="C644" s="120"/>
      <c r="D644" s="120"/>
      <c r="E644" s="120"/>
      <c r="F644" s="120"/>
      <c r="G644" s="120"/>
      <c r="H644" s="120"/>
      <c r="I644" s="120"/>
      <c r="J644" s="120"/>
      <c r="K644" s="120"/>
      <c r="L644" s="120"/>
      <c r="M644" s="120"/>
      <c r="N644" s="120"/>
      <c r="O644" s="120"/>
      <c r="P644" s="120"/>
      <c r="Q644" s="120"/>
      <c r="R644" s="120"/>
      <c r="S644" s="120"/>
      <c r="T644" s="120"/>
      <c r="U644" s="120"/>
      <c r="V644" s="120"/>
      <c r="W644" s="120"/>
      <c r="X644" s="120"/>
      <c r="Y644" s="120"/>
      <c r="Z644" s="120"/>
      <c r="AA644" s="120"/>
    </row>
    <row r="645">
      <c r="A645" s="120"/>
      <c r="B645" s="120"/>
      <c r="C645" s="120"/>
      <c r="D645" s="120"/>
      <c r="E645" s="120"/>
      <c r="F645" s="120"/>
      <c r="G645" s="120"/>
      <c r="H645" s="120"/>
      <c r="I645" s="120"/>
      <c r="J645" s="120"/>
      <c r="K645" s="120"/>
      <c r="L645" s="120"/>
      <c r="M645" s="120"/>
      <c r="N645" s="120"/>
      <c r="O645" s="120"/>
      <c r="P645" s="120"/>
      <c r="Q645" s="120"/>
      <c r="R645" s="120"/>
      <c r="S645" s="120"/>
      <c r="T645" s="120"/>
      <c r="U645" s="120"/>
      <c r="V645" s="120"/>
      <c r="W645" s="120"/>
      <c r="X645" s="120"/>
      <c r="Y645" s="120"/>
      <c r="Z645" s="120"/>
      <c r="AA645" s="120"/>
    </row>
    <row r="646">
      <c r="A646" s="120"/>
      <c r="B646" s="120"/>
      <c r="C646" s="120"/>
      <c r="D646" s="120"/>
      <c r="E646" s="120"/>
      <c r="F646" s="120"/>
      <c r="G646" s="120"/>
      <c r="H646" s="120"/>
      <c r="I646" s="120"/>
      <c r="J646" s="120"/>
      <c r="K646" s="120"/>
      <c r="L646" s="120"/>
      <c r="M646" s="120"/>
      <c r="N646" s="120"/>
      <c r="O646" s="120"/>
      <c r="P646" s="120"/>
      <c r="Q646" s="120"/>
      <c r="R646" s="120"/>
      <c r="S646" s="120"/>
      <c r="T646" s="120"/>
      <c r="U646" s="120"/>
      <c r="V646" s="120"/>
      <c r="W646" s="120"/>
      <c r="X646" s="120"/>
      <c r="Y646" s="120"/>
      <c r="Z646" s="120"/>
      <c r="AA646" s="120"/>
    </row>
    <row r="647">
      <c r="A647" s="120"/>
      <c r="B647" s="120"/>
      <c r="C647" s="120"/>
      <c r="D647" s="120"/>
      <c r="E647" s="120"/>
      <c r="F647" s="120"/>
      <c r="G647" s="120"/>
      <c r="H647" s="120"/>
      <c r="I647" s="120"/>
      <c r="J647" s="120"/>
      <c r="K647" s="120"/>
      <c r="L647" s="120"/>
      <c r="M647" s="120"/>
      <c r="N647" s="120"/>
      <c r="O647" s="120"/>
      <c r="P647" s="120"/>
      <c r="Q647" s="120"/>
      <c r="R647" s="120"/>
      <c r="S647" s="120"/>
      <c r="T647" s="120"/>
      <c r="U647" s="120"/>
      <c r="V647" s="120"/>
      <c r="W647" s="120"/>
      <c r="X647" s="120"/>
      <c r="Y647" s="120"/>
      <c r="Z647" s="120"/>
      <c r="AA647" s="120"/>
    </row>
    <row r="648">
      <c r="A648" s="120"/>
      <c r="B648" s="120"/>
      <c r="C648" s="120"/>
      <c r="D648" s="120"/>
      <c r="E648" s="120"/>
      <c r="F648" s="120"/>
      <c r="G648" s="120"/>
      <c r="H648" s="120"/>
      <c r="I648" s="120"/>
      <c r="J648" s="120"/>
      <c r="K648" s="120"/>
      <c r="L648" s="120"/>
      <c r="M648" s="120"/>
      <c r="N648" s="120"/>
      <c r="O648" s="120"/>
      <c r="P648" s="120"/>
      <c r="Q648" s="120"/>
      <c r="R648" s="120"/>
      <c r="S648" s="120"/>
      <c r="T648" s="120"/>
      <c r="U648" s="120"/>
      <c r="V648" s="120"/>
      <c r="W648" s="120"/>
      <c r="X648" s="120"/>
      <c r="Y648" s="120"/>
      <c r="Z648" s="120"/>
      <c r="AA648" s="120"/>
    </row>
    <row r="649">
      <c r="A649" s="120"/>
      <c r="B649" s="120"/>
      <c r="C649" s="120"/>
      <c r="D649" s="120"/>
      <c r="E649" s="120"/>
      <c r="F649" s="120"/>
      <c r="G649" s="120"/>
      <c r="H649" s="120"/>
      <c r="I649" s="120"/>
      <c r="J649" s="120"/>
      <c r="K649" s="120"/>
      <c r="L649" s="120"/>
      <c r="M649" s="120"/>
      <c r="N649" s="120"/>
      <c r="O649" s="120"/>
      <c r="P649" s="120"/>
      <c r="Q649" s="120"/>
      <c r="R649" s="120"/>
      <c r="S649" s="120"/>
      <c r="T649" s="120"/>
      <c r="U649" s="120"/>
      <c r="V649" s="120"/>
      <c r="W649" s="120"/>
      <c r="X649" s="120"/>
      <c r="Y649" s="120"/>
      <c r="Z649" s="120"/>
      <c r="AA649" s="120"/>
    </row>
    <row r="650">
      <c r="A650" s="120"/>
      <c r="B650" s="120"/>
      <c r="C650" s="120"/>
      <c r="D650" s="120"/>
      <c r="E650" s="120"/>
      <c r="F650" s="120"/>
      <c r="G650" s="120"/>
      <c r="H650" s="120"/>
      <c r="I650" s="120"/>
      <c r="J650" s="120"/>
      <c r="K650" s="120"/>
      <c r="L650" s="120"/>
      <c r="M650" s="120"/>
      <c r="N650" s="120"/>
      <c r="O650" s="120"/>
      <c r="P650" s="120"/>
      <c r="Q650" s="120"/>
      <c r="R650" s="120"/>
      <c r="S650" s="120"/>
      <c r="T650" s="120"/>
      <c r="U650" s="120"/>
      <c r="V650" s="120"/>
      <c r="W650" s="120"/>
      <c r="X650" s="120"/>
      <c r="Y650" s="120"/>
      <c r="Z650" s="120"/>
      <c r="AA650" s="120"/>
    </row>
    <row r="651">
      <c r="A651" s="120"/>
      <c r="B651" s="120"/>
      <c r="C651" s="120"/>
      <c r="D651" s="120"/>
      <c r="E651" s="120"/>
      <c r="F651" s="120"/>
      <c r="G651" s="120"/>
      <c r="H651" s="120"/>
      <c r="I651" s="120"/>
      <c r="J651" s="120"/>
      <c r="K651" s="120"/>
      <c r="L651" s="120"/>
      <c r="M651" s="120"/>
      <c r="N651" s="120"/>
      <c r="O651" s="120"/>
      <c r="P651" s="120"/>
      <c r="Q651" s="120"/>
      <c r="R651" s="120"/>
      <c r="S651" s="120"/>
      <c r="T651" s="120"/>
      <c r="U651" s="120"/>
      <c r="V651" s="120"/>
      <c r="W651" s="120"/>
      <c r="X651" s="120"/>
      <c r="Y651" s="120"/>
      <c r="Z651" s="120"/>
      <c r="AA651" s="120"/>
    </row>
    <row r="652">
      <c r="A652" s="120"/>
      <c r="B652" s="120"/>
      <c r="C652" s="120"/>
      <c r="D652" s="120"/>
      <c r="E652" s="120"/>
      <c r="F652" s="120"/>
      <c r="G652" s="120"/>
      <c r="H652" s="120"/>
      <c r="I652" s="120"/>
      <c r="J652" s="120"/>
      <c r="K652" s="120"/>
      <c r="L652" s="120"/>
      <c r="M652" s="120"/>
      <c r="N652" s="120"/>
      <c r="O652" s="120"/>
      <c r="P652" s="120"/>
      <c r="Q652" s="120"/>
      <c r="R652" s="120"/>
      <c r="S652" s="120"/>
      <c r="T652" s="120"/>
      <c r="U652" s="120"/>
      <c r="V652" s="120"/>
      <c r="W652" s="120"/>
      <c r="X652" s="120"/>
      <c r="Y652" s="120"/>
      <c r="Z652" s="120"/>
      <c r="AA652" s="120"/>
    </row>
    <row r="653">
      <c r="A653" s="120"/>
      <c r="B653" s="120"/>
      <c r="C653" s="120"/>
      <c r="D653" s="120"/>
      <c r="E653" s="120"/>
      <c r="F653" s="120"/>
      <c r="G653" s="120"/>
      <c r="H653" s="120"/>
      <c r="I653" s="120"/>
      <c r="J653" s="120"/>
      <c r="K653" s="120"/>
      <c r="L653" s="120"/>
      <c r="M653" s="120"/>
      <c r="N653" s="120"/>
      <c r="O653" s="120"/>
      <c r="P653" s="120"/>
      <c r="Q653" s="120"/>
      <c r="R653" s="120"/>
      <c r="S653" s="120"/>
      <c r="T653" s="120"/>
      <c r="U653" s="120"/>
      <c r="V653" s="120"/>
      <c r="W653" s="120"/>
      <c r="X653" s="120"/>
      <c r="Y653" s="120"/>
      <c r="Z653" s="120"/>
      <c r="AA653" s="120"/>
    </row>
    <row r="654">
      <c r="A654" s="120"/>
      <c r="B654" s="120"/>
      <c r="C654" s="120"/>
      <c r="D654" s="120"/>
      <c r="E654" s="120"/>
      <c r="F654" s="120"/>
      <c r="G654" s="120"/>
      <c r="H654" s="120"/>
      <c r="I654" s="120"/>
      <c r="J654" s="120"/>
      <c r="K654" s="120"/>
      <c r="L654" s="120"/>
      <c r="M654" s="120"/>
      <c r="N654" s="120"/>
      <c r="O654" s="120"/>
      <c r="P654" s="120"/>
      <c r="Q654" s="120"/>
      <c r="R654" s="120"/>
      <c r="S654" s="120"/>
      <c r="T654" s="120"/>
      <c r="U654" s="120"/>
      <c r="V654" s="120"/>
      <c r="W654" s="120"/>
      <c r="X654" s="120"/>
      <c r="Y654" s="120"/>
      <c r="Z654" s="120"/>
      <c r="AA654" s="120"/>
    </row>
    <row r="655">
      <c r="A655" s="120"/>
      <c r="B655" s="120"/>
      <c r="C655" s="120"/>
      <c r="D655" s="120"/>
      <c r="E655" s="120"/>
      <c r="F655" s="120"/>
      <c r="G655" s="120"/>
      <c r="H655" s="120"/>
      <c r="I655" s="120"/>
      <c r="J655" s="120"/>
      <c r="K655" s="120"/>
      <c r="L655" s="120"/>
      <c r="M655" s="120"/>
      <c r="N655" s="120"/>
      <c r="O655" s="120"/>
      <c r="P655" s="120"/>
      <c r="Q655" s="120"/>
      <c r="R655" s="120"/>
      <c r="S655" s="120"/>
      <c r="T655" s="120"/>
      <c r="U655" s="120"/>
      <c r="V655" s="120"/>
      <c r="W655" s="120"/>
      <c r="X655" s="120"/>
      <c r="Y655" s="120"/>
      <c r="Z655" s="120"/>
      <c r="AA655" s="120"/>
    </row>
    <row r="656">
      <c r="A656" s="120"/>
      <c r="B656" s="120"/>
      <c r="C656" s="120"/>
      <c r="D656" s="120"/>
      <c r="E656" s="120"/>
      <c r="F656" s="120"/>
      <c r="G656" s="120"/>
      <c r="H656" s="120"/>
      <c r="I656" s="120"/>
      <c r="J656" s="120"/>
      <c r="K656" s="120"/>
      <c r="L656" s="120"/>
      <c r="M656" s="120"/>
      <c r="N656" s="120"/>
      <c r="O656" s="120"/>
      <c r="P656" s="120"/>
      <c r="Q656" s="120"/>
      <c r="R656" s="120"/>
      <c r="S656" s="120"/>
      <c r="T656" s="120"/>
      <c r="U656" s="120"/>
      <c r="V656" s="120"/>
      <c r="W656" s="120"/>
      <c r="X656" s="120"/>
      <c r="Y656" s="120"/>
      <c r="Z656" s="120"/>
      <c r="AA656" s="120"/>
    </row>
    <row r="657">
      <c r="A657" s="120"/>
      <c r="B657" s="120"/>
      <c r="C657" s="120"/>
      <c r="D657" s="120"/>
      <c r="E657" s="120"/>
      <c r="F657" s="120"/>
      <c r="G657" s="120"/>
      <c r="H657" s="120"/>
      <c r="I657" s="120"/>
      <c r="J657" s="120"/>
      <c r="K657" s="120"/>
      <c r="L657" s="120"/>
      <c r="M657" s="120"/>
      <c r="N657" s="120"/>
      <c r="O657" s="120"/>
      <c r="P657" s="120"/>
      <c r="Q657" s="120"/>
      <c r="R657" s="120"/>
      <c r="S657" s="120"/>
      <c r="T657" s="120"/>
      <c r="U657" s="120"/>
      <c r="V657" s="120"/>
      <c r="W657" s="120"/>
      <c r="X657" s="120"/>
      <c r="Y657" s="120"/>
      <c r="Z657" s="120"/>
      <c r="AA657" s="120"/>
    </row>
    <row r="658">
      <c r="A658" s="120"/>
      <c r="B658" s="120"/>
      <c r="C658" s="120"/>
      <c r="D658" s="120"/>
      <c r="E658" s="120"/>
      <c r="F658" s="120"/>
      <c r="G658" s="120"/>
      <c r="H658" s="120"/>
      <c r="I658" s="120"/>
      <c r="J658" s="120"/>
      <c r="K658" s="120"/>
      <c r="L658" s="120"/>
      <c r="M658" s="120"/>
      <c r="N658" s="120"/>
      <c r="O658" s="120"/>
      <c r="P658" s="120"/>
      <c r="Q658" s="120"/>
      <c r="R658" s="120"/>
      <c r="S658" s="120"/>
      <c r="T658" s="120"/>
      <c r="U658" s="120"/>
      <c r="V658" s="120"/>
      <c r="W658" s="120"/>
      <c r="X658" s="120"/>
      <c r="Y658" s="120"/>
      <c r="Z658" s="120"/>
      <c r="AA658" s="120"/>
    </row>
    <row r="659">
      <c r="A659" s="120"/>
      <c r="B659" s="120"/>
      <c r="C659" s="120"/>
      <c r="D659" s="120"/>
      <c r="E659" s="120"/>
      <c r="F659" s="120"/>
      <c r="G659" s="120"/>
      <c r="H659" s="120"/>
      <c r="I659" s="120"/>
      <c r="J659" s="120"/>
      <c r="K659" s="120"/>
      <c r="L659" s="120"/>
      <c r="M659" s="120"/>
      <c r="N659" s="120"/>
      <c r="O659" s="120"/>
      <c r="P659" s="120"/>
      <c r="Q659" s="120"/>
      <c r="R659" s="120"/>
      <c r="S659" s="120"/>
      <c r="T659" s="120"/>
      <c r="U659" s="120"/>
      <c r="V659" s="120"/>
      <c r="W659" s="120"/>
      <c r="X659" s="120"/>
      <c r="Y659" s="120"/>
      <c r="Z659" s="120"/>
      <c r="AA659" s="120"/>
    </row>
    <row r="660">
      <c r="A660" s="120"/>
      <c r="B660" s="120"/>
      <c r="C660" s="120"/>
      <c r="D660" s="120"/>
      <c r="E660" s="120"/>
      <c r="F660" s="120"/>
      <c r="G660" s="120"/>
      <c r="H660" s="120"/>
      <c r="I660" s="120"/>
      <c r="J660" s="120"/>
      <c r="K660" s="120"/>
      <c r="L660" s="120"/>
      <c r="M660" s="120"/>
      <c r="N660" s="120"/>
      <c r="O660" s="120"/>
      <c r="P660" s="120"/>
      <c r="Q660" s="120"/>
      <c r="R660" s="120"/>
      <c r="S660" s="120"/>
      <c r="T660" s="120"/>
      <c r="U660" s="120"/>
      <c r="V660" s="120"/>
      <c r="W660" s="120"/>
      <c r="X660" s="120"/>
      <c r="Y660" s="120"/>
      <c r="Z660" s="120"/>
      <c r="AA660" s="120"/>
    </row>
    <row r="661">
      <c r="A661" s="120"/>
      <c r="B661" s="120"/>
      <c r="C661" s="120"/>
      <c r="D661" s="120"/>
      <c r="E661" s="120"/>
      <c r="F661" s="120"/>
      <c r="G661" s="120"/>
      <c r="H661" s="120"/>
      <c r="I661" s="120"/>
      <c r="J661" s="120"/>
      <c r="K661" s="120"/>
      <c r="L661" s="120"/>
      <c r="M661" s="120"/>
      <c r="N661" s="120"/>
      <c r="O661" s="120"/>
      <c r="P661" s="120"/>
      <c r="Q661" s="120"/>
      <c r="R661" s="120"/>
      <c r="S661" s="120"/>
      <c r="T661" s="120"/>
      <c r="U661" s="120"/>
      <c r="V661" s="120"/>
      <c r="W661" s="120"/>
      <c r="X661" s="120"/>
      <c r="Y661" s="120"/>
      <c r="Z661" s="120"/>
      <c r="AA661" s="120"/>
    </row>
    <row r="662">
      <c r="A662" s="120"/>
      <c r="B662" s="120"/>
      <c r="C662" s="120"/>
      <c r="D662" s="120"/>
      <c r="E662" s="120"/>
      <c r="F662" s="120"/>
      <c r="G662" s="120"/>
      <c r="H662" s="120"/>
      <c r="I662" s="120"/>
      <c r="J662" s="120"/>
      <c r="K662" s="120"/>
      <c r="L662" s="120"/>
      <c r="M662" s="120"/>
      <c r="N662" s="120"/>
      <c r="O662" s="120"/>
      <c r="P662" s="120"/>
      <c r="Q662" s="120"/>
      <c r="R662" s="120"/>
      <c r="S662" s="120"/>
      <c r="T662" s="120"/>
      <c r="U662" s="120"/>
      <c r="V662" s="120"/>
      <c r="W662" s="120"/>
      <c r="X662" s="120"/>
      <c r="Y662" s="120"/>
      <c r="Z662" s="120"/>
      <c r="AA662" s="120"/>
    </row>
    <row r="663">
      <c r="A663" s="120"/>
      <c r="B663" s="120"/>
      <c r="C663" s="120"/>
      <c r="D663" s="120"/>
      <c r="E663" s="120"/>
      <c r="F663" s="120"/>
      <c r="G663" s="120"/>
      <c r="H663" s="120"/>
      <c r="I663" s="120"/>
      <c r="J663" s="120"/>
      <c r="K663" s="120"/>
      <c r="L663" s="120"/>
      <c r="M663" s="120"/>
      <c r="N663" s="120"/>
      <c r="O663" s="120"/>
      <c r="P663" s="120"/>
      <c r="Q663" s="120"/>
      <c r="R663" s="120"/>
      <c r="S663" s="120"/>
      <c r="T663" s="120"/>
      <c r="U663" s="120"/>
      <c r="V663" s="120"/>
      <c r="W663" s="120"/>
      <c r="X663" s="120"/>
      <c r="Y663" s="120"/>
      <c r="Z663" s="120"/>
      <c r="AA663" s="120"/>
    </row>
    <row r="664">
      <c r="A664" s="120"/>
      <c r="B664" s="120"/>
      <c r="C664" s="120"/>
      <c r="D664" s="120"/>
      <c r="E664" s="120"/>
      <c r="F664" s="120"/>
      <c r="G664" s="120"/>
      <c r="H664" s="120"/>
      <c r="I664" s="120"/>
      <c r="J664" s="120"/>
      <c r="K664" s="120"/>
      <c r="L664" s="120"/>
      <c r="M664" s="120"/>
      <c r="N664" s="120"/>
      <c r="O664" s="120"/>
      <c r="P664" s="120"/>
      <c r="Q664" s="120"/>
      <c r="R664" s="120"/>
      <c r="S664" s="120"/>
      <c r="T664" s="120"/>
      <c r="U664" s="120"/>
      <c r="V664" s="120"/>
      <c r="W664" s="120"/>
      <c r="X664" s="120"/>
      <c r="Y664" s="120"/>
      <c r="Z664" s="120"/>
      <c r="AA664" s="120"/>
    </row>
    <row r="665">
      <c r="A665" s="120"/>
      <c r="B665" s="120"/>
      <c r="C665" s="120"/>
      <c r="D665" s="120"/>
      <c r="E665" s="120"/>
      <c r="F665" s="120"/>
      <c r="G665" s="120"/>
      <c r="H665" s="120"/>
      <c r="I665" s="120"/>
      <c r="J665" s="120"/>
      <c r="K665" s="120"/>
      <c r="L665" s="120"/>
      <c r="M665" s="120"/>
      <c r="N665" s="120"/>
      <c r="O665" s="120"/>
      <c r="P665" s="120"/>
      <c r="Q665" s="120"/>
      <c r="R665" s="120"/>
      <c r="S665" s="120"/>
      <c r="T665" s="120"/>
      <c r="U665" s="120"/>
      <c r="V665" s="120"/>
      <c r="W665" s="120"/>
      <c r="X665" s="120"/>
      <c r="Y665" s="120"/>
      <c r="Z665" s="120"/>
      <c r="AA665" s="120"/>
    </row>
    <row r="666">
      <c r="A666" s="120"/>
      <c r="B666" s="120"/>
      <c r="C666" s="120"/>
      <c r="D666" s="120"/>
      <c r="E666" s="120"/>
      <c r="F666" s="120"/>
      <c r="G666" s="120"/>
      <c r="H666" s="120"/>
      <c r="I666" s="120"/>
      <c r="J666" s="120"/>
      <c r="K666" s="120"/>
      <c r="L666" s="120"/>
      <c r="M666" s="120"/>
      <c r="N666" s="120"/>
      <c r="O666" s="120"/>
      <c r="P666" s="120"/>
      <c r="Q666" s="120"/>
      <c r="R666" s="120"/>
      <c r="S666" s="120"/>
      <c r="T666" s="120"/>
      <c r="U666" s="120"/>
      <c r="V666" s="120"/>
      <c r="W666" s="120"/>
      <c r="X666" s="120"/>
      <c r="Y666" s="120"/>
      <c r="Z666" s="120"/>
      <c r="AA666" s="120"/>
    </row>
    <row r="667">
      <c r="A667" s="120"/>
      <c r="B667" s="120"/>
      <c r="C667" s="120"/>
      <c r="D667" s="120"/>
      <c r="E667" s="120"/>
      <c r="F667" s="120"/>
      <c r="G667" s="120"/>
      <c r="H667" s="120"/>
      <c r="I667" s="120"/>
      <c r="J667" s="120"/>
      <c r="K667" s="120"/>
      <c r="L667" s="120"/>
      <c r="M667" s="120"/>
      <c r="N667" s="120"/>
      <c r="O667" s="120"/>
      <c r="P667" s="120"/>
      <c r="Q667" s="120"/>
      <c r="R667" s="120"/>
      <c r="S667" s="120"/>
      <c r="T667" s="120"/>
      <c r="U667" s="120"/>
      <c r="V667" s="120"/>
      <c r="W667" s="120"/>
      <c r="X667" s="120"/>
      <c r="Y667" s="120"/>
      <c r="Z667" s="120"/>
      <c r="AA667" s="120"/>
    </row>
    <row r="668">
      <c r="A668" s="120"/>
      <c r="B668" s="120"/>
      <c r="C668" s="120"/>
      <c r="D668" s="120"/>
      <c r="E668" s="120"/>
      <c r="F668" s="120"/>
      <c r="G668" s="120"/>
      <c r="H668" s="120"/>
      <c r="I668" s="120"/>
      <c r="J668" s="120"/>
      <c r="K668" s="120"/>
      <c r="L668" s="120"/>
      <c r="M668" s="120"/>
      <c r="N668" s="120"/>
      <c r="O668" s="120"/>
      <c r="P668" s="120"/>
      <c r="Q668" s="120"/>
      <c r="R668" s="120"/>
      <c r="S668" s="120"/>
      <c r="T668" s="120"/>
      <c r="U668" s="120"/>
      <c r="V668" s="120"/>
      <c r="W668" s="120"/>
      <c r="X668" s="120"/>
      <c r="Y668" s="120"/>
      <c r="Z668" s="120"/>
      <c r="AA668" s="120"/>
    </row>
    <row r="669">
      <c r="A669" s="120"/>
      <c r="B669" s="120"/>
      <c r="C669" s="120"/>
      <c r="D669" s="120"/>
      <c r="E669" s="120"/>
      <c r="F669" s="120"/>
      <c r="G669" s="120"/>
      <c r="H669" s="120"/>
      <c r="I669" s="120"/>
      <c r="J669" s="120"/>
      <c r="K669" s="120"/>
      <c r="L669" s="120"/>
      <c r="M669" s="120"/>
      <c r="N669" s="120"/>
      <c r="O669" s="120"/>
      <c r="P669" s="120"/>
      <c r="Q669" s="120"/>
      <c r="R669" s="120"/>
      <c r="S669" s="120"/>
      <c r="T669" s="120"/>
      <c r="U669" s="120"/>
      <c r="V669" s="120"/>
      <c r="W669" s="120"/>
      <c r="X669" s="120"/>
      <c r="Y669" s="120"/>
      <c r="Z669" s="120"/>
      <c r="AA669" s="120"/>
    </row>
    <row r="670">
      <c r="A670" s="120"/>
      <c r="B670" s="120"/>
      <c r="C670" s="120"/>
      <c r="D670" s="120"/>
      <c r="E670" s="120"/>
      <c r="F670" s="120"/>
      <c r="G670" s="120"/>
      <c r="H670" s="120"/>
      <c r="I670" s="120"/>
      <c r="J670" s="120"/>
      <c r="K670" s="120"/>
      <c r="L670" s="120"/>
      <c r="M670" s="120"/>
      <c r="N670" s="120"/>
      <c r="O670" s="120"/>
      <c r="P670" s="120"/>
      <c r="Q670" s="120"/>
      <c r="R670" s="120"/>
      <c r="S670" s="120"/>
      <c r="T670" s="120"/>
      <c r="U670" s="120"/>
      <c r="V670" s="120"/>
      <c r="W670" s="120"/>
      <c r="X670" s="120"/>
      <c r="Y670" s="120"/>
      <c r="Z670" s="120"/>
      <c r="AA670" s="120"/>
    </row>
    <row r="671">
      <c r="A671" s="120"/>
      <c r="B671" s="120"/>
      <c r="C671" s="120"/>
      <c r="D671" s="120"/>
      <c r="E671" s="120"/>
      <c r="F671" s="120"/>
      <c r="G671" s="120"/>
      <c r="H671" s="120"/>
      <c r="I671" s="120"/>
      <c r="J671" s="120"/>
      <c r="K671" s="120"/>
      <c r="L671" s="120"/>
      <c r="M671" s="120"/>
      <c r="N671" s="120"/>
      <c r="O671" s="120"/>
      <c r="P671" s="120"/>
      <c r="Q671" s="120"/>
      <c r="R671" s="120"/>
      <c r="S671" s="120"/>
      <c r="T671" s="120"/>
      <c r="U671" s="120"/>
      <c r="V671" s="120"/>
      <c r="W671" s="120"/>
      <c r="X671" s="120"/>
      <c r="Y671" s="120"/>
      <c r="Z671" s="120"/>
      <c r="AA671" s="120"/>
    </row>
    <row r="672">
      <c r="A672" s="120"/>
      <c r="B672" s="120"/>
      <c r="C672" s="120"/>
      <c r="D672" s="120"/>
      <c r="E672" s="120"/>
      <c r="F672" s="120"/>
      <c r="G672" s="120"/>
      <c r="H672" s="120"/>
      <c r="I672" s="120"/>
      <c r="J672" s="120"/>
      <c r="K672" s="120"/>
      <c r="L672" s="120"/>
      <c r="M672" s="120"/>
      <c r="N672" s="120"/>
      <c r="O672" s="120"/>
      <c r="P672" s="120"/>
      <c r="Q672" s="120"/>
      <c r="R672" s="120"/>
      <c r="S672" s="120"/>
      <c r="T672" s="120"/>
      <c r="U672" s="120"/>
      <c r="V672" s="120"/>
      <c r="W672" s="120"/>
      <c r="X672" s="120"/>
      <c r="Y672" s="120"/>
      <c r="Z672" s="120"/>
      <c r="AA672" s="120"/>
    </row>
    <row r="673">
      <c r="A673" s="120"/>
      <c r="B673" s="120"/>
      <c r="C673" s="120"/>
      <c r="D673" s="120"/>
      <c r="E673" s="120"/>
      <c r="F673" s="120"/>
      <c r="G673" s="120"/>
      <c r="H673" s="120"/>
      <c r="I673" s="120"/>
      <c r="J673" s="120"/>
      <c r="K673" s="120"/>
      <c r="L673" s="120"/>
      <c r="M673" s="120"/>
      <c r="N673" s="120"/>
      <c r="O673" s="120"/>
      <c r="P673" s="120"/>
      <c r="Q673" s="120"/>
      <c r="R673" s="120"/>
      <c r="S673" s="120"/>
      <c r="T673" s="120"/>
      <c r="U673" s="120"/>
      <c r="V673" s="120"/>
      <c r="W673" s="120"/>
      <c r="X673" s="120"/>
      <c r="Y673" s="120"/>
      <c r="Z673" s="120"/>
      <c r="AA673" s="120"/>
    </row>
    <row r="674">
      <c r="A674" s="120"/>
      <c r="B674" s="120"/>
      <c r="C674" s="120"/>
      <c r="D674" s="120"/>
      <c r="E674" s="120"/>
      <c r="F674" s="120"/>
      <c r="G674" s="120"/>
      <c r="H674" s="120"/>
      <c r="I674" s="120"/>
      <c r="J674" s="120"/>
      <c r="K674" s="120"/>
      <c r="L674" s="120"/>
      <c r="M674" s="120"/>
      <c r="N674" s="120"/>
      <c r="O674" s="120"/>
      <c r="P674" s="120"/>
      <c r="Q674" s="120"/>
      <c r="R674" s="120"/>
      <c r="S674" s="120"/>
      <c r="T674" s="120"/>
      <c r="U674" s="120"/>
      <c r="V674" s="120"/>
      <c r="W674" s="120"/>
      <c r="X674" s="120"/>
      <c r="Y674" s="120"/>
      <c r="Z674" s="120"/>
      <c r="AA674" s="120"/>
    </row>
    <row r="675">
      <c r="A675" s="120"/>
      <c r="B675" s="120"/>
      <c r="C675" s="120"/>
      <c r="D675" s="120"/>
      <c r="E675" s="120"/>
      <c r="F675" s="120"/>
      <c r="G675" s="120"/>
      <c r="H675" s="120"/>
      <c r="I675" s="120"/>
      <c r="J675" s="120"/>
      <c r="K675" s="120"/>
      <c r="L675" s="120"/>
      <c r="M675" s="120"/>
      <c r="N675" s="120"/>
      <c r="O675" s="120"/>
      <c r="P675" s="120"/>
      <c r="Q675" s="120"/>
      <c r="R675" s="120"/>
      <c r="S675" s="120"/>
      <c r="T675" s="120"/>
      <c r="U675" s="120"/>
      <c r="V675" s="120"/>
      <c r="W675" s="120"/>
      <c r="X675" s="120"/>
      <c r="Y675" s="120"/>
      <c r="Z675" s="120"/>
      <c r="AA675" s="120"/>
    </row>
    <row r="676">
      <c r="A676" s="120"/>
      <c r="B676" s="120"/>
      <c r="C676" s="120"/>
      <c r="D676" s="120"/>
      <c r="E676" s="120"/>
      <c r="F676" s="120"/>
      <c r="G676" s="120"/>
      <c r="H676" s="120"/>
      <c r="I676" s="120"/>
      <c r="J676" s="120"/>
      <c r="K676" s="120"/>
      <c r="L676" s="120"/>
      <c r="M676" s="120"/>
      <c r="N676" s="120"/>
      <c r="O676" s="120"/>
      <c r="P676" s="120"/>
      <c r="Q676" s="120"/>
      <c r="R676" s="120"/>
      <c r="S676" s="120"/>
      <c r="T676" s="120"/>
      <c r="U676" s="120"/>
      <c r="V676" s="120"/>
      <c r="W676" s="120"/>
      <c r="X676" s="120"/>
      <c r="Y676" s="120"/>
      <c r="Z676" s="120"/>
      <c r="AA676" s="120"/>
    </row>
    <row r="677">
      <c r="A677" s="120"/>
      <c r="B677" s="120"/>
      <c r="C677" s="120"/>
      <c r="D677" s="120"/>
      <c r="E677" s="120"/>
      <c r="F677" s="120"/>
      <c r="G677" s="120"/>
      <c r="H677" s="120"/>
      <c r="I677" s="120"/>
      <c r="J677" s="120"/>
      <c r="K677" s="120"/>
      <c r="L677" s="120"/>
      <c r="M677" s="120"/>
      <c r="N677" s="120"/>
      <c r="O677" s="120"/>
      <c r="P677" s="120"/>
      <c r="Q677" s="120"/>
      <c r="R677" s="120"/>
      <c r="S677" s="120"/>
      <c r="T677" s="120"/>
      <c r="U677" s="120"/>
      <c r="V677" s="120"/>
      <c r="W677" s="120"/>
      <c r="X677" s="120"/>
      <c r="Y677" s="120"/>
      <c r="Z677" s="120"/>
      <c r="AA677" s="120"/>
    </row>
    <row r="678">
      <c r="A678" s="120"/>
      <c r="B678" s="120"/>
      <c r="C678" s="120"/>
      <c r="D678" s="120"/>
      <c r="E678" s="120"/>
      <c r="F678" s="120"/>
      <c r="G678" s="120"/>
      <c r="H678" s="120"/>
      <c r="I678" s="120"/>
      <c r="J678" s="120"/>
      <c r="K678" s="120"/>
      <c r="L678" s="120"/>
      <c r="M678" s="120"/>
      <c r="N678" s="120"/>
      <c r="O678" s="120"/>
      <c r="P678" s="120"/>
      <c r="Q678" s="120"/>
      <c r="R678" s="120"/>
      <c r="S678" s="120"/>
      <c r="T678" s="120"/>
      <c r="U678" s="120"/>
      <c r="V678" s="120"/>
      <c r="W678" s="120"/>
      <c r="X678" s="120"/>
      <c r="Y678" s="120"/>
      <c r="Z678" s="120"/>
      <c r="AA678" s="120"/>
    </row>
    <row r="679">
      <c r="A679" s="120"/>
      <c r="B679" s="120"/>
      <c r="C679" s="120"/>
      <c r="D679" s="120"/>
      <c r="E679" s="120"/>
      <c r="F679" s="120"/>
      <c r="G679" s="120"/>
      <c r="H679" s="120"/>
      <c r="I679" s="120"/>
      <c r="J679" s="120"/>
      <c r="K679" s="120"/>
      <c r="L679" s="120"/>
      <c r="M679" s="120"/>
      <c r="N679" s="120"/>
      <c r="O679" s="120"/>
      <c r="P679" s="120"/>
      <c r="Q679" s="120"/>
      <c r="R679" s="120"/>
      <c r="S679" s="120"/>
      <c r="T679" s="120"/>
      <c r="U679" s="120"/>
      <c r="V679" s="120"/>
      <c r="W679" s="120"/>
      <c r="X679" s="120"/>
      <c r="Y679" s="120"/>
      <c r="Z679" s="120"/>
      <c r="AA679" s="120"/>
    </row>
    <row r="680">
      <c r="A680" s="120"/>
      <c r="B680" s="120"/>
      <c r="C680" s="120"/>
      <c r="D680" s="120"/>
      <c r="E680" s="120"/>
      <c r="F680" s="120"/>
      <c r="G680" s="120"/>
      <c r="H680" s="120"/>
      <c r="I680" s="120"/>
      <c r="J680" s="120"/>
      <c r="K680" s="120"/>
      <c r="L680" s="120"/>
      <c r="M680" s="120"/>
      <c r="N680" s="120"/>
      <c r="O680" s="120"/>
      <c r="P680" s="120"/>
      <c r="Q680" s="120"/>
      <c r="R680" s="120"/>
      <c r="S680" s="120"/>
      <c r="T680" s="120"/>
      <c r="U680" s="120"/>
      <c r="V680" s="120"/>
      <c r="W680" s="120"/>
      <c r="X680" s="120"/>
      <c r="Y680" s="120"/>
      <c r="Z680" s="120"/>
      <c r="AA680" s="120"/>
    </row>
    <row r="681">
      <c r="A681" s="120"/>
      <c r="B681" s="120"/>
      <c r="C681" s="120"/>
      <c r="D681" s="120"/>
      <c r="E681" s="120"/>
      <c r="F681" s="120"/>
      <c r="G681" s="120"/>
      <c r="H681" s="120"/>
      <c r="I681" s="120"/>
      <c r="J681" s="120"/>
      <c r="K681" s="120"/>
      <c r="L681" s="120"/>
      <c r="M681" s="120"/>
      <c r="N681" s="120"/>
      <c r="O681" s="120"/>
      <c r="P681" s="120"/>
      <c r="Q681" s="120"/>
      <c r="R681" s="120"/>
      <c r="S681" s="120"/>
      <c r="T681" s="120"/>
      <c r="U681" s="120"/>
      <c r="V681" s="120"/>
      <c r="W681" s="120"/>
      <c r="X681" s="120"/>
      <c r="Y681" s="120"/>
      <c r="Z681" s="120"/>
      <c r="AA681" s="120"/>
    </row>
    <row r="682">
      <c r="A682" s="120"/>
      <c r="B682" s="120"/>
      <c r="C682" s="120"/>
      <c r="D682" s="120"/>
      <c r="E682" s="120"/>
      <c r="F682" s="120"/>
      <c r="G682" s="120"/>
      <c r="H682" s="120"/>
      <c r="I682" s="120"/>
      <c r="J682" s="120"/>
      <c r="K682" s="120"/>
      <c r="L682" s="120"/>
      <c r="M682" s="120"/>
      <c r="N682" s="120"/>
      <c r="O682" s="120"/>
      <c r="P682" s="120"/>
      <c r="Q682" s="120"/>
      <c r="R682" s="120"/>
      <c r="S682" s="120"/>
      <c r="T682" s="120"/>
      <c r="U682" s="120"/>
      <c r="V682" s="120"/>
      <c r="W682" s="120"/>
      <c r="X682" s="120"/>
      <c r="Y682" s="120"/>
      <c r="Z682" s="120"/>
      <c r="AA682" s="120"/>
    </row>
    <row r="683">
      <c r="A683" s="120"/>
      <c r="B683" s="120"/>
      <c r="C683" s="120"/>
      <c r="D683" s="120"/>
      <c r="E683" s="120"/>
      <c r="F683" s="120"/>
      <c r="G683" s="120"/>
      <c r="H683" s="120"/>
      <c r="I683" s="120"/>
      <c r="J683" s="120"/>
      <c r="K683" s="120"/>
      <c r="L683" s="120"/>
      <c r="M683" s="120"/>
      <c r="N683" s="120"/>
      <c r="O683" s="120"/>
      <c r="P683" s="120"/>
      <c r="Q683" s="120"/>
      <c r="R683" s="120"/>
      <c r="S683" s="120"/>
      <c r="T683" s="120"/>
      <c r="U683" s="120"/>
      <c r="V683" s="120"/>
      <c r="W683" s="120"/>
      <c r="X683" s="120"/>
      <c r="Y683" s="120"/>
      <c r="Z683" s="120"/>
      <c r="AA683" s="120"/>
    </row>
    <row r="684">
      <c r="A684" s="120"/>
      <c r="B684" s="120"/>
      <c r="C684" s="120"/>
      <c r="D684" s="120"/>
      <c r="E684" s="120"/>
      <c r="F684" s="120"/>
      <c r="G684" s="120"/>
      <c r="H684" s="120"/>
      <c r="I684" s="120"/>
      <c r="J684" s="120"/>
      <c r="K684" s="120"/>
      <c r="L684" s="120"/>
      <c r="M684" s="120"/>
      <c r="N684" s="120"/>
      <c r="O684" s="120"/>
      <c r="P684" s="120"/>
      <c r="Q684" s="120"/>
      <c r="R684" s="120"/>
      <c r="S684" s="120"/>
      <c r="T684" s="120"/>
      <c r="U684" s="120"/>
      <c r="V684" s="120"/>
      <c r="W684" s="120"/>
      <c r="X684" s="120"/>
      <c r="Y684" s="120"/>
      <c r="Z684" s="120"/>
      <c r="AA684" s="120"/>
    </row>
    <row r="685">
      <c r="A685" s="120"/>
      <c r="B685" s="120"/>
      <c r="C685" s="120"/>
      <c r="D685" s="120"/>
      <c r="E685" s="120"/>
      <c r="F685" s="120"/>
      <c r="G685" s="120"/>
      <c r="H685" s="120"/>
      <c r="I685" s="120"/>
      <c r="J685" s="120"/>
      <c r="K685" s="120"/>
      <c r="L685" s="120"/>
      <c r="M685" s="120"/>
      <c r="N685" s="120"/>
      <c r="O685" s="120"/>
      <c r="P685" s="120"/>
      <c r="Q685" s="120"/>
      <c r="R685" s="120"/>
      <c r="S685" s="120"/>
      <c r="T685" s="120"/>
      <c r="U685" s="120"/>
      <c r="V685" s="120"/>
      <c r="W685" s="120"/>
      <c r="X685" s="120"/>
      <c r="Y685" s="120"/>
      <c r="Z685" s="120"/>
      <c r="AA685" s="120"/>
    </row>
    <row r="686">
      <c r="A686" s="120"/>
      <c r="B686" s="120"/>
      <c r="C686" s="120"/>
      <c r="D686" s="120"/>
      <c r="E686" s="120"/>
      <c r="F686" s="120"/>
      <c r="G686" s="120"/>
      <c r="H686" s="120"/>
      <c r="I686" s="120"/>
      <c r="J686" s="120"/>
      <c r="K686" s="120"/>
      <c r="L686" s="120"/>
      <c r="M686" s="120"/>
      <c r="N686" s="120"/>
      <c r="O686" s="120"/>
      <c r="P686" s="120"/>
      <c r="Q686" s="120"/>
      <c r="R686" s="120"/>
      <c r="S686" s="120"/>
      <c r="T686" s="120"/>
      <c r="U686" s="120"/>
      <c r="V686" s="120"/>
      <c r="W686" s="120"/>
      <c r="X686" s="120"/>
      <c r="Y686" s="120"/>
      <c r="Z686" s="120"/>
      <c r="AA686" s="120"/>
    </row>
    <row r="687">
      <c r="A687" s="120"/>
      <c r="B687" s="120"/>
      <c r="C687" s="120"/>
      <c r="D687" s="120"/>
      <c r="E687" s="120"/>
      <c r="F687" s="120"/>
      <c r="G687" s="120"/>
      <c r="H687" s="120"/>
      <c r="I687" s="120"/>
      <c r="J687" s="120"/>
      <c r="K687" s="120"/>
      <c r="L687" s="120"/>
      <c r="M687" s="120"/>
      <c r="N687" s="120"/>
      <c r="O687" s="120"/>
      <c r="P687" s="120"/>
      <c r="Q687" s="120"/>
      <c r="R687" s="120"/>
      <c r="S687" s="120"/>
      <c r="T687" s="120"/>
      <c r="U687" s="120"/>
      <c r="V687" s="120"/>
      <c r="W687" s="120"/>
      <c r="X687" s="120"/>
      <c r="Y687" s="120"/>
      <c r="Z687" s="120"/>
      <c r="AA687" s="120"/>
    </row>
    <row r="688">
      <c r="A688" s="120"/>
      <c r="B688" s="120"/>
      <c r="C688" s="120"/>
      <c r="D688" s="120"/>
      <c r="E688" s="120"/>
      <c r="F688" s="120"/>
      <c r="G688" s="120"/>
      <c r="H688" s="120"/>
      <c r="I688" s="120"/>
      <c r="J688" s="120"/>
      <c r="K688" s="120"/>
      <c r="L688" s="120"/>
      <c r="M688" s="120"/>
      <c r="N688" s="120"/>
      <c r="O688" s="120"/>
      <c r="P688" s="120"/>
      <c r="Q688" s="120"/>
      <c r="R688" s="120"/>
      <c r="S688" s="120"/>
      <c r="T688" s="120"/>
      <c r="U688" s="120"/>
      <c r="V688" s="120"/>
      <c r="W688" s="120"/>
      <c r="X688" s="120"/>
      <c r="Y688" s="120"/>
      <c r="Z688" s="120"/>
      <c r="AA688" s="120"/>
    </row>
    <row r="689">
      <c r="A689" s="120"/>
      <c r="B689" s="120"/>
      <c r="C689" s="120"/>
      <c r="D689" s="120"/>
      <c r="E689" s="120"/>
      <c r="F689" s="120"/>
      <c r="G689" s="120"/>
      <c r="H689" s="120"/>
      <c r="I689" s="120"/>
      <c r="J689" s="120"/>
      <c r="K689" s="120"/>
      <c r="L689" s="120"/>
      <c r="M689" s="120"/>
      <c r="N689" s="120"/>
      <c r="O689" s="120"/>
      <c r="P689" s="120"/>
      <c r="Q689" s="120"/>
      <c r="R689" s="120"/>
      <c r="S689" s="120"/>
      <c r="T689" s="120"/>
      <c r="U689" s="120"/>
      <c r="V689" s="120"/>
      <c r="W689" s="120"/>
      <c r="X689" s="120"/>
      <c r="Y689" s="120"/>
      <c r="Z689" s="120"/>
      <c r="AA689" s="120"/>
    </row>
    <row r="690">
      <c r="A690" s="120"/>
      <c r="B690" s="120"/>
      <c r="C690" s="120"/>
      <c r="D690" s="120"/>
      <c r="E690" s="120"/>
      <c r="F690" s="120"/>
      <c r="G690" s="120"/>
      <c r="H690" s="120"/>
      <c r="I690" s="120"/>
      <c r="J690" s="120"/>
      <c r="K690" s="120"/>
      <c r="L690" s="120"/>
      <c r="M690" s="120"/>
      <c r="N690" s="120"/>
      <c r="O690" s="120"/>
      <c r="P690" s="120"/>
      <c r="Q690" s="120"/>
      <c r="R690" s="120"/>
      <c r="S690" s="120"/>
      <c r="T690" s="120"/>
      <c r="U690" s="120"/>
      <c r="V690" s="120"/>
      <c r="W690" s="120"/>
      <c r="X690" s="120"/>
      <c r="Y690" s="120"/>
      <c r="Z690" s="120"/>
      <c r="AA690" s="120"/>
    </row>
    <row r="691">
      <c r="A691" s="120"/>
      <c r="B691" s="120"/>
      <c r="C691" s="120"/>
      <c r="D691" s="120"/>
      <c r="E691" s="120"/>
      <c r="F691" s="120"/>
      <c r="G691" s="120"/>
      <c r="H691" s="120"/>
      <c r="I691" s="120"/>
      <c r="J691" s="120"/>
      <c r="K691" s="120"/>
      <c r="L691" s="120"/>
      <c r="M691" s="120"/>
      <c r="N691" s="120"/>
      <c r="O691" s="120"/>
      <c r="P691" s="120"/>
      <c r="Q691" s="120"/>
      <c r="R691" s="120"/>
      <c r="S691" s="120"/>
      <c r="T691" s="120"/>
      <c r="U691" s="120"/>
      <c r="V691" s="120"/>
      <c r="W691" s="120"/>
      <c r="X691" s="120"/>
      <c r="Y691" s="120"/>
      <c r="Z691" s="120"/>
      <c r="AA691" s="120"/>
    </row>
    <row r="692">
      <c r="A692" s="120"/>
      <c r="B692" s="120"/>
      <c r="C692" s="120"/>
      <c r="D692" s="120"/>
      <c r="E692" s="120"/>
      <c r="F692" s="120"/>
      <c r="G692" s="120"/>
      <c r="H692" s="120"/>
      <c r="I692" s="120"/>
      <c r="J692" s="120"/>
      <c r="K692" s="120"/>
      <c r="L692" s="120"/>
      <c r="M692" s="120"/>
      <c r="N692" s="120"/>
      <c r="O692" s="120"/>
      <c r="P692" s="120"/>
      <c r="Q692" s="120"/>
      <c r="R692" s="120"/>
      <c r="S692" s="120"/>
      <c r="T692" s="120"/>
      <c r="U692" s="120"/>
      <c r="V692" s="120"/>
      <c r="W692" s="120"/>
      <c r="X692" s="120"/>
      <c r="Y692" s="120"/>
      <c r="Z692" s="120"/>
      <c r="AA692" s="120"/>
    </row>
    <row r="693">
      <c r="A693" s="120"/>
      <c r="B693" s="120"/>
      <c r="C693" s="120"/>
      <c r="D693" s="120"/>
      <c r="E693" s="120"/>
      <c r="F693" s="120"/>
      <c r="G693" s="120"/>
      <c r="H693" s="120"/>
      <c r="I693" s="120"/>
      <c r="J693" s="120"/>
      <c r="K693" s="120"/>
      <c r="L693" s="120"/>
      <c r="M693" s="120"/>
      <c r="N693" s="120"/>
      <c r="O693" s="120"/>
      <c r="P693" s="120"/>
      <c r="Q693" s="120"/>
      <c r="R693" s="120"/>
      <c r="S693" s="120"/>
      <c r="T693" s="120"/>
      <c r="U693" s="120"/>
      <c r="V693" s="120"/>
      <c r="W693" s="120"/>
      <c r="X693" s="120"/>
      <c r="Y693" s="120"/>
      <c r="Z693" s="120"/>
      <c r="AA693" s="120"/>
    </row>
    <row r="694">
      <c r="A694" s="120"/>
      <c r="B694" s="120"/>
      <c r="C694" s="120"/>
      <c r="D694" s="120"/>
      <c r="E694" s="120"/>
      <c r="F694" s="120"/>
      <c r="G694" s="120"/>
      <c r="H694" s="120"/>
      <c r="I694" s="120"/>
      <c r="J694" s="120"/>
      <c r="K694" s="120"/>
      <c r="L694" s="120"/>
      <c r="M694" s="120"/>
      <c r="N694" s="120"/>
      <c r="O694" s="120"/>
      <c r="P694" s="120"/>
      <c r="Q694" s="120"/>
      <c r="R694" s="120"/>
      <c r="S694" s="120"/>
      <c r="T694" s="120"/>
      <c r="U694" s="120"/>
      <c r="V694" s="120"/>
      <c r="W694" s="120"/>
      <c r="X694" s="120"/>
      <c r="Y694" s="120"/>
      <c r="Z694" s="120"/>
      <c r="AA694" s="120"/>
    </row>
    <row r="695">
      <c r="A695" s="120"/>
      <c r="B695" s="120"/>
      <c r="C695" s="120"/>
      <c r="D695" s="120"/>
      <c r="E695" s="120"/>
      <c r="F695" s="120"/>
      <c r="G695" s="120"/>
      <c r="H695" s="120"/>
      <c r="I695" s="120"/>
      <c r="J695" s="120"/>
      <c r="K695" s="120"/>
      <c r="L695" s="120"/>
      <c r="M695" s="120"/>
      <c r="N695" s="120"/>
      <c r="O695" s="120"/>
      <c r="P695" s="120"/>
      <c r="Q695" s="120"/>
      <c r="R695" s="120"/>
      <c r="S695" s="120"/>
      <c r="T695" s="120"/>
      <c r="U695" s="120"/>
      <c r="V695" s="120"/>
      <c r="W695" s="120"/>
      <c r="X695" s="120"/>
      <c r="Y695" s="120"/>
      <c r="Z695" s="120"/>
      <c r="AA695" s="120"/>
    </row>
    <row r="696">
      <c r="A696" s="120"/>
      <c r="B696" s="120"/>
      <c r="C696" s="120"/>
      <c r="D696" s="120"/>
      <c r="E696" s="120"/>
      <c r="F696" s="120"/>
      <c r="G696" s="120"/>
      <c r="H696" s="120"/>
      <c r="I696" s="120"/>
      <c r="J696" s="120"/>
      <c r="K696" s="120"/>
      <c r="L696" s="120"/>
      <c r="M696" s="120"/>
      <c r="N696" s="120"/>
      <c r="O696" s="120"/>
      <c r="P696" s="120"/>
      <c r="Q696" s="120"/>
      <c r="R696" s="120"/>
      <c r="S696" s="120"/>
      <c r="T696" s="120"/>
      <c r="U696" s="120"/>
      <c r="V696" s="120"/>
      <c r="W696" s="120"/>
      <c r="X696" s="120"/>
      <c r="Y696" s="120"/>
      <c r="Z696" s="120"/>
      <c r="AA696" s="120"/>
    </row>
    <row r="697">
      <c r="A697" s="120"/>
      <c r="B697" s="120"/>
      <c r="C697" s="120"/>
      <c r="D697" s="120"/>
      <c r="E697" s="120"/>
      <c r="F697" s="120"/>
      <c r="G697" s="120"/>
      <c r="H697" s="120"/>
      <c r="I697" s="120"/>
      <c r="J697" s="120"/>
      <c r="K697" s="120"/>
      <c r="L697" s="120"/>
      <c r="M697" s="120"/>
      <c r="N697" s="120"/>
      <c r="O697" s="120"/>
      <c r="P697" s="120"/>
      <c r="Q697" s="120"/>
      <c r="R697" s="120"/>
      <c r="S697" s="120"/>
      <c r="T697" s="120"/>
      <c r="U697" s="120"/>
      <c r="V697" s="120"/>
      <c r="W697" s="120"/>
      <c r="X697" s="120"/>
      <c r="Y697" s="120"/>
      <c r="Z697" s="120"/>
      <c r="AA697" s="120"/>
    </row>
    <row r="698">
      <c r="A698" s="120"/>
      <c r="B698" s="120"/>
      <c r="C698" s="120"/>
      <c r="D698" s="120"/>
      <c r="E698" s="120"/>
      <c r="F698" s="120"/>
      <c r="G698" s="120"/>
      <c r="H698" s="120"/>
      <c r="I698" s="120"/>
      <c r="J698" s="120"/>
      <c r="K698" s="120"/>
      <c r="L698" s="120"/>
      <c r="M698" s="120"/>
      <c r="N698" s="120"/>
      <c r="O698" s="120"/>
      <c r="P698" s="120"/>
      <c r="Q698" s="120"/>
      <c r="R698" s="120"/>
      <c r="S698" s="120"/>
      <c r="T698" s="120"/>
      <c r="U698" s="120"/>
      <c r="V698" s="120"/>
      <c r="W698" s="120"/>
      <c r="X698" s="120"/>
      <c r="Y698" s="120"/>
      <c r="Z698" s="120"/>
      <c r="AA698" s="120"/>
    </row>
    <row r="699">
      <c r="A699" s="120"/>
      <c r="B699" s="120"/>
      <c r="C699" s="120"/>
      <c r="D699" s="120"/>
      <c r="E699" s="120"/>
      <c r="F699" s="120"/>
      <c r="G699" s="120"/>
      <c r="H699" s="120"/>
      <c r="I699" s="120"/>
      <c r="J699" s="120"/>
      <c r="K699" s="120"/>
      <c r="L699" s="120"/>
      <c r="M699" s="120"/>
      <c r="N699" s="120"/>
      <c r="O699" s="120"/>
      <c r="P699" s="120"/>
      <c r="Q699" s="120"/>
      <c r="R699" s="120"/>
      <c r="S699" s="120"/>
      <c r="T699" s="120"/>
      <c r="U699" s="120"/>
      <c r="V699" s="120"/>
      <c r="W699" s="120"/>
      <c r="X699" s="120"/>
      <c r="Y699" s="120"/>
      <c r="Z699" s="120"/>
      <c r="AA699" s="120"/>
    </row>
    <row r="700">
      <c r="A700" s="120"/>
      <c r="B700" s="120"/>
      <c r="C700" s="120"/>
      <c r="D700" s="120"/>
      <c r="E700" s="120"/>
      <c r="F700" s="120"/>
      <c r="G700" s="120"/>
      <c r="H700" s="120"/>
      <c r="I700" s="120"/>
      <c r="J700" s="120"/>
      <c r="K700" s="120"/>
      <c r="L700" s="120"/>
      <c r="M700" s="120"/>
      <c r="N700" s="120"/>
      <c r="O700" s="120"/>
      <c r="P700" s="120"/>
      <c r="Q700" s="120"/>
      <c r="R700" s="120"/>
      <c r="S700" s="120"/>
      <c r="T700" s="120"/>
      <c r="U700" s="120"/>
      <c r="V700" s="120"/>
      <c r="W700" s="120"/>
      <c r="X700" s="120"/>
      <c r="Y700" s="120"/>
      <c r="Z700" s="120"/>
      <c r="AA700" s="120"/>
    </row>
    <row r="701">
      <c r="A701" s="120"/>
      <c r="B701" s="120"/>
      <c r="C701" s="120"/>
      <c r="D701" s="120"/>
      <c r="E701" s="120"/>
      <c r="F701" s="120"/>
      <c r="G701" s="120"/>
      <c r="H701" s="120"/>
      <c r="I701" s="120"/>
      <c r="J701" s="120"/>
      <c r="K701" s="120"/>
      <c r="L701" s="120"/>
      <c r="M701" s="120"/>
      <c r="N701" s="120"/>
      <c r="O701" s="120"/>
      <c r="P701" s="120"/>
      <c r="Q701" s="120"/>
      <c r="R701" s="120"/>
      <c r="S701" s="120"/>
      <c r="T701" s="120"/>
      <c r="U701" s="120"/>
      <c r="V701" s="120"/>
      <c r="W701" s="120"/>
      <c r="X701" s="120"/>
      <c r="Y701" s="120"/>
      <c r="Z701" s="120"/>
      <c r="AA701" s="120"/>
    </row>
    <row r="702">
      <c r="A702" s="120"/>
      <c r="B702" s="120"/>
      <c r="C702" s="120"/>
      <c r="D702" s="120"/>
      <c r="E702" s="120"/>
      <c r="F702" s="120"/>
      <c r="G702" s="120"/>
      <c r="H702" s="120"/>
      <c r="I702" s="120"/>
      <c r="J702" s="120"/>
      <c r="K702" s="120"/>
      <c r="L702" s="120"/>
      <c r="M702" s="120"/>
      <c r="N702" s="120"/>
      <c r="O702" s="120"/>
      <c r="P702" s="120"/>
      <c r="Q702" s="120"/>
      <c r="R702" s="120"/>
      <c r="S702" s="120"/>
      <c r="T702" s="120"/>
      <c r="U702" s="120"/>
      <c r="V702" s="120"/>
      <c r="W702" s="120"/>
      <c r="X702" s="120"/>
      <c r="Y702" s="120"/>
      <c r="Z702" s="120"/>
      <c r="AA702" s="120"/>
    </row>
    <row r="703">
      <c r="A703" s="120"/>
      <c r="B703" s="120"/>
      <c r="C703" s="120"/>
      <c r="D703" s="120"/>
      <c r="E703" s="120"/>
      <c r="F703" s="120"/>
      <c r="G703" s="120"/>
      <c r="H703" s="120"/>
      <c r="I703" s="120"/>
      <c r="J703" s="120"/>
      <c r="K703" s="120"/>
      <c r="L703" s="120"/>
      <c r="M703" s="120"/>
      <c r="N703" s="120"/>
      <c r="O703" s="120"/>
      <c r="P703" s="120"/>
      <c r="Q703" s="120"/>
      <c r="R703" s="120"/>
      <c r="S703" s="120"/>
      <c r="T703" s="120"/>
      <c r="U703" s="120"/>
      <c r="V703" s="120"/>
      <c r="W703" s="120"/>
      <c r="X703" s="120"/>
      <c r="Y703" s="120"/>
      <c r="Z703" s="120"/>
      <c r="AA703" s="120"/>
    </row>
    <row r="704">
      <c r="A704" s="120"/>
      <c r="B704" s="120"/>
      <c r="C704" s="120"/>
      <c r="D704" s="120"/>
      <c r="E704" s="120"/>
      <c r="F704" s="120"/>
      <c r="G704" s="120"/>
      <c r="H704" s="120"/>
      <c r="I704" s="120"/>
      <c r="J704" s="120"/>
      <c r="K704" s="120"/>
      <c r="L704" s="120"/>
      <c r="M704" s="120"/>
      <c r="N704" s="120"/>
      <c r="O704" s="120"/>
      <c r="P704" s="120"/>
      <c r="Q704" s="120"/>
      <c r="R704" s="120"/>
      <c r="S704" s="120"/>
      <c r="T704" s="120"/>
      <c r="U704" s="120"/>
      <c r="V704" s="120"/>
      <c r="W704" s="120"/>
      <c r="X704" s="120"/>
      <c r="Y704" s="120"/>
      <c r="Z704" s="120"/>
      <c r="AA704" s="120"/>
    </row>
    <row r="705">
      <c r="A705" s="120"/>
      <c r="B705" s="120"/>
      <c r="C705" s="120"/>
      <c r="D705" s="120"/>
      <c r="E705" s="120"/>
      <c r="F705" s="120"/>
      <c r="G705" s="120"/>
      <c r="H705" s="120"/>
      <c r="I705" s="120"/>
      <c r="J705" s="120"/>
      <c r="K705" s="120"/>
      <c r="L705" s="120"/>
      <c r="M705" s="120"/>
      <c r="N705" s="120"/>
      <c r="O705" s="120"/>
      <c r="P705" s="120"/>
      <c r="Q705" s="120"/>
      <c r="R705" s="120"/>
      <c r="S705" s="120"/>
      <c r="T705" s="120"/>
      <c r="U705" s="120"/>
      <c r="V705" s="120"/>
      <c r="W705" s="120"/>
      <c r="X705" s="120"/>
      <c r="Y705" s="120"/>
      <c r="Z705" s="120"/>
      <c r="AA705" s="120"/>
    </row>
    <row r="706">
      <c r="A706" s="120"/>
      <c r="B706" s="120"/>
      <c r="C706" s="120"/>
      <c r="D706" s="120"/>
      <c r="E706" s="120"/>
      <c r="F706" s="120"/>
      <c r="G706" s="120"/>
      <c r="H706" s="120"/>
      <c r="I706" s="120"/>
      <c r="J706" s="120"/>
      <c r="K706" s="120"/>
      <c r="L706" s="120"/>
      <c r="M706" s="120"/>
      <c r="N706" s="120"/>
      <c r="O706" s="120"/>
      <c r="P706" s="120"/>
      <c r="Q706" s="120"/>
      <c r="R706" s="120"/>
      <c r="S706" s="120"/>
      <c r="T706" s="120"/>
      <c r="U706" s="120"/>
      <c r="V706" s="120"/>
      <c r="W706" s="120"/>
      <c r="X706" s="120"/>
      <c r="Y706" s="120"/>
      <c r="Z706" s="120"/>
      <c r="AA706" s="120"/>
    </row>
    <row r="707">
      <c r="A707" s="120"/>
      <c r="B707" s="120"/>
      <c r="C707" s="120"/>
      <c r="D707" s="120"/>
      <c r="E707" s="120"/>
      <c r="F707" s="120"/>
      <c r="G707" s="120"/>
      <c r="H707" s="120"/>
      <c r="I707" s="120"/>
      <c r="J707" s="120"/>
      <c r="K707" s="120"/>
      <c r="L707" s="120"/>
      <c r="M707" s="120"/>
      <c r="N707" s="120"/>
      <c r="O707" s="120"/>
      <c r="P707" s="120"/>
      <c r="Q707" s="120"/>
      <c r="R707" s="120"/>
      <c r="S707" s="120"/>
      <c r="T707" s="120"/>
      <c r="U707" s="120"/>
      <c r="V707" s="120"/>
      <c r="W707" s="120"/>
      <c r="X707" s="120"/>
      <c r="Y707" s="120"/>
      <c r="Z707" s="120"/>
      <c r="AA707" s="120"/>
    </row>
    <row r="708">
      <c r="A708" s="120"/>
      <c r="B708" s="120"/>
      <c r="C708" s="120"/>
      <c r="D708" s="120"/>
      <c r="E708" s="120"/>
      <c r="F708" s="120"/>
      <c r="G708" s="120"/>
      <c r="H708" s="120"/>
      <c r="I708" s="120"/>
      <c r="J708" s="120"/>
      <c r="K708" s="120"/>
      <c r="L708" s="120"/>
      <c r="M708" s="120"/>
      <c r="N708" s="120"/>
      <c r="O708" s="120"/>
      <c r="P708" s="120"/>
      <c r="Q708" s="120"/>
      <c r="R708" s="120"/>
      <c r="S708" s="120"/>
      <c r="T708" s="120"/>
      <c r="U708" s="120"/>
      <c r="V708" s="120"/>
      <c r="W708" s="120"/>
      <c r="X708" s="120"/>
      <c r="Y708" s="120"/>
      <c r="Z708" s="120"/>
      <c r="AA708" s="120"/>
    </row>
    <row r="709">
      <c r="A709" s="120"/>
      <c r="B709" s="120"/>
      <c r="C709" s="120"/>
      <c r="D709" s="120"/>
      <c r="E709" s="120"/>
      <c r="F709" s="120"/>
      <c r="G709" s="120"/>
      <c r="H709" s="120"/>
      <c r="I709" s="120"/>
      <c r="J709" s="120"/>
      <c r="K709" s="120"/>
      <c r="L709" s="120"/>
      <c r="M709" s="120"/>
      <c r="N709" s="120"/>
      <c r="O709" s="120"/>
      <c r="P709" s="120"/>
      <c r="Q709" s="120"/>
      <c r="R709" s="120"/>
      <c r="S709" s="120"/>
      <c r="T709" s="120"/>
      <c r="U709" s="120"/>
      <c r="V709" s="120"/>
      <c r="W709" s="120"/>
      <c r="X709" s="120"/>
      <c r="Y709" s="120"/>
      <c r="Z709" s="120"/>
      <c r="AA709" s="120"/>
    </row>
    <row r="710">
      <c r="A710" s="120"/>
      <c r="B710" s="120"/>
      <c r="C710" s="120"/>
      <c r="D710" s="120"/>
      <c r="E710" s="120"/>
      <c r="F710" s="120"/>
      <c r="G710" s="120"/>
      <c r="H710" s="120"/>
      <c r="I710" s="120"/>
      <c r="J710" s="120"/>
      <c r="K710" s="120"/>
      <c r="L710" s="120"/>
      <c r="M710" s="120"/>
      <c r="N710" s="120"/>
      <c r="O710" s="120"/>
      <c r="P710" s="120"/>
      <c r="Q710" s="120"/>
      <c r="R710" s="120"/>
      <c r="S710" s="120"/>
      <c r="T710" s="120"/>
      <c r="U710" s="120"/>
      <c r="V710" s="120"/>
      <c r="W710" s="120"/>
      <c r="X710" s="120"/>
      <c r="Y710" s="120"/>
      <c r="Z710" s="120"/>
      <c r="AA710" s="120"/>
    </row>
    <row r="711">
      <c r="A711" s="120"/>
      <c r="B711" s="120"/>
      <c r="C711" s="120"/>
      <c r="D711" s="120"/>
      <c r="E711" s="120"/>
      <c r="F711" s="120"/>
      <c r="G711" s="120"/>
      <c r="H711" s="120"/>
      <c r="I711" s="120"/>
      <c r="J711" s="120"/>
      <c r="K711" s="120"/>
      <c r="L711" s="120"/>
      <c r="M711" s="120"/>
      <c r="N711" s="120"/>
      <c r="O711" s="120"/>
      <c r="P711" s="120"/>
      <c r="Q711" s="120"/>
      <c r="R711" s="120"/>
      <c r="S711" s="120"/>
      <c r="T711" s="120"/>
      <c r="U711" s="120"/>
      <c r="V711" s="120"/>
      <c r="W711" s="120"/>
      <c r="X711" s="120"/>
      <c r="Y711" s="120"/>
      <c r="Z711" s="120"/>
      <c r="AA711" s="120"/>
    </row>
    <row r="712">
      <c r="A712" s="120"/>
      <c r="B712" s="120"/>
      <c r="C712" s="120"/>
      <c r="D712" s="120"/>
      <c r="E712" s="120"/>
      <c r="F712" s="120"/>
      <c r="G712" s="120"/>
      <c r="H712" s="120"/>
      <c r="I712" s="120"/>
      <c r="J712" s="120"/>
      <c r="K712" s="120"/>
      <c r="L712" s="120"/>
      <c r="M712" s="120"/>
      <c r="N712" s="120"/>
      <c r="O712" s="120"/>
      <c r="P712" s="120"/>
      <c r="Q712" s="120"/>
      <c r="R712" s="120"/>
      <c r="S712" s="120"/>
      <c r="T712" s="120"/>
      <c r="U712" s="120"/>
      <c r="V712" s="120"/>
      <c r="W712" s="120"/>
      <c r="X712" s="120"/>
      <c r="Y712" s="120"/>
      <c r="Z712" s="120"/>
      <c r="AA712" s="120"/>
    </row>
    <row r="713">
      <c r="A713" s="120"/>
      <c r="B713" s="120"/>
      <c r="C713" s="120"/>
      <c r="D713" s="120"/>
      <c r="E713" s="120"/>
      <c r="F713" s="120"/>
      <c r="G713" s="120"/>
      <c r="H713" s="120"/>
      <c r="I713" s="120"/>
      <c r="J713" s="120"/>
      <c r="K713" s="120"/>
      <c r="L713" s="120"/>
      <c r="M713" s="120"/>
      <c r="N713" s="120"/>
      <c r="O713" s="120"/>
      <c r="P713" s="120"/>
      <c r="Q713" s="120"/>
      <c r="R713" s="120"/>
      <c r="S713" s="120"/>
      <c r="T713" s="120"/>
      <c r="U713" s="120"/>
      <c r="V713" s="120"/>
      <c r="W713" s="120"/>
      <c r="X713" s="120"/>
      <c r="Y713" s="120"/>
      <c r="Z713" s="120"/>
      <c r="AA713" s="120"/>
    </row>
    <row r="714">
      <c r="A714" s="120"/>
      <c r="B714" s="120"/>
      <c r="C714" s="120"/>
      <c r="D714" s="120"/>
      <c r="E714" s="120"/>
      <c r="F714" s="120"/>
      <c r="G714" s="120"/>
      <c r="H714" s="120"/>
      <c r="I714" s="120"/>
      <c r="J714" s="120"/>
      <c r="K714" s="120"/>
      <c r="L714" s="120"/>
      <c r="M714" s="120"/>
      <c r="N714" s="120"/>
      <c r="O714" s="120"/>
      <c r="P714" s="120"/>
      <c r="Q714" s="120"/>
      <c r="R714" s="120"/>
      <c r="S714" s="120"/>
      <c r="T714" s="120"/>
      <c r="U714" s="120"/>
      <c r="V714" s="120"/>
      <c r="W714" s="120"/>
      <c r="X714" s="120"/>
      <c r="Y714" s="120"/>
      <c r="Z714" s="120"/>
      <c r="AA714" s="120"/>
    </row>
    <row r="715">
      <c r="A715" s="120"/>
      <c r="B715" s="120"/>
      <c r="C715" s="120"/>
      <c r="D715" s="120"/>
      <c r="E715" s="120"/>
      <c r="F715" s="120"/>
      <c r="G715" s="120"/>
      <c r="H715" s="120"/>
      <c r="I715" s="120"/>
      <c r="J715" s="120"/>
      <c r="K715" s="120"/>
      <c r="L715" s="120"/>
      <c r="M715" s="120"/>
      <c r="N715" s="120"/>
      <c r="O715" s="120"/>
      <c r="P715" s="120"/>
      <c r="Q715" s="120"/>
      <c r="R715" s="120"/>
      <c r="S715" s="120"/>
      <c r="T715" s="120"/>
      <c r="U715" s="120"/>
      <c r="V715" s="120"/>
      <c r="W715" s="120"/>
      <c r="X715" s="120"/>
      <c r="Y715" s="120"/>
      <c r="Z715" s="120"/>
      <c r="AA715" s="120"/>
    </row>
    <row r="716">
      <c r="A716" s="120"/>
      <c r="B716" s="120"/>
      <c r="C716" s="120"/>
      <c r="D716" s="120"/>
      <c r="E716" s="120"/>
      <c r="F716" s="120"/>
      <c r="G716" s="120"/>
      <c r="H716" s="120"/>
      <c r="I716" s="120"/>
      <c r="J716" s="120"/>
      <c r="K716" s="120"/>
      <c r="L716" s="120"/>
      <c r="M716" s="120"/>
      <c r="N716" s="120"/>
      <c r="O716" s="120"/>
      <c r="P716" s="120"/>
      <c r="Q716" s="120"/>
      <c r="R716" s="120"/>
      <c r="S716" s="120"/>
      <c r="T716" s="120"/>
      <c r="U716" s="120"/>
      <c r="V716" s="120"/>
      <c r="W716" s="120"/>
      <c r="X716" s="120"/>
      <c r="Y716" s="120"/>
      <c r="Z716" s="120"/>
      <c r="AA716" s="120"/>
    </row>
    <row r="717">
      <c r="A717" s="120"/>
      <c r="B717" s="120"/>
      <c r="C717" s="120"/>
      <c r="D717" s="120"/>
      <c r="E717" s="120"/>
      <c r="F717" s="120"/>
      <c r="G717" s="120"/>
      <c r="H717" s="120"/>
      <c r="I717" s="120"/>
      <c r="J717" s="120"/>
      <c r="K717" s="120"/>
      <c r="L717" s="120"/>
      <c r="M717" s="120"/>
      <c r="N717" s="120"/>
      <c r="O717" s="120"/>
      <c r="P717" s="120"/>
      <c r="Q717" s="120"/>
      <c r="R717" s="120"/>
      <c r="S717" s="120"/>
      <c r="T717" s="120"/>
      <c r="U717" s="120"/>
      <c r="V717" s="120"/>
      <c r="W717" s="120"/>
      <c r="X717" s="120"/>
      <c r="Y717" s="120"/>
      <c r="Z717" s="120"/>
      <c r="AA717" s="120"/>
    </row>
    <row r="718">
      <c r="A718" s="120"/>
      <c r="B718" s="120"/>
      <c r="C718" s="120"/>
      <c r="D718" s="120"/>
      <c r="E718" s="120"/>
      <c r="F718" s="120"/>
      <c r="G718" s="120"/>
      <c r="H718" s="120"/>
      <c r="I718" s="120"/>
      <c r="J718" s="120"/>
      <c r="K718" s="120"/>
      <c r="L718" s="120"/>
      <c r="M718" s="120"/>
      <c r="N718" s="120"/>
      <c r="O718" s="120"/>
      <c r="P718" s="120"/>
      <c r="Q718" s="120"/>
      <c r="R718" s="120"/>
      <c r="S718" s="120"/>
      <c r="T718" s="120"/>
      <c r="U718" s="120"/>
      <c r="V718" s="120"/>
      <c r="W718" s="120"/>
      <c r="X718" s="120"/>
      <c r="Y718" s="120"/>
      <c r="Z718" s="120"/>
      <c r="AA718" s="120"/>
    </row>
    <row r="719">
      <c r="A719" s="120"/>
      <c r="B719" s="120"/>
      <c r="C719" s="120"/>
      <c r="D719" s="120"/>
      <c r="E719" s="120"/>
      <c r="F719" s="120"/>
      <c r="G719" s="120"/>
      <c r="H719" s="120"/>
      <c r="I719" s="120"/>
      <c r="J719" s="120"/>
      <c r="K719" s="120"/>
      <c r="L719" s="120"/>
      <c r="M719" s="120"/>
      <c r="N719" s="120"/>
      <c r="O719" s="120"/>
      <c r="P719" s="120"/>
      <c r="Q719" s="120"/>
      <c r="R719" s="120"/>
      <c r="S719" s="120"/>
      <c r="T719" s="120"/>
      <c r="U719" s="120"/>
      <c r="V719" s="120"/>
      <c r="W719" s="120"/>
      <c r="X719" s="120"/>
      <c r="Y719" s="120"/>
      <c r="Z719" s="120"/>
      <c r="AA719" s="120"/>
    </row>
    <row r="720">
      <c r="A720" s="120"/>
      <c r="B720" s="120"/>
      <c r="C720" s="120"/>
      <c r="D720" s="120"/>
      <c r="E720" s="120"/>
      <c r="F720" s="120"/>
      <c r="G720" s="120"/>
      <c r="H720" s="120"/>
      <c r="I720" s="120"/>
      <c r="J720" s="120"/>
      <c r="K720" s="120"/>
      <c r="L720" s="120"/>
      <c r="M720" s="120"/>
      <c r="N720" s="120"/>
      <c r="O720" s="120"/>
      <c r="P720" s="120"/>
      <c r="Q720" s="120"/>
      <c r="R720" s="120"/>
      <c r="S720" s="120"/>
      <c r="T720" s="120"/>
      <c r="U720" s="120"/>
      <c r="V720" s="120"/>
      <c r="W720" s="120"/>
      <c r="X720" s="120"/>
      <c r="Y720" s="120"/>
      <c r="Z720" s="120"/>
      <c r="AA720" s="120"/>
    </row>
    <row r="721">
      <c r="A721" s="120"/>
      <c r="B721" s="120"/>
      <c r="C721" s="120"/>
      <c r="D721" s="120"/>
      <c r="E721" s="120"/>
      <c r="F721" s="120"/>
      <c r="G721" s="120"/>
      <c r="H721" s="120"/>
      <c r="I721" s="120"/>
      <c r="J721" s="120"/>
      <c r="K721" s="120"/>
      <c r="L721" s="120"/>
      <c r="M721" s="120"/>
      <c r="N721" s="120"/>
      <c r="O721" s="120"/>
      <c r="P721" s="120"/>
      <c r="Q721" s="120"/>
      <c r="R721" s="120"/>
      <c r="S721" s="120"/>
      <c r="T721" s="120"/>
      <c r="U721" s="120"/>
      <c r="V721" s="120"/>
      <c r="W721" s="120"/>
      <c r="X721" s="120"/>
      <c r="Y721" s="120"/>
      <c r="Z721" s="120"/>
      <c r="AA721" s="120"/>
    </row>
    <row r="722">
      <c r="A722" s="120"/>
      <c r="B722" s="120"/>
      <c r="C722" s="120"/>
      <c r="D722" s="120"/>
      <c r="E722" s="120"/>
      <c r="F722" s="120"/>
      <c r="G722" s="120"/>
      <c r="H722" s="120"/>
      <c r="I722" s="120"/>
      <c r="J722" s="120"/>
      <c r="K722" s="120"/>
      <c r="L722" s="120"/>
      <c r="M722" s="120"/>
      <c r="N722" s="120"/>
      <c r="O722" s="120"/>
      <c r="P722" s="120"/>
      <c r="Q722" s="120"/>
      <c r="R722" s="120"/>
      <c r="S722" s="120"/>
      <c r="T722" s="120"/>
      <c r="U722" s="120"/>
      <c r="V722" s="120"/>
      <c r="W722" s="120"/>
      <c r="X722" s="120"/>
      <c r="Y722" s="120"/>
      <c r="Z722" s="120"/>
      <c r="AA722" s="120"/>
    </row>
    <row r="723">
      <c r="A723" s="120"/>
      <c r="B723" s="120"/>
      <c r="C723" s="120"/>
      <c r="D723" s="120"/>
      <c r="E723" s="120"/>
      <c r="F723" s="120"/>
      <c r="G723" s="120"/>
      <c r="H723" s="120"/>
      <c r="I723" s="120"/>
      <c r="J723" s="120"/>
      <c r="K723" s="120"/>
      <c r="L723" s="120"/>
      <c r="M723" s="120"/>
      <c r="N723" s="120"/>
      <c r="O723" s="120"/>
      <c r="P723" s="120"/>
      <c r="Q723" s="120"/>
      <c r="R723" s="120"/>
      <c r="S723" s="120"/>
      <c r="T723" s="120"/>
      <c r="U723" s="120"/>
      <c r="V723" s="120"/>
      <c r="W723" s="120"/>
      <c r="X723" s="120"/>
      <c r="Y723" s="120"/>
      <c r="Z723" s="120"/>
      <c r="AA723" s="120"/>
    </row>
    <row r="724">
      <c r="A724" s="120"/>
      <c r="B724" s="120"/>
      <c r="C724" s="120"/>
      <c r="D724" s="120"/>
      <c r="E724" s="120"/>
      <c r="F724" s="120"/>
      <c r="G724" s="120"/>
      <c r="H724" s="120"/>
      <c r="I724" s="120"/>
      <c r="J724" s="120"/>
      <c r="K724" s="120"/>
      <c r="L724" s="120"/>
      <c r="M724" s="120"/>
      <c r="N724" s="120"/>
      <c r="O724" s="120"/>
      <c r="P724" s="120"/>
      <c r="Q724" s="120"/>
      <c r="R724" s="120"/>
      <c r="S724" s="120"/>
      <c r="T724" s="120"/>
      <c r="U724" s="120"/>
      <c r="V724" s="120"/>
      <c r="W724" s="120"/>
      <c r="X724" s="120"/>
      <c r="Y724" s="120"/>
      <c r="Z724" s="120"/>
      <c r="AA724" s="120"/>
    </row>
    <row r="725">
      <c r="A725" s="120"/>
      <c r="B725" s="120"/>
      <c r="C725" s="120"/>
      <c r="D725" s="120"/>
      <c r="E725" s="120"/>
      <c r="F725" s="120"/>
      <c r="G725" s="120"/>
      <c r="H725" s="120"/>
      <c r="I725" s="120"/>
      <c r="J725" s="120"/>
      <c r="K725" s="120"/>
      <c r="L725" s="120"/>
      <c r="M725" s="120"/>
      <c r="N725" s="120"/>
      <c r="O725" s="120"/>
      <c r="P725" s="120"/>
      <c r="Q725" s="120"/>
      <c r="R725" s="120"/>
      <c r="S725" s="120"/>
      <c r="T725" s="120"/>
      <c r="U725" s="120"/>
      <c r="V725" s="120"/>
      <c r="W725" s="120"/>
      <c r="X725" s="120"/>
      <c r="Y725" s="120"/>
      <c r="Z725" s="120"/>
      <c r="AA725" s="120"/>
    </row>
    <row r="726">
      <c r="A726" s="120"/>
      <c r="B726" s="120"/>
      <c r="C726" s="120"/>
      <c r="D726" s="120"/>
      <c r="E726" s="120"/>
      <c r="F726" s="120"/>
      <c r="G726" s="120"/>
      <c r="H726" s="120"/>
      <c r="I726" s="120"/>
      <c r="J726" s="120"/>
      <c r="K726" s="120"/>
      <c r="L726" s="120"/>
      <c r="M726" s="120"/>
      <c r="N726" s="120"/>
      <c r="O726" s="120"/>
      <c r="P726" s="120"/>
      <c r="Q726" s="120"/>
      <c r="R726" s="120"/>
      <c r="S726" s="120"/>
      <c r="T726" s="120"/>
      <c r="U726" s="120"/>
      <c r="V726" s="120"/>
      <c r="W726" s="120"/>
      <c r="X726" s="120"/>
      <c r="Y726" s="120"/>
      <c r="Z726" s="120"/>
      <c r="AA726" s="120"/>
    </row>
    <row r="727">
      <c r="A727" s="120"/>
      <c r="B727" s="120"/>
      <c r="C727" s="120"/>
      <c r="D727" s="120"/>
      <c r="E727" s="120"/>
      <c r="F727" s="120"/>
      <c r="G727" s="120"/>
      <c r="H727" s="120"/>
      <c r="I727" s="120"/>
      <c r="J727" s="120"/>
      <c r="K727" s="120"/>
      <c r="L727" s="120"/>
      <c r="M727" s="120"/>
      <c r="N727" s="120"/>
      <c r="O727" s="120"/>
      <c r="P727" s="120"/>
      <c r="Q727" s="120"/>
      <c r="R727" s="120"/>
      <c r="S727" s="120"/>
      <c r="T727" s="120"/>
      <c r="U727" s="120"/>
      <c r="V727" s="120"/>
      <c r="W727" s="120"/>
      <c r="X727" s="120"/>
      <c r="Y727" s="120"/>
      <c r="Z727" s="120"/>
      <c r="AA727" s="120"/>
    </row>
    <row r="728">
      <c r="A728" s="120"/>
      <c r="B728" s="120"/>
      <c r="C728" s="120"/>
      <c r="D728" s="120"/>
      <c r="E728" s="120"/>
      <c r="F728" s="120"/>
      <c r="G728" s="120"/>
      <c r="H728" s="120"/>
      <c r="I728" s="120"/>
      <c r="J728" s="120"/>
      <c r="K728" s="120"/>
      <c r="L728" s="120"/>
      <c r="M728" s="120"/>
      <c r="N728" s="120"/>
      <c r="O728" s="120"/>
      <c r="P728" s="120"/>
      <c r="Q728" s="120"/>
      <c r="R728" s="120"/>
      <c r="S728" s="120"/>
      <c r="T728" s="120"/>
      <c r="U728" s="120"/>
      <c r="V728" s="120"/>
      <c r="W728" s="120"/>
      <c r="X728" s="120"/>
      <c r="Y728" s="120"/>
      <c r="Z728" s="120"/>
      <c r="AA728" s="120"/>
    </row>
    <row r="729">
      <c r="A729" s="120"/>
      <c r="B729" s="120"/>
      <c r="C729" s="120"/>
      <c r="D729" s="120"/>
      <c r="E729" s="120"/>
      <c r="F729" s="120"/>
      <c r="G729" s="120"/>
      <c r="H729" s="120"/>
      <c r="I729" s="120"/>
      <c r="J729" s="120"/>
      <c r="K729" s="120"/>
      <c r="L729" s="120"/>
      <c r="M729" s="120"/>
      <c r="N729" s="120"/>
      <c r="O729" s="120"/>
      <c r="P729" s="120"/>
      <c r="Q729" s="120"/>
      <c r="R729" s="120"/>
      <c r="S729" s="120"/>
      <c r="T729" s="120"/>
      <c r="U729" s="120"/>
      <c r="V729" s="120"/>
      <c r="W729" s="120"/>
      <c r="X729" s="120"/>
      <c r="Y729" s="120"/>
      <c r="Z729" s="120"/>
      <c r="AA729" s="120"/>
    </row>
    <row r="730">
      <c r="A730" s="120"/>
      <c r="B730" s="120"/>
      <c r="C730" s="120"/>
      <c r="D730" s="120"/>
      <c r="E730" s="120"/>
      <c r="F730" s="120"/>
      <c r="G730" s="120"/>
      <c r="H730" s="120"/>
      <c r="I730" s="120"/>
      <c r="J730" s="120"/>
      <c r="K730" s="120"/>
      <c r="L730" s="120"/>
      <c r="M730" s="120"/>
      <c r="N730" s="120"/>
      <c r="O730" s="120"/>
      <c r="P730" s="120"/>
      <c r="Q730" s="120"/>
      <c r="R730" s="120"/>
      <c r="S730" s="120"/>
      <c r="T730" s="120"/>
      <c r="U730" s="120"/>
      <c r="V730" s="120"/>
      <c r="W730" s="120"/>
      <c r="X730" s="120"/>
      <c r="Y730" s="120"/>
      <c r="Z730" s="120"/>
      <c r="AA730" s="120"/>
    </row>
    <row r="731">
      <c r="A731" s="120"/>
      <c r="B731" s="120"/>
      <c r="C731" s="120"/>
      <c r="D731" s="120"/>
      <c r="E731" s="120"/>
      <c r="F731" s="120"/>
      <c r="G731" s="120"/>
      <c r="H731" s="120"/>
      <c r="I731" s="120"/>
      <c r="J731" s="120"/>
      <c r="K731" s="120"/>
      <c r="L731" s="120"/>
      <c r="M731" s="120"/>
      <c r="N731" s="120"/>
      <c r="O731" s="120"/>
      <c r="P731" s="120"/>
      <c r="Q731" s="120"/>
      <c r="R731" s="120"/>
      <c r="S731" s="120"/>
      <c r="T731" s="120"/>
      <c r="U731" s="120"/>
      <c r="V731" s="120"/>
      <c r="W731" s="120"/>
      <c r="X731" s="120"/>
      <c r="Y731" s="120"/>
      <c r="Z731" s="120"/>
      <c r="AA731" s="120"/>
    </row>
    <row r="732">
      <c r="A732" s="120"/>
      <c r="B732" s="120"/>
      <c r="C732" s="120"/>
      <c r="D732" s="120"/>
      <c r="E732" s="120"/>
      <c r="F732" s="120"/>
      <c r="G732" s="120"/>
      <c r="H732" s="120"/>
      <c r="I732" s="120"/>
      <c r="J732" s="120"/>
      <c r="K732" s="120"/>
      <c r="L732" s="120"/>
      <c r="M732" s="120"/>
      <c r="N732" s="120"/>
      <c r="O732" s="120"/>
      <c r="P732" s="120"/>
      <c r="Q732" s="120"/>
      <c r="R732" s="120"/>
      <c r="S732" s="120"/>
      <c r="T732" s="120"/>
      <c r="U732" s="120"/>
      <c r="V732" s="120"/>
      <c r="W732" s="120"/>
      <c r="X732" s="120"/>
      <c r="Y732" s="120"/>
      <c r="Z732" s="120"/>
      <c r="AA732" s="120"/>
    </row>
    <row r="733">
      <c r="A733" s="120"/>
      <c r="B733" s="120"/>
      <c r="C733" s="120"/>
      <c r="D733" s="120"/>
      <c r="E733" s="120"/>
      <c r="F733" s="120"/>
      <c r="G733" s="120"/>
      <c r="H733" s="120"/>
      <c r="I733" s="120"/>
      <c r="J733" s="120"/>
      <c r="K733" s="120"/>
      <c r="L733" s="120"/>
      <c r="M733" s="120"/>
      <c r="N733" s="120"/>
      <c r="O733" s="120"/>
      <c r="P733" s="120"/>
      <c r="Q733" s="120"/>
      <c r="R733" s="120"/>
      <c r="S733" s="120"/>
      <c r="T733" s="120"/>
      <c r="U733" s="120"/>
      <c r="V733" s="120"/>
      <c r="W733" s="120"/>
      <c r="X733" s="120"/>
      <c r="Y733" s="120"/>
      <c r="Z733" s="120"/>
      <c r="AA733" s="120"/>
    </row>
    <row r="734">
      <c r="A734" s="120"/>
      <c r="B734" s="120"/>
      <c r="C734" s="120"/>
      <c r="D734" s="120"/>
      <c r="E734" s="120"/>
      <c r="F734" s="120"/>
      <c r="G734" s="120"/>
      <c r="H734" s="120"/>
      <c r="I734" s="120"/>
      <c r="J734" s="120"/>
      <c r="K734" s="120"/>
      <c r="L734" s="120"/>
      <c r="M734" s="120"/>
      <c r="N734" s="120"/>
      <c r="O734" s="120"/>
      <c r="P734" s="120"/>
      <c r="Q734" s="120"/>
      <c r="R734" s="120"/>
      <c r="S734" s="120"/>
      <c r="T734" s="120"/>
      <c r="U734" s="120"/>
      <c r="V734" s="120"/>
      <c r="W734" s="120"/>
      <c r="X734" s="120"/>
      <c r="Y734" s="120"/>
      <c r="Z734" s="120"/>
      <c r="AA734" s="120"/>
    </row>
    <row r="735">
      <c r="A735" s="120"/>
      <c r="B735" s="120"/>
      <c r="C735" s="120"/>
      <c r="D735" s="120"/>
      <c r="E735" s="120"/>
      <c r="F735" s="120"/>
      <c r="G735" s="120"/>
      <c r="H735" s="120"/>
      <c r="I735" s="120"/>
      <c r="J735" s="120"/>
      <c r="K735" s="120"/>
      <c r="L735" s="120"/>
      <c r="M735" s="120"/>
      <c r="N735" s="120"/>
      <c r="O735" s="120"/>
      <c r="P735" s="120"/>
      <c r="Q735" s="120"/>
      <c r="R735" s="120"/>
      <c r="S735" s="120"/>
      <c r="T735" s="120"/>
      <c r="U735" s="120"/>
      <c r="V735" s="120"/>
      <c r="W735" s="120"/>
      <c r="X735" s="120"/>
      <c r="Y735" s="120"/>
      <c r="Z735" s="120"/>
      <c r="AA735" s="120"/>
    </row>
    <row r="736">
      <c r="A736" s="120"/>
      <c r="B736" s="120"/>
      <c r="C736" s="120"/>
      <c r="D736" s="120"/>
      <c r="E736" s="120"/>
      <c r="F736" s="120"/>
      <c r="G736" s="120"/>
      <c r="H736" s="120"/>
      <c r="I736" s="120"/>
      <c r="J736" s="120"/>
      <c r="K736" s="120"/>
      <c r="L736" s="120"/>
      <c r="M736" s="120"/>
      <c r="N736" s="120"/>
      <c r="O736" s="120"/>
      <c r="P736" s="120"/>
      <c r="Q736" s="120"/>
      <c r="R736" s="120"/>
      <c r="S736" s="120"/>
      <c r="T736" s="120"/>
      <c r="U736" s="120"/>
      <c r="V736" s="120"/>
      <c r="W736" s="120"/>
      <c r="X736" s="120"/>
      <c r="Y736" s="120"/>
      <c r="Z736" s="120"/>
      <c r="AA736" s="120"/>
    </row>
    <row r="737">
      <c r="A737" s="120"/>
      <c r="B737" s="120"/>
      <c r="C737" s="120"/>
      <c r="D737" s="120"/>
      <c r="E737" s="120"/>
      <c r="F737" s="120"/>
      <c r="G737" s="120"/>
      <c r="H737" s="120"/>
      <c r="I737" s="120"/>
      <c r="J737" s="120"/>
      <c r="K737" s="120"/>
      <c r="L737" s="120"/>
      <c r="M737" s="120"/>
      <c r="N737" s="120"/>
      <c r="O737" s="120"/>
      <c r="P737" s="120"/>
      <c r="Q737" s="120"/>
      <c r="R737" s="120"/>
      <c r="S737" s="120"/>
      <c r="T737" s="120"/>
      <c r="U737" s="120"/>
      <c r="V737" s="120"/>
      <c r="W737" s="120"/>
      <c r="X737" s="120"/>
      <c r="Y737" s="120"/>
      <c r="Z737" s="120"/>
      <c r="AA737" s="120"/>
    </row>
    <row r="738">
      <c r="A738" s="120"/>
      <c r="B738" s="120"/>
      <c r="C738" s="120"/>
      <c r="D738" s="120"/>
      <c r="E738" s="120"/>
      <c r="F738" s="120"/>
      <c r="G738" s="120"/>
      <c r="H738" s="120"/>
      <c r="I738" s="120"/>
      <c r="J738" s="120"/>
      <c r="K738" s="120"/>
      <c r="L738" s="120"/>
      <c r="M738" s="120"/>
      <c r="N738" s="120"/>
      <c r="O738" s="120"/>
      <c r="P738" s="120"/>
      <c r="Q738" s="120"/>
      <c r="R738" s="120"/>
      <c r="S738" s="120"/>
      <c r="T738" s="120"/>
      <c r="U738" s="120"/>
      <c r="V738" s="120"/>
      <c r="W738" s="120"/>
      <c r="X738" s="120"/>
      <c r="Y738" s="120"/>
      <c r="Z738" s="120"/>
      <c r="AA738" s="120"/>
    </row>
    <row r="739">
      <c r="A739" s="120"/>
      <c r="B739" s="120"/>
      <c r="C739" s="120"/>
      <c r="D739" s="120"/>
      <c r="E739" s="120"/>
      <c r="F739" s="120"/>
      <c r="G739" s="120"/>
      <c r="H739" s="120"/>
      <c r="I739" s="120"/>
      <c r="J739" s="120"/>
      <c r="K739" s="120"/>
      <c r="L739" s="120"/>
      <c r="M739" s="120"/>
      <c r="N739" s="120"/>
      <c r="O739" s="120"/>
      <c r="P739" s="120"/>
      <c r="Q739" s="120"/>
      <c r="R739" s="120"/>
      <c r="S739" s="120"/>
      <c r="T739" s="120"/>
      <c r="U739" s="120"/>
      <c r="V739" s="120"/>
      <c r="W739" s="120"/>
      <c r="X739" s="120"/>
      <c r="Y739" s="120"/>
      <c r="Z739" s="120"/>
      <c r="AA739" s="120"/>
    </row>
    <row r="740">
      <c r="A740" s="120"/>
      <c r="B740" s="120"/>
      <c r="C740" s="120"/>
      <c r="D740" s="120"/>
      <c r="E740" s="120"/>
      <c r="F740" s="120"/>
      <c r="G740" s="120"/>
      <c r="H740" s="120"/>
      <c r="I740" s="120"/>
      <c r="J740" s="120"/>
      <c r="K740" s="120"/>
      <c r="L740" s="120"/>
      <c r="M740" s="120"/>
      <c r="N740" s="120"/>
      <c r="O740" s="120"/>
      <c r="P740" s="120"/>
      <c r="Q740" s="120"/>
      <c r="R740" s="120"/>
      <c r="S740" s="120"/>
      <c r="T740" s="120"/>
      <c r="U740" s="120"/>
      <c r="V740" s="120"/>
      <c r="W740" s="120"/>
      <c r="X740" s="120"/>
      <c r="Y740" s="120"/>
      <c r="Z740" s="120"/>
      <c r="AA740" s="120"/>
    </row>
    <row r="741">
      <c r="A741" s="120"/>
      <c r="B741" s="120"/>
      <c r="C741" s="120"/>
      <c r="D741" s="120"/>
      <c r="E741" s="120"/>
      <c r="F741" s="120"/>
      <c r="G741" s="120"/>
      <c r="H741" s="120"/>
      <c r="I741" s="120"/>
      <c r="J741" s="120"/>
      <c r="K741" s="120"/>
      <c r="L741" s="120"/>
      <c r="M741" s="120"/>
      <c r="N741" s="120"/>
      <c r="O741" s="120"/>
      <c r="P741" s="120"/>
      <c r="Q741" s="120"/>
      <c r="R741" s="120"/>
      <c r="S741" s="120"/>
      <c r="T741" s="120"/>
      <c r="U741" s="120"/>
      <c r="V741" s="120"/>
      <c r="W741" s="120"/>
      <c r="X741" s="120"/>
      <c r="Y741" s="120"/>
      <c r="Z741" s="120"/>
      <c r="AA741" s="120"/>
    </row>
    <row r="742">
      <c r="A742" s="120"/>
      <c r="B742" s="120"/>
      <c r="C742" s="120"/>
      <c r="D742" s="120"/>
      <c r="E742" s="120"/>
      <c r="F742" s="120"/>
      <c r="G742" s="120"/>
      <c r="H742" s="120"/>
      <c r="I742" s="120"/>
      <c r="J742" s="120"/>
      <c r="K742" s="120"/>
      <c r="L742" s="120"/>
      <c r="M742" s="120"/>
      <c r="N742" s="120"/>
      <c r="O742" s="120"/>
      <c r="P742" s="120"/>
      <c r="Q742" s="120"/>
      <c r="R742" s="120"/>
      <c r="S742" s="120"/>
      <c r="T742" s="120"/>
      <c r="U742" s="120"/>
      <c r="V742" s="120"/>
      <c r="W742" s="120"/>
      <c r="X742" s="120"/>
      <c r="Y742" s="120"/>
      <c r="Z742" s="120"/>
      <c r="AA742" s="120"/>
    </row>
    <row r="743">
      <c r="A743" s="120"/>
      <c r="B743" s="120"/>
      <c r="C743" s="120"/>
      <c r="D743" s="120"/>
      <c r="E743" s="120"/>
      <c r="F743" s="120"/>
      <c r="G743" s="120"/>
      <c r="H743" s="120"/>
      <c r="I743" s="120"/>
      <c r="J743" s="120"/>
      <c r="K743" s="120"/>
      <c r="L743" s="120"/>
      <c r="M743" s="120"/>
      <c r="N743" s="120"/>
      <c r="O743" s="120"/>
      <c r="P743" s="120"/>
      <c r="Q743" s="120"/>
      <c r="R743" s="120"/>
      <c r="S743" s="120"/>
      <c r="T743" s="120"/>
      <c r="U743" s="120"/>
      <c r="V743" s="120"/>
      <c r="W743" s="120"/>
      <c r="X743" s="120"/>
      <c r="Y743" s="120"/>
      <c r="Z743" s="120"/>
      <c r="AA743" s="120"/>
    </row>
    <row r="744">
      <c r="A744" s="120"/>
      <c r="B744" s="120"/>
      <c r="C744" s="120"/>
      <c r="D744" s="120"/>
      <c r="E744" s="120"/>
      <c r="F744" s="120"/>
      <c r="G744" s="120"/>
      <c r="H744" s="120"/>
      <c r="I744" s="120"/>
      <c r="J744" s="120"/>
      <c r="K744" s="120"/>
      <c r="L744" s="120"/>
      <c r="M744" s="120"/>
      <c r="N744" s="120"/>
      <c r="O744" s="120"/>
      <c r="P744" s="120"/>
      <c r="Q744" s="120"/>
      <c r="R744" s="120"/>
      <c r="S744" s="120"/>
      <c r="T744" s="120"/>
      <c r="U744" s="120"/>
      <c r="V744" s="120"/>
      <c r="W744" s="120"/>
      <c r="X744" s="120"/>
      <c r="Y744" s="120"/>
      <c r="Z744" s="120"/>
      <c r="AA744" s="120"/>
    </row>
    <row r="745">
      <c r="A745" s="120"/>
      <c r="B745" s="120"/>
      <c r="C745" s="120"/>
      <c r="D745" s="120"/>
      <c r="E745" s="120"/>
      <c r="F745" s="120"/>
      <c r="G745" s="120"/>
      <c r="H745" s="120"/>
      <c r="I745" s="120"/>
      <c r="J745" s="120"/>
      <c r="K745" s="120"/>
      <c r="L745" s="120"/>
      <c r="M745" s="120"/>
      <c r="N745" s="120"/>
      <c r="O745" s="120"/>
      <c r="P745" s="120"/>
      <c r="Q745" s="120"/>
      <c r="R745" s="120"/>
      <c r="S745" s="120"/>
      <c r="T745" s="120"/>
      <c r="U745" s="120"/>
      <c r="V745" s="120"/>
      <c r="W745" s="120"/>
      <c r="X745" s="120"/>
      <c r="Y745" s="120"/>
      <c r="Z745" s="120"/>
      <c r="AA745" s="120"/>
    </row>
    <row r="746">
      <c r="A746" s="120"/>
      <c r="B746" s="120"/>
      <c r="C746" s="120"/>
      <c r="D746" s="120"/>
      <c r="E746" s="120"/>
      <c r="F746" s="120"/>
      <c r="G746" s="120"/>
      <c r="H746" s="120"/>
      <c r="I746" s="120"/>
      <c r="J746" s="120"/>
      <c r="K746" s="120"/>
      <c r="L746" s="120"/>
      <c r="M746" s="120"/>
      <c r="N746" s="120"/>
      <c r="O746" s="120"/>
      <c r="P746" s="120"/>
      <c r="Q746" s="120"/>
      <c r="R746" s="120"/>
      <c r="S746" s="120"/>
      <c r="T746" s="120"/>
      <c r="U746" s="120"/>
      <c r="V746" s="120"/>
      <c r="W746" s="120"/>
      <c r="X746" s="120"/>
      <c r="Y746" s="120"/>
      <c r="Z746" s="120"/>
      <c r="AA746" s="120"/>
    </row>
    <row r="747">
      <c r="A747" s="120"/>
      <c r="B747" s="120"/>
      <c r="C747" s="120"/>
      <c r="D747" s="120"/>
      <c r="E747" s="120"/>
      <c r="F747" s="120"/>
      <c r="G747" s="120"/>
      <c r="H747" s="120"/>
      <c r="I747" s="120"/>
      <c r="J747" s="120"/>
      <c r="K747" s="120"/>
      <c r="L747" s="120"/>
      <c r="M747" s="120"/>
      <c r="N747" s="120"/>
      <c r="O747" s="120"/>
      <c r="P747" s="120"/>
      <c r="Q747" s="120"/>
      <c r="R747" s="120"/>
      <c r="S747" s="120"/>
      <c r="T747" s="120"/>
      <c r="U747" s="120"/>
      <c r="V747" s="120"/>
      <c r="W747" s="120"/>
      <c r="X747" s="120"/>
      <c r="Y747" s="120"/>
      <c r="Z747" s="120"/>
      <c r="AA747" s="120"/>
    </row>
    <row r="748">
      <c r="A748" s="120"/>
      <c r="B748" s="120"/>
      <c r="C748" s="120"/>
      <c r="D748" s="120"/>
      <c r="E748" s="120"/>
      <c r="F748" s="120"/>
      <c r="G748" s="120"/>
      <c r="H748" s="120"/>
      <c r="I748" s="120"/>
      <c r="J748" s="120"/>
      <c r="K748" s="120"/>
      <c r="L748" s="120"/>
      <c r="M748" s="120"/>
      <c r="N748" s="120"/>
      <c r="O748" s="120"/>
      <c r="P748" s="120"/>
      <c r="Q748" s="120"/>
      <c r="R748" s="120"/>
      <c r="S748" s="120"/>
      <c r="T748" s="120"/>
      <c r="U748" s="120"/>
      <c r="V748" s="120"/>
      <c r="W748" s="120"/>
      <c r="X748" s="120"/>
      <c r="Y748" s="120"/>
      <c r="Z748" s="120"/>
      <c r="AA748" s="120"/>
    </row>
    <row r="749">
      <c r="A749" s="120"/>
      <c r="B749" s="120"/>
      <c r="C749" s="120"/>
      <c r="D749" s="120"/>
      <c r="E749" s="120"/>
      <c r="F749" s="120"/>
      <c r="G749" s="120"/>
      <c r="H749" s="120"/>
      <c r="I749" s="120"/>
      <c r="J749" s="120"/>
      <c r="K749" s="120"/>
      <c r="L749" s="120"/>
      <c r="M749" s="120"/>
      <c r="N749" s="120"/>
      <c r="O749" s="120"/>
      <c r="P749" s="120"/>
      <c r="Q749" s="120"/>
      <c r="R749" s="120"/>
      <c r="S749" s="120"/>
      <c r="T749" s="120"/>
      <c r="U749" s="120"/>
      <c r="V749" s="120"/>
      <c r="W749" s="120"/>
      <c r="X749" s="120"/>
      <c r="Y749" s="120"/>
      <c r="Z749" s="120"/>
      <c r="AA749" s="120"/>
    </row>
    <row r="750">
      <c r="A750" s="120"/>
      <c r="B750" s="120"/>
      <c r="C750" s="120"/>
      <c r="D750" s="120"/>
      <c r="E750" s="120"/>
      <c r="F750" s="120"/>
      <c r="G750" s="120"/>
      <c r="H750" s="120"/>
      <c r="I750" s="120"/>
      <c r="J750" s="120"/>
      <c r="K750" s="120"/>
      <c r="L750" s="120"/>
      <c r="M750" s="120"/>
      <c r="N750" s="120"/>
      <c r="O750" s="120"/>
      <c r="P750" s="120"/>
      <c r="Q750" s="120"/>
      <c r="R750" s="120"/>
      <c r="S750" s="120"/>
      <c r="T750" s="120"/>
      <c r="U750" s="120"/>
      <c r="V750" s="120"/>
      <c r="W750" s="120"/>
      <c r="X750" s="120"/>
      <c r="Y750" s="120"/>
      <c r="Z750" s="120"/>
      <c r="AA750" s="120"/>
    </row>
    <row r="751">
      <c r="A751" s="120"/>
      <c r="B751" s="120"/>
      <c r="C751" s="120"/>
      <c r="D751" s="120"/>
      <c r="E751" s="120"/>
      <c r="F751" s="120"/>
      <c r="G751" s="120"/>
      <c r="H751" s="120"/>
      <c r="I751" s="120"/>
      <c r="J751" s="120"/>
      <c r="K751" s="120"/>
      <c r="L751" s="120"/>
      <c r="M751" s="120"/>
      <c r="N751" s="120"/>
      <c r="O751" s="120"/>
      <c r="P751" s="120"/>
      <c r="Q751" s="120"/>
      <c r="R751" s="120"/>
      <c r="S751" s="120"/>
      <c r="T751" s="120"/>
      <c r="U751" s="120"/>
      <c r="V751" s="120"/>
      <c r="W751" s="120"/>
      <c r="X751" s="120"/>
      <c r="Y751" s="120"/>
      <c r="Z751" s="120"/>
      <c r="AA751" s="120"/>
    </row>
    <row r="752">
      <c r="A752" s="120"/>
      <c r="B752" s="120"/>
      <c r="C752" s="120"/>
      <c r="D752" s="120"/>
      <c r="E752" s="120"/>
      <c r="F752" s="120"/>
      <c r="G752" s="120"/>
      <c r="H752" s="120"/>
      <c r="I752" s="120"/>
      <c r="J752" s="120"/>
      <c r="K752" s="120"/>
      <c r="L752" s="120"/>
      <c r="M752" s="120"/>
      <c r="N752" s="120"/>
      <c r="O752" s="120"/>
      <c r="P752" s="120"/>
      <c r="Q752" s="120"/>
      <c r="R752" s="120"/>
      <c r="S752" s="120"/>
      <c r="T752" s="120"/>
      <c r="U752" s="120"/>
      <c r="V752" s="120"/>
      <c r="W752" s="120"/>
      <c r="X752" s="120"/>
      <c r="Y752" s="120"/>
      <c r="Z752" s="120"/>
      <c r="AA752" s="120"/>
    </row>
    <row r="753">
      <c r="A753" s="120"/>
      <c r="B753" s="120"/>
      <c r="C753" s="120"/>
      <c r="D753" s="120"/>
      <c r="E753" s="120"/>
      <c r="F753" s="120"/>
      <c r="G753" s="120"/>
      <c r="H753" s="120"/>
      <c r="I753" s="120"/>
      <c r="J753" s="120"/>
      <c r="K753" s="120"/>
      <c r="L753" s="120"/>
      <c r="M753" s="120"/>
      <c r="N753" s="120"/>
      <c r="O753" s="120"/>
      <c r="P753" s="120"/>
      <c r="Q753" s="120"/>
      <c r="R753" s="120"/>
      <c r="S753" s="120"/>
      <c r="T753" s="120"/>
      <c r="U753" s="120"/>
      <c r="V753" s="120"/>
      <c r="W753" s="120"/>
      <c r="X753" s="120"/>
      <c r="Y753" s="120"/>
      <c r="Z753" s="120"/>
      <c r="AA753" s="120"/>
    </row>
    <row r="754">
      <c r="A754" s="120"/>
      <c r="B754" s="120"/>
      <c r="C754" s="120"/>
      <c r="D754" s="120"/>
      <c r="E754" s="120"/>
      <c r="F754" s="120"/>
      <c r="G754" s="120"/>
      <c r="H754" s="120"/>
      <c r="I754" s="120"/>
      <c r="J754" s="120"/>
      <c r="K754" s="120"/>
      <c r="L754" s="120"/>
      <c r="M754" s="120"/>
      <c r="N754" s="120"/>
      <c r="O754" s="120"/>
      <c r="P754" s="120"/>
      <c r="Q754" s="120"/>
      <c r="R754" s="120"/>
      <c r="S754" s="120"/>
      <c r="T754" s="120"/>
      <c r="U754" s="120"/>
      <c r="V754" s="120"/>
      <c r="W754" s="120"/>
      <c r="X754" s="120"/>
      <c r="Y754" s="120"/>
      <c r="Z754" s="120"/>
      <c r="AA754" s="120"/>
    </row>
    <row r="755">
      <c r="A755" s="120"/>
      <c r="B755" s="120"/>
      <c r="C755" s="120"/>
      <c r="D755" s="120"/>
      <c r="E755" s="120"/>
      <c r="F755" s="120"/>
      <c r="G755" s="120"/>
      <c r="H755" s="120"/>
      <c r="I755" s="120"/>
      <c r="J755" s="120"/>
      <c r="K755" s="120"/>
      <c r="L755" s="120"/>
      <c r="M755" s="120"/>
      <c r="N755" s="120"/>
      <c r="O755" s="120"/>
      <c r="P755" s="120"/>
      <c r="Q755" s="120"/>
      <c r="R755" s="120"/>
      <c r="S755" s="120"/>
      <c r="T755" s="120"/>
      <c r="U755" s="120"/>
      <c r="V755" s="120"/>
      <c r="W755" s="120"/>
      <c r="X755" s="120"/>
      <c r="Y755" s="120"/>
      <c r="Z755" s="120"/>
      <c r="AA755" s="120"/>
    </row>
    <row r="756">
      <c r="A756" s="120"/>
      <c r="B756" s="120"/>
      <c r="C756" s="120"/>
      <c r="D756" s="120"/>
      <c r="E756" s="120"/>
      <c r="F756" s="120"/>
      <c r="G756" s="120"/>
      <c r="H756" s="120"/>
      <c r="I756" s="120"/>
      <c r="J756" s="120"/>
      <c r="K756" s="120"/>
      <c r="L756" s="120"/>
      <c r="M756" s="120"/>
      <c r="N756" s="120"/>
      <c r="O756" s="120"/>
      <c r="P756" s="120"/>
      <c r="Q756" s="120"/>
      <c r="R756" s="120"/>
      <c r="S756" s="120"/>
      <c r="T756" s="120"/>
      <c r="U756" s="120"/>
      <c r="V756" s="120"/>
      <c r="W756" s="120"/>
      <c r="X756" s="120"/>
      <c r="Y756" s="120"/>
      <c r="Z756" s="120"/>
      <c r="AA756" s="120"/>
    </row>
    <row r="757">
      <c r="A757" s="120"/>
      <c r="B757" s="120"/>
      <c r="C757" s="120"/>
      <c r="D757" s="120"/>
      <c r="E757" s="120"/>
      <c r="F757" s="120"/>
      <c r="G757" s="120"/>
      <c r="H757" s="120"/>
      <c r="I757" s="120"/>
      <c r="J757" s="120"/>
      <c r="K757" s="120"/>
      <c r="L757" s="120"/>
      <c r="M757" s="120"/>
      <c r="N757" s="120"/>
      <c r="O757" s="120"/>
      <c r="P757" s="120"/>
      <c r="Q757" s="120"/>
      <c r="R757" s="120"/>
      <c r="S757" s="120"/>
      <c r="T757" s="120"/>
      <c r="U757" s="120"/>
      <c r="V757" s="120"/>
      <c r="W757" s="120"/>
      <c r="X757" s="120"/>
      <c r="Y757" s="120"/>
      <c r="Z757" s="120"/>
      <c r="AA757" s="120"/>
    </row>
    <row r="758">
      <c r="A758" s="120"/>
      <c r="B758" s="120"/>
      <c r="C758" s="120"/>
      <c r="D758" s="120"/>
      <c r="E758" s="120"/>
      <c r="F758" s="120"/>
      <c r="G758" s="120"/>
      <c r="H758" s="120"/>
      <c r="I758" s="120"/>
      <c r="J758" s="120"/>
      <c r="K758" s="120"/>
      <c r="L758" s="120"/>
      <c r="M758" s="120"/>
      <c r="N758" s="120"/>
      <c r="O758" s="120"/>
      <c r="P758" s="120"/>
      <c r="Q758" s="120"/>
      <c r="R758" s="120"/>
      <c r="S758" s="120"/>
      <c r="T758" s="120"/>
      <c r="U758" s="120"/>
      <c r="V758" s="120"/>
      <c r="W758" s="120"/>
      <c r="X758" s="120"/>
      <c r="Y758" s="120"/>
      <c r="Z758" s="120"/>
      <c r="AA758" s="120"/>
    </row>
    <row r="759">
      <c r="A759" s="120"/>
      <c r="B759" s="120"/>
      <c r="C759" s="120"/>
      <c r="D759" s="120"/>
      <c r="E759" s="120"/>
      <c r="F759" s="120"/>
      <c r="G759" s="120"/>
      <c r="H759" s="120"/>
      <c r="I759" s="120"/>
      <c r="J759" s="120"/>
      <c r="K759" s="120"/>
      <c r="L759" s="120"/>
      <c r="M759" s="120"/>
      <c r="N759" s="120"/>
      <c r="O759" s="120"/>
      <c r="P759" s="120"/>
      <c r="Q759" s="120"/>
      <c r="R759" s="120"/>
      <c r="S759" s="120"/>
      <c r="T759" s="120"/>
      <c r="U759" s="120"/>
      <c r="V759" s="120"/>
      <c r="W759" s="120"/>
      <c r="X759" s="120"/>
      <c r="Y759" s="120"/>
      <c r="Z759" s="120"/>
      <c r="AA759" s="120"/>
    </row>
    <row r="760">
      <c r="A760" s="120"/>
      <c r="B760" s="120"/>
      <c r="C760" s="120"/>
      <c r="D760" s="120"/>
      <c r="E760" s="120"/>
      <c r="F760" s="120"/>
      <c r="G760" s="120"/>
      <c r="H760" s="120"/>
      <c r="I760" s="120"/>
      <c r="J760" s="120"/>
      <c r="K760" s="120"/>
      <c r="L760" s="120"/>
      <c r="M760" s="120"/>
      <c r="N760" s="120"/>
      <c r="O760" s="120"/>
      <c r="P760" s="120"/>
      <c r="Q760" s="120"/>
      <c r="R760" s="120"/>
      <c r="S760" s="120"/>
      <c r="T760" s="120"/>
      <c r="U760" s="120"/>
      <c r="V760" s="120"/>
      <c r="W760" s="120"/>
      <c r="X760" s="120"/>
      <c r="Y760" s="120"/>
      <c r="Z760" s="120"/>
      <c r="AA760" s="120"/>
    </row>
    <row r="761">
      <c r="A761" s="120"/>
      <c r="B761" s="120"/>
      <c r="C761" s="120"/>
      <c r="D761" s="120"/>
      <c r="E761" s="120"/>
      <c r="F761" s="120"/>
      <c r="G761" s="120"/>
      <c r="H761" s="120"/>
      <c r="I761" s="120"/>
      <c r="J761" s="120"/>
      <c r="K761" s="120"/>
      <c r="L761" s="120"/>
      <c r="M761" s="120"/>
      <c r="N761" s="120"/>
      <c r="O761" s="120"/>
      <c r="P761" s="120"/>
      <c r="Q761" s="120"/>
      <c r="R761" s="120"/>
      <c r="S761" s="120"/>
      <c r="T761" s="120"/>
      <c r="U761" s="120"/>
      <c r="V761" s="120"/>
      <c r="W761" s="120"/>
      <c r="X761" s="120"/>
      <c r="Y761" s="120"/>
      <c r="Z761" s="120"/>
      <c r="AA761" s="120"/>
    </row>
    <row r="762">
      <c r="A762" s="120"/>
      <c r="B762" s="120"/>
      <c r="C762" s="120"/>
      <c r="D762" s="120"/>
      <c r="E762" s="120"/>
      <c r="F762" s="120"/>
      <c r="G762" s="120"/>
      <c r="H762" s="120"/>
      <c r="I762" s="120"/>
      <c r="J762" s="120"/>
      <c r="K762" s="120"/>
      <c r="L762" s="120"/>
      <c r="M762" s="120"/>
      <c r="N762" s="120"/>
      <c r="O762" s="120"/>
      <c r="P762" s="120"/>
      <c r="Q762" s="120"/>
      <c r="R762" s="120"/>
      <c r="S762" s="120"/>
      <c r="T762" s="120"/>
      <c r="U762" s="120"/>
      <c r="V762" s="120"/>
      <c r="W762" s="120"/>
      <c r="X762" s="120"/>
      <c r="Y762" s="120"/>
      <c r="Z762" s="120"/>
      <c r="AA762" s="120"/>
    </row>
    <row r="763">
      <c r="A763" s="120"/>
      <c r="B763" s="120"/>
      <c r="C763" s="120"/>
      <c r="D763" s="120"/>
      <c r="E763" s="120"/>
      <c r="F763" s="120"/>
      <c r="G763" s="120"/>
      <c r="H763" s="120"/>
      <c r="I763" s="120"/>
      <c r="J763" s="120"/>
      <c r="K763" s="120"/>
      <c r="L763" s="120"/>
      <c r="M763" s="120"/>
      <c r="N763" s="120"/>
      <c r="O763" s="120"/>
      <c r="P763" s="120"/>
      <c r="Q763" s="120"/>
      <c r="R763" s="120"/>
      <c r="S763" s="120"/>
      <c r="T763" s="120"/>
      <c r="U763" s="120"/>
      <c r="V763" s="120"/>
      <c r="W763" s="120"/>
      <c r="X763" s="120"/>
      <c r="Y763" s="120"/>
      <c r="Z763" s="120"/>
      <c r="AA763" s="120"/>
    </row>
    <row r="764">
      <c r="A764" s="120"/>
      <c r="B764" s="120"/>
      <c r="C764" s="120"/>
      <c r="D764" s="120"/>
      <c r="E764" s="120"/>
      <c r="F764" s="120"/>
      <c r="G764" s="120"/>
      <c r="H764" s="120"/>
      <c r="I764" s="120"/>
      <c r="J764" s="120"/>
      <c r="K764" s="120"/>
      <c r="L764" s="120"/>
      <c r="M764" s="120"/>
      <c r="N764" s="120"/>
      <c r="O764" s="120"/>
      <c r="P764" s="120"/>
      <c r="Q764" s="120"/>
      <c r="R764" s="120"/>
      <c r="S764" s="120"/>
      <c r="T764" s="120"/>
      <c r="U764" s="120"/>
      <c r="V764" s="120"/>
      <c r="W764" s="120"/>
      <c r="X764" s="120"/>
      <c r="Y764" s="120"/>
      <c r="Z764" s="120"/>
      <c r="AA764" s="120"/>
    </row>
    <row r="765">
      <c r="A765" s="120"/>
      <c r="B765" s="120"/>
      <c r="C765" s="120"/>
      <c r="D765" s="120"/>
      <c r="E765" s="120"/>
      <c r="F765" s="120"/>
      <c r="G765" s="120"/>
      <c r="H765" s="120"/>
      <c r="I765" s="120"/>
      <c r="J765" s="120"/>
      <c r="K765" s="120"/>
      <c r="L765" s="120"/>
      <c r="M765" s="120"/>
      <c r="N765" s="120"/>
      <c r="O765" s="120"/>
      <c r="P765" s="120"/>
      <c r="Q765" s="120"/>
      <c r="R765" s="120"/>
      <c r="S765" s="120"/>
      <c r="T765" s="120"/>
      <c r="U765" s="120"/>
      <c r="V765" s="120"/>
      <c r="W765" s="120"/>
      <c r="X765" s="120"/>
      <c r="Y765" s="120"/>
      <c r="Z765" s="120"/>
      <c r="AA765" s="120"/>
    </row>
    <row r="766">
      <c r="A766" s="120"/>
      <c r="B766" s="120"/>
      <c r="C766" s="120"/>
      <c r="D766" s="120"/>
      <c r="E766" s="120"/>
      <c r="F766" s="120"/>
      <c r="G766" s="120"/>
      <c r="H766" s="120"/>
      <c r="I766" s="120"/>
      <c r="J766" s="120"/>
      <c r="K766" s="120"/>
      <c r="L766" s="120"/>
      <c r="M766" s="120"/>
      <c r="N766" s="120"/>
      <c r="O766" s="120"/>
      <c r="P766" s="120"/>
      <c r="Q766" s="120"/>
      <c r="R766" s="120"/>
      <c r="S766" s="120"/>
      <c r="T766" s="120"/>
      <c r="U766" s="120"/>
      <c r="V766" s="120"/>
      <c r="W766" s="120"/>
      <c r="X766" s="120"/>
      <c r="Y766" s="120"/>
      <c r="Z766" s="120"/>
      <c r="AA766" s="120"/>
    </row>
    <row r="767">
      <c r="A767" s="120"/>
      <c r="B767" s="120"/>
      <c r="C767" s="120"/>
      <c r="D767" s="120"/>
      <c r="E767" s="120"/>
      <c r="F767" s="120"/>
      <c r="G767" s="120"/>
      <c r="H767" s="120"/>
      <c r="I767" s="120"/>
      <c r="J767" s="120"/>
      <c r="K767" s="120"/>
      <c r="L767" s="120"/>
      <c r="M767" s="120"/>
      <c r="N767" s="120"/>
      <c r="O767" s="120"/>
      <c r="P767" s="120"/>
      <c r="Q767" s="120"/>
      <c r="R767" s="120"/>
      <c r="S767" s="120"/>
      <c r="T767" s="120"/>
      <c r="U767" s="120"/>
      <c r="V767" s="120"/>
      <c r="W767" s="120"/>
      <c r="X767" s="120"/>
      <c r="Y767" s="120"/>
      <c r="Z767" s="120"/>
      <c r="AA767" s="120"/>
    </row>
    <row r="768">
      <c r="A768" s="120"/>
      <c r="B768" s="120"/>
      <c r="C768" s="120"/>
      <c r="D768" s="120"/>
      <c r="E768" s="120"/>
      <c r="F768" s="120"/>
      <c r="G768" s="120"/>
      <c r="H768" s="120"/>
      <c r="I768" s="120"/>
      <c r="J768" s="120"/>
      <c r="K768" s="120"/>
      <c r="L768" s="120"/>
      <c r="M768" s="120"/>
      <c r="N768" s="120"/>
      <c r="O768" s="120"/>
      <c r="P768" s="120"/>
      <c r="Q768" s="120"/>
      <c r="R768" s="120"/>
      <c r="S768" s="120"/>
      <c r="T768" s="120"/>
      <c r="U768" s="120"/>
      <c r="V768" s="120"/>
      <c r="W768" s="120"/>
      <c r="X768" s="120"/>
      <c r="Y768" s="120"/>
      <c r="Z768" s="120"/>
      <c r="AA768" s="120"/>
    </row>
    <row r="769">
      <c r="A769" s="120"/>
      <c r="B769" s="120"/>
      <c r="C769" s="120"/>
      <c r="D769" s="120"/>
      <c r="E769" s="120"/>
      <c r="F769" s="120"/>
      <c r="G769" s="120"/>
      <c r="H769" s="120"/>
      <c r="I769" s="120"/>
      <c r="J769" s="120"/>
      <c r="K769" s="120"/>
      <c r="L769" s="120"/>
      <c r="M769" s="120"/>
      <c r="N769" s="120"/>
      <c r="O769" s="120"/>
      <c r="P769" s="120"/>
      <c r="Q769" s="120"/>
      <c r="R769" s="120"/>
      <c r="S769" s="120"/>
      <c r="T769" s="120"/>
      <c r="U769" s="120"/>
      <c r="V769" s="120"/>
      <c r="W769" s="120"/>
      <c r="X769" s="120"/>
      <c r="Y769" s="120"/>
      <c r="Z769" s="120"/>
      <c r="AA769" s="120"/>
    </row>
    <row r="770">
      <c r="A770" s="120"/>
      <c r="B770" s="120"/>
      <c r="C770" s="120"/>
      <c r="D770" s="120"/>
      <c r="E770" s="120"/>
      <c r="F770" s="120"/>
      <c r="G770" s="120"/>
      <c r="H770" s="120"/>
      <c r="I770" s="120"/>
      <c r="J770" s="120"/>
      <c r="K770" s="120"/>
      <c r="L770" s="120"/>
      <c r="M770" s="120"/>
      <c r="N770" s="120"/>
      <c r="O770" s="120"/>
      <c r="P770" s="120"/>
      <c r="Q770" s="120"/>
      <c r="R770" s="120"/>
      <c r="S770" s="120"/>
      <c r="T770" s="120"/>
      <c r="U770" s="120"/>
      <c r="V770" s="120"/>
      <c r="W770" s="120"/>
      <c r="X770" s="120"/>
      <c r="Y770" s="120"/>
      <c r="Z770" s="120"/>
      <c r="AA770" s="120"/>
    </row>
    <row r="771">
      <c r="A771" s="120"/>
      <c r="B771" s="120"/>
      <c r="C771" s="120"/>
      <c r="D771" s="120"/>
      <c r="E771" s="120"/>
      <c r="F771" s="120"/>
      <c r="G771" s="120"/>
      <c r="H771" s="120"/>
      <c r="I771" s="120"/>
      <c r="J771" s="120"/>
      <c r="K771" s="120"/>
      <c r="L771" s="120"/>
      <c r="M771" s="120"/>
      <c r="N771" s="120"/>
      <c r="O771" s="120"/>
      <c r="P771" s="120"/>
      <c r="Q771" s="120"/>
      <c r="R771" s="120"/>
      <c r="S771" s="120"/>
      <c r="T771" s="120"/>
      <c r="U771" s="120"/>
      <c r="V771" s="120"/>
      <c r="W771" s="120"/>
      <c r="X771" s="120"/>
      <c r="Y771" s="120"/>
      <c r="Z771" s="120"/>
      <c r="AA771" s="120"/>
    </row>
    <row r="772">
      <c r="A772" s="120"/>
      <c r="B772" s="120"/>
      <c r="C772" s="120"/>
      <c r="D772" s="120"/>
      <c r="E772" s="120"/>
      <c r="F772" s="120"/>
      <c r="G772" s="120"/>
      <c r="H772" s="120"/>
      <c r="I772" s="120"/>
      <c r="J772" s="120"/>
      <c r="K772" s="120"/>
      <c r="L772" s="120"/>
      <c r="M772" s="120"/>
      <c r="N772" s="120"/>
      <c r="O772" s="120"/>
      <c r="P772" s="120"/>
      <c r="Q772" s="120"/>
      <c r="R772" s="120"/>
      <c r="S772" s="120"/>
      <c r="T772" s="120"/>
      <c r="U772" s="120"/>
      <c r="V772" s="120"/>
      <c r="W772" s="120"/>
      <c r="X772" s="120"/>
      <c r="Y772" s="120"/>
      <c r="Z772" s="120"/>
      <c r="AA772" s="120"/>
    </row>
    <row r="773">
      <c r="A773" s="120"/>
      <c r="B773" s="120"/>
      <c r="C773" s="120"/>
      <c r="D773" s="120"/>
      <c r="E773" s="120"/>
      <c r="F773" s="120"/>
      <c r="G773" s="120"/>
      <c r="H773" s="120"/>
      <c r="I773" s="120"/>
      <c r="J773" s="120"/>
      <c r="K773" s="120"/>
      <c r="L773" s="120"/>
      <c r="M773" s="120"/>
      <c r="N773" s="120"/>
      <c r="O773" s="120"/>
      <c r="P773" s="120"/>
      <c r="Q773" s="120"/>
      <c r="R773" s="120"/>
      <c r="S773" s="120"/>
      <c r="T773" s="120"/>
      <c r="U773" s="120"/>
      <c r="V773" s="120"/>
      <c r="W773" s="120"/>
      <c r="X773" s="120"/>
      <c r="Y773" s="120"/>
      <c r="Z773" s="120"/>
      <c r="AA773" s="120"/>
    </row>
    <row r="774">
      <c r="A774" s="120"/>
      <c r="B774" s="120"/>
      <c r="C774" s="120"/>
      <c r="D774" s="120"/>
      <c r="E774" s="120"/>
      <c r="F774" s="120"/>
      <c r="G774" s="120"/>
      <c r="H774" s="120"/>
      <c r="I774" s="120"/>
      <c r="J774" s="120"/>
      <c r="K774" s="120"/>
      <c r="L774" s="120"/>
      <c r="M774" s="120"/>
      <c r="N774" s="120"/>
      <c r="O774" s="120"/>
      <c r="P774" s="120"/>
      <c r="Q774" s="120"/>
      <c r="R774" s="120"/>
      <c r="S774" s="120"/>
      <c r="T774" s="120"/>
      <c r="U774" s="120"/>
      <c r="V774" s="120"/>
      <c r="W774" s="120"/>
      <c r="X774" s="120"/>
      <c r="Y774" s="120"/>
      <c r="Z774" s="120"/>
      <c r="AA774" s="120"/>
    </row>
    <row r="775">
      <c r="A775" s="120"/>
      <c r="B775" s="120"/>
      <c r="C775" s="120"/>
      <c r="D775" s="120"/>
      <c r="E775" s="120"/>
      <c r="F775" s="120"/>
      <c r="G775" s="120"/>
      <c r="H775" s="120"/>
      <c r="I775" s="120"/>
      <c r="J775" s="120"/>
      <c r="K775" s="120"/>
      <c r="L775" s="120"/>
      <c r="M775" s="120"/>
      <c r="N775" s="120"/>
      <c r="O775" s="120"/>
      <c r="P775" s="120"/>
      <c r="Q775" s="120"/>
      <c r="R775" s="120"/>
      <c r="S775" s="120"/>
      <c r="T775" s="120"/>
      <c r="U775" s="120"/>
      <c r="V775" s="120"/>
      <c r="W775" s="120"/>
      <c r="X775" s="120"/>
      <c r="Y775" s="120"/>
      <c r="Z775" s="120"/>
      <c r="AA775" s="120"/>
    </row>
    <row r="776">
      <c r="A776" s="120"/>
      <c r="B776" s="120"/>
      <c r="C776" s="120"/>
      <c r="D776" s="120"/>
      <c r="E776" s="120"/>
      <c r="F776" s="120"/>
      <c r="G776" s="120"/>
      <c r="H776" s="120"/>
      <c r="I776" s="120"/>
      <c r="J776" s="120"/>
      <c r="K776" s="120"/>
      <c r="L776" s="120"/>
      <c r="M776" s="120"/>
      <c r="N776" s="120"/>
      <c r="O776" s="120"/>
      <c r="P776" s="120"/>
      <c r="Q776" s="120"/>
      <c r="R776" s="120"/>
      <c r="S776" s="120"/>
      <c r="T776" s="120"/>
      <c r="U776" s="120"/>
      <c r="V776" s="120"/>
      <c r="W776" s="120"/>
      <c r="X776" s="120"/>
      <c r="Y776" s="120"/>
      <c r="Z776" s="120"/>
      <c r="AA776" s="120"/>
    </row>
    <row r="777">
      <c r="A777" s="120"/>
      <c r="B777" s="120"/>
      <c r="C777" s="120"/>
      <c r="D777" s="120"/>
      <c r="E777" s="120"/>
      <c r="F777" s="120"/>
      <c r="G777" s="120"/>
      <c r="H777" s="120"/>
      <c r="I777" s="120"/>
      <c r="J777" s="120"/>
      <c r="K777" s="120"/>
      <c r="L777" s="120"/>
      <c r="M777" s="120"/>
      <c r="N777" s="120"/>
      <c r="O777" s="120"/>
      <c r="P777" s="120"/>
      <c r="Q777" s="120"/>
      <c r="R777" s="120"/>
      <c r="S777" s="120"/>
      <c r="T777" s="120"/>
      <c r="U777" s="120"/>
      <c r="V777" s="120"/>
      <c r="W777" s="120"/>
      <c r="X777" s="120"/>
      <c r="Y777" s="120"/>
      <c r="Z777" s="120"/>
      <c r="AA777" s="120"/>
    </row>
    <row r="778">
      <c r="A778" s="120"/>
      <c r="B778" s="120"/>
      <c r="C778" s="120"/>
      <c r="D778" s="120"/>
      <c r="E778" s="120"/>
      <c r="F778" s="120"/>
      <c r="G778" s="120"/>
      <c r="H778" s="120"/>
      <c r="I778" s="120"/>
      <c r="J778" s="120"/>
      <c r="K778" s="120"/>
      <c r="L778" s="120"/>
      <c r="M778" s="120"/>
      <c r="N778" s="120"/>
      <c r="O778" s="120"/>
      <c r="P778" s="120"/>
      <c r="Q778" s="120"/>
      <c r="R778" s="120"/>
      <c r="S778" s="120"/>
      <c r="T778" s="120"/>
      <c r="U778" s="120"/>
      <c r="V778" s="120"/>
      <c r="W778" s="120"/>
      <c r="X778" s="120"/>
      <c r="Y778" s="120"/>
      <c r="Z778" s="120"/>
      <c r="AA778" s="120"/>
    </row>
    <row r="779">
      <c r="A779" s="120"/>
      <c r="B779" s="120"/>
      <c r="C779" s="120"/>
      <c r="D779" s="120"/>
      <c r="E779" s="120"/>
      <c r="F779" s="120"/>
      <c r="G779" s="120"/>
      <c r="H779" s="120"/>
      <c r="I779" s="120"/>
      <c r="J779" s="120"/>
      <c r="K779" s="120"/>
      <c r="L779" s="120"/>
      <c r="M779" s="120"/>
      <c r="N779" s="120"/>
      <c r="O779" s="120"/>
      <c r="P779" s="120"/>
      <c r="Q779" s="120"/>
      <c r="R779" s="120"/>
      <c r="S779" s="120"/>
      <c r="T779" s="120"/>
      <c r="U779" s="120"/>
      <c r="V779" s="120"/>
      <c r="W779" s="120"/>
      <c r="X779" s="120"/>
      <c r="Y779" s="120"/>
      <c r="Z779" s="120"/>
      <c r="AA779" s="120"/>
    </row>
    <row r="780">
      <c r="A780" s="120"/>
      <c r="B780" s="120"/>
      <c r="C780" s="120"/>
      <c r="D780" s="120"/>
      <c r="E780" s="120"/>
      <c r="F780" s="120"/>
      <c r="G780" s="120"/>
      <c r="H780" s="120"/>
      <c r="I780" s="120"/>
      <c r="J780" s="120"/>
      <c r="K780" s="120"/>
      <c r="L780" s="120"/>
      <c r="M780" s="120"/>
      <c r="N780" s="120"/>
      <c r="O780" s="120"/>
      <c r="P780" s="120"/>
      <c r="Q780" s="120"/>
      <c r="R780" s="120"/>
      <c r="S780" s="120"/>
      <c r="T780" s="120"/>
      <c r="U780" s="120"/>
      <c r="V780" s="120"/>
      <c r="W780" s="120"/>
      <c r="X780" s="120"/>
      <c r="Y780" s="120"/>
      <c r="Z780" s="120"/>
      <c r="AA780" s="120"/>
    </row>
    <row r="781">
      <c r="A781" s="120"/>
      <c r="B781" s="120"/>
      <c r="C781" s="120"/>
      <c r="D781" s="120"/>
      <c r="E781" s="120"/>
      <c r="F781" s="120"/>
      <c r="G781" s="120"/>
      <c r="H781" s="120"/>
      <c r="I781" s="120"/>
      <c r="J781" s="120"/>
      <c r="K781" s="120"/>
      <c r="L781" s="120"/>
      <c r="M781" s="120"/>
      <c r="N781" s="120"/>
      <c r="O781" s="120"/>
      <c r="P781" s="120"/>
      <c r="Q781" s="120"/>
      <c r="R781" s="120"/>
      <c r="S781" s="120"/>
      <c r="T781" s="120"/>
      <c r="U781" s="120"/>
      <c r="V781" s="120"/>
      <c r="W781" s="120"/>
      <c r="X781" s="120"/>
      <c r="Y781" s="120"/>
      <c r="Z781" s="120"/>
      <c r="AA781" s="120"/>
    </row>
    <row r="782">
      <c r="A782" s="120"/>
      <c r="B782" s="120"/>
      <c r="C782" s="120"/>
      <c r="D782" s="120"/>
      <c r="E782" s="120"/>
      <c r="F782" s="120"/>
      <c r="G782" s="120"/>
      <c r="H782" s="120"/>
      <c r="I782" s="120"/>
      <c r="J782" s="120"/>
      <c r="K782" s="120"/>
      <c r="L782" s="120"/>
      <c r="M782" s="120"/>
      <c r="N782" s="120"/>
      <c r="O782" s="120"/>
      <c r="P782" s="120"/>
      <c r="Q782" s="120"/>
      <c r="R782" s="120"/>
      <c r="S782" s="120"/>
      <c r="T782" s="120"/>
      <c r="U782" s="120"/>
      <c r="V782" s="120"/>
      <c r="W782" s="120"/>
      <c r="X782" s="120"/>
      <c r="Y782" s="120"/>
      <c r="Z782" s="120"/>
      <c r="AA782" s="120"/>
    </row>
    <row r="783">
      <c r="A783" s="120"/>
      <c r="B783" s="120"/>
      <c r="C783" s="120"/>
      <c r="D783" s="120"/>
      <c r="E783" s="120"/>
      <c r="F783" s="120"/>
      <c r="G783" s="120"/>
      <c r="H783" s="120"/>
      <c r="I783" s="120"/>
      <c r="J783" s="120"/>
      <c r="K783" s="120"/>
      <c r="L783" s="120"/>
      <c r="M783" s="120"/>
      <c r="N783" s="120"/>
      <c r="O783" s="120"/>
      <c r="P783" s="120"/>
      <c r="Q783" s="120"/>
      <c r="R783" s="120"/>
      <c r="S783" s="120"/>
      <c r="T783" s="120"/>
      <c r="U783" s="120"/>
      <c r="V783" s="120"/>
      <c r="W783" s="120"/>
      <c r="X783" s="120"/>
      <c r="Y783" s="120"/>
      <c r="Z783" s="120"/>
      <c r="AA783" s="120"/>
    </row>
    <row r="784">
      <c r="A784" s="120"/>
      <c r="B784" s="120"/>
      <c r="C784" s="120"/>
      <c r="D784" s="120"/>
      <c r="E784" s="120"/>
      <c r="F784" s="120"/>
      <c r="G784" s="120"/>
      <c r="H784" s="120"/>
      <c r="I784" s="120"/>
      <c r="J784" s="120"/>
      <c r="K784" s="120"/>
      <c r="L784" s="120"/>
      <c r="M784" s="120"/>
      <c r="N784" s="120"/>
      <c r="O784" s="120"/>
      <c r="P784" s="120"/>
      <c r="Q784" s="120"/>
      <c r="R784" s="120"/>
      <c r="S784" s="120"/>
      <c r="T784" s="120"/>
      <c r="U784" s="120"/>
      <c r="V784" s="120"/>
      <c r="W784" s="120"/>
      <c r="X784" s="120"/>
      <c r="Y784" s="120"/>
      <c r="Z784" s="120"/>
      <c r="AA784" s="120"/>
    </row>
    <row r="785">
      <c r="A785" s="120"/>
      <c r="B785" s="120"/>
      <c r="C785" s="120"/>
      <c r="D785" s="120"/>
      <c r="E785" s="120"/>
      <c r="F785" s="120"/>
      <c r="G785" s="120"/>
      <c r="H785" s="120"/>
      <c r="I785" s="120"/>
      <c r="J785" s="120"/>
      <c r="K785" s="120"/>
      <c r="L785" s="120"/>
      <c r="M785" s="120"/>
      <c r="N785" s="120"/>
      <c r="O785" s="120"/>
      <c r="P785" s="120"/>
      <c r="Q785" s="120"/>
      <c r="R785" s="120"/>
      <c r="S785" s="120"/>
      <c r="T785" s="120"/>
      <c r="U785" s="120"/>
      <c r="V785" s="120"/>
      <c r="W785" s="120"/>
      <c r="X785" s="120"/>
      <c r="Y785" s="120"/>
      <c r="Z785" s="120"/>
      <c r="AA785" s="120"/>
    </row>
    <row r="786">
      <c r="A786" s="120"/>
      <c r="B786" s="120"/>
      <c r="C786" s="120"/>
      <c r="D786" s="120"/>
      <c r="E786" s="120"/>
      <c r="F786" s="120"/>
      <c r="G786" s="120"/>
      <c r="H786" s="120"/>
      <c r="I786" s="120"/>
      <c r="J786" s="120"/>
      <c r="K786" s="120"/>
      <c r="L786" s="120"/>
      <c r="M786" s="120"/>
      <c r="N786" s="120"/>
      <c r="O786" s="120"/>
      <c r="P786" s="120"/>
      <c r="Q786" s="120"/>
      <c r="R786" s="120"/>
      <c r="S786" s="120"/>
      <c r="T786" s="120"/>
      <c r="U786" s="120"/>
      <c r="V786" s="120"/>
      <c r="W786" s="120"/>
      <c r="X786" s="120"/>
      <c r="Y786" s="120"/>
      <c r="Z786" s="120"/>
      <c r="AA786" s="120"/>
    </row>
    <row r="787">
      <c r="A787" s="120"/>
      <c r="B787" s="120"/>
      <c r="C787" s="120"/>
      <c r="D787" s="120"/>
      <c r="E787" s="120"/>
      <c r="F787" s="120"/>
      <c r="G787" s="120"/>
      <c r="H787" s="120"/>
      <c r="I787" s="120"/>
      <c r="J787" s="120"/>
      <c r="K787" s="120"/>
      <c r="L787" s="120"/>
      <c r="M787" s="120"/>
      <c r="N787" s="120"/>
      <c r="O787" s="120"/>
      <c r="P787" s="120"/>
      <c r="Q787" s="120"/>
      <c r="R787" s="120"/>
      <c r="S787" s="120"/>
      <c r="T787" s="120"/>
      <c r="U787" s="120"/>
      <c r="V787" s="120"/>
      <c r="W787" s="120"/>
      <c r="X787" s="120"/>
      <c r="Y787" s="120"/>
      <c r="Z787" s="120"/>
      <c r="AA787" s="120"/>
    </row>
    <row r="788">
      <c r="A788" s="120"/>
      <c r="B788" s="120"/>
      <c r="C788" s="120"/>
      <c r="D788" s="120"/>
      <c r="E788" s="120"/>
      <c r="F788" s="120"/>
      <c r="G788" s="120"/>
      <c r="H788" s="120"/>
      <c r="I788" s="120"/>
      <c r="J788" s="120"/>
      <c r="K788" s="120"/>
      <c r="L788" s="120"/>
      <c r="M788" s="120"/>
      <c r="N788" s="120"/>
      <c r="O788" s="120"/>
      <c r="P788" s="120"/>
      <c r="Q788" s="120"/>
      <c r="R788" s="120"/>
      <c r="S788" s="120"/>
      <c r="T788" s="120"/>
      <c r="U788" s="120"/>
      <c r="V788" s="120"/>
      <c r="W788" s="120"/>
      <c r="X788" s="120"/>
      <c r="Y788" s="120"/>
      <c r="Z788" s="120"/>
      <c r="AA788" s="120"/>
    </row>
    <row r="789">
      <c r="A789" s="120"/>
      <c r="B789" s="120"/>
      <c r="C789" s="120"/>
      <c r="D789" s="120"/>
      <c r="E789" s="120"/>
      <c r="F789" s="120"/>
      <c r="G789" s="120"/>
      <c r="H789" s="120"/>
      <c r="I789" s="120"/>
      <c r="J789" s="120"/>
      <c r="K789" s="120"/>
      <c r="L789" s="120"/>
      <c r="M789" s="120"/>
      <c r="N789" s="120"/>
      <c r="O789" s="120"/>
      <c r="P789" s="120"/>
      <c r="Q789" s="120"/>
      <c r="R789" s="120"/>
      <c r="S789" s="120"/>
      <c r="T789" s="120"/>
      <c r="U789" s="120"/>
      <c r="V789" s="120"/>
      <c r="W789" s="120"/>
      <c r="X789" s="120"/>
      <c r="Y789" s="120"/>
      <c r="Z789" s="120"/>
      <c r="AA789" s="120"/>
    </row>
    <row r="790">
      <c r="A790" s="120"/>
      <c r="B790" s="120"/>
      <c r="C790" s="120"/>
      <c r="D790" s="120"/>
      <c r="E790" s="120"/>
      <c r="F790" s="120"/>
      <c r="G790" s="120"/>
      <c r="H790" s="120"/>
      <c r="I790" s="120"/>
      <c r="J790" s="120"/>
      <c r="K790" s="120"/>
      <c r="L790" s="120"/>
      <c r="M790" s="120"/>
      <c r="N790" s="120"/>
      <c r="O790" s="120"/>
      <c r="P790" s="120"/>
      <c r="Q790" s="120"/>
      <c r="R790" s="120"/>
      <c r="S790" s="120"/>
      <c r="T790" s="120"/>
      <c r="U790" s="120"/>
      <c r="V790" s="120"/>
      <c r="W790" s="120"/>
      <c r="X790" s="120"/>
      <c r="Y790" s="120"/>
      <c r="Z790" s="120"/>
      <c r="AA790" s="120"/>
    </row>
    <row r="791">
      <c r="A791" s="120"/>
      <c r="B791" s="120"/>
      <c r="C791" s="120"/>
      <c r="D791" s="120"/>
      <c r="E791" s="120"/>
      <c r="F791" s="120"/>
      <c r="G791" s="120"/>
      <c r="H791" s="120"/>
      <c r="I791" s="120"/>
      <c r="J791" s="120"/>
      <c r="K791" s="120"/>
      <c r="L791" s="120"/>
      <c r="M791" s="120"/>
      <c r="N791" s="120"/>
      <c r="O791" s="120"/>
      <c r="P791" s="120"/>
      <c r="Q791" s="120"/>
      <c r="R791" s="120"/>
      <c r="S791" s="120"/>
      <c r="T791" s="120"/>
      <c r="U791" s="120"/>
      <c r="V791" s="120"/>
      <c r="W791" s="120"/>
      <c r="X791" s="120"/>
      <c r="Y791" s="120"/>
      <c r="Z791" s="120"/>
      <c r="AA791" s="120"/>
    </row>
    <row r="792">
      <c r="A792" s="120"/>
      <c r="B792" s="120"/>
      <c r="C792" s="120"/>
      <c r="D792" s="120"/>
      <c r="E792" s="120"/>
      <c r="F792" s="120"/>
      <c r="G792" s="120"/>
      <c r="H792" s="120"/>
      <c r="I792" s="120"/>
      <c r="J792" s="120"/>
      <c r="K792" s="120"/>
      <c r="L792" s="120"/>
      <c r="M792" s="120"/>
      <c r="N792" s="120"/>
      <c r="O792" s="120"/>
      <c r="P792" s="120"/>
      <c r="Q792" s="120"/>
      <c r="R792" s="120"/>
      <c r="S792" s="120"/>
      <c r="T792" s="120"/>
      <c r="U792" s="120"/>
      <c r="V792" s="120"/>
      <c r="W792" s="120"/>
      <c r="X792" s="120"/>
      <c r="Y792" s="120"/>
      <c r="Z792" s="120"/>
      <c r="AA792" s="120"/>
    </row>
    <row r="793">
      <c r="A793" s="120"/>
      <c r="B793" s="120"/>
      <c r="C793" s="120"/>
      <c r="D793" s="120"/>
      <c r="E793" s="120"/>
      <c r="F793" s="120"/>
      <c r="G793" s="120"/>
      <c r="H793" s="120"/>
      <c r="I793" s="120"/>
      <c r="J793" s="120"/>
      <c r="K793" s="120"/>
      <c r="L793" s="120"/>
      <c r="M793" s="120"/>
      <c r="N793" s="120"/>
      <c r="O793" s="120"/>
      <c r="P793" s="120"/>
      <c r="Q793" s="120"/>
      <c r="R793" s="120"/>
      <c r="S793" s="120"/>
      <c r="T793" s="120"/>
      <c r="U793" s="120"/>
      <c r="V793" s="120"/>
      <c r="W793" s="120"/>
      <c r="X793" s="120"/>
      <c r="Y793" s="120"/>
      <c r="Z793" s="120"/>
      <c r="AA793" s="120"/>
    </row>
    <row r="794">
      <c r="A794" s="120"/>
      <c r="B794" s="120"/>
      <c r="C794" s="120"/>
      <c r="D794" s="120"/>
      <c r="E794" s="120"/>
      <c r="F794" s="120"/>
      <c r="G794" s="120"/>
      <c r="H794" s="120"/>
      <c r="I794" s="120"/>
      <c r="J794" s="120"/>
      <c r="K794" s="120"/>
      <c r="L794" s="120"/>
      <c r="M794" s="120"/>
      <c r="N794" s="120"/>
      <c r="O794" s="120"/>
      <c r="P794" s="120"/>
      <c r="Q794" s="120"/>
      <c r="R794" s="120"/>
      <c r="S794" s="120"/>
      <c r="T794" s="120"/>
      <c r="U794" s="120"/>
      <c r="V794" s="120"/>
      <c r="W794" s="120"/>
      <c r="X794" s="120"/>
      <c r="Y794" s="120"/>
      <c r="Z794" s="120"/>
      <c r="AA794" s="120"/>
    </row>
    <row r="795">
      <c r="A795" s="120"/>
      <c r="B795" s="120"/>
      <c r="C795" s="120"/>
      <c r="D795" s="120"/>
      <c r="E795" s="120"/>
      <c r="F795" s="120"/>
      <c r="G795" s="120"/>
      <c r="H795" s="120"/>
      <c r="I795" s="120"/>
      <c r="J795" s="120"/>
      <c r="K795" s="120"/>
      <c r="L795" s="120"/>
      <c r="M795" s="120"/>
      <c r="N795" s="120"/>
      <c r="O795" s="120"/>
      <c r="P795" s="120"/>
      <c r="Q795" s="120"/>
      <c r="R795" s="120"/>
      <c r="S795" s="120"/>
      <c r="T795" s="120"/>
      <c r="U795" s="120"/>
      <c r="V795" s="120"/>
      <c r="W795" s="120"/>
      <c r="X795" s="120"/>
      <c r="Y795" s="120"/>
      <c r="Z795" s="120"/>
      <c r="AA795" s="120"/>
    </row>
    <row r="796">
      <c r="A796" s="120"/>
      <c r="B796" s="120"/>
      <c r="C796" s="120"/>
      <c r="D796" s="120"/>
      <c r="E796" s="120"/>
      <c r="F796" s="120"/>
      <c r="G796" s="120"/>
      <c r="H796" s="120"/>
      <c r="I796" s="120"/>
      <c r="J796" s="120"/>
      <c r="K796" s="120"/>
      <c r="L796" s="120"/>
      <c r="M796" s="120"/>
      <c r="N796" s="120"/>
      <c r="O796" s="120"/>
      <c r="P796" s="120"/>
      <c r="Q796" s="120"/>
      <c r="R796" s="120"/>
      <c r="S796" s="120"/>
      <c r="T796" s="120"/>
      <c r="U796" s="120"/>
      <c r="V796" s="120"/>
      <c r="W796" s="120"/>
      <c r="X796" s="120"/>
      <c r="Y796" s="120"/>
      <c r="Z796" s="120"/>
      <c r="AA796" s="120"/>
    </row>
    <row r="797">
      <c r="A797" s="120"/>
      <c r="B797" s="120"/>
      <c r="C797" s="120"/>
      <c r="D797" s="120"/>
      <c r="E797" s="120"/>
      <c r="F797" s="120"/>
      <c r="G797" s="120"/>
      <c r="H797" s="120"/>
      <c r="I797" s="120"/>
      <c r="J797" s="120"/>
      <c r="K797" s="120"/>
      <c r="L797" s="120"/>
      <c r="M797" s="120"/>
      <c r="N797" s="120"/>
      <c r="O797" s="120"/>
      <c r="P797" s="120"/>
      <c r="Q797" s="120"/>
      <c r="R797" s="120"/>
      <c r="S797" s="120"/>
      <c r="T797" s="120"/>
      <c r="U797" s="120"/>
      <c r="V797" s="120"/>
      <c r="W797" s="120"/>
      <c r="X797" s="120"/>
      <c r="Y797" s="120"/>
      <c r="Z797" s="120"/>
      <c r="AA797" s="120"/>
    </row>
    <row r="798">
      <c r="A798" s="120"/>
      <c r="B798" s="120"/>
      <c r="C798" s="120"/>
      <c r="D798" s="120"/>
      <c r="E798" s="120"/>
      <c r="F798" s="120"/>
      <c r="G798" s="120"/>
      <c r="H798" s="120"/>
      <c r="I798" s="120"/>
      <c r="J798" s="120"/>
      <c r="K798" s="120"/>
      <c r="L798" s="120"/>
      <c r="M798" s="120"/>
      <c r="N798" s="120"/>
      <c r="O798" s="120"/>
      <c r="P798" s="120"/>
      <c r="Q798" s="120"/>
      <c r="R798" s="120"/>
      <c r="S798" s="120"/>
      <c r="T798" s="120"/>
      <c r="U798" s="120"/>
      <c r="V798" s="120"/>
      <c r="W798" s="120"/>
      <c r="X798" s="120"/>
      <c r="Y798" s="120"/>
      <c r="Z798" s="120"/>
      <c r="AA798" s="120"/>
    </row>
    <row r="799">
      <c r="A799" s="120"/>
      <c r="B799" s="120"/>
      <c r="C799" s="120"/>
      <c r="D799" s="120"/>
      <c r="E799" s="120"/>
      <c r="F799" s="120"/>
      <c r="G799" s="120"/>
      <c r="H799" s="120"/>
      <c r="I799" s="120"/>
      <c r="J799" s="120"/>
      <c r="K799" s="120"/>
      <c r="L799" s="120"/>
      <c r="M799" s="120"/>
      <c r="N799" s="120"/>
      <c r="O799" s="120"/>
      <c r="P799" s="120"/>
      <c r="Q799" s="120"/>
      <c r="R799" s="120"/>
      <c r="S799" s="120"/>
      <c r="T799" s="120"/>
      <c r="U799" s="120"/>
      <c r="V799" s="120"/>
      <c r="W799" s="120"/>
      <c r="X799" s="120"/>
      <c r="Y799" s="120"/>
      <c r="Z799" s="120"/>
      <c r="AA799" s="120"/>
    </row>
    <row r="800">
      <c r="A800" s="120"/>
      <c r="B800" s="120"/>
      <c r="C800" s="120"/>
      <c r="D800" s="120"/>
      <c r="E800" s="120"/>
      <c r="F800" s="120"/>
      <c r="G800" s="120"/>
      <c r="H800" s="120"/>
      <c r="I800" s="120"/>
      <c r="J800" s="120"/>
      <c r="K800" s="120"/>
      <c r="L800" s="120"/>
      <c r="M800" s="120"/>
      <c r="N800" s="120"/>
      <c r="O800" s="120"/>
      <c r="P800" s="120"/>
      <c r="Q800" s="120"/>
      <c r="R800" s="120"/>
      <c r="S800" s="120"/>
      <c r="T800" s="120"/>
      <c r="U800" s="120"/>
      <c r="V800" s="120"/>
      <c r="W800" s="120"/>
      <c r="X800" s="120"/>
      <c r="Y800" s="120"/>
      <c r="Z800" s="120"/>
      <c r="AA800" s="120"/>
    </row>
    <row r="801">
      <c r="A801" s="120"/>
      <c r="B801" s="120"/>
      <c r="C801" s="120"/>
      <c r="D801" s="120"/>
      <c r="E801" s="120"/>
      <c r="F801" s="120"/>
      <c r="G801" s="120"/>
      <c r="H801" s="120"/>
      <c r="I801" s="120"/>
      <c r="J801" s="120"/>
      <c r="K801" s="120"/>
      <c r="L801" s="120"/>
      <c r="M801" s="120"/>
      <c r="N801" s="120"/>
      <c r="O801" s="120"/>
      <c r="P801" s="120"/>
      <c r="Q801" s="120"/>
      <c r="R801" s="120"/>
      <c r="S801" s="120"/>
      <c r="T801" s="120"/>
      <c r="U801" s="120"/>
      <c r="V801" s="120"/>
      <c r="W801" s="120"/>
      <c r="X801" s="120"/>
      <c r="Y801" s="120"/>
      <c r="Z801" s="120"/>
      <c r="AA801" s="120"/>
    </row>
    <row r="802">
      <c r="A802" s="120"/>
      <c r="B802" s="120"/>
      <c r="C802" s="120"/>
      <c r="D802" s="120"/>
      <c r="E802" s="120"/>
      <c r="F802" s="120"/>
      <c r="G802" s="120"/>
      <c r="H802" s="120"/>
      <c r="I802" s="120"/>
      <c r="J802" s="120"/>
      <c r="K802" s="120"/>
      <c r="L802" s="120"/>
      <c r="M802" s="120"/>
      <c r="N802" s="120"/>
      <c r="O802" s="120"/>
      <c r="P802" s="120"/>
      <c r="Q802" s="120"/>
      <c r="R802" s="120"/>
      <c r="S802" s="120"/>
      <c r="T802" s="120"/>
      <c r="U802" s="120"/>
      <c r="V802" s="120"/>
      <c r="W802" s="120"/>
      <c r="X802" s="120"/>
      <c r="Y802" s="120"/>
      <c r="Z802" s="120"/>
      <c r="AA802" s="120"/>
    </row>
    <row r="803">
      <c r="A803" s="120"/>
      <c r="B803" s="120"/>
      <c r="C803" s="120"/>
      <c r="D803" s="120"/>
      <c r="E803" s="120"/>
      <c r="F803" s="120"/>
      <c r="G803" s="120"/>
      <c r="H803" s="120"/>
      <c r="I803" s="120"/>
      <c r="J803" s="120"/>
      <c r="K803" s="120"/>
      <c r="L803" s="120"/>
      <c r="M803" s="120"/>
      <c r="N803" s="120"/>
      <c r="O803" s="120"/>
      <c r="P803" s="120"/>
      <c r="Q803" s="120"/>
      <c r="R803" s="120"/>
      <c r="S803" s="120"/>
      <c r="T803" s="120"/>
      <c r="U803" s="120"/>
      <c r="V803" s="120"/>
      <c r="W803" s="120"/>
      <c r="X803" s="120"/>
      <c r="Y803" s="120"/>
      <c r="Z803" s="120"/>
      <c r="AA803" s="120"/>
    </row>
    <row r="804">
      <c r="A804" s="120"/>
      <c r="B804" s="120"/>
      <c r="C804" s="120"/>
      <c r="D804" s="120"/>
      <c r="E804" s="120"/>
      <c r="F804" s="120"/>
      <c r="G804" s="120"/>
      <c r="H804" s="120"/>
      <c r="I804" s="120"/>
      <c r="J804" s="120"/>
      <c r="K804" s="120"/>
      <c r="L804" s="120"/>
      <c r="M804" s="120"/>
      <c r="N804" s="120"/>
      <c r="O804" s="120"/>
      <c r="P804" s="120"/>
      <c r="Q804" s="120"/>
      <c r="R804" s="120"/>
      <c r="S804" s="120"/>
      <c r="T804" s="120"/>
      <c r="U804" s="120"/>
      <c r="V804" s="120"/>
      <c r="W804" s="120"/>
      <c r="X804" s="120"/>
      <c r="Y804" s="120"/>
      <c r="Z804" s="120"/>
      <c r="AA804" s="120"/>
    </row>
    <row r="805">
      <c r="A805" s="120"/>
      <c r="B805" s="120"/>
      <c r="C805" s="120"/>
      <c r="D805" s="120"/>
      <c r="E805" s="120"/>
      <c r="F805" s="120"/>
      <c r="G805" s="120"/>
      <c r="H805" s="120"/>
      <c r="I805" s="120"/>
      <c r="J805" s="120"/>
      <c r="K805" s="120"/>
      <c r="L805" s="120"/>
      <c r="M805" s="120"/>
      <c r="N805" s="120"/>
      <c r="O805" s="120"/>
      <c r="P805" s="120"/>
      <c r="Q805" s="120"/>
      <c r="R805" s="120"/>
      <c r="S805" s="120"/>
      <c r="T805" s="120"/>
      <c r="U805" s="120"/>
      <c r="V805" s="120"/>
      <c r="W805" s="120"/>
      <c r="X805" s="120"/>
      <c r="Y805" s="120"/>
      <c r="Z805" s="120"/>
      <c r="AA805" s="120"/>
    </row>
    <row r="806">
      <c r="A806" s="120"/>
      <c r="B806" s="120"/>
      <c r="C806" s="120"/>
      <c r="D806" s="120"/>
      <c r="E806" s="120"/>
      <c r="F806" s="120"/>
      <c r="G806" s="120"/>
      <c r="H806" s="120"/>
      <c r="I806" s="120"/>
      <c r="J806" s="120"/>
      <c r="K806" s="120"/>
      <c r="L806" s="120"/>
      <c r="M806" s="120"/>
      <c r="N806" s="120"/>
      <c r="O806" s="120"/>
      <c r="P806" s="120"/>
      <c r="Q806" s="120"/>
      <c r="R806" s="120"/>
      <c r="S806" s="120"/>
      <c r="T806" s="120"/>
      <c r="U806" s="120"/>
      <c r="V806" s="120"/>
      <c r="W806" s="120"/>
      <c r="X806" s="120"/>
      <c r="Y806" s="120"/>
      <c r="Z806" s="120"/>
      <c r="AA806" s="120"/>
    </row>
    <row r="807">
      <c r="A807" s="120"/>
      <c r="B807" s="120"/>
      <c r="C807" s="120"/>
      <c r="D807" s="120"/>
      <c r="E807" s="120"/>
      <c r="F807" s="120"/>
      <c r="G807" s="120"/>
      <c r="H807" s="120"/>
      <c r="I807" s="120"/>
      <c r="J807" s="120"/>
      <c r="K807" s="120"/>
      <c r="L807" s="120"/>
      <c r="M807" s="120"/>
      <c r="N807" s="120"/>
      <c r="O807" s="120"/>
      <c r="P807" s="120"/>
      <c r="Q807" s="120"/>
      <c r="R807" s="120"/>
      <c r="S807" s="120"/>
      <c r="T807" s="120"/>
      <c r="U807" s="120"/>
      <c r="V807" s="120"/>
      <c r="W807" s="120"/>
      <c r="X807" s="120"/>
      <c r="Y807" s="120"/>
      <c r="Z807" s="120"/>
      <c r="AA807" s="120"/>
    </row>
    <row r="808">
      <c r="A808" s="120"/>
      <c r="B808" s="120"/>
      <c r="C808" s="120"/>
      <c r="D808" s="120"/>
      <c r="E808" s="120"/>
      <c r="F808" s="120"/>
      <c r="G808" s="120"/>
      <c r="H808" s="120"/>
      <c r="I808" s="120"/>
      <c r="J808" s="120"/>
      <c r="K808" s="120"/>
      <c r="L808" s="120"/>
      <c r="M808" s="120"/>
      <c r="N808" s="120"/>
      <c r="O808" s="120"/>
      <c r="P808" s="120"/>
      <c r="Q808" s="120"/>
      <c r="R808" s="120"/>
      <c r="S808" s="120"/>
      <c r="T808" s="120"/>
      <c r="U808" s="120"/>
      <c r="V808" s="120"/>
      <c r="W808" s="120"/>
      <c r="X808" s="120"/>
      <c r="Y808" s="120"/>
      <c r="Z808" s="120"/>
      <c r="AA808" s="120"/>
    </row>
    <row r="809">
      <c r="A809" s="120"/>
      <c r="B809" s="120"/>
      <c r="C809" s="120"/>
      <c r="D809" s="120"/>
      <c r="E809" s="120"/>
      <c r="F809" s="120"/>
      <c r="G809" s="120"/>
      <c r="H809" s="120"/>
      <c r="I809" s="120"/>
      <c r="J809" s="120"/>
      <c r="K809" s="120"/>
      <c r="L809" s="120"/>
      <c r="M809" s="120"/>
      <c r="N809" s="120"/>
      <c r="O809" s="120"/>
      <c r="P809" s="120"/>
      <c r="Q809" s="120"/>
      <c r="R809" s="120"/>
      <c r="S809" s="120"/>
      <c r="T809" s="120"/>
      <c r="U809" s="120"/>
      <c r="V809" s="120"/>
      <c r="W809" s="120"/>
      <c r="X809" s="120"/>
      <c r="Y809" s="120"/>
      <c r="Z809" s="120"/>
      <c r="AA809" s="120"/>
    </row>
    <row r="810">
      <c r="A810" s="120"/>
      <c r="B810" s="120"/>
      <c r="C810" s="120"/>
      <c r="D810" s="120"/>
      <c r="E810" s="120"/>
      <c r="F810" s="120"/>
      <c r="G810" s="120"/>
      <c r="H810" s="120"/>
      <c r="I810" s="120"/>
      <c r="J810" s="120"/>
      <c r="K810" s="120"/>
      <c r="L810" s="120"/>
      <c r="M810" s="120"/>
      <c r="N810" s="120"/>
      <c r="O810" s="120"/>
      <c r="P810" s="120"/>
      <c r="Q810" s="120"/>
      <c r="R810" s="120"/>
      <c r="S810" s="120"/>
      <c r="T810" s="120"/>
      <c r="U810" s="120"/>
      <c r="V810" s="120"/>
      <c r="W810" s="120"/>
      <c r="X810" s="120"/>
      <c r="Y810" s="120"/>
      <c r="Z810" s="120"/>
      <c r="AA810" s="120"/>
    </row>
    <row r="811">
      <c r="A811" s="120"/>
      <c r="B811" s="120"/>
      <c r="C811" s="120"/>
      <c r="D811" s="120"/>
      <c r="E811" s="120"/>
      <c r="F811" s="120"/>
      <c r="G811" s="120"/>
      <c r="H811" s="120"/>
      <c r="I811" s="120"/>
      <c r="J811" s="120"/>
      <c r="K811" s="120"/>
      <c r="L811" s="120"/>
      <c r="M811" s="120"/>
      <c r="N811" s="120"/>
      <c r="O811" s="120"/>
      <c r="P811" s="120"/>
      <c r="Q811" s="120"/>
      <c r="R811" s="120"/>
      <c r="S811" s="120"/>
      <c r="T811" s="120"/>
      <c r="U811" s="120"/>
      <c r="V811" s="120"/>
      <c r="W811" s="120"/>
      <c r="X811" s="120"/>
      <c r="Y811" s="120"/>
      <c r="Z811" s="120"/>
      <c r="AA811" s="120"/>
    </row>
    <row r="812">
      <c r="A812" s="120"/>
      <c r="B812" s="120"/>
      <c r="C812" s="120"/>
      <c r="D812" s="120"/>
      <c r="E812" s="120"/>
      <c r="F812" s="120"/>
      <c r="G812" s="120"/>
      <c r="H812" s="120"/>
      <c r="I812" s="120"/>
      <c r="J812" s="120"/>
      <c r="K812" s="120"/>
      <c r="L812" s="120"/>
      <c r="M812" s="120"/>
      <c r="N812" s="120"/>
      <c r="O812" s="120"/>
      <c r="P812" s="120"/>
      <c r="Q812" s="120"/>
      <c r="R812" s="120"/>
      <c r="S812" s="120"/>
      <c r="T812" s="120"/>
      <c r="U812" s="120"/>
      <c r="V812" s="120"/>
      <c r="W812" s="120"/>
      <c r="X812" s="120"/>
      <c r="Y812" s="120"/>
      <c r="Z812" s="120"/>
      <c r="AA812" s="120"/>
    </row>
    <row r="813">
      <c r="A813" s="120"/>
      <c r="B813" s="120"/>
      <c r="C813" s="120"/>
      <c r="D813" s="120"/>
      <c r="E813" s="120"/>
      <c r="F813" s="120"/>
      <c r="G813" s="120"/>
      <c r="H813" s="120"/>
      <c r="I813" s="120"/>
      <c r="J813" s="120"/>
      <c r="K813" s="120"/>
      <c r="L813" s="120"/>
      <c r="M813" s="120"/>
      <c r="N813" s="120"/>
      <c r="O813" s="120"/>
      <c r="P813" s="120"/>
      <c r="Q813" s="120"/>
      <c r="R813" s="120"/>
      <c r="S813" s="120"/>
      <c r="T813" s="120"/>
      <c r="U813" s="120"/>
      <c r="V813" s="120"/>
      <c r="W813" s="120"/>
      <c r="X813" s="120"/>
      <c r="Y813" s="120"/>
      <c r="Z813" s="120"/>
      <c r="AA813" s="120"/>
    </row>
    <row r="814">
      <c r="A814" s="120"/>
      <c r="B814" s="120"/>
      <c r="C814" s="120"/>
      <c r="D814" s="120"/>
      <c r="E814" s="120"/>
      <c r="F814" s="120"/>
      <c r="G814" s="120"/>
      <c r="H814" s="120"/>
      <c r="I814" s="120"/>
      <c r="J814" s="120"/>
      <c r="K814" s="120"/>
      <c r="L814" s="120"/>
      <c r="M814" s="120"/>
      <c r="N814" s="120"/>
      <c r="O814" s="120"/>
      <c r="P814" s="120"/>
      <c r="Q814" s="120"/>
      <c r="R814" s="120"/>
      <c r="S814" s="120"/>
      <c r="T814" s="120"/>
      <c r="U814" s="120"/>
      <c r="V814" s="120"/>
      <c r="W814" s="120"/>
      <c r="X814" s="120"/>
      <c r="Y814" s="120"/>
      <c r="Z814" s="120"/>
      <c r="AA814" s="120"/>
    </row>
    <row r="815">
      <c r="A815" s="120"/>
      <c r="B815" s="120"/>
      <c r="C815" s="120"/>
      <c r="D815" s="120"/>
      <c r="E815" s="120"/>
      <c r="F815" s="120"/>
      <c r="G815" s="120"/>
      <c r="H815" s="120"/>
      <c r="I815" s="120"/>
      <c r="J815" s="120"/>
      <c r="K815" s="120"/>
      <c r="L815" s="120"/>
      <c r="M815" s="120"/>
      <c r="N815" s="120"/>
      <c r="O815" s="120"/>
      <c r="P815" s="120"/>
      <c r="Q815" s="120"/>
      <c r="R815" s="120"/>
      <c r="S815" s="120"/>
      <c r="T815" s="120"/>
      <c r="U815" s="120"/>
      <c r="V815" s="120"/>
      <c r="W815" s="120"/>
      <c r="X815" s="120"/>
      <c r="Y815" s="120"/>
      <c r="Z815" s="120"/>
      <c r="AA815" s="120"/>
    </row>
    <row r="816">
      <c r="A816" s="120"/>
      <c r="B816" s="120"/>
      <c r="C816" s="120"/>
      <c r="D816" s="120"/>
      <c r="E816" s="120"/>
      <c r="F816" s="120"/>
      <c r="G816" s="120"/>
      <c r="H816" s="120"/>
      <c r="I816" s="120"/>
      <c r="J816" s="120"/>
      <c r="K816" s="120"/>
      <c r="L816" s="120"/>
      <c r="M816" s="120"/>
      <c r="N816" s="120"/>
      <c r="O816" s="120"/>
      <c r="P816" s="120"/>
      <c r="Q816" s="120"/>
      <c r="R816" s="120"/>
      <c r="S816" s="120"/>
      <c r="T816" s="120"/>
      <c r="U816" s="120"/>
      <c r="V816" s="120"/>
      <c r="W816" s="120"/>
      <c r="X816" s="120"/>
      <c r="Y816" s="120"/>
      <c r="Z816" s="120"/>
      <c r="AA816" s="120"/>
    </row>
    <row r="817">
      <c r="A817" s="120"/>
      <c r="B817" s="120"/>
      <c r="C817" s="120"/>
      <c r="D817" s="120"/>
      <c r="E817" s="120"/>
      <c r="F817" s="120"/>
      <c r="G817" s="120"/>
      <c r="H817" s="120"/>
      <c r="I817" s="120"/>
      <c r="J817" s="120"/>
      <c r="K817" s="120"/>
      <c r="L817" s="120"/>
      <c r="M817" s="120"/>
      <c r="N817" s="120"/>
      <c r="O817" s="120"/>
      <c r="P817" s="120"/>
      <c r="Q817" s="120"/>
      <c r="R817" s="120"/>
      <c r="S817" s="120"/>
      <c r="T817" s="120"/>
      <c r="U817" s="120"/>
      <c r="V817" s="120"/>
      <c r="W817" s="120"/>
      <c r="X817" s="120"/>
      <c r="Y817" s="120"/>
      <c r="Z817" s="120"/>
      <c r="AA817" s="120"/>
    </row>
    <row r="818">
      <c r="A818" s="120"/>
      <c r="B818" s="120"/>
      <c r="C818" s="120"/>
      <c r="D818" s="120"/>
      <c r="E818" s="120"/>
      <c r="F818" s="120"/>
      <c r="G818" s="120"/>
      <c r="H818" s="120"/>
      <c r="I818" s="120"/>
      <c r="J818" s="120"/>
      <c r="K818" s="120"/>
      <c r="L818" s="120"/>
      <c r="M818" s="120"/>
      <c r="N818" s="120"/>
      <c r="O818" s="120"/>
      <c r="P818" s="120"/>
      <c r="Q818" s="120"/>
      <c r="R818" s="120"/>
      <c r="S818" s="120"/>
      <c r="T818" s="120"/>
      <c r="U818" s="120"/>
      <c r="V818" s="120"/>
      <c r="W818" s="120"/>
      <c r="X818" s="120"/>
      <c r="Y818" s="120"/>
      <c r="Z818" s="120"/>
      <c r="AA818" s="120"/>
    </row>
    <row r="819">
      <c r="A819" s="120"/>
      <c r="B819" s="120"/>
      <c r="C819" s="120"/>
      <c r="D819" s="120"/>
      <c r="E819" s="120"/>
      <c r="F819" s="120"/>
      <c r="G819" s="120"/>
      <c r="H819" s="120"/>
      <c r="I819" s="120"/>
      <c r="J819" s="120"/>
      <c r="K819" s="120"/>
      <c r="L819" s="120"/>
      <c r="M819" s="120"/>
      <c r="N819" s="120"/>
      <c r="O819" s="120"/>
      <c r="P819" s="120"/>
      <c r="Q819" s="120"/>
      <c r="R819" s="120"/>
      <c r="S819" s="120"/>
      <c r="T819" s="120"/>
      <c r="U819" s="120"/>
      <c r="V819" s="120"/>
      <c r="W819" s="120"/>
      <c r="X819" s="120"/>
      <c r="Y819" s="120"/>
      <c r="Z819" s="120"/>
      <c r="AA819" s="120"/>
    </row>
    <row r="820">
      <c r="A820" s="120"/>
      <c r="B820" s="120"/>
      <c r="C820" s="120"/>
      <c r="D820" s="120"/>
      <c r="E820" s="120"/>
      <c r="F820" s="120"/>
      <c r="G820" s="120"/>
      <c r="H820" s="120"/>
      <c r="I820" s="120"/>
      <c r="J820" s="120"/>
      <c r="K820" s="120"/>
      <c r="L820" s="120"/>
      <c r="M820" s="120"/>
      <c r="N820" s="120"/>
      <c r="O820" s="120"/>
      <c r="P820" s="120"/>
      <c r="Q820" s="120"/>
      <c r="R820" s="120"/>
      <c r="S820" s="120"/>
      <c r="T820" s="120"/>
      <c r="U820" s="120"/>
      <c r="V820" s="120"/>
      <c r="W820" s="120"/>
      <c r="X820" s="120"/>
      <c r="Y820" s="120"/>
      <c r="Z820" s="120"/>
      <c r="AA820" s="120"/>
    </row>
    <row r="821">
      <c r="A821" s="120"/>
      <c r="B821" s="120"/>
      <c r="C821" s="120"/>
      <c r="D821" s="120"/>
      <c r="E821" s="120"/>
      <c r="F821" s="120"/>
      <c r="G821" s="120"/>
      <c r="H821" s="120"/>
      <c r="I821" s="120"/>
      <c r="J821" s="120"/>
      <c r="K821" s="120"/>
      <c r="L821" s="120"/>
      <c r="M821" s="120"/>
      <c r="N821" s="120"/>
      <c r="O821" s="120"/>
      <c r="P821" s="120"/>
      <c r="Q821" s="120"/>
      <c r="R821" s="120"/>
      <c r="S821" s="120"/>
      <c r="T821" s="120"/>
      <c r="U821" s="120"/>
      <c r="V821" s="120"/>
      <c r="W821" s="120"/>
      <c r="X821" s="120"/>
      <c r="Y821" s="120"/>
      <c r="Z821" s="120"/>
      <c r="AA821" s="120"/>
    </row>
    <row r="822">
      <c r="A822" s="120"/>
      <c r="B822" s="120"/>
      <c r="C822" s="120"/>
      <c r="D822" s="120"/>
      <c r="E822" s="120"/>
      <c r="F822" s="120"/>
      <c r="G822" s="120"/>
      <c r="H822" s="120"/>
      <c r="I822" s="120"/>
      <c r="J822" s="120"/>
      <c r="K822" s="120"/>
      <c r="L822" s="120"/>
      <c r="M822" s="120"/>
      <c r="N822" s="120"/>
      <c r="O822" s="120"/>
      <c r="P822" s="120"/>
      <c r="Q822" s="120"/>
      <c r="R822" s="120"/>
      <c r="S822" s="120"/>
      <c r="T822" s="120"/>
      <c r="U822" s="120"/>
      <c r="V822" s="120"/>
      <c r="W822" s="120"/>
      <c r="X822" s="120"/>
      <c r="Y822" s="120"/>
      <c r="Z822" s="120"/>
      <c r="AA822" s="120"/>
    </row>
    <row r="823">
      <c r="A823" s="120"/>
      <c r="B823" s="120"/>
      <c r="C823" s="120"/>
      <c r="D823" s="120"/>
      <c r="E823" s="120"/>
      <c r="F823" s="120"/>
      <c r="G823" s="120"/>
      <c r="H823" s="120"/>
      <c r="I823" s="120"/>
      <c r="J823" s="120"/>
      <c r="K823" s="120"/>
      <c r="L823" s="120"/>
      <c r="M823" s="120"/>
      <c r="N823" s="120"/>
      <c r="O823" s="120"/>
      <c r="P823" s="120"/>
      <c r="Q823" s="120"/>
      <c r="R823" s="120"/>
      <c r="S823" s="120"/>
      <c r="T823" s="120"/>
      <c r="U823" s="120"/>
      <c r="V823" s="120"/>
      <c r="W823" s="120"/>
      <c r="X823" s="120"/>
      <c r="Y823" s="120"/>
      <c r="Z823" s="120"/>
      <c r="AA823" s="120"/>
    </row>
    <row r="824">
      <c r="A824" s="120"/>
      <c r="B824" s="120"/>
      <c r="C824" s="120"/>
      <c r="D824" s="120"/>
      <c r="E824" s="120"/>
      <c r="F824" s="120"/>
      <c r="G824" s="120"/>
      <c r="H824" s="120"/>
      <c r="I824" s="120"/>
      <c r="J824" s="120"/>
      <c r="K824" s="120"/>
      <c r="L824" s="120"/>
      <c r="M824" s="120"/>
      <c r="N824" s="120"/>
      <c r="O824" s="120"/>
      <c r="P824" s="120"/>
      <c r="Q824" s="120"/>
      <c r="R824" s="120"/>
      <c r="S824" s="120"/>
      <c r="T824" s="120"/>
      <c r="U824" s="120"/>
      <c r="V824" s="120"/>
      <c r="W824" s="120"/>
      <c r="X824" s="120"/>
      <c r="Y824" s="120"/>
      <c r="Z824" s="120"/>
      <c r="AA824" s="120"/>
    </row>
    <row r="825">
      <c r="A825" s="120"/>
      <c r="B825" s="120"/>
      <c r="C825" s="120"/>
      <c r="D825" s="120"/>
      <c r="E825" s="120"/>
      <c r="F825" s="120"/>
      <c r="G825" s="120"/>
      <c r="H825" s="120"/>
      <c r="I825" s="120"/>
      <c r="J825" s="120"/>
      <c r="K825" s="120"/>
      <c r="L825" s="120"/>
      <c r="M825" s="120"/>
      <c r="N825" s="120"/>
      <c r="O825" s="120"/>
      <c r="P825" s="120"/>
      <c r="Q825" s="120"/>
      <c r="R825" s="120"/>
      <c r="S825" s="120"/>
      <c r="T825" s="120"/>
      <c r="U825" s="120"/>
      <c r="V825" s="120"/>
      <c r="W825" s="120"/>
      <c r="X825" s="120"/>
      <c r="Y825" s="120"/>
      <c r="Z825" s="120"/>
      <c r="AA825" s="120"/>
    </row>
    <row r="826">
      <c r="A826" s="120"/>
      <c r="B826" s="120"/>
      <c r="C826" s="120"/>
      <c r="D826" s="120"/>
      <c r="E826" s="120"/>
      <c r="F826" s="120"/>
      <c r="G826" s="120"/>
      <c r="H826" s="120"/>
      <c r="I826" s="120"/>
      <c r="J826" s="120"/>
      <c r="K826" s="120"/>
      <c r="L826" s="120"/>
      <c r="M826" s="120"/>
      <c r="N826" s="120"/>
      <c r="O826" s="120"/>
      <c r="P826" s="120"/>
      <c r="Q826" s="120"/>
      <c r="R826" s="120"/>
      <c r="S826" s="120"/>
      <c r="T826" s="120"/>
      <c r="U826" s="120"/>
      <c r="V826" s="120"/>
      <c r="W826" s="120"/>
      <c r="X826" s="120"/>
      <c r="Y826" s="120"/>
      <c r="Z826" s="120"/>
      <c r="AA826" s="120"/>
    </row>
    <row r="827">
      <c r="A827" s="120"/>
      <c r="B827" s="120"/>
      <c r="C827" s="120"/>
      <c r="D827" s="120"/>
      <c r="E827" s="120"/>
      <c r="F827" s="120"/>
      <c r="G827" s="120"/>
      <c r="H827" s="120"/>
      <c r="I827" s="120"/>
      <c r="J827" s="120"/>
      <c r="K827" s="120"/>
      <c r="L827" s="120"/>
      <c r="M827" s="120"/>
      <c r="N827" s="120"/>
      <c r="O827" s="120"/>
      <c r="P827" s="120"/>
      <c r="Q827" s="120"/>
      <c r="R827" s="120"/>
      <c r="S827" s="120"/>
      <c r="T827" s="120"/>
      <c r="U827" s="120"/>
      <c r="V827" s="120"/>
      <c r="W827" s="120"/>
      <c r="X827" s="120"/>
      <c r="Y827" s="120"/>
      <c r="Z827" s="120"/>
      <c r="AA827" s="120"/>
    </row>
    <row r="828">
      <c r="A828" s="120"/>
      <c r="B828" s="120"/>
      <c r="C828" s="120"/>
      <c r="D828" s="120"/>
      <c r="E828" s="120"/>
      <c r="F828" s="120"/>
      <c r="G828" s="120"/>
      <c r="H828" s="120"/>
      <c r="I828" s="120"/>
      <c r="J828" s="120"/>
      <c r="K828" s="120"/>
      <c r="L828" s="120"/>
      <c r="M828" s="120"/>
      <c r="N828" s="120"/>
      <c r="O828" s="120"/>
      <c r="P828" s="120"/>
      <c r="Q828" s="120"/>
      <c r="R828" s="120"/>
      <c r="S828" s="120"/>
      <c r="T828" s="120"/>
      <c r="U828" s="120"/>
      <c r="V828" s="120"/>
      <c r="W828" s="120"/>
      <c r="X828" s="120"/>
      <c r="Y828" s="120"/>
      <c r="Z828" s="120"/>
      <c r="AA828" s="120"/>
    </row>
    <row r="829">
      <c r="A829" s="120"/>
      <c r="B829" s="120"/>
      <c r="C829" s="120"/>
      <c r="D829" s="120"/>
      <c r="E829" s="120"/>
      <c r="F829" s="120"/>
      <c r="G829" s="120"/>
      <c r="H829" s="120"/>
      <c r="I829" s="120"/>
      <c r="J829" s="120"/>
      <c r="K829" s="120"/>
      <c r="L829" s="120"/>
      <c r="M829" s="120"/>
      <c r="N829" s="120"/>
      <c r="O829" s="120"/>
      <c r="P829" s="120"/>
      <c r="Q829" s="120"/>
      <c r="R829" s="120"/>
      <c r="S829" s="120"/>
      <c r="T829" s="120"/>
      <c r="U829" s="120"/>
      <c r="V829" s="120"/>
      <c r="W829" s="120"/>
      <c r="X829" s="120"/>
      <c r="Y829" s="120"/>
      <c r="Z829" s="120"/>
      <c r="AA829" s="120"/>
    </row>
    <row r="830">
      <c r="A830" s="120"/>
      <c r="B830" s="120"/>
      <c r="C830" s="120"/>
      <c r="D830" s="120"/>
      <c r="E830" s="120"/>
      <c r="F830" s="120"/>
      <c r="G830" s="120"/>
      <c r="H830" s="120"/>
      <c r="I830" s="120"/>
      <c r="J830" s="120"/>
      <c r="K830" s="120"/>
      <c r="L830" s="120"/>
      <c r="M830" s="120"/>
      <c r="N830" s="120"/>
      <c r="O830" s="120"/>
      <c r="P830" s="120"/>
      <c r="Q830" s="120"/>
      <c r="R830" s="120"/>
      <c r="S830" s="120"/>
      <c r="T830" s="120"/>
      <c r="U830" s="120"/>
      <c r="V830" s="120"/>
      <c r="W830" s="120"/>
      <c r="X830" s="120"/>
      <c r="Y830" s="120"/>
      <c r="Z830" s="120"/>
      <c r="AA830" s="120"/>
    </row>
    <row r="831">
      <c r="A831" s="120"/>
      <c r="B831" s="120"/>
      <c r="C831" s="120"/>
      <c r="D831" s="120"/>
      <c r="E831" s="120"/>
      <c r="F831" s="120"/>
      <c r="G831" s="120"/>
      <c r="H831" s="120"/>
      <c r="I831" s="120"/>
      <c r="J831" s="120"/>
      <c r="K831" s="120"/>
      <c r="L831" s="120"/>
      <c r="M831" s="120"/>
      <c r="N831" s="120"/>
      <c r="O831" s="120"/>
      <c r="P831" s="120"/>
      <c r="Q831" s="120"/>
      <c r="R831" s="120"/>
      <c r="S831" s="120"/>
      <c r="T831" s="120"/>
      <c r="U831" s="120"/>
      <c r="V831" s="120"/>
      <c r="W831" s="120"/>
      <c r="X831" s="120"/>
      <c r="Y831" s="120"/>
      <c r="Z831" s="120"/>
      <c r="AA831" s="120"/>
    </row>
    <row r="832">
      <c r="A832" s="120"/>
      <c r="B832" s="120"/>
      <c r="C832" s="120"/>
      <c r="D832" s="120"/>
      <c r="E832" s="120"/>
      <c r="F832" s="120"/>
      <c r="G832" s="120"/>
      <c r="H832" s="120"/>
      <c r="I832" s="120"/>
      <c r="J832" s="120"/>
      <c r="K832" s="120"/>
      <c r="L832" s="120"/>
      <c r="M832" s="120"/>
      <c r="N832" s="120"/>
      <c r="O832" s="120"/>
      <c r="P832" s="120"/>
      <c r="Q832" s="120"/>
      <c r="R832" s="120"/>
      <c r="S832" s="120"/>
      <c r="T832" s="120"/>
      <c r="U832" s="120"/>
      <c r="V832" s="120"/>
      <c r="W832" s="120"/>
      <c r="X832" s="120"/>
      <c r="Y832" s="120"/>
      <c r="Z832" s="120"/>
      <c r="AA832" s="120"/>
    </row>
    <row r="833">
      <c r="A833" s="120"/>
      <c r="B833" s="120"/>
      <c r="C833" s="120"/>
      <c r="D833" s="120"/>
      <c r="E833" s="120"/>
      <c r="F833" s="120"/>
      <c r="G833" s="120"/>
      <c r="H833" s="120"/>
      <c r="I833" s="120"/>
      <c r="J833" s="120"/>
      <c r="K833" s="120"/>
      <c r="L833" s="120"/>
      <c r="M833" s="120"/>
      <c r="N833" s="120"/>
      <c r="O833" s="120"/>
      <c r="P833" s="120"/>
      <c r="Q833" s="120"/>
      <c r="R833" s="120"/>
      <c r="S833" s="120"/>
      <c r="T833" s="120"/>
      <c r="U833" s="120"/>
      <c r="V833" s="120"/>
      <c r="W833" s="120"/>
      <c r="X833" s="120"/>
      <c r="Y833" s="120"/>
      <c r="Z833" s="120"/>
      <c r="AA833" s="120"/>
    </row>
    <row r="834">
      <c r="A834" s="120"/>
      <c r="B834" s="120"/>
      <c r="C834" s="120"/>
      <c r="D834" s="120"/>
      <c r="E834" s="120"/>
      <c r="F834" s="120"/>
      <c r="G834" s="120"/>
      <c r="H834" s="120"/>
      <c r="I834" s="120"/>
      <c r="J834" s="120"/>
      <c r="K834" s="120"/>
      <c r="L834" s="120"/>
      <c r="M834" s="120"/>
      <c r="N834" s="120"/>
      <c r="O834" s="120"/>
      <c r="P834" s="120"/>
      <c r="Q834" s="120"/>
      <c r="R834" s="120"/>
      <c r="S834" s="120"/>
      <c r="T834" s="120"/>
      <c r="U834" s="120"/>
      <c r="V834" s="120"/>
      <c r="W834" s="120"/>
      <c r="X834" s="120"/>
      <c r="Y834" s="120"/>
      <c r="Z834" s="120"/>
      <c r="AA834" s="120"/>
    </row>
    <row r="835">
      <c r="A835" s="120"/>
      <c r="B835" s="120"/>
      <c r="C835" s="120"/>
      <c r="D835" s="120"/>
      <c r="E835" s="120"/>
      <c r="F835" s="120"/>
      <c r="G835" s="120"/>
      <c r="H835" s="120"/>
      <c r="I835" s="120"/>
      <c r="J835" s="120"/>
      <c r="K835" s="120"/>
      <c r="L835" s="120"/>
      <c r="M835" s="120"/>
      <c r="N835" s="120"/>
      <c r="O835" s="120"/>
      <c r="P835" s="120"/>
      <c r="Q835" s="120"/>
      <c r="R835" s="120"/>
      <c r="S835" s="120"/>
      <c r="T835" s="120"/>
      <c r="U835" s="120"/>
      <c r="V835" s="120"/>
      <c r="W835" s="120"/>
      <c r="X835" s="120"/>
      <c r="Y835" s="120"/>
      <c r="Z835" s="120"/>
      <c r="AA835" s="120"/>
    </row>
    <row r="836">
      <c r="A836" s="120"/>
      <c r="B836" s="120"/>
      <c r="C836" s="120"/>
      <c r="D836" s="120"/>
      <c r="E836" s="120"/>
      <c r="F836" s="120"/>
      <c r="G836" s="120"/>
      <c r="H836" s="120"/>
      <c r="I836" s="120"/>
      <c r="J836" s="120"/>
      <c r="K836" s="120"/>
      <c r="L836" s="120"/>
      <c r="M836" s="120"/>
      <c r="N836" s="120"/>
      <c r="O836" s="120"/>
      <c r="P836" s="120"/>
      <c r="Q836" s="120"/>
      <c r="R836" s="120"/>
      <c r="S836" s="120"/>
      <c r="T836" s="120"/>
      <c r="U836" s="120"/>
      <c r="V836" s="120"/>
      <c r="W836" s="120"/>
      <c r="X836" s="120"/>
      <c r="Y836" s="120"/>
      <c r="Z836" s="120"/>
      <c r="AA836" s="120"/>
    </row>
    <row r="837">
      <c r="A837" s="120"/>
      <c r="B837" s="120"/>
      <c r="C837" s="120"/>
      <c r="D837" s="120"/>
      <c r="E837" s="120"/>
      <c r="F837" s="120"/>
      <c r="G837" s="120"/>
      <c r="H837" s="120"/>
      <c r="I837" s="120"/>
      <c r="J837" s="120"/>
      <c r="K837" s="120"/>
      <c r="L837" s="120"/>
      <c r="M837" s="120"/>
      <c r="N837" s="120"/>
      <c r="O837" s="120"/>
      <c r="P837" s="120"/>
      <c r="Q837" s="120"/>
      <c r="R837" s="120"/>
      <c r="S837" s="120"/>
      <c r="T837" s="120"/>
      <c r="U837" s="120"/>
      <c r="V837" s="120"/>
      <c r="W837" s="120"/>
      <c r="X837" s="120"/>
      <c r="Y837" s="120"/>
      <c r="Z837" s="120"/>
      <c r="AA837" s="120"/>
    </row>
    <row r="838">
      <c r="A838" s="120"/>
      <c r="B838" s="120"/>
      <c r="C838" s="120"/>
      <c r="D838" s="120"/>
      <c r="E838" s="120"/>
      <c r="F838" s="120"/>
      <c r="G838" s="120"/>
      <c r="H838" s="120"/>
      <c r="I838" s="120"/>
      <c r="J838" s="120"/>
      <c r="K838" s="120"/>
      <c r="L838" s="120"/>
      <c r="M838" s="120"/>
      <c r="N838" s="120"/>
      <c r="O838" s="120"/>
      <c r="P838" s="120"/>
      <c r="Q838" s="120"/>
      <c r="R838" s="120"/>
      <c r="S838" s="120"/>
      <c r="T838" s="120"/>
      <c r="U838" s="120"/>
      <c r="V838" s="120"/>
      <c r="W838" s="120"/>
      <c r="X838" s="120"/>
      <c r="Y838" s="120"/>
      <c r="Z838" s="120"/>
      <c r="AA838" s="120"/>
    </row>
    <row r="839">
      <c r="A839" s="120"/>
      <c r="B839" s="120"/>
      <c r="C839" s="120"/>
      <c r="D839" s="120"/>
      <c r="E839" s="120"/>
      <c r="F839" s="120"/>
      <c r="G839" s="120"/>
      <c r="H839" s="120"/>
      <c r="I839" s="120"/>
      <c r="J839" s="120"/>
      <c r="K839" s="120"/>
      <c r="L839" s="120"/>
      <c r="M839" s="120"/>
      <c r="N839" s="120"/>
      <c r="O839" s="120"/>
      <c r="P839" s="120"/>
      <c r="Q839" s="120"/>
      <c r="R839" s="120"/>
      <c r="S839" s="120"/>
      <c r="T839" s="120"/>
      <c r="U839" s="120"/>
      <c r="V839" s="120"/>
      <c r="W839" s="120"/>
      <c r="X839" s="120"/>
      <c r="Y839" s="120"/>
      <c r="Z839" s="120"/>
      <c r="AA839" s="120"/>
    </row>
    <row r="840">
      <c r="A840" s="120"/>
      <c r="B840" s="120"/>
      <c r="C840" s="120"/>
      <c r="D840" s="120"/>
      <c r="E840" s="120"/>
      <c r="F840" s="120"/>
      <c r="G840" s="120"/>
      <c r="H840" s="120"/>
      <c r="I840" s="120"/>
      <c r="J840" s="120"/>
      <c r="K840" s="120"/>
      <c r="L840" s="120"/>
      <c r="M840" s="120"/>
      <c r="N840" s="120"/>
      <c r="O840" s="120"/>
      <c r="P840" s="120"/>
      <c r="Q840" s="120"/>
      <c r="R840" s="120"/>
      <c r="S840" s="120"/>
      <c r="T840" s="120"/>
      <c r="U840" s="120"/>
      <c r="V840" s="120"/>
      <c r="W840" s="120"/>
      <c r="X840" s="120"/>
      <c r="Y840" s="120"/>
      <c r="Z840" s="120"/>
      <c r="AA840" s="120"/>
    </row>
    <row r="841">
      <c r="A841" s="120"/>
      <c r="B841" s="120"/>
      <c r="C841" s="120"/>
      <c r="D841" s="120"/>
      <c r="E841" s="120"/>
      <c r="F841" s="120"/>
      <c r="G841" s="120"/>
      <c r="H841" s="120"/>
      <c r="I841" s="120"/>
      <c r="J841" s="120"/>
      <c r="K841" s="120"/>
      <c r="L841" s="120"/>
      <c r="M841" s="120"/>
      <c r="N841" s="120"/>
      <c r="O841" s="120"/>
      <c r="P841" s="120"/>
      <c r="Q841" s="120"/>
      <c r="R841" s="120"/>
      <c r="S841" s="120"/>
      <c r="T841" s="120"/>
      <c r="U841" s="120"/>
      <c r="V841" s="120"/>
      <c r="W841" s="120"/>
      <c r="X841" s="120"/>
      <c r="Y841" s="120"/>
      <c r="Z841" s="120"/>
      <c r="AA841" s="120"/>
    </row>
    <row r="842">
      <c r="A842" s="120"/>
      <c r="B842" s="120"/>
      <c r="C842" s="120"/>
      <c r="D842" s="120"/>
      <c r="E842" s="120"/>
      <c r="F842" s="120"/>
      <c r="G842" s="120"/>
      <c r="H842" s="120"/>
      <c r="I842" s="120"/>
      <c r="J842" s="120"/>
      <c r="K842" s="120"/>
      <c r="L842" s="120"/>
      <c r="M842" s="120"/>
      <c r="N842" s="120"/>
      <c r="O842" s="120"/>
      <c r="P842" s="120"/>
      <c r="Q842" s="120"/>
      <c r="R842" s="120"/>
      <c r="S842" s="120"/>
      <c r="T842" s="120"/>
      <c r="U842" s="120"/>
      <c r="V842" s="120"/>
      <c r="W842" s="120"/>
      <c r="X842" s="120"/>
      <c r="Y842" s="120"/>
      <c r="Z842" s="120"/>
      <c r="AA842" s="120"/>
    </row>
    <row r="843">
      <c r="A843" s="120"/>
      <c r="B843" s="120"/>
      <c r="C843" s="120"/>
      <c r="D843" s="120"/>
      <c r="E843" s="120"/>
      <c r="F843" s="120"/>
      <c r="G843" s="120"/>
      <c r="H843" s="120"/>
      <c r="I843" s="120"/>
      <c r="J843" s="120"/>
      <c r="K843" s="120"/>
      <c r="L843" s="120"/>
      <c r="M843" s="120"/>
      <c r="N843" s="120"/>
      <c r="O843" s="120"/>
      <c r="P843" s="120"/>
      <c r="Q843" s="120"/>
      <c r="R843" s="120"/>
      <c r="S843" s="120"/>
      <c r="T843" s="120"/>
      <c r="U843" s="120"/>
      <c r="V843" s="120"/>
      <c r="W843" s="120"/>
      <c r="X843" s="120"/>
      <c r="Y843" s="120"/>
      <c r="Z843" s="120"/>
      <c r="AA843" s="120"/>
    </row>
    <row r="844">
      <c r="A844" s="120"/>
      <c r="B844" s="120"/>
      <c r="C844" s="120"/>
      <c r="D844" s="120"/>
      <c r="E844" s="120"/>
      <c r="F844" s="120"/>
      <c r="G844" s="120"/>
      <c r="H844" s="120"/>
      <c r="I844" s="120"/>
      <c r="J844" s="120"/>
      <c r="K844" s="120"/>
      <c r="L844" s="120"/>
      <c r="M844" s="120"/>
      <c r="N844" s="120"/>
      <c r="O844" s="120"/>
      <c r="P844" s="120"/>
      <c r="Q844" s="120"/>
      <c r="R844" s="120"/>
      <c r="S844" s="120"/>
      <c r="T844" s="120"/>
      <c r="U844" s="120"/>
      <c r="V844" s="120"/>
      <c r="W844" s="120"/>
      <c r="X844" s="120"/>
      <c r="Y844" s="120"/>
      <c r="Z844" s="120"/>
      <c r="AA844" s="120"/>
    </row>
    <row r="845">
      <c r="A845" s="120"/>
      <c r="B845" s="120"/>
      <c r="C845" s="120"/>
      <c r="D845" s="120"/>
      <c r="E845" s="120"/>
      <c r="F845" s="120"/>
      <c r="G845" s="120"/>
      <c r="H845" s="120"/>
      <c r="I845" s="120"/>
      <c r="J845" s="120"/>
      <c r="K845" s="120"/>
      <c r="L845" s="120"/>
      <c r="M845" s="120"/>
      <c r="N845" s="120"/>
      <c r="O845" s="120"/>
      <c r="P845" s="120"/>
      <c r="Q845" s="120"/>
      <c r="R845" s="120"/>
      <c r="S845" s="120"/>
      <c r="T845" s="120"/>
      <c r="U845" s="120"/>
      <c r="V845" s="120"/>
      <c r="W845" s="120"/>
      <c r="X845" s="120"/>
      <c r="Y845" s="120"/>
      <c r="Z845" s="120"/>
      <c r="AA845" s="120"/>
    </row>
    <row r="846">
      <c r="A846" s="120"/>
      <c r="B846" s="120"/>
      <c r="C846" s="120"/>
      <c r="D846" s="120"/>
      <c r="E846" s="120"/>
      <c r="F846" s="120"/>
      <c r="G846" s="120"/>
      <c r="H846" s="120"/>
      <c r="I846" s="120"/>
      <c r="J846" s="120"/>
      <c r="K846" s="120"/>
      <c r="L846" s="120"/>
      <c r="M846" s="120"/>
      <c r="N846" s="120"/>
      <c r="O846" s="120"/>
      <c r="P846" s="120"/>
      <c r="Q846" s="120"/>
      <c r="R846" s="120"/>
      <c r="S846" s="120"/>
      <c r="T846" s="120"/>
      <c r="U846" s="120"/>
      <c r="V846" s="120"/>
      <c r="W846" s="120"/>
      <c r="X846" s="120"/>
      <c r="Y846" s="120"/>
      <c r="Z846" s="120"/>
      <c r="AA846" s="120"/>
    </row>
    <row r="847">
      <c r="A847" s="120"/>
      <c r="B847" s="120"/>
      <c r="C847" s="120"/>
      <c r="D847" s="120"/>
      <c r="E847" s="120"/>
      <c r="F847" s="120"/>
      <c r="G847" s="120"/>
      <c r="H847" s="120"/>
      <c r="I847" s="120"/>
      <c r="J847" s="120"/>
      <c r="K847" s="120"/>
      <c r="L847" s="120"/>
      <c r="M847" s="120"/>
      <c r="N847" s="120"/>
      <c r="O847" s="120"/>
      <c r="P847" s="120"/>
      <c r="Q847" s="120"/>
      <c r="R847" s="120"/>
      <c r="S847" s="120"/>
      <c r="T847" s="120"/>
      <c r="U847" s="120"/>
      <c r="V847" s="120"/>
      <c r="W847" s="120"/>
      <c r="X847" s="120"/>
      <c r="Y847" s="120"/>
      <c r="Z847" s="120"/>
      <c r="AA847" s="120"/>
    </row>
    <row r="848">
      <c r="A848" s="120"/>
      <c r="B848" s="120"/>
      <c r="C848" s="120"/>
      <c r="D848" s="120"/>
      <c r="E848" s="120"/>
      <c r="F848" s="120"/>
      <c r="G848" s="120"/>
      <c r="H848" s="120"/>
      <c r="I848" s="120"/>
      <c r="J848" s="120"/>
      <c r="K848" s="120"/>
      <c r="L848" s="120"/>
      <c r="M848" s="120"/>
      <c r="N848" s="120"/>
      <c r="O848" s="120"/>
      <c r="P848" s="120"/>
      <c r="Q848" s="120"/>
      <c r="R848" s="120"/>
      <c r="S848" s="120"/>
      <c r="T848" s="120"/>
      <c r="U848" s="120"/>
      <c r="V848" s="120"/>
      <c r="W848" s="120"/>
      <c r="X848" s="120"/>
      <c r="Y848" s="120"/>
      <c r="Z848" s="120"/>
      <c r="AA848" s="120"/>
    </row>
    <row r="849">
      <c r="A849" s="120"/>
      <c r="B849" s="120"/>
      <c r="C849" s="120"/>
      <c r="D849" s="120"/>
      <c r="E849" s="120"/>
      <c r="F849" s="120"/>
      <c r="G849" s="120"/>
      <c r="H849" s="120"/>
      <c r="I849" s="120"/>
      <c r="J849" s="120"/>
      <c r="K849" s="120"/>
      <c r="L849" s="120"/>
      <c r="M849" s="120"/>
      <c r="N849" s="120"/>
      <c r="O849" s="120"/>
      <c r="P849" s="120"/>
      <c r="Q849" s="120"/>
      <c r="R849" s="120"/>
      <c r="S849" s="120"/>
      <c r="T849" s="120"/>
      <c r="U849" s="120"/>
      <c r="V849" s="120"/>
      <c r="W849" s="120"/>
      <c r="X849" s="120"/>
      <c r="Y849" s="120"/>
      <c r="Z849" s="120"/>
      <c r="AA849" s="120"/>
    </row>
    <row r="850">
      <c r="A850" s="120"/>
      <c r="B850" s="120"/>
      <c r="C850" s="120"/>
      <c r="D850" s="120"/>
      <c r="E850" s="120"/>
      <c r="F850" s="120"/>
      <c r="G850" s="120"/>
      <c r="H850" s="120"/>
      <c r="I850" s="120"/>
      <c r="J850" s="120"/>
      <c r="K850" s="120"/>
      <c r="L850" s="120"/>
      <c r="M850" s="120"/>
      <c r="N850" s="120"/>
      <c r="O850" s="120"/>
      <c r="P850" s="120"/>
      <c r="Q850" s="120"/>
      <c r="R850" s="120"/>
      <c r="S850" s="120"/>
      <c r="T850" s="120"/>
      <c r="U850" s="120"/>
      <c r="V850" s="120"/>
      <c r="W850" s="120"/>
      <c r="X850" s="120"/>
      <c r="Y850" s="120"/>
      <c r="Z850" s="120"/>
      <c r="AA850" s="120"/>
    </row>
    <row r="851">
      <c r="A851" s="120"/>
      <c r="B851" s="120"/>
      <c r="C851" s="120"/>
      <c r="D851" s="120"/>
      <c r="E851" s="120"/>
      <c r="F851" s="120"/>
      <c r="G851" s="120"/>
      <c r="H851" s="120"/>
      <c r="I851" s="120"/>
      <c r="J851" s="120"/>
      <c r="K851" s="120"/>
      <c r="L851" s="120"/>
      <c r="M851" s="120"/>
      <c r="N851" s="120"/>
      <c r="O851" s="120"/>
      <c r="P851" s="120"/>
      <c r="Q851" s="120"/>
      <c r="R851" s="120"/>
      <c r="S851" s="120"/>
      <c r="T851" s="120"/>
      <c r="U851" s="120"/>
      <c r="V851" s="120"/>
      <c r="W851" s="120"/>
      <c r="X851" s="120"/>
      <c r="Y851" s="120"/>
      <c r="Z851" s="120"/>
      <c r="AA851" s="120"/>
    </row>
    <row r="852">
      <c r="A852" s="120"/>
      <c r="B852" s="120"/>
      <c r="C852" s="120"/>
      <c r="D852" s="120"/>
      <c r="E852" s="120"/>
      <c r="F852" s="120"/>
      <c r="G852" s="120"/>
      <c r="H852" s="120"/>
      <c r="I852" s="120"/>
      <c r="J852" s="120"/>
      <c r="K852" s="120"/>
      <c r="L852" s="120"/>
      <c r="M852" s="120"/>
      <c r="N852" s="120"/>
      <c r="O852" s="120"/>
      <c r="P852" s="120"/>
      <c r="Q852" s="120"/>
      <c r="R852" s="120"/>
      <c r="S852" s="120"/>
      <c r="T852" s="120"/>
      <c r="U852" s="120"/>
      <c r="V852" s="120"/>
      <c r="W852" s="120"/>
      <c r="X852" s="120"/>
      <c r="Y852" s="120"/>
      <c r="Z852" s="120"/>
      <c r="AA852" s="120"/>
    </row>
    <row r="853">
      <c r="A853" s="120"/>
      <c r="B853" s="120"/>
      <c r="C853" s="120"/>
      <c r="D853" s="120"/>
      <c r="E853" s="120"/>
      <c r="F853" s="120"/>
      <c r="G853" s="120"/>
      <c r="H853" s="120"/>
      <c r="I853" s="120"/>
      <c r="J853" s="120"/>
      <c r="K853" s="120"/>
      <c r="L853" s="120"/>
      <c r="M853" s="120"/>
      <c r="N853" s="120"/>
      <c r="O853" s="120"/>
      <c r="P853" s="120"/>
      <c r="Q853" s="120"/>
      <c r="R853" s="120"/>
      <c r="S853" s="120"/>
      <c r="T853" s="120"/>
      <c r="U853" s="120"/>
      <c r="V853" s="120"/>
      <c r="W853" s="120"/>
      <c r="X853" s="120"/>
      <c r="Y853" s="120"/>
      <c r="Z853" s="120"/>
      <c r="AA853" s="120"/>
    </row>
    <row r="854">
      <c r="A854" s="120"/>
      <c r="B854" s="120"/>
      <c r="C854" s="120"/>
      <c r="D854" s="120"/>
      <c r="E854" s="120"/>
      <c r="F854" s="120"/>
      <c r="G854" s="120"/>
      <c r="H854" s="120"/>
      <c r="I854" s="120"/>
      <c r="J854" s="120"/>
      <c r="K854" s="120"/>
      <c r="L854" s="120"/>
      <c r="M854" s="120"/>
      <c r="N854" s="120"/>
      <c r="O854" s="120"/>
      <c r="P854" s="120"/>
      <c r="Q854" s="120"/>
      <c r="R854" s="120"/>
      <c r="S854" s="120"/>
      <c r="T854" s="120"/>
      <c r="U854" s="120"/>
      <c r="V854" s="120"/>
      <c r="W854" s="120"/>
      <c r="X854" s="120"/>
      <c r="Y854" s="120"/>
      <c r="Z854" s="120"/>
      <c r="AA854" s="120"/>
    </row>
    <row r="855">
      <c r="A855" s="120"/>
      <c r="B855" s="120"/>
      <c r="C855" s="120"/>
      <c r="D855" s="120"/>
      <c r="E855" s="120"/>
      <c r="F855" s="120"/>
      <c r="G855" s="120"/>
      <c r="H855" s="120"/>
      <c r="I855" s="120"/>
      <c r="J855" s="120"/>
      <c r="K855" s="120"/>
      <c r="L855" s="120"/>
      <c r="M855" s="120"/>
      <c r="N855" s="120"/>
      <c r="O855" s="120"/>
      <c r="P855" s="120"/>
      <c r="Q855" s="120"/>
      <c r="R855" s="120"/>
      <c r="S855" s="120"/>
      <c r="T855" s="120"/>
      <c r="U855" s="120"/>
      <c r="V855" s="120"/>
      <c r="W855" s="120"/>
      <c r="X855" s="120"/>
      <c r="Y855" s="120"/>
      <c r="Z855" s="120"/>
      <c r="AA855" s="120"/>
    </row>
    <row r="856">
      <c r="A856" s="120"/>
      <c r="B856" s="120"/>
      <c r="C856" s="120"/>
      <c r="D856" s="120"/>
      <c r="E856" s="120"/>
      <c r="F856" s="120"/>
      <c r="G856" s="120"/>
      <c r="H856" s="120"/>
      <c r="I856" s="120"/>
      <c r="J856" s="120"/>
      <c r="K856" s="120"/>
      <c r="L856" s="120"/>
      <c r="M856" s="120"/>
      <c r="N856" s="120"/>
      <c r="O856" s="120"/>
      <c r="P856" s="120"/>
      <c r="Q856" s="120"/>
      <c r="R856" s="120"/>
      <c r="S856" s="120"/>
      <c r="T856" s="120"/>
      <c r="U856" s="120"/>
      <c r="V856" s="120"/>
      <c r="W856" s="120"/>
      <c r="X856" s="120"/>
      <c r="Y856" s="120"/>
      <c r="Z856" s="120"/>
      <c r="AA856" s="120"/>
    </row>
    <row r="857">
      <c r="A857" s="120"/>
      <c r="B857" s="120"/>
      <c r="C857" s="120"/>
      <c r="D857" s="120"/>
      <c r="E857" s="120"/>
      <c r="F857" s="120"/>
      <c r="G857" s="120"/>
      <c r="H857" s="120"/>
      <c r="I857" s="120"/>
      <c r="J857" s="120"/>
      <c r="K857" s="120"/>
      <c r="L857" s="120"/>
      <c r="M857" s="120"/>
      <c r="N857" s="120"/>
      <c r="O857" s="120"/>
      <c r="P857" s="120"/>
      <c r="Q857" s="120"/>
      <c r="R857" s="120"/>
      <c r="S857" s="120"/>
      <c r="T857" s="120"/>
      <c r="U857" s="120"/>
      <c r="V857" s="120"/>
      <c r="W857" s="120"/>
      <c r="X857" s="120"/>
      <c r="Y857" s="120"/>
      <c r="Z857" s="120"/>
      <c r="AA857" s="120"/>
    </row>
    <row r="858">
      <c r="A858" s="120"/>
      <c r="B858" s="120"/>
      <c r="C858" s="120"/>
      <c r="D858" s="120"/>
      <c r="E858" s="120"/>
      <c r="F858" s="120"/>
      <c r="G858" s="120"/>
      <c r="H858" s="120"/>
      <c r="I858" s="120"/>
      <c r="J858" s="120"/>
      <c r="K858" s="120"/>
      <c r="L858" s="120"/>
      <c r="M858" s="120"/>
      <c r="N858" s="120"/>
      <c r="O858" s="120"/>
      <c r="P858" s="120"/>
      <c r="Q858" s="120"/>
      <c r="R858" s="120"/>
      <c r="S858" s="120"/>
      <c r="T858" s="120"/>
      <c r="U858" s="120"/>
      <c r="V858" s="120"/>
      <c r="W858" s="120"/>
      <c r="X858" s="120"/>
      <c r="Y858" s="120"/>
      <c r="Z858" s="120"/>
      <c r="AA858" s="120"/>
    </row>
    <row r="859">
      <c r="A859" s="120"/>
      <c r="B859" s="120"/>
      <c r="C859" s="120"/>
      <c r="D859" s="120"/>
      <c r="E859" s="120"/>
      <c r="F859" s="120"/>
      <c r="G859" s="120"/>
      <c r="H859" s="120"/>
      <c r="I859" s="120"/>
      <c r="J859" s="120"/>
      <c r="K859" s="120"/>
      <c r="L859" s="120"/>
      <c r="M859" s="120"/>
      <c r="N859" s="120"/>
      <c r="O859" s="120"/>
      <c r="P859" s="120"/>
      <c r="Q859" s="120"/>
      <c r="R859" s="120"/>
      <c r="S859" s="120"/>
      <c r="T859" s="120"/>
      <c r="U859" s="120"/>
      <c r="V859" s="120"/>
      <c r="W859" s="120"/>
      <c r="X859" s="120"/>
      <c r="Y859" s="120"/>
      <c r="Z859" s="120"/>
      <c r="AA859" s="120"/>
    </row>
    <row r="860">
      <c r="A860" s="120"/>
      <c r="B860" s="120"/>
      <c r="C860" s="120"/>
      <c r="D860" s="120"/>
      <c r="E860" s="120"/>
      <c r="F860" s="120"/>
      <c r="G860" s="120"/>
      <c r="H860" s="120"/>
      <c r="I860" s="120"/>
      <c r="J860" s="120"/>
      <c r="K860" s="120"/>
      <c r="L860" s="120"/>
      <c r="M860" s="120"/>
      <c r="N860" s="120"/>
      <c r="O860" s="120"/>
      <c r="P860" s="120"/>
      <c r="Q860" s="120"/>
      <c r="R860" s="120"/>
      <c r="S860" s="120"/>
      <c r="T860" s="120"/>
      <c r="U860" s="120"/>
      <c r="V860" s="120"/>
      <c r="W860" s="120"/>
      <c r="X860" s="120"/>
      <c r="Y860" s="120"/>
      <c r="Z860" s="120"/>
      <c r="AA860" s="120"/>
    </row>
    <row r="861">
      <c r="A861" s="120"/>
      <c r="B861" s="120"/>
      <c r="C861" s="120"/>
      <c r="D861" s="120"/>
      <c r="E861" s="120"/>
      <c r="F861" s="120"/>
      <c r="G861" s="120"/>
      <c r="H861" s="120"/>
      <c r="I861" s="120"/>
      <c r="J861" s="120"/>
      <c r="K861" s="120"/>
      <c r="L861" s="120"/>
      <c r="M861" s="120"/>
      <c r="N861" s="120"/>
      <c r="O861" s="120"/>
      <c r="P861" s="120"/>
      <c r="Q861" s="120"/>
      <c r="R861" s="120"/>
      <c r="S861" s="120"/>
      <c r="T861" s="120"/>
      <c r="U861" s="120"/>
      <c r="V861" s="120"/>
      <c r="W861" s="120"/>
      <c r="X861" s="120"/>
      <c r="Y861" s="120"/>
      <c r="Z861" s="120"/>
      <c r="AA861" s="120"/>
    </row>
    <row r="862">
      <c r="A862" s="120"/>
      <c r="B862" s="120"/>
      <c r="C862" s="120"/>
      <c r="D862" s="120"/>
      <c r="E862" s="120"/>
      <c r="F862" s="120"/>
      <c r="G862" s="120"/>
      <c r="H862" s="120"/>
      <c r="I862" s="120"/>
      <c r="J862" s="120"/>
      <c r="K862" s="120"/>
      <c r="L862" s="120"/>
      <c r="M862" s="120"/>
      <c r="N862" s="120"/>
      <c r="O862" s="120"/>
      <c r="P862" s="120"/>
      <c r="Q862" s="120"/>
      <c r="R862" s="120"/>
      <c r="S862" s="120"/>
      <c r="T862" s="120"/>
      <c r="U862" s="120"/>
      <c r="V862" s="120"/>
      <c r="W862" s="120"/>
      <c r="X862" s="120"/>
      <c r="Y862" s="120"/>
      <c r="Z862" s="120"/>
      <c r="AA862" s="120"/>
    </row>
    <row r="863">
      <c r="A863" s="120"/>
      <c r="B863" s="120"/>
      <c r="C863" s="120"/>
      <c r="D863" s="120"/>
      <c r="E863" s="120"/>
      <c r="F863" s="120"/>
      <c r="G863" s="120"/>
      <c r="H863" s="120"/>
      <c r="I863" s="120"/>
      <c r="J863" s="120"/>
      <c r="K863" s="120"/>
      <c r="L863" s="120"/>
      <c r="M863" s="120"/>
      <c r="N863" s="120"/>
      <c r="O863" s="120"/>
      <c r="P863" s="120"/>
      <c r="Q863" s="120"/>
      <c r="R863" s="120"/>
      <c r="S863" s="120"/>
      <c r="T863" s="120"/>
      <c r="U863" s="120"/>
      <c r="V863" s="120"/>
      <c r="W863" s="120"/>
      <c r="X863" s="120"/>
      <c r="Y863" s="120"/>
      <c r="Z863" s="120"/>
      <c r="AA863" s="120"/>
    </row>
    <row r="864">
      <c r="A864" s="120"/>
      <c r="B864" s="120"/>
      <c r="C864" s="120"/>
      <c r="D864" s="120"/>
      <c r="E864" s="120"/>
      <c r="F864" s="120"/>
      <c r="G864" s="120"/>
      <c r="H864" s="120"/>
      <c r="I864" s="120"/>
      <c r="J864" s="120"/>
      <c r="K864" s="120"/>
      <c r="L864" s="120"/>
      <c r="M864" s="120"/>
      <c r="N864" s="120"/>
      <c r="O864" s="120"/>
      <c r="P864" s="120"/>
      <c r="Q864" s="120"/>
      <c r="R864" s="120"/>
      <c r="S864" s="120"/>
      <c r="T864" s="120"/>
      <c r="U864" s="120"/>
      <c r="V864" s="120"/>
      <c r="W864" s="120"/>
      <c r="X864" s="120"/>
      <c r="Y864" s="120"/>
      <c r="Z864" s="120"/>
      <c r="AA864" s="120"/>
    </row>
    <row r="865">
      <c r="A865" s="120"/>
      <c r="B865" s="120"/>
      <c r="C865" s="120"/>
      <c r="D865" s="120"/>
      <c r="E865" s="120"/>
      <c r="F865" s="120"/>
      <c r="G865" s="120"/>
      <c r="H865" s="120"/>
      <c r="I865" s="120"/>
      <c r="J865" s="120"/>
      <c r="K865" s="120"/>
      <c r="L865" s="120"/>
      <c r="M865" s="120"/>
      <c r="N865" s="120"/>
      <c r="O865" s="120"/>
      <c r="P865" s="120"/>
      <c r="Q865" s="120"/>
      <c r="R865" s="120"/>
      <c r="S865" s="120"/>
      <c r="T865" s="120"/>
      <c r="U865" s="120"/>
      <c r="V865" s="120"/>
      <c r="W865" s="120"/>
      <c r="X865" s="120"/>
      <c r="Y865" s="120"/>
      <c r="Z865" s="120"/>
      <c r="AA865" s="120"/>
    </row>
    <row r="866">
      <c r="A866" s="120"/>
      <c r="B866" s="120"/>
      <c r="C866" s="120"/>
      <c r="D866" s="120"/>
      <c r="E866" s="120"/>
      <c r="F866" s="120"/>
      <c r="G866" s="120"/>
      <c r="H866" s="120"/>
      <c r="I866" s="120"/>
      <c r="J866" s="120"/>
      <c r="K866" s="120"/>
      <c r="L866" s="120"/>
      <c r="M866" s="120"/>
      <c r="N866" s="120"/>
      <c r="O866" s="120"/>
      <c r="P866" s="120"/>
      <c r="Q866" s="120"/>
      <c r="R866" s="120"/>
      <c r="S866" s="120"/>
      <c r="T866" s="120"/>
      <c r="U866" s="120"/>
      <c r="V866" s="120"/>
      <c r="W866" s="120"/>
      <c r="X866" s="120"/>
      <c r="Y866" s="120"/>
      <c r="Z866" s="120"/>
      <c r="AA866" s="120"/>
    </row>
    <row r="867">
      <c r="A867" s="120"/>
      <c r="B867" s="120"/>
      <c r="C867" s="120"/>
      <c r="D867" s="120"/>
      <c r="E867" s="120"/>
      <c r="F867" s="120"/>
      <c r="G867" s="120"/>
      <c r="H867" s="120"/>
      <c r="I867" s="120"/>
      <c r="J867" s="120"/>
      <c r="K867" s="120"/>
      <c r="L867" s="120"/>
      <c r="M867" s="120"/>
      <c r="N867" s="120"/>
      <c r="O867" s="120"/>
      <c r="P867" s="120"/>
      <c r="Q867" s="120"/>
      <c r="R867" s="120"/>
      <c r="S867" s="120"/>
      <c r="T867" s="120"/>
      <c r="U867" s="120"/>
      <c r="V867" s="120"/>
      <c r="W867" s="120"/>
      <c r="X867" s="120"/>
      <c r="Y867" s="120"/>
      <c r="Z867" s="120"/>
      <c r="AA867" s="120"/>
    </row>
    <row r="868">
      <c r="A868" s="120"/>
      <c r="B868" s="120"/>
      <c r="C868" s="120"/>
      <c r="D868" s="120"/>
      <c r="E868" s="120"/>
      <c r="F868" s="120"/>
      <c r="G868" s="120"/>
      <c r="H868" s="120"/>
      <c r="I868" s="120"/>
      <c r="J868" s="120"/>
      <c r="K868" s="120"/>
      <c r="L868" s="120"/>
      <c r="M868" s="120"/>
      <c r="N868" s="120"/>
      <c r="O868" s="120"/>
      <c r="P868" s="120"/>
      <c r="Q868" s="120"/>
      <c r="R868" s="120"/>
      <c r="S868" s="120"/>
      <c r="T868" s="120"/>
      <c r="U868" s="120"/>
      <c r="V868" s="120"/>
      <c r="W868" s="120"/>
      <c r="X868" s="120"/>
      <c r="Y868" s="120"/>
      <c r="Z868" s="120"/>
      <c r="AA868" s="120"/>
    </row>
    <row r="869">
      <c r="A869" s="120"/>
      <c r="B869" s="120"/>
      <c r="C869" s="120"/>
      <c r="D869" s="120"/>
      <c r="E869" s="120"/>
      <c r="F869" s="120"/>
      <c r="G869" s="120"/>
      <c r="H869" s="120"/>
      <c r="I869" s="120"/>
      <c r="J869" s="120"/>
      <c r="K869" s="120"/>
      <c r="L869" s="120"/>
      <c r="M869" s="120"/>
      <c r="N869" s="120"/>
      <c r="O869" s="120"/>
      <c r="P869" s="120"/>
      <c r="Q869" s="120"/>
      <c r="R869" s="120"/>
      <c r="S869" s="120"/>
      <c r="T869" s="120"/>
      <c r="U869" s="120"/>
      <c r="V869" s="120"/>
      <c r="W869" s="120"/>
      <c r="X869" s="120"/>
      <c r="Y869" s="120"/>
      <c r="Z869" s="120"/>
      <c r="AA869" s="120"/>
    </row>
    <row r="870">
      <c r="A870" s="120"/>
      <c r="B870" s="120"/>
      <c r="C870" s="120"/>
      <c r="D870" s="120"/>
      <c r="E870" s="120"/>
      <c r="F870" s="120"/>
      <c r="G870" s="120"/>
      <c r="H870" s="120"/>
      <c r="I870" s="120"/>
      <c r="J870" s="120"/>
      <c r="K870" s="120"/>
      <c r="L870" s="120"/>
      <c r="M870" s="120"/>
      <c r="N870" s="120"/>
      <c r="O870" s="120"/>
      <c r="P870" s="120"/>
      <c r="Q870" s="120"/>
      <c r="R870" s="120"/>
      <c r="S870" s="120"/>
      <c r="T870" s="120"/>
      <c r="U870" s="120"/>
      <c r="V870" s="120"/>
      <c r="W870" s="120"/>
      <c r="X870" s="120"/>
      <c r="Y870" s="120"/>
      <c r="Z870" s="120"/>
      <c r="AA870" s="120"/>
    </row>
    <row r="871">
      <c r="A871" s="120"/>
      <c r="B871" s="120"/>
      <c r="C871" s="120"/>
      <c r="D871" s="120"/>
      <c r="E871" s="120"/>
      <c r="F871" s="120"/>
      <c r="G871" s="120"/>
      <c r="H871" s="120"/>
      <c r="I871" s="120"/>
      <c r="J871" s="120"/>
      <c r="K871" s="120"/>
      <c r="L871" s="120"/>
      <c r="M871" s="120"/>
      <c r="N871" s="120"/>
      <c r="O871" s="120"/>
      <c r="P871" s="120"/>
      <c r="Q871" s="120"/>
      <c r="R871" s="120"/>
      <c r="S871" s="120"/>
      <c r="T871" s="120"/>
      <c r="U871" s="120"/>
      <c r="V871" s="120"/>
      <c r="W871" s="120"/>
      <c r="X871" s="120"/>
      <c r="Y871" s="120"/>
      <c r="Z871" s="120"/>
      <c r="AA871" s="120"/>
    </row>
    <row r="872">
      <c r="A872" s="120"/>
      <c r="B872" s="120"/>
      <c r="C872" s="120"/>
      <c r="D872" s="120"/>
      <c r="E872" s="120"/>
      <c r="F872" s="120"/>
      <c r="G872" s="120"/>
      <c r="H872" s="120"/>
      <c r="I872" s="120"/>
      <c r="J872" s="120"/>
      <c r="K872" s="120"/>
      <c r="L872" s="120"/>
      <c r="M872" s="120"/>
      <c r="N872" s="120"/>
      <c r="O872" s="120"/>
      <c r="P872" s="120"/>
      <c r="Q872" s="120"/>
      <c r="R872" s="120"/>
      <c r="S872" s="120"/>
      <c r="T872" s="120"/>
      <c r="U872" s="120"/>
      <c r="V872" s="120"/>
      <c r="W872" s="120"/>
      <c r="X872" s="120"/>
      <c r="Y872" s="120"/>
      <c r="Z872" s="120"/>
      <c r="AA872" s="120"/>
    </row>
    <row r="873">
      <c r="A873" s="120"/>
      <c r="B873" s="120"/>
      <c r="C873" s="120"/>
      <c r="D873" s="120"/>
      <c r="E873" s="120"/>
      <c r="F873" s="120"/>
      <c r="G873" s="120"/>
      <c r="H873" s="120"/>
      <c r="I873" s="120"/>
      <c r="J873" s="120"/>
      <c r="K873" s="120"/>
      <c r="L873" s="120"/>
      <c r="M873" s="120"/>
      <c r="N873" s="120"/>
      <c r="O873" s="120"/>
      <c r="P873" s="120"/>
      <c r="Q873" s="120"/>
      <c r="R873" s="120"/>
      <c r="S873" s="120"/>
      <c r="T873" s="120"/>
      <c r="U873" s="120"/>
      <c r="V873" s="120"/>
      <c r="W873" s="120"/>
      <c r="X873" s="120"/>
      <c r="Y873" s="120"/>
      <c r="Z873" s="120"/>
      <c r="AA873" s="120"/>
    </row>
    <row r="874">
      <c r="A874" s="120"/>
      <c r="B874" s="120"/>
      <c r="C874" s="120"/>
      <c r="D874" s="120"/>
      <c r="E874" s="120"/>
      <c r="F874" s="120"/>
      <c r="G874" s="120"/>
      <c r="H874" s="120"/>
      <c r="I874" s="120"/>
      <c r="J874" s="120"/>
      <c r="K874" s="120"/>
      <c r="L874" s="120"/>
      <c r="M874" s="120"/>
      <c r="N874" s="120"/>
      <c r="O874" s="120"/>
      <c r="P874" s="120"/>
      <c r="Q874" s="120"/>
      <c r="R874" s="120"/>
      <c r="S874" s="120"/>
      <c r="T874" s="120"/>
      <c r="U874" s="120"/>
      <c r="V874" s="120"/>
      <c r="W874" s="120"/>
      <c r="X874" s="120"/>
      <c r="Y874" s="120"/>
      <c r="Z874" s="120"/>
      <c r="AA874" s="120"/>
    </row>
    <row r="875">
      <c r="A875" s="120"/>
      <c r="B875" s="120"/>
      <c r="C875" s="120"/>
      <c r="D875" s="120"/>
      <c r="E875" s="120"/>
      <c r="F875" s="120"/>
      <c r="G875" s="120"/>
      <c r="H875" s="120"/>
      <c r="I875" s="120"/>
      <c r="J875" s="120"/>
      <c r="K875" s="120"/>
      <c r="L875" s="120"/>
      <c r="M875" s="120"/>
      <c r="N875" s="120"/>
      <c r="O875" s="120"/>
      <c r="P875" s="120"/>
      <c r="Q875" s="120"/>
      <c r="R875" s="120"/>
      <c r="S875" s="120"/>
      <c r="T875" s="120"/>
      <c r="U875" s="120"/>
      <c r="V875" s="120"/>
      <c r="W875" s="120"/>
      <c r="X875" s="120"/>
      <c r="Y875" s="120"/>
      <c r="Z875" s="120"/>
      <c r="AA875" s="120"/>
    </row>
    <row r="876">
      <c r="A876" s="120"/>
      <c r="B876" s="120"/>
      <c r="C876" s="120"/>
      <c r="D876" s="120"/>
      <c r="E876" s="120"/>
      <c r="F876" s="120"/>
      <c r="G876" s="120"/>
      <c r="H876" s="120"/>
      <c r="I876" s="120"/>
      <c r="J876" s="120"/>
      <c r="K876" s="120"/>
      <c r="L876" s="120"/>
      <c r="M876" s="120"/>
      <c r="N876" s="120"/>
      <c r="O876" s="120"/>
      <c r="P876" s="120"/>
      <c r="Q876" s="120"/>
      <c r="R876" s="120"/>
      <c r="S876" s="120"/>
      <c r="T876" s="120"/>
      <c r="U876" s="120"/>
      <c r="V876" s="120"/>
      <c r="W876" s="120"/>
      <c r="X876" s="120"/>
      <c r="Y876" s="120"/>
      <c r="Z876" s="120"/>
      <c r="AA876" s="120"/>
    </row>
    <row r="877">
      <c r="A877" s="120"/>
      <c r="B877" s="120"/>
      <c r="C877" s="120"/>
      <c r="D877" s="120"/>
      <c r="E877" s="120"/>
      <c r="F877" s="120"/>
      <c r="G877" s="120"/>
      <c r="H877" s="120"/>
      <c r="I877" s="120"/>
      <c r="J877" s="120"/>
      <c r="K877" s="120"/>
      <c r="L877" s="120"/>
      <c r="M877" s="120"/>
      <c r="N877" s="120"/>
      <c r="O877" s="120"/>
      <c r="P877" s="120"/>
      <c r="Q877" s="120"/>
      <c r="R877" s="120"/>
      <c r="S877" s="120"/>
      <c r="T877" s="120"/>
      <c r="U877" s="120"/>
      <c r="V877" s="120"/>
      <c r="W877" s="120"/>
      <c r="X877" s="120"/>
      <c r="Y877" s="120"/>
      <c r="Z877" s="120"/>
      <c r="AA877" s="120"/>
    </row>
    <row r="878">
      <c r="A878" s="120"/>
      <c r="B878" s="120"/>
      <c r="C878" s="120"/>
      <c r="D878" s="120"/>
      <c r="E878" s="120"/>
      <c r="F878" s="120"/>
      <c r="G878" s="120"/>
      <c r="H878" s="120"/>
      <c r="I878" s="120"/>
      <c r="J878" s="120"/>
      <c r="K878" s="120"/>
      <c r="L878" s="120"/>
      <c r="M878" s="120"/>
      <c r="N878" s="120"/>
      <c r="O878" s="120"/>
      <c r="P878" s="120"/>
      <c r="Q878" s="120"/>
      <c r="R878" s="120"/>
      <c r="S878" s="120"/>
      <c r="T878" s="120"/>
      <c r="U878" s="120"/>
      <c r="V878" s="120"/>
      <c r="W878" s="120"/>
      <c r="X878" s="120"/>
      <c r="Y878" s="120"/>
      <c r="Z878" s="120"/>
      <c r="AA878" s="120"/>
    </row>
    <row r="879">
      <c r="A879" s="120"/>
      <c r="B879" s="120"/>
      <c r="C879" s="120"/>
      <c r="D879" s="120"/>
      <c r="E879" s="120"/>
      <c r="F879" s="120"/>
      <c r="G879" s="120"/>
      <c r="H879" s="120"/>
      <c r="I879" s="120"/>
      <c r="J879" s="120"/>
      <c r="K879" s="120"/>
      <c r="L879" s="120"/>
      <c r="M879" s="120"/>
      <c r="N879" s="120"/>
      <c r="O879" s="120"/>
      <c r="P879" s="120"/>
      <c r="Q879" s="120"/>
      <c r="R879" s="120"/>
      <c r="S879" s="120"/>
      <c r="T879" s="120"/>
      <c r="U879" s="120"/>
      <c r="V879" s="120"/>
      <c r="W879" s="120"/>
      <c r="X879" s="120"/>
      <c r="Y879" s="120"/>
      <c r="Z879" s="120"/>
      <c r="AA879" s="120"/>
    </row>
    <row r="880">
      <c r="A880" s="120"/>
      <c r="B880" s="120"/>
      <c r="C880" s="120"/>
      <c r="D880" s="120"/>
      <c r="E880" s="120"/>
      <c r="F880" s="120"/>
      <c r="G880" s="120"/>
      <c r="H880" s="120"/>
      <c r="I880" s="120"/>
      <c r="J880" s="120"/>
      <c r="K880" s="120"/>
      <c r="L880" s="120"/>
      <c r="M880" s="120"/>
      <c r="N880" s="120"/>
      <c r="O880" s="120"/>
      <c r="P880" s="120"/>
      <c r="Q880" s="120"/>
      <c r="R880" s="120"/>
      <c r="S880" s="120"/>
      <c r="T880" s="120"/>
      <c r="U880" s="120"/>
      <c r="V880" s="120"/>
      <c r="W880" s="120"/>
      <c r="X880" s="120"/>
      <c r="Y880" s="120"/>
      <c r="Z880" s="120"/>
      <c r="AA880" s="120"/>
    </row>
    <row r="881">
      <c r="A881" s="120"/>
      <c r="B881" s="120"/>
      <c r="C881" s="120"/>
      <c r="D881" s="120"/>
      <c r="E881" s="120"/>
      <c r="F881" s="120"/>
      <c r="G881" s="120"/>
      <c r="H881" s="120"/>
      <c r="I881" s="120"/>
      <c r="J881" s="120"/>
      <c r="K881" s="120"/>
      <c r="L881" s="120"/>
      <c r="M881" s="120"/>
      <c r="N881" s="120"/>
      <c r="O881" s="120"/>
      <c r="P881" s="120"/>
      <c r="Q881" s="120"/>
      <c r="R881" s="120"/>
      <c r="S881" s="120"/>
      <c r="T881" s="120"/>
      <c r="U881" s="120"/>
      <c r="V881" s="120"/>
      <c r="W881" s="120"/>
      <c r="X881" s="120"/>
      <c r="Y881" s="120"/>
      <c r="Z881" s="120"/>
      <c r="AA881" s="120"/>
    </row>
    <row r="882">
      <c r="A882" s="120"/>
      <c r="B882" s="120"/>
      <c r="C882" s="120"/>
      <c r="D882" s="120"/>
      <c r="E882" s="120"/>
      <c r="F882" s="120"/>
      <c r="G882" s="120"/>
      <c r="H882" s="120"/>
      <c r="I882" s="120"/>
      <c r="J882" s="120"/>
      <c r="K882" s="120"/>
      <c r="L882" s="120"/>
      <c r="M882" s="120"/>
      <c r="N882" s="120"/>
      <c r="O882" s="120"/>
      <c r="P882" s="120"/>
      <c r="Q882" s="120"/>
      <c r="R882" s="120"/>
      <c r="S882" s="120"/>
      <c r="T882" s="120"/>
      <c r="U882" s="120"/>
      <c r="V882" s="120"/>
      <c r="W882" s="120"/>
      <c r="X882" s="120"/>
      <c r="Y882" s="120"/>
      <c r="Z882" s="120"/>
      <c r="AA882" s="120"/>
    </row>
    <row r="883">
      <c r="A883" s="120"/>
      <c r="B883" s="120"/>
      <c r="C883" s="120"/>
      <c r="D883" s="120"/>
      <c r="E883" s="120"/>
      <c r="F883" s="120"/>
      <c r="G883" s="120"/>
      <c r="H883" s="120"/>
      <c r="I883" s="120"/>
      <c r="J883" s="120"/>
      <c r="K883" s="120"/>
      <c r="L883" s="120"/>
      <c r="M883" s="120"/>
      <c r="N883" s="120"/>
      <c r="O883" s="120"/>
      <c r="P883" s="120"/>
      <c r="Q883" s="120"/>
      <c r="R883" s="120"/>
      <c r="S883" s="120"/>
      <c r="T883" s="120"/>
      <c r="U883" s="120"/>
      <c r="V883" s="120"/>
      <c r="W883" s="120"/>
      <c r="X883" s="120"/>
      <c r="Y883" s="120"/>
      <c r="Z883" s="120"/>
      <c r="AA883" s="120"/>
    </row>
    <row r="884">
      <c r="A884" s="120"/>
      <c r="B884" s="120"/>
      <c r="C884" s="120"/>
      <c r="D884" s="120"/>
      <c r="E884" s="120"/>
      <c r="F884" s="120"/>
      <c r="G884" s="120"/>
      <c r="H884" s="120"/>
      <c r="I884" s="120"/>
      <c r="J884" s="120"/>
      <c r="K884" s="120"/>
      <c r="L884" s="120"/>
      <c r="M884" s="120"/>
      <c r="N884" s="120"/>
      <c r="O884" s="120"/>
      <c r="P884" s="120"/>
      <c r="Q884" s="120"/>
      <c r="R884" s="120"/>
      <c r="S884" s="120"/>
      <c r="T884" s="120"/>
      <c r="U884" s="120"/>
      <c r="V884" s="120"/>
      <c r="W884" s="120"/>
      <c r="X884" s="120"/>
      <c r="Y884" s="120"/>
      <c r="Z884" s="120"/>
      <c r="AA884" s="120"/>
    </row>
    <row r="885">
      <c r="A885" s="120"/>
      <c r="B885" s="120"/>
      <c r="C885" s="120"/>
      <c r="D885" s="120"/>
      <c r="E885" s="120"/>
      <c r="F885" s="120"/>
      <c r="G885" s="120"/>
      <c r="H885" s="120"/>
      <c r="I885" s="120"/>
      <c r="J885" s="120"/>
      <c r="K885" s="120"/>
      <c r="L885" s="120"/>
      <c r="M885" s="120"/>
      <c r="N885" s="120"/>
      <c r="O885" s="120"/>
      <c r="P885" s="120"/>
      <c r="Q885" s="120"/>
      <c r="R885" s="120"/>
      <c r="S885" s="120"/>
      <c r="T885" s="120"/>
      <c r="U885" s="120"/>
      <c r="V885" s="120"/>
      <c r="W885" s="120"/>
      <c r="X885" s="120"/>
      <c r="Y885" s="120"/>
      <c r="Z885" s="120"/>
      <c r="AA885" s="120"/>
    </row>
    <row r="886">
      <c r="A886" s="120"/>
      <c r="B886" s="120"/>
      <c r="C886" s="120"/>
      <c r="D886" s="120"/>
      <c r="E886" s="120"/>
      <c r="F886" s="120"/>
      <c r="G886" s="120"/>
      <c r="H886" s="120"/>
      <c r="I886" s="120"/>
      <c r="J886" s="120"/>
      <c r="K886" s="120"/>
      <c r="L886" s="120"/>
      <c r="M886" s="120"/>
      <c r="N886" s="120"/>
      <c r="O886" s="120"/>
      <c r="P886" s="120"/>
      <c r="Q886" s="120"/>
      <c r="R886" s="120"/>
      <c r="S886" s="120"/>
      <c r="T886" s="120"/>
      <c r="U886" s="120"/>
      <c r="V886" s="120"/>
      <c r="W886" s="120"/>
      <c r="X886" s="120"/>
      <c r="Y886" s="120"/>
      <c r="Z886" s="120"/>
      <c r="AA886" s="120"/>
    </row>
    <row r="887">
      <c r="A887" s="120"/>
      <c r="B887" s="120"/>
      <c r="C887" s="120"/>
      <c r="D887" s="120"/>
      <c r="E887" s="120"/>
      <c r="F887" s="120"/>
      <c r="G887" s="120"/>
      <c r="H887" s="120"/>
      <c r="I887" s="120"/>
      <c r="J887" s="120"/>
      <c r="K887" s="120"/>
      <c r="L887" s="120"/>
      <c r="M887" s="120"/>
      <c r="N887" s="120"/>
      <c r="O887" s="120"/>
      <c r="P887" s="120"/>
      <c r="Q887" s="120"/>
      <c r="R887" s="120"/>
      <c r="S887" s="120"/>
      <c r="T887" s="120"/>
      <c r="U887" s="120"/>
      <c r="V887" s="120"/>
      <c r="W887" s="120"/>
      <c r="X887" s="120"/>
      <c r="Y887" s="120"/>
      <c r="Z887" s="120"/>
      <c r="AA887" s="120"/>
    </row>
    <row r="888">
      <c r="A888" s="120"/>
      <c r="B888" s="120"/>
      <c r="C888" s="120"/>
      <c r="D888" s="120"/>
      <c r="E888" s="120"/>
      <c r="F888" s="120"/>
      <c r="G888" s="120"/>
      <c r="H888" s="120"/>
      <c r="I888" s="120"/>
      <c r="J888" s="120"/>
      <c r="K888" s="120"/>
      <c r="L888" s="120"/>
      <c r="M888" s="120"/>
      <c r="N888" s="120"/>
      <c r="O888" s="120"/>
      <c r="P888" s="120"/>
      <c r="Q888" s="120"/>
      <c r="R888" s="120"/>
      <c r="S888" s="120"/>
      <c r="T888" s="120"/>
      <c r="U888" s="120"/>
      <c r="V888" s="120"/>
      <c r="W888" s="120"/>
      <c r="X888" s="120"/>
      <c r="Y888" s="120"/>
      <c r="Z888" s="120"/>
      <c r="AA888" s="120"/>
    </row>
    <row r="889">
      <c r="A889" s="120"/>
      <c r="B889" s="120"/>
      <c r="C889" s="120"/>
      <c r="D889" s="120"/>
      <c r="E889" s="120"/>
      <c r="F889" s="120"/>
      <c r="G889" s="120"/>
      <c r="H889" s="120"/>
      <c r="I889" s="120"/>
      <c r="J889" s="120"/>
      <c r="K889" s="120"/>
      <c r="L889" s="120"/>
      <c r="M889" s="120"/>
      <c r="N889" s="120"/>
      <c r="O889" s="120"/>
      <c r="P889" s="120"/>
      <c r="Q889" s="120"/>
      <c r="R889" s="120"/>
      <c r="S889" s="120"/>
      <c r="T889" s="120"/>
      <c r="U889" s="120"/>
      <c r="V889" s="120"/>
      <c r="W889" s="120"/>
      <c r="X889" s="120"/>
      <c r="Y889" s="120"/>
      <c r="Z889" s="120"/>
      <c r="AA889" s="120"/>
    </row>
    <row r="890">
      <c r="A890" s="120"/>
      <c r="B890" s="120"/>
      <c r="C890" s="120"/>
      <c r="D890" s="120"/>
      <c r="E890" s="120"/>
      <c r="F890" s="120"/>
      <c r="G890" s="120"/>
      <c r="H890" s="120"/>
      <c r="I890" s="120"/>
      <c r="J890" s="120"/>
      <c r="K890" s="120"/>
      <c r="L890" s="120"/>
      <c r="M890" s="120"/>
      <c r="N890" s="120"/>
      <c r="O890" s="120"/>
      <c r="P890" s="120"/>
      <c r="Q890" s="120"/>
      <c r="R890" s="120"/>
      <c r="S890" s="120"/>
      <c r="T890" s="120"/>
      <c r="U890" s="120"/>
      <c r="V890" s="120"/>
      <c r="W890" s="120"/>
      <c r="X890" s="120"/>
      <c r="Y890" s="120"/>
      <c r="Z890" s="120"/>
      <c r="AA890" s="120"/>
    </row>
    <row r="891">
      <c r="A891" s="120"/>
      <c r="B891" s="120"/>
      <c r="C891" s="120"/>
      <c r="D891" s="120"/>
      <c r="E891" s="120"/>
      <c r="F891" s="120"/>
      <c r="G891" s="120"/>
      <c r="H891" s="120"/>
      <c r="I891" s="120"/>
      <c r="J891" s="120"/>
      <c r="K891" s="120"/>
      <c r="L891" s="120"/>
      <c r="M891" s="120"/>
      <c r="N891" s="120"/>
      <c r="O891" s="120"/>
      <c r="P891" s="120"/>
      <c r="Q891" s="120"/>
      <c r="R891" s="120"/>
      <c r="S891" s="120"/>
      <c r="T891" s="120"/>
      <c r="U891" s="120"/>
      <c r="V891" s="120"/>
      <c r="W891" s="120"/>
      <c r="X891" s="120"/>
      <c r="Y891" s="120"/>
      <c r="Z891" s="120"/>
      <c r="AA891" s="120"/>
    </row>
    <row r="892">
      <c r="A892" s="120"/>
      <c r="B892" s="120"/>
      <c r="C892" s="120"/>
      <c r="D892" s="120"/>
      <c r="E892" s="120"/>
      <c r="F892" s="120"/>
      <c r="G892" s="120"/>
      <c r="H892" s="120"/>
      <c r="I892" s="120"/>
      <c r="J892" s="120"/>
      <c r="K892" s="120"/>
      <c r="L892" s="120"/>
      <c r="M892" s="120"/>
      <c r="N892" s="120"/>
      <c r="O892" s="120"/>
      <c r="P892" s="120"/>
      <c r="Q892" s="120"/>
      <c r="R892" s="120"/>
      <c r="S892" s="120"/>
      <c r="T892" s="120"/>
      <c r="U892" s="120"/>
      <c r="V892" s="120"/>
      <c r="W892" s="120"/>
      <c r="X892" s="120"/>
      <c r="Y892" s="120"/>
      <c r="Z892" s="120"/>
      <c r="AA892" s="120"/>
    </row>
    <row r="893">
      <c r="A893" s="120"/>
      <c r="B893" s="120"/>
      <c r="C893" s="120"/>
      <c r="D893" s="120"/>
      <c r="E893" s="120"/>
      <c r="F893" s="120"/>
      <c r="G893" s="120"/>
      <c r="H893" s="120"/>
      <c r="I893" s="120"/>
      <c r="J893" s="120"/>
      <c r="K893" s="120"/>
      <c r="L893" s="120"/>
      <c r="M893" s="120"/>
      <c r="N893" s="120"/>
      <c r="O893" s="120"/>
      <c r="P893" s="120"/>
      <c r="Q893" s="120"/>
      <c r="R893" s="120"/>
      <c r="S893" s="120"/>
      <c r="T893" s="120"/>
      <c r="U893" s="120"/>
      <c r="V893" s="120"/>
      <c r="W893" s="120"/>
      <c r="X893" s="120"/>
      <c r="Y893" s="120"/>
      <c r="Z893" s="120"/>
      <c r="AA893" s="120"/>
    </row>
    <row r="894">
      <c r="A894" s="120"/>
      <c r="B894" s="120"/>
      <c r="C894" s="120"/>
      <c r="D894" s="120"/>
      <c r="E894" s="120"/>
      <c r="F894" s="120"/>
      <c r="G894" s="120"/>
      <c r="H894" s="120"/>
      <c r="I894" s="120"/>
      <c r="J894" s="120"/>
      <c r="K894" s="120"/>
      <c r="L894" s="120"/>
      <c r="M894" s="120"/>
      <c r="N894" s="120"/>
      <c r="O894" s="120"/>
      <c r="P894" s="120"/>
      <c r="Q894" s="120"/>
      <c r="R894" s="120"/>
      <c r="S894" s="120"/>
      <c r="T894" s="120"/>
      <c r="U894" s="120"/>
      <c r="V894" s="120"/>
      <c r="W894" s="120"/>
      <c r="X894" s="120"/>
      <c r="Y894" s="120"/>
      <c r="Z894" s="120"/>
      <c r="AA894" s="120"/>
    </row>
    <row r="895">
      <c r="A895" s="120"/>
      <c r="B895" s="120"/>
      <c r="C895" s="120"/>
      <c r="D895" s="120"/>
      <c r="E895" s="120"/>
      <c r="F895" s="120"/>
      <c r="G895" s="120"/>
      <c r="H895" s="120"/>
      <c r="I895" s="120"/>
      <c r="J895" s="120"/>
      <c r="K895" s="120"/>
      <c r="L895" s="120"/>
      <c r="M895" s="120"/>
      <c r="N895" s="120"/>
      <c r="O895" s="120"/>
      <c r="P895" s="120"/>
      <c r="Q895" s="120"/>
      <c r="R895" s="120"/>
      <c r="S895" s="120"/>
      <c r="T895" s="120"/>
      <c r="U895" s="120"/>
      <c r="V895" s="120"/>
      <c r="W895" s="120"/>
      <c r="X895" s="120"/>
      <c r="Y895" s="120"/>
      <c r="Z895" s="120"/>
      <c r="AA895" s="120"/>
    </row>
    <row r="896">
      <c r="A896" s="120"/>
      <c r="B896" s="120"/>
      <c r="C896" s="120"/>
      <c r="D896" s="120"/>
      <c r="E896" s="120"/>
      <c r="F896" s="120"/>
      <c r="G896" s="120"/>
      <c r="H896" s="120"/>
      <c r="I896" s="120"/>
      <c r="J896" s="120"/>
      <c r="K896" s="120"/>
      <c r="L896" s="120"/>
      <c r="M896" s="120"/>
      <c r="N896" s="120"/>
      <c r="O896" s="120"/>
      <c r="P896" s="120"/>
      <c r="Q896" s="120"/>
      <c r="R896" s="120"/>
      <c r="S896" s="120"/>
      <c r="T896" s="120"/>
      <c r="U896" s="120"/>
      <c r="V896" s="120"/>
      <c r="W896" s="120"/>
      <c r="X896" s="120"/>
      <c r="Y896" s="120"/>
      <c r="Z896" s="120"/>
      <c r="AA896" s="120"/>
    </row>
    <row r="897">
      <c r="A897" s="120"/>
      <c r="B897" s="120"/>
      <c r="C897" s="120"/>
      <c r="D897" s="120"/>
      <c r="E897" s="120"/>
      <c r="F897" s="120"/>
      <c r="G897" s="120"/>
      <c r="H897" s="120"/>
      <c r="I897" s="120"/>
      <c r="J897" s="120"/>
      <c r="K897" s="120"/>
      <c r="L897" s="120"/>
      <c r="M897" s="120"/>
      <c r="N897" s="120"/>
      <c r="O897" s="120"/>
      <c r="P897" s="120"/>
      <c r="Q897" s="120"/>
      <c r="R897" s="120"/>
      <c r="S897" s="120"/>
      <c r="T897" s="120"/>
      <c r="U897" s="120"/>
      <c r="V897" s="120"/>
      <c r="W897" s="120"/>
      <c r="X897" s="120"/>
      <c r="Y897" s="120"/>
      <c r="Z897" s="120"/>
      <c r="AA897" s="120"/>
    </row>
    <row r="898">
      <c r="A898" s="120"/>
      <c r="B898" s="120"/>
      <c r="C898" s="120"/>
      <c r="D898" s="120"/>
      <c r="E898" s="120"/>
      <c r="F898" s="120"/>
      <c r="G898" s="120"/>
      <c r="H898" s="120"/>
      <c r="I898" s="120"/>
      <c r="J898" s="120"/>
      <c r="K898" s="120"/>
      <c r="L898" s="120"/>
      <c r="M898" s="120"/>
      <c r="N898" s="120"/>
      <c r="O898" s="120"/>
      <c r="P898" s="120"/>
      <c r="Q898" s="120"/>
      <c r="R898" s="120"/>
      <c r="S898" s="120"/>
      <c r="T898" s="120"/>
      <c r="U898" s="120"/>
      <c r="V898" s="120"/>
      <c r="W898" s="120"/>
      <c r="X898" s="120"/>
      <c r="Y898" s="120"/>
      <c r="Z898" s="120"/>
      <c r="AA898" s="120"/>
    </row>
    <row r="899">
      <c r="A899" s="120"/>
      <c r="B899" s="120"/>
      <c r="C899" s="120"/>
      <c r="D899" s="120"/>
      <c r="E899" s="120"/>
      <c r="F899" s="120"/>
      <c r="G899" s="120"/>
      <c r="H899" s="120"/>
      <c r="I899" s="120"/>
      <c r="J899" s="120"/>
      <c r="K899" s="120"/>
      <c r="L899" s="120"/>
      <c r="M899" s="120"/>
      <c r="N899" s="120"/>
      <c r="O899" s="120"/>
      <c r="P899" s="120"/>
      <c r="Q899" s="120"/>
      <c r="R899" s="120"/>
      <c r="S899" s="120"/>
      <c r="T899" s="120"/>
      <c r="U899" s="120"/>
      <c r="V899" s="120"/>
      <c r="W899" s="120"/>
      <c r="X899" s="120"/>
      <c r="Y899" s="120"/>
      <c r="Z899" s="120"/>
      <c r="AA899" s="120"/>
    </row>
    <row r="900">
      <c r="A900" s="120"/>
      <c r="B900" s="120"/>
      <c r="C900" s="120"/>
      <c r="D900" s="120"/>
      <c r="E900" s="120"/>
      <c r="F900" s="120"/>
      <c r="G900" s="120"/>
      <c r="H900" s="120"/>
      <c r="I900" s="120"/>
      <c r="J900" s="120"/>
      <c r="K900" s="120"/>
      <c r="L900" s="120"/>
      <c r="M900" s="120"/>
      <c r="N900" s="120"/>
      <c r="O900" s="120"/>
      <c r="P900" s="120"/>
      <c r="Q900" s="120"/>
      <c r="R900" s="120"/>
      <c r="S900" s="120"/>
      <c r="T900" s="120"/>
      <c r="U900" s="120"/>
      <c r="V900" s="120"/>
      <c r="W900" s="120"/>
      <c r="X900" s="120"/>
      <c r="Y900" s="120"/>
      <c r="Z900" s="120"/>
      <c r="AA900" s="120"/>
    </row>
    <row r="901">
      <c r="A901" s="120"/>
      <c r="B901" s="120"/>
      <c r="C901" s="120"/>
      <c r="D901" s="120"/>
      <c r="E901" s="120"/>
      <c r="F901" s="120"/>
      <c r="G901" s="120"/>
      <c r="H901" s="120"/>
      <c r="I901" s="120"/>
      <c r="J901" s="120"/>
      <c r="K901" s="120"/>
      <c r="L901" s="120"/>
      <c r="M901" s="120"/>
      <c r="N901" s="120"/>
      <c r="O901" s="120"/>
      <c r="P901" s="120"/>
      <c r="Q901" s="120"/>
      <c r="R901" s="120"/>
      <c r="S901" s="120"/>
      <c r="T901" s="120"/>
      <c r="U901" s="120"/>
      <c r="V901" s="120"/>
      <c r="W901" s="120"/>
      <c r="X901" s="120"/>
      <c r="Y901" s="120"/>
      <c r="Z901" s="120"/>
      <c r="AA901" s="120"/>
    </row>
    <row r="902">
      <c r="A902" s="120"/>
      <c r="B902" s="120"/>
      <c r="C902" s="120"/>
      <c r="D902" s="120"/>
      <c r="E902" s="120"/>
      <c r="F902" s="120"/>
      <c r="G902" s="120"/>
      <c r="H902" s="120"/>
      <c r="I902" s="120"/>
      <c r="J902" s="120"/>
      <c r="K902" s="120"/>
      <c r="L902" s="120"/>
      <c r="M902" s="120"/>
      <c r="N902" s="120"/>
      <c r="O902" s="120"/>
      <c r="P902" s="120"/>
      <c r="Q902" s="120"/>
      <c r="R902" s="120"/>
      <c r="S902" s="120"/>
      <c r="T902" s="120"/>
      <c r="U902" s="120"/>
      <c r="V902" s="120"/>
      <c r="W902" s="120"/>
      <c r="X902" s="120"/>
      <c r="Y902" s="120"/>
      <c r="Z902" s="120"/>
      <c r="AA902" s="120"/>
    </row>
    <row r="903">
      <c r="A903" s="120"/>
      <c r="B903" s="120"/>
      <c r="C903" s="120"/>
      <c r="D903" s="120"/>
      <c r="E903" s="120"/>
      <c r="F903" s="120"/>
      <c r="G903" s="120"/>
      <c r="H903" s="120"/>
      <c r="I903" s="120"/>
      <c r="J903" s="120"/>
      <c r="K903" s="120"/>
      <c r="L903" s="120"/>
      <c r="M903" s="120"/>
      <c r="N903" s="120"/>
      <c r="O903" s="120"/>
      <c r="P903" s="120"/>
      <c r="Q903" s="120"/>
      <c r="R903" s="120"/>
      <c r="S903" s="120"/>
      <c r="T903" s="120"/>
      <c r="U903" s="120"/>
      <c r="V903" s="120"/>
      <c r="W903" s="120"/>
      <c r="X903" s="120"/>
      <c r="Y903" s="120"/>
      <c r="Z903" s="120"/>
      <c r="AA903" s="120"/>
    </row>
    <row r="904">
      <c r="A904" s="120"/>
      <c r="B904" s="120"/>
      <c r="C904" s="120"/>
      <c r="D904" s="120"/>
      <c r="E904" s="120"/>
      <c r="F904" s="120"/>
      <c r="G904" s="120"/>
      <c r="H904" s="120"/>
      <c r="I904" s="120"/>
      <c r="J904" s="120"/>
      <c r="K904" s="120"/>
      <c r="L904" s="120"/>
      <c r="M904" s="120"/>
      <c r="N904" s="120"/>
      <c r="O904" s="120"/>
      <c r="P904" s="120"/>
      <c r="Q904" s="120"/>
      <c r="R904" s="120"/>
      <c r="S904" s="120"/>
      <c r="T904" s="120"/>
      <c r="U904" s="120"/>
      <c r="V904" s="120"/>
      <c r="W904" s="120"/>
      <c r="X904" s="120"/>
      <c r="Y904" s="120"/>
      <c r="Z904" s="120"/>
      <c r="AA904" s="120"/>
    </row>
    <row r="905">
      <c r="A905" s="120"/>
      <c r="B905" s="120"/>
      <c r="C905" s="120"/>
      <c r="D905" s="120"/>
      <c r="E905" s="120"/>
      <c r="F905" s="120"/>
      <c r="G905" s="120"/>
      <c r="H905" s="120"/>
      <c r="I905" s="120"/>
      <c r="J905" s="120"/>
      <c r="K905" s="120"/>
      <c r="L905" s="120"/>
      <c r="M905" s="120"/>
      <c r="N905" s="120"/>
      <c r="O905" s="120"/>
      <c r="P905" s="120"/>
      <c r="Q905" s="120"/>
      <c r="R905" s="120"/>
      <c r="S905" s="120"/>
      <c r="T905" s="120"/>
      <c r="U905" s="120"/>
      <c r="V905" s="120"/>
      <c r="W905" s="120"/>
      <c r="X905" s="120"/>
      <c r="Y905" s="120"/>
      <c r="Z905" s="120"/>
      <c r="AA905" s="120"/>
    </row>
    <row r="906">
      <c r="A906" s="120"/>
      <c r="B906" s="120"/>
      <c r="C906" s="120"/>
      <c r="D906" s="120"/>
      <c r="E906" s="120"/>
      <c r="F906" s="120"/>
      <c r="G906" s="120"/>
      <c r="H906" s="120"/>
      <c r="I906" s="120"/>
      <c r="J906" s="120"/>
      <c r="K906" s="120"/>
      <c r="L906" s="120"/>
      <c r="M906" s="120"/>
      <c r="N906" s="120"/>
      <c r="O906" s="120"/>
      <c r="P906" s="120"/>
      <c r="Q906" s="120"/>
      <c r="R906" s="120"/>
      <c r="S906" s="120"/>
      <c r="T906" s="120"/>
      <c r="U906" s="120"/>
      <c r="V906" s="120"/>
      <c r="W906" s="120"/>
      <c r="X906" s="120"/>
      <c r="Y906" s="120"/>
      <c r="Z906" s="120"/>
      <c r="AA906" s="120"/>
    </row>
    <row r="907">
      <c r="A907" s="120"/>
      <c r="B907" s="120"/>
      <c r="C907" s="120"/>
      <c r="D907" s="120"/>
      <c r="E907" s="120"/>
      <c r="F907" s="120"/>
      <c r="G907" s="120"/>
      <c r="H907" s="120"/>
      <c r="I907" s="120"/>
      <c r="J907" s="120"/>
      <c r="K907" s="120"/>
      <c r="L907" s="120"/>
      <c r="M907" s="120"/>
      <c r="N907" s="120"/>
      <c r="O907" s="120"/>
      <c r="P907" s="120"/>
      <c r="Q907" s="120"/>
      <c r="R907" s="120"/>
      <c r="S907" s="120"/>
      <c r="T907" s="120"/>
      <c r="U907" s="120"/>
      <c r="V907" s="120"/>
      <c r="W907" s="120"/>
      <c r="X907" s="120"/>
      <c r="Y907" s="120"/>
      <c r="Z907" s="120"/>
      <c r="AA907" s="120"/>
    </row>
    <row r="908">
      <c r="A908" s="120"/>
      <c r="B908" s="120"/>
      <c r="C908" s="120"/>
      <c r="D908" s="120"/>
      <c r="E908" s="120"/>
      <c r="F908" s="120"/>
      <c r="G908" s="120"/>
      <c r="H908" s="120"/>
      <c r="I908" s="120"/>
      <c r="J908" s="120"/>
      <c r="K908" s="120"/>
      <c r="L908" s="120"/>
      <c r="M908" s="120"/>
      <c r="N908" s="120"/>
      <c r="O908" s="120"/>
      <c r="P908" s="120"/>
      <c r="Q908" s="120"/>
      <c r="R908" s="120"/>
      <c r="S908" s="120"/>
      <c r="T908" s="120"/>
      <c r="U908" s="120"/>
      <c r="V908" s="120"/>
      <c r="W908" s="120"/>
      <c r="X908" s="120"/>
      <c r="Y908" s="120"/>
      <c r="Z908" s="120"/>
      <c r="AA908" s="120"/>
    </row>
    <row r="909">
      <c r="A909" s="120"/>
      <c r="B909" s="120"/>
      <c r="C909" s="120"/>
      <c r="D909" s="120"/>
      <c r="E909" s="120"/>
      <c r="F909" s="120"/>
      <c r="G909" s="120"/>
      <c r="H909" s="120"/>
      <c r="I909" s="120"/>
      <c r="J909" s="120"/>
      <c r="K909" s="120"/>
      <c r="L909" s="120"/>
      <c r="M909" s="120"/>
      <c r="N909" s="120"/>
      <c r="O909" s="120"/>
      <c r="P909" s="120"/>
      <c r="Q909" s="120"/>
      <c r="R909" s="120"/>
      <c r="S909" s="120"/>
      <c r="T909" s="120"/>
      <c r="U909" s="120"/>
      <c r="V909" s="120"/>
      <c r="W909" s="120"/>
      <c r="X909" s="120"/>
      <c r="Y909" s="120"/>
      <c r="Z909" s="120"/>
      <c r="AA909" s="120"/>
    </row>
    <row r="910">
      <c r="A910" s="120"/>
      <c r="B910" s="120"/>
      <c r="C910" s="120"/>
      <c r="D910" s="120"/>
      <c r="E910" s="120"/>
      <c r="F910" s="120"/>
      <c r="G910" s="120"/>
      <c r="H910" s="120"/>
      <c r="I910" s="120"/>
      <c r="J910" s="120"/>
      <c r="K910" s="120"/>
      <c r="L910" s="120"/>
      <c r="M910" s="120"/>
      <c r="N910" s="120"/>
      <c r="O910" s="120"/>
      <c r="P910" s="120"/>
      <c r="Q910" s="120"/>
      <c r="R910" s="120"/>
      <c r="S910" s="120"/>
      <c r="T910" s="120"/>
      <c r="U910" s="120"/>
      <c r="V910" s="120"/>
      <c r="W910" s="120"/>
      <c r="X910" s="120"/>
      <c r="Y910" s="120"/>
      <c r="Z910" s="120"/>
      <c r="AA910" s="120"/>
    </row>
    <row r="911">
      <c r="A911" s="120"/>
      <c r="B911" s="120"/>
      <c r="C911" s="120"/>
      <c r="D911" s="120"/>
      <c r="E911" s="120"/>
      <c r="F911" s="120"/>
      <c r="G911" s="120"/>
      <c r="H911" s="120"/>
      <c r="I911" s="120"/>
      <c r="J911" s="120"/>
      <c r="K911" s="120"/>
      <c r="L911" s="120"/>
      <c r="M911" s="120"/>
      <c r="N911" s="120"/>
      <c r="O911" s="120"/>
      <c r="P911" s="120"/>
      <c r="Q911" s="120"/>
      <c r="R911" s="120"/>
      <c r="S911" s="120"/>
      <c r="T911" s="120"/>
      <c r="U911" s="120"/>
      <c r="V911" s="120"/>
      <c r="W911" s="120"/>
      <c r="X911" s="120"/>
      <c r="Y911" s="120"/>
      <c r="Z911" s="120"/>
      <c r="AA911" s="120"/>
    </row>
    <row r="912">
      <c r="A912" s="120"/>
      <c r="B912" s="120"/>
      <c r="C912" s="120"/>
      <c r="D912" s="120"/>
      <c r="E912" s="120"/>
      <c r="F912" s="120"/>
      <c r="G912" s="120"/>
      <c r="H912" s="120"/>
      <c r="I912" s="120"/>
      <c r="J912" s="120"/>
      <c r="K912" s="120"/>
      <c r="L912" s="120"/>
      <c r="M912" s="120"/>
      <c r="N912" s="120"/>
      <c r="O912" s="120"/>
      <c r="P912" s="120"/>
      <c r="Q912" s="120"/>
      <c r="R912" s="120"/>
      <c r="S912" s="120"/>
      <c r="T912" s="120"/>
      <c r="U912" s="120"/>
      <c r="V912" s="120"/>
      <c r="W912" s="120"/>
      <c r="X912" s="120"/>
      <c r="Y912" s="120"/>
      <c r="Z912" s="120"/>
      <c r="AA912" s="120"/>
    </row>
    <row r="913">
      <c r="A913" s="120"/>
      <c r="B913" s="120"/>
      <c r="C913" s="120"/>
      <c r="D913" s="120"/>
      <c r="E913" s="120"/>
      <c r="F913" s="120"/>
      <c r="G913" s="120"/>
      <c r="H913" s="120"/>
      <c r="I913" s="120"/>
      <c r="J913" s="120"/>
      <c r="K913" s="120"/>
      <c r="L913" s="120"/>
      <c r="M913" s="120"/>
      <c r="N913" s="120"/>
      <c r="O913" s="120"/>
      <c r="P913" s="120"/>
      <c r="Q913" s="120"/>
      <c r="R913" s="120"/>
      <c r="S913" s="120"/>
      <c r="T913" s="120"/>
      <c r="U913" s="120"/>
      <c r="V913" s="120"/>
      <c r="W913" s="120"/>
      <c r="X913" s="120"/>
      <c r="Y913" s="120"/>
      <c r="Z913" s="120"/>
      <c r="AA913" s="120"/>
    </row>
    <row r="914">
      <c r="A914" s="120"/>
      <c r="B914" s="120"/>
      <c r="C914" s="120"/>
      <c r="D914" s="120"/>
      <c r="E914" s="120"/>
      <c r="F914" s="120"/>
      <c r="G914" s="120"/>
      <c r="H914" s="120"/>
      <c r="I914" s="120"/>
      <c r="J914" s="120"/>
      <c r="K914" s="120"/>
      <c r="L914" s="120"/>
      <c r="M914" s="120"/>
      <c r="N914" s="120"/>
      <c r="O914" s="120"/>
      <c r="P914" s="120"/>
      <c r="Q914" s="120"/>
      <c r="R914" s="120"/>
      <c r="S914" s="120"/>
      <c r="T914" s="120"/>
      <c r="U914" s="120"/>
      <c r="V914" s="120"/>
      <c r="W914" s="120"/>
      <c r="X914" s="120"/>
      <c r="Y914" s="120"/>
      <c r="Z914" s="120"/>
      <c r="AA914" s="120"/>
    </row>
    <row r="915">
      <c r="A915" s="120"/>
      <c r="B915" s="120"/>
      <c r="C915" s="120"/>
      <c r="D915" s="120"/>
      <c r="E915" s="120"/>
      <c r="F915" s="120"/>
      <c r="G915" s="120"/>
      <c r="H915" s="120"/>
      <c r="I915" s="120"/>
      <c r="J915" s="120"/>
      <c r="K915" s="120"/>
      <c r="L915" s="120"/>
      <c r="M915" s="120"/>
      <c r="N915" s="120"/>
      <c r="O915" s="120"/>
      <c r="P915" s="120"/>
      <c r="Q915" s="120"/>
      <c r="R915" s="120"/>
      <c r="S915" s="120"/>
      <c r="T915" s="120"/>
      <c r="U915" s="120"/>
      <c r="V915" s="120"/>
      <c r="W915" s="120"/>
      <c r="X915" s="120"/>
      <c r="Y915" s="120"/>
      <c r="Z915" s="120"/>
      <c r="AA915" s="120"/>
    </row>
    <row r="916">
      <c r="A916" s="120"/>
      <c r="B916" s="120"/>
      <c r="C916" s="120"/>
      <c r="D916" s="120"/>
      <c r="E916" s="120"/>
      <c r="F916" s="120"/>
      <c r="G916" s="120"/>
      <c r="H916" s="120"/>
      <c r="I916" s="120"/>
      <c r="J916" s="120"/>
      <c r="K916" s="120"/>
      <c r="L916" s="120"/>
      <c r="M916" s="120"/>
      <c r="N916" s="120"/>
      <c r="O916" s="120"/>
      <c r="P916" s="120"/>
      <c r="Q916" s="120"/>
      <c r="R916" s="120"/>
      <c r="S916" s="120"/>
      <c r="T916" s="120"/>
      <c r="U916" s="120"/>
      <c r="V916" s="120"/>
      <c r="W916" s="120"/>
      <c r="X916" s="120"/>
      <c r="Y916" s="120"/>
      <c r="Z916" s="120"/>
      <c r="AA916" s="120"/>
    </row>
    <row r="917">
      <c r="A917" s="120"/>
      <c r="B917" s="120"/>
      <c r="C917" s="120"/>
      <c r="D917" s="120"/>
      <c r="E917" s="120"/>
      <c r="F917" s="120"/>
      <c r="G917" s="120"/>
      <c r="H917" s="120"/>
      <c r="I917" s="120"/>
      <c r="J917" s="120"/>
      <c r="K917" s="120"/>
      <c r="L917" s="120"/>
      <c r="M917" s="120"/>
      <c r="N917" s="120"/>
      <c r="O917" s="120"/>
      <c r="P917" s="120"/>
      <c r="Q917" s="120"/>
      <c r="R917" s="120"/>
      <c r="S917" s="120"/>
      <c r="T917" s="120"/>
      <c r="U917" s="120"/>
      <c r="V917" s="120"/>
      <c r="W917" s="120"/>
      <c r="X917" s="120"/>
      <c r="Y917" s="120"/>
      <c r="Z917" s="120"/>
      <c r="AA917" s="120"/>
    </row>
    <row r="918">
      <c r="A918" s="120"/>
      <c r="B918" s="120"/>
      <c r="C918" s="120"/>
      <c r="D918" s="120"/>
      <c r="E918" s="120"/>
      <c r="F918" s="120"/>
      <c r="G918" s="120"/>
      <c r="H918" s="120"/>
      <c r="I918" s="120"/>
      <c r="J918" s="120"/>
      <c r="K918" s="120"/>
      <c r="L918" s="120"/>
      <c r="M918" s="120"/>
      <c r="N918" s="120"/>
      <c r="O918" s="120"/>
      <c r="P918" s="120"/>
      <c r="Q918" s="120"/>
      <c r="R918" s="120"/>
      <c r="S918" s="120"/>
      <c r="T918" s="120"/>
      <c r="U918" s="120"/>
      <c r="V918" s="120"/>
      <c r="W918" s="120"/>
      <c r="X918" s="120"/>
      <c r="Y918" s="120"/>
      <c r="Z918" s="120"/>
      <c r="AA918" s="120"/>
    </row>
    <row r="919">
      <c r="A919" s="120"/>
      <c r="B919" s="120"/>
      <c r="C919" s="120"/>
      <c r="D919" s="120"/>
      <c r="E919" s="120"/>
      <c r="F919" s="120"/>
      <c r="G919" s="120"/>
      <c r="H919" s="120"/>
      <c r="I919" s="120"/>
      <c r="J919" s="120"/>
      <c r="K919" s="120"/>
      <c r="L919" s="120"/>
      <c r="M919" s="120"/>
      <c r="N919" s="120"/>
      <c r="O919" s="120"/>
      <c r="P919" s="120"/>
      <c r="Q919" s="120"/>
      <c r="R919" s="120"/>
      <c r="S919" s="120"/>
      <c r="T919" s="120"/>
      <c r="U919" s="120"/>
      <c r="V919" s="120"/>
      <c r="W919" s="120"/>
      <c r="X919" s="120"/>
      <c r="Y919" s="120"/>
      <c r="Z919" s="120"/>
      <c r="AA919" s="120"/>
    </row>
    <row r="920">
      <c r="A920" s="120"/>
      <c r="B920" s="120"/>
      <c r="C920" s="120"/>
      <c r="D920" s="120"/>
      <c r="E920" s="120"/>
      <c r="F920" s="120"/>
      <c r="G920" s="120"/>
      <c r="H920" s="120"/>
      <c r="I920" s="120"/>
      <c r="J920" s="120"/>
      <c r="K920" s="120"/>
      <c r="L920" s="120"/>
      <c r="M920" s="120"/>
      <c r="N920" s="120"/>
      <c r="O920" s="120"/>
      <c r="P920" s="120"/>
      <c r="Q920" s="120"/>
      <c r="R920" s="120"/>
      <c r="S920" s="120"/>
      <c r="T920" s="120"/>
      <c r="U920" s="120"/>
      <c r="V920" s="120"/>
      <c r="W920" s="120"/>
      <c r="X920" s="120"/>
      <c r="Y920" s="120"/>
      <c r="Z920" s="120"/>
      <c r="AA920" s="120"/>
    </row>
    <row r="921">
      <c r="A921" s="120"/>
      <c r="B921" s="120"/>
      <c r="C921" s="120"/>
      <c r="D921" s="120"/>
      <c r="E921" s="120"/>
      <c r="F921" s="120"/>
      <c r="G921" s="120"/>
      <c r="H921" s="120"/>
      <c r="I921" s="120"/>
      <c r="J921" s="120"/>
      <c r="K921" s="120"/>
      <c r="L921" s="120"/>
      <c r="M921" s="120"/>
      <c r="N921" s="120"/>
      <c r="O921" s="120"/>
      <c r="P921" s="120"/>
      <c r="Q921" s="120"/>
      <c r="R921" s="120"/>
      <c r="S921" s="120"/>
      <c r="T921" s="120"/>
      <c r="U921" s="120"/>
      <c r="V921" s="120"/>
      <c r="W921" s="120"/>
      <c r="X921" s="120"/>
      <c r="Y921" s="120"/>
      <c r="Z921" s="120"/>
      <c r="AA921" s="120"/>
    </row>
    <row r="922">
      <c r="A922" s="120"/>
      <c r="B922" s="120"/>
      <c r="C922" s="120"/>
      <c r="D922" s="120"/>
      <c r="E922" s="120"/>
      <c r="F922" s="120"/>
      <c r="G922" s="120"/>
      <c r="H922" s="120"/>
      <c r="I922" s="120"/>
      <c r="J922" s="120"/>
      <c r="K922" s="120"/>
      <c r="L922" s="120"/>
      <c r="M922" s="120"/>
      <c r="N922" s="120"/>
      <c r="O922" s="120"/>
      <c r="P922" s="120"/>
      <c r="Q922" s="120"/>
      <c r="R922" s="120"/>
      <c r="S922" s="120"/>
      <c r="T922" s="120"/>
      <c r="U922" s="120"/>
      <c r="V922" s="120"/>
      <c r="W922" s="120"/>
      <c r="X922" s="120"/>
      <c r="Y922" s="120"/>
      <c r="Z922" s="120"/>
      <c r="AA922" s="120"/>
    </row>
    <row r="923">
      <c r="A923" s="120"/>
      <c r="B923" s="120"/>
      <c r="C923" s="120"/>
      <c r="D923" s="120"/>
      <c r="E923" s="120"/>
      <c r="F923" s="120"/>
      <c r="G923" s="120"/>
      <c r="H923" s="120"/>
      <c r="I923" s="120"/>
      <c r="J923" s="120"/>
      <c r="K923" s="120"/>
      <c r="L923" s="120"/>
      <c r="M923" s="120"/>
      <c r="N923" s="120"/>
      <c r="O923" s="120"/>
      <c r="P923" s="120"/>
      <c r="Q923" s="120"/>
      <c r="R923" s="120"/>
      <c r="S923" s="120"/>
      <c r="T923" s="120"/>
      <c r="U923" s="120"/>
      <c r="V923" s="120"/>
      <c r="W923" s="120"/>
      <c r="X923" s="120"/>
      <c r="Y923" s="120"/>
      <c r="Z923" s="120"/>
      <c r="AA923" s="120"/>
    </row>
    <row r="924">
      <c r="A924" s="120"/>
      <c r="B924" s="120"/>
      <c r="C924" s="120"/>
      <c r="D924" s="120"/>
      <c r="E924" s="120"/>
      <c r="F924" s="120"/>
      <c r="G924" s="120"/>
      <c r="H924" s="120"/>
      <c r="I924" s="120"/>
      <c r="J924" s="120"/>
      <c r="K924" s="120"/>
      <c r="L924" s="120"/>
      <c r="M924" s="120"/>
      <c r="N924" s="120"/>
      <c r="O924" s="120"/>
      <c r="P924" s="120"/>
      <c r="Q924" s="120"/>
      <c r="R924" s="120"/>
      <c r="S924" s="120"/>
      <c r="T924" s="120"/>
      <c r="U924" s="120"/>
      <c r="V924" s="120"/>
      <c r="W924" s="120"/>
      <c r="X924" s="120"/>
      <c r="Y924" s="120"/>
      <c r="Z924" s="120"/>
      <c r="AA924" s="120"/>
    </row>
    <row r="925">
      <c r="A925" s="120"/>
      <c r="B925" s="120"/>
      <c r="C925" s="120"/>
      <c r="D925" s="120"/>
      <c r="E925" s="120"/>
      <c r="F925" s="120"/>
      <c r="G925" s="120"/>
      <c r="H925" s="120"/>
      <c r="I925" s="120"/>
      <c r="J925" s="120"/>
      <c r="K925" s="120"/>
      <c r="L925" s="120"/>
      <c r="M925" s="120"/>
      <c r="N925" s="120"/>
      <c r="O925" s="120"/>
      <c r="P925" s="120"/>
      <c r="Q925" s="120"/>
      <c r="R925" s="120"/>
      <c r="S925" s="120"/>
      <c r="T925" s="120"/>
      <c r="U925" s="120"/>
      <c r="V925" s="120"/>
      <c r="W925" s="120"/>
      <c r="X925" s="120"/>
      <c r="Y925" s="120"/>
      <c r="Z925" s="120"/>
      <c r="AA925" s="120"/>
    </row>
    <row r="926">
      <c r="A926" s="120"/>
      <c r="B926" s="120"/>
      <c r="C926" s="120"/>
      <c r="D926" s="120"/>
      <c r="E926" s="120"/>
      <c r="F926" s="120"/>
      <c r="G926" s="120"/>
      <c r="H926" s="120"/>
      <c r="I926" s="120"/>
      <c r="J926" s="120"/>
      <c r="K926" s="120"/>
      <c r="L926" s="120"/>
      <c r="M926" s="120"/>
      <c r="N926" s="120"/>
      <c r="O926" s="120"/>
      <c r="P926" s="120"/>
      <c r="Q926" s="120"/>
      <c r="R926" s="120"/>
      <c r="S926" s="120"/>
      <c r="T926" s="120"/>
      <c r="U926" s="120"/>
      <c r="V926" s="120"/>
      <c r="W926" s="120"/>
      <c r="X926" s="120"/>
      <c r="Y926" s="120"/>
      <c r="Z926" s="120"/>
      <c r="AA926" s="120"/>
    </row>
    <row r="927">
      <c r="A927" s="120"/>
      <c r="B927" s="120"/>
      <c r="C927" s="120"/>
      <c r="D927" s="120"/>
      <c r="E927" s="120"/>
      <c r="F927" s="120"/>
      <c r="G927" s="120"/>
      <c r="H927" s="120"/>
      <c r="I927" s="120"/>
      <c r="J927" s="120"/>
      <c r="K927" s="120"/>
      <c r="L927" s="120"/>
      <c r="M927" s="120"/>
      <c r="N927" s="120"/>
      <c r="O927" s="120"/>
      <c r="P927" s="120"/>
      <c r="Q927" s="120"/>
      <c r="R927" s="120"/>
      <c r="S927" s="120"/>
      <c r="T927" s="120"/>
      <c r="U927" s="120"/>
      <c r="V927" s="120"/>
      <c r="W927" s="120"/>
      <c r="X927" s="120"/>
      <c r="Y927" s="120"/>
      <c r="Z927" s="120"/>
      <c r="AA927" s="120"/>
    </row>
    <row r="928">
      <c r="A928" s="120"/>
      <c r="B928" s="120"/>
      <c r="C928" s="120"/>
      <c r="D928" s="120"/>
      <c r="E928" s="120"/>
      <c r="F928" s="120"/>
      <c r="G928" s="120"/>
      <c r="H928" s="120"/>
      <c r="I928" s="120"/>
      <c r="J928" s="120"/>
      <c r="K928" s="120"/>
      <c r="L928" s="120"/>
      <c r="M928" s="120"/>
      <c r="N928" s="120"/>
      <c r="O928" s="120"/>
      <c r="P928" s="120"/>
      <c r="Q928" s="120"/>
      <c r="R928" s="120"/>
      <c r="S928" s="120"/>
      <c r="T928" s="120"/>
      <c r="U928" s="120"/>
      <c r="V928" s="120"/>
      <c r="W928" s="120"/>
      <c r="X928" s="120"/>
      <c r="Y928" s="120"/>
      <c r="Z928" s="120"/>
      <c r="AA928" s="120"/>
    </row>
    <row r="929">
      <c r="A929" s="120"/>
      <c r="B929" s="120"/>
      <c r="C929" s="120"/>
      <c r="D929" s="120"/>
      <c r="E929" s="120"/>
      <c r="F929" s="120"/>
      <c r="G929" s="120"/>
      <c r="H929" s="120"/>
      <c r="I929" s="120"/>
      <c r="J929" s="120"/>
      <c r="K929" s="120"/>
      <c r="L929" s="120"/>
      <c r="M929" s="120"/>
      <c r="N929" s="120"/>
      <c r="O929" s="120"/>
      <c r="P929" s="120"/>
      <c r="Q929" s="120"/>
      <c r="R929" s="120"/>
      <c r="S929" s="120"/>
      <c r="T929" s="120"/>
      <c r="U929" s="120"/>
      <c r="V929" s="120"/>
      <c r="W929" s="120"/>
      <c r="X929" s="120"/>
      <c r="Y929" s="120"/>
      <c r="Z929" s="120"/>
      <c r="AA929" s="120"/>
    </row>
    <row r="930">
      <c r="A930" s="120"/>
      <c r="B930" s="120"/>
      <c r="C930" s="120"/>
      <c r="D930" s="120"/>
      <c r="E930" s="120"/>
      <c r="F930" s="120"/>
      <c r="G930" s="120"/>
      <c r="H930" s="120"/>
      <c r="I930" s="120"/>
      <c r="J930" s="120"/>
      <c r="K930" s="120"/>
      <c r="L930" s="120"/>
      <c r="M930" s="120"/>
      <c r="N930" s="120"/>
      <c r="O930" s="120"/>
      <c r="P930" s="120"/>
      <c r="Q930" s="120"/>
      <c r="R930" s="120"/>
      <c r="S930" s="120"/>
      <c r="T930" s="120"/>
      <c r="U930" s="120"/>
      <c r="V930" s="120"/>
      <c r="W930" s="120"/>
      <c r="X930" s="120"/>
      <c r="Y930" s="120"/>
      <c r="Z930" s="120"/>
      <c r="AA930" s="120"/>
    </row>
    <row r="931">
      <c r="A931" s="120"/>
      <c r="B931" s="120"/>
      <c r="C931" s="120"/>
      <c r="D931" s="120"/>
      <c r="E931" s="120"/>
      <c r="F931" s="120"/>
      <c r="G931" s="120"/>
      <c r="H931" s="120"/>
      <c r="I931" s="120"/>
      <c r="J931" s="120"/>
      <c r="K931" s="120"/>
      <c r="L931" s="120"/>
      <c r="M931" s="120"/>
      <c r="N931" s="120"/>
      <c r="O931" s="120"/>
      <c r="P931" s="120"/>
      <c r="Q931" s="120"/>
      <c r="R931" s="120"/>
      <c r="S931" s="120"/>
      <c r="T931" s="120"/>
      <c r="U931" s="120"/>
      <c r="V931" s="120"/>
      <c r="W931" s="120"/>
      <c r="X931" s="120"/>
      <c r="Y931" s="120"/>
      <c r="Z931" s="120"/>
      <c r="AA931" s="120"/>
    </row>
    <row r="932">
      <c r="A932" s="120"/>
      <c r="B932" s="120"/>
      <c r="C932" s="120"/>
      <c r="D932" s="120"/>
      <c r="E932" s="120"/>
      <c r="F932" s="120"/>
      <c r="G932" s="120"/>
      <c r="H932" s="120"/>
      <c r="I932" s="120"/>
      <c r="J932" s="120"/>
      <c r="K932" s="120"/>
      <c r="L932" s="120"/>
      <c r="M932" s="120"/>
      <c r="N932" s="120"/>
      <c r="O932" s="120"/>
      <c r="P932" s="120"/>
      <c r="Q932" s="120"/>
      <c r="R932" s="120"/>
      <c r="S932" s="120"/>
      <c r="T932" s="120"/>
      <c r="U932" s="120"/>
      <c r="V932" s="120"/>
      <c r="W932" s="120"/>
      <c r="X932" s="120"/>
      <c r="Y932" s="120"/>
      <c r="Z932" s="120"/>
      <c r="AA932" s="120"/>
    </row>
    <row r="933">
      <c r="A933" s="120"/>
      <c r="B933" s="120"/>
      <c r="C933" s="120"/>
      <c r="D933" s="120"/>
      <c r="E933" s="120"/>
      <c r="F933" s="120"/>
      <c r="G933" s="120"/>
      <c r="H933" s="120"/>
      <c r="I933" s="120"/>
      <c r="J933" s="120"/>
      <c r="K933" s="120"/>
      <c r="L933" s="120"/>
      <c r="M933" s="120"/>
      <c r="N933" s="120"/>
      <c r="O933" s="120"/>
      <c r="P933" s="120"/>
      <c r="Q933" s="120"/>
      <c r="R933" s="120"/>
      <c r="S933" s="120"/>
      <c r="T933" s="120"/>
      <c r="U933" s="120"/>
      <c r="V933" s="120"/>
      <c r="W933" s="120"/>
      <c r="X933" s="120"/>
      <c r="Y933" s="120"/>
      <c r="Z933" s="120"/>
      <c r="AA933" s="120"/>
    </row>
    <row r="934">
      <c r="A934" s="120"/>
      <c r="B934" s="120"/>
      <c r="C934" s="120"/>
      <c r="D934" s="120"/>
      <c r="E934" s="120"/>
      <c r="F934" s="120"/>
      <c r="G934" s="120"/>
      <c r="H934" s="120"/>
      <c r="I934" s="120"/>
      <c r="J934" s="120"/>
      <c r="K934" s="120"/>
      <c r="L934" s="120"/>
      <c r="M934" s="120"/>
      <c r="N934" s="120"/>
      <c r="O934" s="120"/>
      <c r="P934" s="120"/>
      <c r="Q934" s="120"/>
      <c r="R934" s="120"/>
      <c r="S934" s="120"/>
      <c r="T934" s="120"/>
      <c r="U934" s="120"/>
      <c r="V934" s="120"/>
      <c r="W934" s="120"/>
      <c r="X934" s="120"/>
      <c r="Y934" s="120"/>
      <c r="Z934" s="120"/>
      <c r="AA934" s="120"/>
    </row>
    <row r="935">
      <c r="A935" s="120"/>
      <c r="B935" s="120"/>
      <c r="C935" s="120"/>
      <c r="D935" s="120"/>
      <c r="E935" s="120"/>
      <c r="F935" s="120"/>
      <c r="G935" s="120"/>
      <c r="H935" s="120"/>
      <c r="I935" s="120"/>
      <c r="J935" s="120"/>
      <c r="K935" s="120"/>
      <c r="L935" s="120"/>
      <c r="M935" s="120"/>
      <c r="N935" s="120"/>
      <c r="O935" s="120"/>
      <c r="P935" s="120"/>
      <c r="Q935" s="120"/>
      <c r="R935" s="120"/>
      <c r="S935" s="120"/>
      <c r="T935" s="120"/>
      <c r="U935" s="120"/>
      <c r="V935" s="120"/>
      <c r="W935" s="120"/>
      <c r="X935" s="120"/>
      <c r="Y935" s="120"/>
      <c r="Z935" s="120"/>
      <c r="AA935" s="120"/>
    </row>
    <row r="936">
      <c r="A936" s="120"/>
      <c r="B936" s="120"/>
      <c r="C936" s="120"/>
      <c r="D936" s="120"/>
      <c r="E936" s="120"/>
      <c r="F936" s="120"/>
      <c r="G936" s="120"/>
      <c r="H936" s="120"/>
      <c r="I936" s="120"/>
      <c r="J936" s="120"/>
      <c r="K936" s="120"/>
      <c r="L936" s="120"/>
      <c r="M936" s="120"/>
      <c r="N936" s="120"/>
      <c r="O936" s="120"/>
      <c r="P936" s="120"/>
      <c r="Q936" s="120"/>
      <c r="R936" s="120"/>
      <c r="S936" s="120"/>
      <c r="T936" s="120"/>
      <c r="U936" s="120"/>
      <c r="V936" s="120"/>
      <c r="W936" s="120"/>
      <c r="X936" s="120"/>
      <c r="Y936" s="120"/>
      <c r="Z936" s="120"/>
      <c r="AA936" s="120"/>
    </row>
    <row r="937">
      <c r="A937" s="120"/>
      <c r="B937" s="120"/>
      <c r="C937" s="120"/>
      <c r="D937" s="120"/>
      <c r="E937" s="120"/>
      <c r="F937" s="120"/>
      <c r="G937" s="120"/>
      <c r="H937" s="120"/>
      <c r="I937" s="120"/>
      <c r="J937" s="120"/>
      <c r="K937" s="120"/>
      <c r="L937" s="120"/>
      <c r="M937" s="120"/>
      <c r="N937" s="120"/>
      <c r="O937" s="120"/>
      <c r="P937" s="120"/>
      <c r="Q937" s="120"/>
      <c r="R937" s="120"/>
      <c r="S937" s="120"/>
      <c r="T937" s="120"/>
      <c r="U937" s="120"/>
      <c r="V937" s="120"/>
      <c r="W937" s="120"/>
      <c r="X937" s="120"/>
      <c r="Y937" s="120"/>
      <c r="Z937" s="120"/>
      <c r="AA937" s="120"/>
    </row>
    <row r="938">
      <c r="A938" s="120"/>
      <c r="B938" s="120"/>
      <c r="C938" s="120"/>
      <c r="D938" s="120"/>
      <c r="E938" s="120"/>
      <c r="F938" s="120"/>
      <c r="G938" s="120"/>
      <c r="H938" s="120"/>
      <c r="I938" s="120"/>
      <c r="J938" s="120"/>
      <c r="K938" s="120"/>
      <c r="L938" s="120"/>
      <c r="M938" s="120"/>
      <c r="N938" s="120"/>
      <c r="O938" s="120"/>
      <c r="P938" s="120"/>
      <c r="Q938" s="120"/>
      <c r="R938" s="120"/>
      <c r="S938" s="120"/>
      <c r="T938" s="120"/>
      <c r="U938" s="120"/>
      <c r="V938" s="120"/>
      <c r="W938" s="120"/>
      <c r="X938" s="120"/>
      <c r="Y938" s="120"/>
      <c r="Z938" s="120"/>
      <c r="AA938" s="120"/>
    </row>
    <row r="939">
      <c r="A939" s="120"/>
      <c r="B939" s="120"/>
      <c r="C939" s="120"/>
      <c r="D939" s="120"/>
      <c r="E939" s="120"/>
      <c r="F939" s="120"/>
      <c r="G939" s="120"/>
      <c r="H939" s="120"/>
      <c r="I939" s="120"/>
      <c r="J939" s="120"/>
      <c r="K939" s="120"/>
      <c r="L939" s="120"/>
      <c r="M939" s="120"/>
      <c r="N939" s="120"/>
      <c r="O939" s="120"/>
      <c r="P939" s="120"/>
      <c r="Q939" s="120"/>
      <c r="R939" s="120"/>
      <c r="S939" s="120"/>
      <c r="T939" s="120"/>
      <c r="U939" s="120"/>
      <c r="V939" s="120"/>
      <c r="W939" s="120"/>
      <c r="X939" s="120"/>
      <c r="Y939" s="120"/>
      <c r="Z939" s="120"/>
      <c r="AA939" s="120"/>
    </row>
    <row r="940">
      <c r="A940" s="120"/>
      <c r="B940" s="120"/>
      <c r="C940" s="120"/>
      <c r="D940" s="120"/>
      <c r="E940" s="120"/>
      <c r="F940" s="120"/>
      <c r="G940" s="120"/>
      <c r="H940" s="120"/>
      <c r="I940" s="120"/>
      <c r="J940" s="120"/>
      <c r="K940" s="120"/>
      <c r="L940" s="120"/>
      <c r="M940" s="120"/>
      <c r="N940" s="120"/>
      <c r="O940" s="120"/>
      <c r="P940" s="120"/>
      <c r="Q940" s="120"/>
      <c r="R940" s="120"/>
      <c r="S940" s="120"/>
      <c r="T940" s="120"/>
      <c r="U940" s="120"/>
      <c r="V940" s="120"/>
      <c r="W940" s="120"/>
      <c r="X940" s="120"/>
      <c r="Y940" s="120"/>
      <c r="Z940" s="120"/>
      <c r="AA940" s="120"/>
    </row>
    <row r="941">
      <c r="A941" s="120"/>
      <c r="B941" s="120"/>
      <c r="C941" s="120"/>
      <c r="D941" s="120"/>
      <c r="E941" s="120"/>
      <c r="F941" s="120"/>
      <c r="G941" s="120"/>
      <c r="H941" s="120"/>
      <c r="I941" s="120"/>
      <c r="J941" s="120"/>
      <c r="K941" s="120"/>
      <c r="L941" s="120"/>
      <c r="M941" s="120"/>
      <c r="N941" s="120"/>
      <c r="O941" s="120"/>
      <c r="P941" s="120"/>
      <c r="Q941" s="120"/>
      <c r="R941" s="120"/>
      <c r="S941" s="120"/>
      <c r="T941" s="120"/>
      <c r="U941" s="120"/>
      <c r="V941" s="120"/>
      <c r="W941" s="120"/>
      <c r="X941" s="120"/>
      <c r="Y941" s="120"/>
      <c r="Z941" s="120"/>
      <c r="AA941" s="120"/>
    </row>
    <row r="942">
      <c r="A942" s="120"/>
      <c r="B942" s="120"/>
      <c r="C942" s="120"/>
      <c r="D942" s="120"/>
      <c r="E942" s="120"/>
      <c r="F942" s="120"/>
      <c r="G942" s="120"/>
      <c r="H942" s="120"/>
      <c r="I942" s="120"/>
      <c r="J942" s="120"/>
      <c r="K942" s="120"/>
      <c r="L942" s="120"/>
      <c r="M942" s="120"/>
      <c r="N942" s="120"/>
      <c r="O942" s="120"/>
      <c r="P942" s="120"/>
      <c r="Q942" s="120"/>
      <c r="R942" s="120"/>
      <c r="S942" s="120"/>
      <c r="T942" s="120"/>
      <c r="U942" s="120"/>
      <c r="V942" s="120"/>
      <c r="W942" s="120"/>
      <c r="X942" s="120"/>
      <c r="Y942" s="120"/>
      <c r="Z942" s="120"/>
      <c r="AA942" s="120"/>
    </row>
    <row r="943">
      <c r="A943" s="120"/>
      <c r="B943" s="120"/>
      <c r="C943" s="120"/>
      <c r="D943" s="120"/>
      <c r="E943" s="120"/>
      <c r="F943" s="120"/>
      <c r="G943" s="120"/>
      <c r="H943" s="120"/>
      <c r="I943" s="120"/>
      <c r="J943" s="120"/>
      <c r="K943" s="120"/>
      <c r="L943" s="120"/>
      <c r="M943" s="120"/>
      <c r="N943" s="120"/>
      <c r="O943" s="120"/>
      <c r="P943" s="120"/>
      <c r="Q943" s="120"/>
      <c r="R943" s="120"/>
      <c r="S943" s="120"/>
      <c r="T943" s="120"/>
      <c r="U943" s="120"/>
      <c r="V943" s="120"/>
      <c r="W943" s="120"/>
      <c r="X943" s="120"/>
      <c r="Y943" s="120"/>
      <c r="Z943" s="120"/>
      <c r="AA943" s="120"/>
    </row>
    <row r="944">
      <c r="A944" s="120"/>
      <c r="B944" s="120"/>
      <c r="C944" s="120"/>
      <c r="D944" s="120"/>
      <c r="E944" s="120"/>
      <c r="F944" s="120"/>
      <c r="G944" s="120"/>
      <c r="H944" s="120"/>
      <c r="I944" s="120"/>
      <c r="J944" s="120"/>
      <c r="K944" s="120"/>
      <c r="L944" s="120"/>
      <c r="M944" s="120"/>
      <c r="N944" s="120"/>
      <c r="O944" s="120"/>
      <c r="P944" s="120"/>
      <c r="Q944" s="120"/>
      <c r="R944" s="120"/>
      <c r="S944" s="120"/>
      <c r="T944" s="120"/>
      <c r="U944" s="120"/>
      <c r="V944" s="120"/>
      <c r="W944" s="120"/>
      <c r="X944" s="120"/>
      <c r="Y944" s="120"/>
      <c r="Z944" s="120"/>
      <c r="AA944" s="120"/>
    </row>
    <row r="945">
      <c r="A945" s="120"/>
      <c r="B945" s="120"/>
      <c r="C945" s="120"/>
      <c r="D945" s="120"/>
      <c r="E945" s="120"/>
      <c r="F945" s="120"/>
      <c r="G945" s="120"/>
      <c r="H945" s="120"/>
      <c r="I945" s="120"/>
      <c r="J945" s="120"/>
      <c r="K945" s="120"/>
      <c r="L945" s="120"/>
      <c r="M945" s="120"/>
      <c r="N945" s="120"/>
      <c r="O945" s="120"/>
      <c r="P945" s="120"/>
      <c r="Q945" s="120"/>
      <c r="R945" s="120"/>
      <c r="S945" s="120"/>
      <c r="T945" s="120"/>
      <c r="U945" s="120"/>
      <c r="V945" s="120"/>
      <c r="W945" s="120"/>
      <c r="X945" s="120"/>
      <c r="Y945" s="120"/>
      <c r="Z945" s="120"/>
      <c r="AA945" s="120"/>
    </row>
    <row r="946">
      <c r="A946" s="120"/>
      <c r="B946" s="120"/>
      <c r="C946" s="120"/>
      <c r="D946" s="120"/>
      <c r="E946" s="120"/>
      <c r="F946" s="120"/>
      <c r="G946" s="120"/>
      <c r="H946" s="120"/>
      <c r="I946" s="120"/>
      <c r="J946" s="120"/>
      <c r="K946" s="120"/>
      <c r="L946" s="120"/>
      <c r="M946" s="120"/>
      <c r="N946" s="120"/>
      <c r="O946" s="120"/>
      <c r="P946" s="120"/>
      <c r="Q946" s="120"/>
      <c r="R946" s="120"/>
      <c r="S946" s="120"/>
      <c r="T946" s="120"/>
      <c r="U946" s="120"/>
      <c r="V946" s="120"/>
      <c r="W946" s="120"/>
      <c r="X946" s="120"/>
      <c r="Y946" s="120"/>
      <c r="Z946" s="120"/>
      <c r="AA946" s="120"/>
    </row>
    <row r="947">
      <c r="A947" s="120"/>
      <c r="B947" s="120"/>
      <c r="C947" s="120"/>
      <c r="D947" s="120"/>
      <c r="E947" s="120"/>
      <c r="F947" s="120"/>
      <c r="G947" s="120"/>
      <c r="H947" s="120"/>
      <c r="I947" s="120"/>
      <c r="J947" s="120"/>
      <c r="K947" s="120"/>
      <c r="L947" s="120"/>
      <c r="M947" s="120"/>
      <c r="N947" s="120"/>
      <c r="O947" s="120"/>
      <c r="P947" s="120"/>
      <c r="Q947" s="120"/>
      <c r="R947" s="120"/>
      <c r="S947" s="120"/>
      <c r="T947" s="120"/>
      <c r="U947" s="120"/>
      <c r="V947" s="120"/>
      <c r="W947" s="120"/>
      <c r="X947" s="120"/>
      <c r="Y947" s="120"/>
      <c r="Z947" s="120"/>
      <c r="AA947" s="120"/>
    </row>
    <row r="948">
      <c r="A948" s="120"/>
      <c r="B948" s="120"/>
      <c r="C948" s="120"/>
      <c r="D948" s="120"/>
      <c r="E948" s="120"/>
      <c r="F948" s="120"/>
      <c r="G948" s="120"/>
      <c r="H948" s="120"/>
      <c r="I948" s="120"/>
      <c r="J948" s="120"/>
      <c r="K948" s="120"/>
      <c r="L948" s="120"/>
      <c r="M948" s="120"/>
      <c r="N948" s="120"/>
      <c r="O948" s="120"/>
      <c r="P948" s="120"/>
      <c r="Q948" s="120"/>
      <c r="R948" s="120"/>
      <c r="S948" s="120"/>
      <c r="T948" s="120"/>
      <c r="U948" s="120"/>
      <c r="V948" s="120"/>
      <c r="W948" s="120"/>
      <c r="X948" s="120"/>
      <c r="Y948" s="120"/>
      <c r="Z948" s="120"/>
      <c r="AA948" s="120"/>
    </row>
    <row r="949">
      <c r="A949" s="120"/>
      <c r="B949" s="120"/>
      <c r="C949" s="120"/>
      <c r="D949" s="120"/>
      <c r="E949" s="120"/>
      <c r="F949" s="120"/>
      <c r="G949" s="120"/>
      <c r="H949" s="120"/>
      <c r="I949" s="120"/>
      <c r="J949" s="120"/>
      <c r="K949" s="120"/>
      <c r="L949" s="120"/>
      <c r="M949" s="120"/>
      <c r="N949" s="120"/>
      <c r="O949" s="120"/>
      <c r="P949" s="120"/>
      <c r="Q949" s="120"/>
      <c r="R949" s="120"/>
      <c r="S949" s="120"/>
      <c r="T949" s="120"/>
      <c r="U949" s="120"/>
      <c r="V949" s="120"/>
      <c r="W949" s="120"/>
      <c r="X949" s="120"/>
      <c r="Y949" s="120"/>
      <c r="Z949" s="120"/>
      <c r="AA949" s="120"/>
    </row>
    <row r="950">
      <c r="A950" s="120"/>
      <c r="B950" s="120"/>
      <c r="C950" s="120"/>
      <c r="D950" s="120"/>
      <c r="E950" s="120"/>
      <c r="F950" s="120"/>
      <c r="G950" s="120"/>
      <c r="H950" s="120"/>
      <c r="I950" s="120"/>
      <c r="J950" s="120"/>
      <c r="K950" s="120"/>
      <c r="L950" s="120"/>
      <c r="M950" s="120"/>
      <c r="N950" s="120"/>
      <c r="O950" s="120"/>
      <c r="P950" s="120"/>
      <c r="Q950" s="120"/>
      <c r="R950" s="120"/>
      <c r="S950" s="120"/>
      <c r="T950" s="120"/>
      <c r="U950" s="120"/>
      <c r="V950" s="120"/>
      <c r="W950" s="120"/>
      <c r="X950" s="120"/>
      <c r="Y950" s="120"/>
      <c r="Z950" s="120"/>
      <c r="AA950" s="120"/>
    </row>
    <row r="951">
      <c r="A951" s="120"/>
      <c r="B951" s="120"/>
      <c r="C951" s="120"/>
      <c r="D951" s="120"/>
      <c r="E951" s="120"/>
      <c r="F951" s="120"/>
      <c r="G951" s="120"/>
      <c r="H951" s="120"/>
      <c r="I951" s="120"/>
      <c r="J951" s="120"/>
      <c r="K951" s="120"/>
      <c r="L951" s="120"/>
      <c r="M951" s="120"/>
      <c r="N951" s="120"/>
      <c r="O951" s="120"/>
      <c r="P951" s="120"/>
      <c r="Q951" s="120"/>
      <c r="R951" s="120"/>
      <c r="S951" s="120"/>
      <c r="T951" s="120"/>
      <c r="U951" s="120"/>
      <c r="V951" s="120"/>
      <c r="W951" s="120"/>
      <c r="X951" s="120"/>
      <c r="Y951" s="120"/>
      <c r="Z951" s="120"/>
      <c r="AA951" s="120"/>
    </row>
    <row r="952">
      <c r="A952" s="120"/>
      <c r="B952" s="120"/>
      <c r="C952" s="120"/>
      <c r="D952" s="120"/>
      <c r="E952" s="120"/>
      <c r="F952" s="120"/>
      <c r="G952" s="120"/>
      <c r="H952" s="120"/>
      <c r="I952" s="120"/>
      <c r="J952" s="120"/>
      <c r="K952" s="120"/>
      <c r="L952" s="120"/>
      <c r="M952" s="120"/>
      <c r="N952" s="120"/>
      <c r="O952" s="120"/>
      <c r="P952" s="120"/>
      <c r="Q952" s="120"/>
      <c r="R952" s="120"/>
      <c r="S952" s="120"/>
      <c r="T952" s="120"/>
      <c r="U952" s="120"/>
      <c r="V952" s="120"/>
      <c r="W952" s="120"/>
      <c r="X952" s="120"/>
      <c r="Y952" s="120"/>
      <c r="Z952" s="120"/>
      <c r="AA952" s="120"/>
    </row>
    <row r="953">
      <c r="A953" s="120"/>
      <c r="B953" s="120"/>
      <c r="C953" s="120"/>
      <c r="D953" s="120"/>
      <c r="E953" s="120"/>
      <c r="F953" s="120"/>
      <c r="G953" s="120"/>
      <c r="H953" s="120"/>
      <c r="I953" s="120"/>
      <c r="J953" s="120"/>
      <c r="K953" s="120"/>
      <c r="L953" s="120"/>
      <c r="M953" s="120"/>
      <c r="N953" s="120"/>
      <c r="O953" s="120"/>
      <c r="P953" s="120"/>
      <c r="Q953" s="120"/>
      <c r="R953" s="120"/>
      <c r="S953" s="120"/>
      <c r="T953" s="120"/>
      <c r="U953" s="120"/>
      <c r="V953" s="120"/>
      <c r="W953" s="120"/>
      <c r="X953" s="120"/>
      <c r="Y953" s="120"/>
      <c r="Z953" s="120"/>
      <c r="AA953" s="120"/>
    </row>
  </sheetData>
  <dataValidations>
    <dataValidation type="list" allowBlank="1" showErrorMessage="1" sqref="F7:F19">
      <formula1>"June 29 morning,June 29 afternoon,June 30 morning,June 30 afternoon"</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65.75"/>
    <col customWidth="1" min="4" max="5" width="17.38"/>
    <col customWidth="1" min="6" max="6" width="84.0"/>
    <col customWidth="1" min="7" max="7" width="43.63"/>
  </cols>
  <sheetData>
    <row r="1">
      <c r="A1" s="198" t="s">
        <v>1659</v>
      </c>
      <c r="B1" s="198" t="s">
        <v>1660</v>
      </c>
      <c r="C1" s="198"/>
      <c r="D1" s="198"/>
      <c r="E1" s="198" t="s">
        <v>1661</v>
      </c>
      <c r="F1" s="207"/>
      <c r="G1" s="207" t="s">
        <v>1662</v>
      </c>
      <c r="H1" s="120"/>
      <c r="I1" s="120"/>
      <c r="J1" s="120"/>
      <c r="K1" s="120"/>
      <c r="L1" s="120"/>
      <c r="M1" s="120"/>
      <c r="N1" s="120"/>
      <c r="O1" s="120"/>
      <c r="P1" s="120"/>
      <c r="Q1" s="120"/>
      <c r="R1" s="120"/>
      <c r="S1" s="120"/>
      <c r="T1" s="120"/>
      <c r="U1" s="120"/>
      <c r="V1" s="120"/>
      <c r="W1" s="120"/>
      <c r="X1" s="120"/>
      <c r="Y1" s="120"/>
      <c r="Z1" s="120"/>
      <c r="AA1" s="120"/>
      <c r="AB1" s="120"/>
      <c r="AC1" s="120"/>
      <c r="AD1" s="120"/>
    </row>
    <row r="2">
      <c r="A2" s="200" t="s">
        <v>1663</v>
      </c>
      <c r="B2" s="201">
        <v>7.0</v>
      </c>
      <c r="C2" s="201"/>
      <c r="D2" s="201"/>
      <c r="E2" s="201">
        <f t="shared" ref="E2:E5" si="1">countif(#REF!,A2)</f>
        <v>0</v>
      </c>
      <c r="F2" s="208"/>
      <c r="G2" s="208"/>
      <c r="H2" s="120"/>
      <c r="I2" s="120"/>
      <c r="J2" s="209">
        <f>28/4</f>
        <v>7</v>
      </c>
      <c r="K2" s="120"/>
      <c r="L2" s="120"/>
      <c r="M2" s="120"/>
      <c r="N2" s="120"/>
      <c r="O2" s="120"/>
      <c r="P2" s="120"/>
      <c r="Q2" s="120"/>
      <c r="R2" s="120"/>
      <c r="S2" s="120"/>
      <c r="T2" s="120"/>
      <c r="U2" s="120"/>
      <c r="V2" s="120"/>
      <c r="W2" s="120"/>
      <c r="X2" s="120"/>
      <c r="Y2" s="120"/>
      <c r="Z2" s="120"/>
      <c r="AA2" s="120"/>
      <c r="AB2" s="120"/>
      <c r="AC2" s="120"/>
      <c r="AD2" s="120"/>
    </row>
    <row r="3">
      <c r="A3" s="200" t="s">
        <v>1665</v>
      </c>
      <c r="B3" s="201">
        <v>7.0</v>
      </c>
      <c r="C3" s="201"/>
      <c r="D3" s="201"/>
      <c r="E3" s="201">
        <f t="shared" si="1"/>
        <v>0</v>
      </c>
      <c r="F3" s="208"/>
      <c r="G3" s="208"/>
      <c r="H3" s="120"/>
      <c r="I3" s="120"/>
      <c r="J3" s="120"/>
      <c r="K3" s="120"/>
      <c r="L3" s="120"/>
      <c r="M3" s="120"/>
      <c r="N3" s="120"/>
      <c r="O3" s="120"/>
      <c r="P3" s="120"/>
      <c r="Q3" s="120"/>
      <c r="R3" s="120"/>
      <c r="S3" s="120"/>
      <c r="T3" s="120"/>
      <c r="U3" s="120"/>
      <c r="V3" s="120"/>
      <c r="W3" s="120"/>
      <c r="X3" s="120"/>
      <c r="Y3" s="120"/>
      <c r="Z3" s="120"/>
      <c r="AA3" s="120"/>
      <c r="AB3" s="120"/>
      <c r="AC3" s="120"/>
      <c r="AD3" s="120"/>
    </row>
    <row r="4">
      <c r="A4" s="200" t="s">
        <v>1666</v>
      </c>
      <c r="B4" s="201">
        <v>7.0</v>
      </c>
      <c r="C4" s="201"/>
      <c r="D4" s="201"/>
      <c r="E4" s="201">
        <f t="shared" si="1"/>
        <v>0</v>
      </c>
      <c r="F4" s="208"/>
      <c r="G4" s="208"/>
      <c r="H4" s="120"/>
      <c r="I4" s="120"/>
      <c r="J4" s="120"/>
      <c r="K4" s="120"/>
      <c r="L4" s="120"/>
      <c r="M4" s="120"/>
      <c r="N4" s="120"/>
      <c r="O4" s="120"/>
      <c r="P4" s="120"/>
      <c r="Q4" s="120"/>
      <c r="R4" s="120"/>
      <c r="S4" s="120"/>
      <c r="T4" s="120"/>
      <c r="U4" s="120"/>
      <c r="V4" s="120"/>
      <c r="W4" s="120"/>
      <c r="X4" s="120"/>
      <c r="Y4" s="120"/>
      <c r="Z4" s="120"/>
      <c r="AA4" s="120"/>
      <c r="AB4" s="120"/>
      <c r="AC4" s="120"/>
      <c r="AD4" s="120"/>
    </row>
    <row r="5">
      <c r="A5" s="200" t="s">
        <v>1667</v>
      </c>
      <c r="B5" s="201">
        <v>7.0</v>
      </c>
      <c r="C5" s="201"/>
      <c r="D5" s="201"/>
      <c r="E5" s="201">
        <f t="shared" si="1"/>
        <v>0</v>
      </c>
      <c r="F5" s="208"/>
      <c r="G5" s="208"/>
      <c r="H5" s="120"/>
      <c r="I5" s="120"/>
      <c r="J5" s="120"/>
      <c r="K5" s="120"/>
      <c r="L5" s="120"/>
      <c r="M5" s="120"/>
      <c r="N5" s="120"/>
      <c r="O5" s="120"/>
      <c r="P5" s="120"/>
      <c r="Q5" s="120"/>
      <c r="R5" s="120"/>
      <c r="S5" s="120"/>
      <c r="T5" s="120"/>
      <c r="U5" s="120"/>
      <c r="V5" s="120"/>
      <c r="W5" s="120"/>
      <c r="X5" s="120"/>
      <c r="Y5" s="120"/>
      <c r="Z5" s="120"/>
      <c r="AA5" s="120"/>
      <c r="AB5" s="120"/>
      <c r="AC5" s="120"/>
      <c r="AD5" s="120"/>
    </row>
    <row r="6">
      <c r="A6" s="210" t="s">
        <v>1697</v>
      </c>
      <c r="B6" s="210" t="s">
        <v>1698</v>
      </c>
      <c r="C6" s="211" t="s">
        <v>1699</v>
      </c>
      <c r="D6" s="211" t="s">
        <v>1700</v>
      </c>
      <c r="E6" s="210" t="s">
        <v>1701</v>
      </c>
      <c r="F6" s="168" t="s">
        <v>1702</v>
      </c>
      <c r="G6" s="211" t="s">
        <v>1703</v>
      </c>
      <c r="H6" s="212"/>
      <c r="I6" s="120"/>
      <c r="J6" s="120"/>
      <c r="K6" s="120"/>
      <c r="L6" s="120"/>
      <c r="M6" s="120"/>
      <c r="N6" s="120"/>
      <c r="O6" s="120"/>
      <c r="P6" s="120"/>
      <c r="Q6" s="120"/>
      <c r="R6" s="120"/>
      <c r="S6" s="120"/>
      <c r="T6" s="120"/>
      <c r="U6" s="120"/>
      <c r="V6" s="120"/>
      <c r="W6" s="120"/>
      <c r="X6" s="120"/>
      <c r="Y6" s="120"/>
      <c r="Z6" s="120"/>
      <c r="AA6" s="120"/>
      <c r="AB6" s="120"/>
      <c r="AC6" s="120"/>
      <c r="AD6" s="120"/>
    </row>
    <row r="7">
      <c r="A7" s="213" t="s">
        <v>27</v>
      </c>
      <c r="B7" s="203" t="s">
        <v>1704</v>
      </c>
      <c r="C7" s="214" t="s">
        <v>1705</v>
      </c>
      <c r="D7" s="215" t="s">
        <v>1706</v>
      </c>
      <c r="E7" s="203" t="s">
        <v>1707</v>
      </c>
      <c r="F7" s="214" t="str">
        <f t="shared" ref="F7:F35" si="2">concatenate(E7," - ",G7,char(10),C7,char(10),D7)</f>
        <v>(AAIMVT) - 1st Workshop on Applied AI and Multimodal Visualization Technologies
Cesar Sanin, Edward Szczerbicki and Md Rafiqul Islam 
https://rafiqulislamcse24.wixsite.com/aaimvt-26</v>
      </c>
      <c r="G7" s="214" t="s">
        <v>1708</v>
      </c>
      <c r="H7" s="214" t="s">
        <v>1708</v>
      </c>
      <c r="I7" s="120"/>
      <c r="J7" s="120"/>
      <c r="K7" s="120"/>
      <c r="L7" s="120"/>
      <c r="M7" s="120"/>
      <c r="N7" s="120"/>
      <c r="O7" s="120"/>
      <c r="P7" s="120"/>
      <c r="Q7" s="120"/>
      <c r="R7" s="120"/>
      <c r="S7" s="120"/>
      <c r="T7" s="120"/>
      <c r="U7" s="120"/>
      <c r="V7" s="120"/>
      <c r="W7" s="120"/>
      <c r="X7" s="120"/>
      <c r="Y7" s="120"/>
      <c r="Z7" s="120"/>
      <c r="AA7" s="120"/>
      <c r="AB7" s="120"/>
      <c r="AC7" s="120"/>
      <c r="AD7" s="120"/>
    </row>
    <row r="8">
      <c r="A8" s="213" t="s">
        <v>52</v>
      </c>
      <c r="B8" s="203" t="s">
        <v>1704</v>
      </c>
      <c r="C8" s="214" t="s">
        <v>1709</v>
      </c>
      <c r="D8" s="215" t="s">
        <v>1710</v>
      </c>
      <c r="E8" s="203" t="s">
        <v>1711</v>
      </c>
      <c r="F8" s="214" t="str">
        <f t="shared" si="2"/>
        <v>(AiOfAi) - The Workshop on Adverse Impacts and Collateral Effects of Artificial Intelligence Technologies
Esma Aïmeur, Rim Ben Salem, Dorsaf Sallami, Julita Vassileva and Nora Boulahia-Cuppens 
https://sites.google.com/view/aiofai-2026/home</v>
      </c>
      <c r="G8" s="214" t="s">
        <v>1712</v>
      </c>
      <c r="H8" s="214" t="s">
        <v>1712</v>
      </c>
      <c r="I8" s="120"/>
      <c r="J8" s="120"/>
      <c r="K8" s="120"/>
      <c r="L8" s="120"/>
      <c r="M8" s="120"/>
      <c r="N8" s="120"/>
      <c r="O8" s="120"/>
      <c r="P8" s="120"/>
      <c r="Q8" s="120"/>
      <c r="R8" s="120"/>
      <c r="S8" s="120"/>
      <c r="T8" s="120"/>
      <c r="U8" s="120"/>
      <c r="V8" s="120"/>
      <c r="W8" s="120"/>
      <c r="X8" s="120"/>
      <c r="Y8" s="120"/>
      <c r="Z8" s="120"/>
      <c r="AA8" s="120"/>
      <c r="AB8" s="120"/>
      <c r="AC8" s="120"/>
      <c r="AD8" s="120"/>
    </row>
    <row r="9">
      <c r="A9" s="213" t="s">
        <v>51</v>
      </c>
      <c r="B9" s="203" t="s">
        <v>1704</v>
      </c>
      <c r="C9" s="214" t="s">
        <v>1713</v>
      </c>
      <c r="D9" s="215" t="s">
        <v>1714</v>
      </c>
      <c r="E9" s="203" t="s">
        <v>1715</v>
      </c>
      <c r="F9" s="214" t="str">
        <f t="shared" si="2"/>
        <v>(ALTARS 2026) - 4th Workshop on Augmented Intelligence in Technology-Assisted Review Systems
Giorgio Maria Di Nunzio, Evangelos Kanoulas and Prasenjit Majumder 
https://altars2026.dei.unipd.it/</v>
      </c>
      <c r="G9" s="214" t="s">
        <v>1716</v>
      </c>
      <c r="H9" s="214" t="s">
        <v>1716</v>
      </c>
      <c r="I9" s="120"/>
      <c r="J9" s="120"/>
      <c r="K9" s="120"/>
      <c r="L9" s="120"/>
      <c r="M9" s="120"/>
      <c r="N9" s="120"/>
      <c r="O9" s="120"/>
      <c r="P9" s="120"/>
      <c r="Q9" s="120"/>
      <c r="R9" s="120"/>
      <c r="S9" s="120"/>
      <c r="T9" s="120"/>
      <c r="U9" s="120"/>
      <c r="V9" s="120"/>
      <c r="W9" s="120"/>
      <c r="X9" s="120"/>
      <c r="Y9" s="120"/>
      <c r="Z9" s="120"/>
      <c r="AA9" s="120"/>
      <c r="AB9" s="120"/>
      <c r="AC9" s="120"/>
      <c r="AD9" s="120"/>
    </row>
    <row r="10">
      <c r="A10" s="213" t="s">
        <v>41</v>
      </c>
      <c r="B10" s="203" t="s">
        <v>1704</v>
      </c>
      <c r="C10" s="214" t="s">
        <v>1717</v>
      </c>
      <c r="D10" s="215" t="s">
        <v>1718</v>
      </c>
      <c r="E10" s="203" t="s">
        <v>1719</v>
      </c>
      <c r="F10" s="214" t="str">
        <f t="shared" si="2"/>
        <v>(BeyondFacts'26) - 6th International Workshop on Computational Methods for Online Discourse Analysis
Stefan Dietze, Dimitar Dimitrov, Pavlos Fafalios and Konstantin Todorov
https://beyondfacts2026.wordpress.com/</v>
      </c>
      <c r="G10" s="214" t="s">
        <v>1720</v>
      </c>
      <c r="H10" s="214" t="s">
        <v>1720</v>
      </c>
      <c r="I10" s="120"/>
      <c r="J10" s="120"/>
      <c r="K10" s="120"/>
      <c r="L10" s="120"/>
      <c r="M10" s="120"/>
      <c r="N10" s="120"/>
      <c r="O10" s="120"/>
      <c r="P10" s="120"/>
      <c r="Q10" s="120"/>
      <c r="R10" s="120"/>
      <c r="S10" s="120"/>
      <c r="T10" s="120"/>
      <c r="U10" s="120"/>
      <c r="V10" s="120"/>
      <c r="W10" s="120"/>
      <c r="X10" s="120"/>
      <c r="Y10" s="120"/>
      <c r="Z10" s="120"/>
      <c r="AA10" s="120"/>
      <c r="AB10" s="120"/>
      <c r="AC10" s="120"/>
      <c r="AD10" s="120"/>
    </row>
    <row r="11">
      <c r="A11" s="213" t="s">
        <v>47</v>
      </c>
      <c r="B11" s="203" t="s">
        <v>1721</v>
      </c>
      <c r="C11" s="214" t="s">
        <v>1722</v>
      </c>
      <c r="D11" s="215" t="s">
        <v>1723</v>
      </c>
      <c r="E11" s="203" t="s">
        <v>1724</v>
      </c>
      <c r="F11" s="214" t="str">
        <f t="shared" si="2"/>
        <v>(DHOW-MiLLA) part 1 - Joint Workshop on Diffusion of Harmful Content on Online Web and Countering Misinformation in the Age of LLMs and Agents
Thomas Mandl, Haiming Liu, Gautam Kishore Shahi, Amit Kumar Jaiswal, Durgesh Nandini, Luis-Daniel Ibáñez, Junichi Suga, Dai Yamamoto, Rahul Mishra, Rajakrishnan P. Rajkumar, Sagar Uprety, Sujit Kuma and Bornali Phukon
https://dhow-workshop.github.io/2026/</v>
      </c>
      <c r="G11" s="214" t="s">
        <v>1725</v>
      </c>
      <c r="H11" s="214" t="s">
        <v>1725</v>
      </c>
      <c r="I11" s="120"/>
      <c r="J11" s="120"/>
      <c r="K11" s="120"/>
      <c r="L11" s="120"/>
      <c r="M11" s="120"/>
      <c r="N11" s="120"/>
      <c r="O11" s="120"/>
      <c r="P11" s="120"/>
      <c r="Q11" s="120"/>
      <c r="R11" s="120"/>
      <c r="S11" s="120"/>
      <c r="T11" s="120"/>
      <c r="U11" s="120"/>
      <c r="V11" s="120"/>
      <c r="W11" s="120"/>
      <c r="X11" s="120"/>
      <c r="Y11" s="120"/>
      <c r="Z11" s="120"/>
      <c r="AA11" s="120"/>
      <c r="AB11" s="120"/>
      <c r="AC11" s="120"/>
      <c r="AD11" s="120"/>
    </row>
    <row r="12">
      <c r="A12" s="213" t="s">
        <v>60</v>
      </c>
      <c r="B12" s="203" t="s">
        <v>1721</v>
      </c>
      <c r="C12" s="214" t="s">
        <v>1722</v>
      </c>
      <c r="D12" s="215" t="s">
        <v>1726</v>
      </c>
      <c r="E12" s="203" t="s">
        <v>1727</v>
      </c>
      <c r="F12" s="214" t="str">
        <f t="shared" si="2"/>
        <v>(DHOW-MiLLA) part 2 - Joint Workshop on Diffusion of Harmful Content on Online Web and Countering Misinformation in the Age of LLMs and Agents
Thomas Mandl, Haiming Liu, Gautam Kishore Shahi, Amit Kumar Jaiswal, Durgesh Nandini, Luis-Daniel Ibáñez, Junichi Suga, Dai Yamamoto, Rahul Mishra, Rajakrishnan P. Rajkumar, Sagar Uprety, Sujit Kuma and Bornali Phukon
https://dhow-workshop.github.io/2026/</v>
      </c>
      <c r="G12" s="214" t="s">
        <v>1725</v>
      </c>
      <c r="H12" s="214" t="s">
        <v>1725</v>
      </c>
      <c r="I12" s="120"/>
      <c r="J12" s="120"/>
      <c r="K12" s="120"/>
      <c r="L12" s="120"/>
      <c r="M12" s="120"/>
      <c r="N12" s="120"/>
      <c r="O12" s="120"/>
      <c r="P12" s="120"/>
      <c r="Q12" s="120"/>
      <c r="R12" s="120"/>
      <c r="S12" s="120"/>
      <c r="T12" s="120"/>
      <c r="U12" s="120"/>
      <c r="V12" s="120"/>
      <c r="W12" s="120"/>
      <c r="X12" s="120"/>
      <c r="Y12" s="120"/>
      <c r="Z12" s="120"/>
      <c r="AA12" s="120"/>
      <c r="AB12" s="120"/>
      <c r="AC12" s="120"/>
      <c r="AD12" s="120"/>
    </row>
    <row r="13">
      <c r="A13" s="213" t="s">
        <v>48</v>
      </c>
      <c r="B13" s="203" t="s">
        <v>1721</v>
      </c>
      <c r="C13" s="214" t="s">
        <v>1728</v>
      </c>
      <c r="D13" s="215" t="s">
        <v>1729</v>
      </c>
      <c r="E13" s="203" t="s">
        <v>1730</v>
      </c>
      <c r="F13" s="214" t="str">
        <f t="shared" si="2"/>
        <v>(FAAW) part 1 - International Workshop on Foundations and Architectures for the Agentic Web
Abderrahmane Maaradji, Abul Ehtesham, Aditi Singh, Boualem Benatallah, Fatma Outay, Luca Muscariello, Pradyumna Chari, Ramesh Raskar, Sabrina Senatore and Yacine Sam 
https://faaw.univ-tours.fr/</v>
      </c>
      <c r="G13" s="214" t="s">
        <v>1731</v>
      </c>
      <c r="H13" s="214" t="s">
        <v>1731</v>
      </c>
      <c r="I13" s="120"/>
      <c r="J13" s="120"/>
      <c r="K13" s="120"/>
      <c r="L13" s="120"/>
      <c r="M13" s="120"/>
      <c r="N13" s="120"/>
      <c r="O13" s="120"/>
      <c r="P13" s="120"/>
      <c r="Q13" s="120"/>
      <c r="R13" s="120"/>
      <c r="S13" s="120"/>
      <c r="T13" s="120"/>
      <c r="U13" s="120"/>
      <c r="V13" s="120"/>
      <c r="W13" s="120"/>
      <c r="X13" s="120"/>
      <c r="Y13" s="120"/>
      <c r="Z13" s="120"/>
      <c r="AA13" s="120"/>
      <c r="AB13" s="120"/>
      <c r="AC13" s="120"/>
      <c r="AD13" s="120"/>
    </row>
    <row r="14">
      <c r="A14" s="213" t="s">
        <v>61</v>
      </c>
      <c r="B14" s="203" t="s">
        <v>1721</v>
      </c>
      <c r="C14" s="214" t="s">
        <v>1728</v>
      </c>
      <c r="D14" s="215" t="s">
        <v>1732</v>
      </c>
      <c r="E14" s="203" t="s">
        <v>1733</v>
      </c>
      <c r="F14" s="214" t="str">
        <f t="shared" si="2"/>
        <v>(FAAW) part 2 - International Workshop on Foundations and Architectures for the Agentic Web
Abderrahmane Maaradji, Abul Ehtesham, Aditi Singh, Boualem Benatallah, Fatma Outay, Luca Muscariello, Pradyumna Chari, Ramesh Raskar, Sabrina Senatore and Yacine Sam 
https://faaw.univ-tours.fr/</v>
      </c>
      <c r="G14" s="214" t="s">
        <v>1731</v>
      </c>
      <c r="H14" s="214" t="s">
        <v>1731</v>
      </c>
      <c r="I14" s="120"/>
      <c r="J14" s="120"/>
      <c r="K14" s="120"/>
      <c r="L14" s="120"/>
      <c r="M14" s="120"/>
      <c r="N14" s="120"/>
      <c r="O14" s="120"/>
      <c r="P14" s="120"/>
      <c r="Q14" s="120"/>
      <c r="R14" s="120"/>
      <c r="S14" s="120"/>
      <c r="T14" s="120"/>
      <c r="U14" s="120"/>
      <c r="V14" s="120"/>
      <c r="W14" s="120"/>
      <c r="X14" s="120"/>
      <c r="Y14" s="120"/>
      <c r="Z14" s="120"/>
      <c r="AA14" s="120"/>
      <c r="AB14" s="120"/>
      <c r="AC14" s="120"/>
      <c r="AD14" s="120"/>
    </row>
    <row r="15">
      <c r="A15" s="213" t="s">
        <v>64</v>
      </c>
      <c r="B15" s="203" t="s">
        <v>1704</v>
      </c>
      <c r="C15" s="214" t="s">
        <v>1734</v>
      </c>
      <c r="D15" s="215" t="s">
        <v>1735</v>
      </c>
      <c r="E15" s="203" t="s">
        <v>1736</v>
      </c>
      <c r="F15" s="214" t="str">
        <f t="shared" si="2"/>
        <v>(FL@FM) - International Workshop on Federated Foundation Models for the Web 2026
Irwin King, Guodong Long, Zenglin Xu, Han Yu, Xiaoli Tang and Liping Yi 
https://federated-learning.org/fl@fm-www-2026/</v>
      </c>
      <c r="G15" s="214" t="s">
        <v>1737</v>
      </c>
      <c r="H15" s="214" t="s">
        <v>1737</v>
      </c>
      <c r="I15" s="120"/>
      <c r="J15" s="120"/>
      <c r="K15" s="120"/>
      <c r="L15" s="120"/>
      <c r="M15" s="120"/>
      <c r="N15" s="120"/>
      <c r="O15" s="120"/>
      <c r="P15" s="120"/>
      <c r="Q15" s="120"/>
      <c r="R15" s="120"/>
      <c r="S15" s="120"/>
      <c r="T15" s="120"/>
      <c r="U15" s="120"/>
      <c r="V15" s="120"/>
      <c r="W15" s="120"/>
      <c r="X15" s="120"/>
      <c r="Y15" s="120"/>
      <c r="Z15" s="120"/>
      <c r="AA15" s="120"/>
      <c r="AB15" s="120"/>
      <c r="AC15" s="120"/>
      <c r="AD15" s="120"/>
    </row>
    <row r="16">
      <c r="A16" s="213" t="s">
        <v>23</v>
      </c>
      <c r="B16" s="203" t="s">
        <v>1704</v>
      </c>
      <c r="C16" s="214" t="s">
        <v>1738</v>
      </c>
      <c r="D16" s="215" t="s">
        <v>1739</v>
      </c>
      <c r="E16" s="203" t="s">
        <v>1740</v>
      </c>
      <c r="F16" s="214" t="str">
        <f t="shared" si="2"/>
        <v>(GLOW) - Graph-enhanced LLMs for Trustworthy Web Data Management
Gianluca Bonifazi, Stefano Cirillo, Eliana Pastor and Luca Virgili 
https://glow-workshop.github.io/www2026/</v>
      </c>
      <c r="G16" s="214" t="s">
        <v>1741</v>
      </c>
      <c r="H16" s="214" t="s">
        <v>1741</v>
      </c>
      <c r="I16" s="120"/>
      <c r="J16" s="120"/>
      <c r="K16" s="120"/>
      <c r="L16" s="120"/>
      <c r="M16" s="120"/>
      <c r="N16" s="120"/>
      <c r="O16" s="120"/>
      <c r="P16" s="120"/>
      <c r="Q16" s="120"/>
      <c r="R16" s="120"/>
      <c r="S16" s="120"/>
      <c r="T16" s="120"/>
      <c r="U16" s="120"/>
      <c r="V16" s="120"/>
      <c r="W16" s="120"/>
      <c r="X16" s="120"/>
      <c r="Y16" s="120"/>
      <c r="Z16" s="120"/>
      <c r="AA16" s="120"/>
      <c r="AB16" s="120"/>
      <c r="AC16" s="120"/>
      <c r="AD16" s="120"/>
    </row>
    <row r="17">
      <c r="A17" s="213" t="s">
        <v>46</v>
      </c>
      <c r="B17" s="203" t="s">
        <v>1704</v>
      </c>
      <c r="C17" s="214" t="s">
        <v>1742</v>
      </c>
      <c r="D17" s="215" t="s">
        <v>1743</v>
      </c>
      <c r="E17" s="203" t="s">
        <v>1744</v>
      </c>
      <c r="F17" s="214" t="str">
        <f t="shared" si="2"/>
        <v>(HCRS) - The 2nd Workshop on Human-Centered Recommender Systems
Kaike Zhang, Jiakai Tang, Du Su, Shuchang Liu, Julian McAuley, Lina Yao, Qi Cao, Yue Feng and Fei Sun 
https://hcrec.github.io/</v>
      </c>
      <c r="G17" s="214" t="s">
        <v>1745</v>
      </c>
      <c r="H17" s="214" t="s">
        <v>1745</v>
      </c>
      <c r="I17" s="120"/>
      <c r="J17" s="120"/>
      <c r="K17" s="120"/>
      <c r="L17" s="120"/>
      <c r="M17" s="120"/>
      <c r="N17" s="120"/>
      <c r="O17" s="120"/>
      <c r="P17" s="120"/>
      <c r="Q17" s="120"/>
      <c r="R17" s="120"/>
      <c r="S17" s="120"/>
      <c r="T17" s="120"/>
      <c r="U17" s="120"/>
      <c r="V17" s="120"/>
      <c r="W17" s="120"/>
      <c r="X17" s="120"/>
      <c r="Y17" s="120"/>
      <c r="Z17" s="120"/>
      <c r="AA17" s="120"/>
      <c r="AB17" s="120"/>
      <c r="AC17" s="120"/>
      <c r="AD17" s="120"/>
    </row>
    <row r="18">
      <c r="A18" s="213" t="s">
        <v>20</v>
      </c>
      <c r="B18" s="203" t="s">
        <v>1721</v>
      </c>
      <c r="C18" s="214" t="s">
        <v>1746</v>
      </c>
      <c r="D18" s="215" t="s">
        <v>1747</v>
      </c>
      <c r="E18" s="203" t="s">
        <v>1748</v>
      </c>
      <c r="F18" s="214" t="str">
        <f t="shared" si="2"/>
        <v>(LARS) part 1 - LLM &amp; Agents for Recommendation Systems
Keerthi Gopalakrishnan, Qi Xu, Aysenur Inan, Zhigang Hua, Shuang Yang and Luyi Ma 
https://llmandagents4recsys.github.io/</v>
      </c>
      <c r="G18" s="214" t="s">
        <v>1749</v>
      </c>
      <c r="H18" s="214" t="s">
        <v>1749</v>
      </c>
      <c r="I18" s="120"/>
      <c r="J18" s="120"/>
      <c r="K18" s="120"/>
      <c r="L18" s="120"/>
      <c r="M18" s="120"/>
      <c r="N18" s="120"/>
      <c r="O18" s="120"/>
      <c r="P18" s="120"/>
      <c r="Q18" s="120"/>
      <c r="R18" s="120"/>
      <c r="S18" s="120"/>
      <c r="T18" s="120"/>
      <c r="U18" s="120"/>
      <c r="V18" s="120"/>
      <c r="W18" s="120"/>
      <c r="X18" s="120"/>
      <c r="Y18" s="120"/>
      <c r="Z18" s="120"/>
      <c r="AA18" s="120"/>
      <c r="AB18" s="120"/>
      <c r="AC18" s="120"/>
      <c r="AD18" s="120"/>
    </row>
    <row r="19">
      <c r="A19" s="213" t="s">
        <v>36</v>
      </c>
      <c r="B19" s="203" t="s">
        <v>1721</v>
      </c>
      <c r="C19" s="214" t="s">
        <v>1746</v>
      </c>
      <c r="D19" s="215" t="s">
        <v>1750</v>
      </c>
      <c r="E19" s="203" t="s">
        <v>1751</v>
      </c>
      <c r="F19" s="214" t="str">
        <f t="shared" si="2"/>
        <v>(LARS) part 2 - LLM &amp; Agents for Recommendation Systems
Keerthi Gopalakrishnan, Qi Xu, Aysenur Inan, Zhigang Hua, Shuang Yang and Luyi Ma 
https://llmandagents4recsys.github.io/</v>
      </c>
      <c r="G19" s="214" t="s">
        <v>1749</v>
      </c>
      <c r="H19" s="214" t="s">
        <v>1749</v>
      </c>
      <c r="I19" s="120"/>
      <c r="J19" s="120"/>
      <c r="K19" s="120"/>
      <c r="L19" s="120"/>
      <c r="M19" s="120"/>
      <c r="N19" s="120"/>
      <c r="O19" s="120"/>
      <c r="P19" s="120"/>
      <c r="Q19" s="120"/>
      <c r="R19" s="120"/>
      <c r="S19" s="120"/>
      <c r="T19" s="120"/>
      <c r="U19" s="120"/>
      <c r="V19" s="120"/>
      <c r="W19" s="120"/>
      <c r="X19" s="120"/>
      <c r="Y19" s="120"/>
      <c r="Z19" s="120"/>
      <c r="AA19" s="120"/>
      <c r="AB19" s="120"/>
      <c r="AC19" s="120"/>
      <c r="AD19" s="120"/>
    </row>
    <row r="20">
      <c r="A20" s="213" t="s">
        <v>65</v>
      </c>
      <c r="B20" s="203" t="s">
        <v>1704</v>
      </c>
      <c r="C20" s="214" t="s">
        <v>1752</v>
      </c>
      <c r="D20" s="215" t="s">
        <v>1753</v>
      </c>
      <c r="E20" s="203" t="s">
        <v>1754</v>
      </c>
      <c r="F20" s="214" t="str">
        <f t="shared" si="2"/>
        <v>(MM4SG) - Fourth International Workshop on Multimodal Content Analysis for Social Good
Usman Naseem, Surendrabikram Thapa, Roy Ka-Wei Lee and Mehwish Nasim 
https://sites.google.com/view/mm4sg-webconf26</v>
      </c>
      <c r="G20" s="214" t="s">
        <v>1755</v>
      </c>
      <c r="H20" s="214" t="s">
        <v>1755</v>
      </c>
      <c r="I20" s="120"/>
      <c r="J20" s="120"/>
      <c r="K20" s="120"/>
      <c r="L20" s="120"/>
      <c r="M20" s="120"/>
      <c r="N20" s="120"/>
      <c r="O20" s="120"/>
      <c r="P20" s="120"/>
      <c r="Q20" s="120"/>
      <c r="R20" s="120"/>
      <c r="S20" s="120"/>
      <c r="T20" s="120"/>
      <c r="U20" s="120"/>
      <c r="V20" s="120"/>
      <c r="W20" s="120"/>
      <c r="X20" s="120"/>
      <c r="Y20" s="120"/>
      <c r="Z20" s="120"/>
      <c r="AA20" s="120"/>
      <c r="AB20" s="120"/>
      <c r="AC20" s="120"/>
      <c r="AD20" s="120"/>
    </row>
    <row r="21">
      <c r="A21" s="213" t="s">
        <v>40</v>
      </c>
      <c r="B21" s="203" t="s">
        <v>1704</v>
      </c>
      <c r="C21" s="214" t="s">
        <v>1756</v>
      </c>
      <c r="D21" s="215" t="s">
        <v>1757</v>
      </c>
      <c r="E21" s="203" t="s">
        <v>1758</v>
      </c>
      <c r="F21" s="214" t="str">
        <f t="shared" si="2"/>
        <v>(PromptEng) - Third International Workshop on Prompt Engineering for Pre-Trained Language Models
Damien Graux, Sébastien Montella and Hajira Jabeen 
https://prompteng-ws.github.io/2026/</v>
      </c>
      <c r="G21" s="214" t="s">
        <v>1759</v>
      </c>
      <c r="H21" s="216"/>
      <c r="I21" s="120"/>
      <c r="J21" s="120"/>
      <c r="K21" s="120"/>
      <c r="L21" s="120"/>
      <c r="M21" s="120"/>
      <c r="N21" s="120"/>
      <c r="O21" s="120"/>
      <c r="P21" s="120"/>
      <c r="Q21" s="120"/>
      <c r="R21" s="120"/>
      <c r="S21" s="120"/>
      <c r="T21" s="120"/>
      <c r="U21" s="120"/>
      <c r="V21" s="120"/>
      <c r="W21" s="120"/>
      <c r="X21" s="120"/>
      <c r="Y21" s="120"/>
      <c r="Z21" s="120"/>
      <c r="AA21" s="120"/>
      <c r="AB21" s="120"/>
      <c r="AC21" s="120"/>
      <c r="AD21" s="120"/>
    </row>
    <row r="22">
      <c r="A22" s="213" t="s">
        <v>42</v>
      </c>
      <c r="B22" s="203" t="s">
        <v>1704</v>
      </c>
      <c r="C22" s="214" t="s">
        <v>1760</v>
      </c>
      <c r="D22" s="215" t="s">
        <v>1761</v>
      </c>
      <c r="E22" s="203" t="s">
        <v>1762</v>
      </c>
      <c r="F22" s="214" t="str">
        <f t="shared" si="2"/>
        <v>(R2CASS) - The 2nd International Workshop on Social Science Meets Web Data: Reproducible and Reusable Computational Approaches
Fakhri Momeni, Arnim Bleier, Danilo Dessi and Muhammad Taimoor Khan 
https://sites.google.com/view/r2cass/home</v>
      </c>
      <c r="G22" s="214" t="s">
        <v>1763</v>
      </c>
      <c r="H22" s="216"/>
      <c r="I22" s="120"/>
      <c r="J22" s="120"/>
      <c r="K22" s="120"/>
      <c r="L22" s="120"/>
      <c r="M22" s="120"/>
      <c r="N22" s="120"/>
      <c r="O22" s="120"/>
      <c r="P22" s="120"/>
      <c r="Q22" s="120"/>
      <c r="R22" s="120"/>
      <c r="S22" s="120"/>
      <c r="T22" s="120"/>
      <c r="U22" s="120"/>
      <c r="V22" s="120"/>
      <c r="W22" s="120"/>
      <c r="X22" s="120"/>
      <c r="Y22" s="120"/>
      <c r="Z22" s="120"/>
      <c r="AA22" s="120"/>
      <c r="AB22" s="120"/>
      <c r="AC22" s="120"/>
      <c r="AD22" s="120"/>
    </row>
    <row r="23">
      <c r="A23" s="213" t="s">
        <v>39</v>
      </c>
      <c r="B23" s="203" t="s">
        <v>1704</v>
      </c>
      <c r="C23" s="214" t="s">
        <v>1764</v>
      </c>
      <c r="D23" s="215" t="s">
        <v>1765</v>
      </c>
      <c r="E23" s="203" t="s">
        <v>1766</v>
      </c>
      <c r="F23" s="214" t="str">
        <f t="shared" si="2"/>
        <v>(SemTech) - 4th International Workshop on AI and Semantic Technologies for the Scientific, Technical, and Legal Web
Rima Dessi', Jeenu Joy, Danilo Dessi', Francesco Osborne and Hidir Aras 
https://semtech4stld.github.io/</v>
      </c>
      <c r="G23" s="214" t="s">
        <v>1767</v>
      </c>
      <c r="H23" s="216"/>
      <c r="I23" s="120"/>
      <c r="J23" s="120"/>
      <c r="K23" s="120"/>
      <c r="L23" s="120"/>
      <c r="M23" s="120"/>
      <c r="N23" s="120"/>
      <c r="O23" s="120"/>
      <c r="P23" s="120"/>
      <c r="Q23" s="120"/>
      <c r="R23" s="120"/>
      <c r="S23" s="120"/>
      <c r="T23" s="120"/>
      <c r="U23" s="120"/>
      <c r="V23" s="120"/>
      <c r="W23" s="120"/>
      <c r="X23" s="120"/>
      <c r="Y23" s="120"/>
      <c r="Z23" s="120"/>
      <c r="AA23" s="120"/>
      <c r="AB23" s="120"/>
      <c r="AC23" s="120"/>
      <c r="AD23" s="120"/>
    </row>
    <row r="24">
      <c r="A24" s="213" t="s">
        <v>49</v>
      </c>
      <c r="B24" s="203" t="s">
        <v>1721</v>
      </c>
      <c r="C24" s="214" t="s">
        <v>1768</v>
      </c>
      <c r="D24" s="215" t="s">
        <v>1769</v>
      </c>
      <c r="E24" s="203" t="s">
        <v>1770</v>
      </c>
      <c r="F24" s="214" t="str">
        <f t="shared" si="2"/>
        <v>(TempWeb) part 1 - The 16th Temporal Web Analytics Workshop
Marc Spaniol, France Omar Alonso and Ricardo Baeza-Yates 
https://temporalweb.net/</v>
      </c>
      <c r="G24" s="214" t="s">
        <v>1771</v>
      </c>
      <c r="H24" s="216"/>
      <c r="I24" s="120"/>
      <c r="J24" s="120"/>
      <c r="K24" s="120"/>
      <c r="L24" s="120"/>
      <c r="M24" s="120"/>
      <c r="N24" s="120"/>
      <c r="O24" s="120"/>
      <c r="P24" s="120"/>
      <c r="Q24" s="120"/>
      <c r="R24" s="120"/>
      <c r="S24" s="120"/>
      <c r="T24" s="120"/>
      <c r="U24" s="120"/>
      <c r="V24" s="120"/>
      <c r="W24" s="120"/>
      <c r="X24" s="120"/>
      <c r="Y24" s="120"/>
      <c r="Z24" s="120"/>
      <c r="AA24" s="120"/>
      <c r="AB24" s="120"/>
      <c r="AC24" s="120"/>
      <c r="AD24" s="120"/>
    </row>
    <row r="25">
      <c r="A25" s="213" t="s">
        <v>62</v>
      </c>
      <c r="B25" s="203" t="s">
        <v>1721</v>
      </c>
      <c r="C25" s="214" t="s">
        <v>1768</v>
      </c>
      <c r="D25" s="215" t="s">
        <v>1772</v>
      </c>
      <c r="E25" s="203" t="s">
        <v>1773</v>
      </c>
      <c r="F25" s="214" t="str">
        <f t="shared" si="2"/>
        <v>(TempWeb) part 2 - The 16th Temporal Web Analytics Workshop
Marc Spaniol, France Omar Alonso and Ricardo Baeza-Yates 
https://temporalweb.net/</v>
      </c>
      <c r="G25" s="214" t="s">
        <v>1771</v>
      </c>
      <c r="H25" s="216"/>
      <c r="I25" s="120"/>
      <c r="J25" s="120"/>
      <c r="K25" s="120"/>
      <c r="L25" s="120"/>
      <c r="M25" s="120"/>
      <c r="N25" s="120"/>
      <c r="O25" s="120"/>
      <c r="P25" s="120"/>
      <c r="Q25" s="120"/>
      <c r="R25" s="120"/>
      <c r="S25" s="120"/>
      <c r="T25" s="120"/>
      <c r="U25" s="120"/>
      <c r="V25" s="120"/>
      <c r="W25" s="120"/>
      <c r="X25" s="120"/>
      <c r="Y25" s="120"/>
      <c r="Z25" s="120"/>
      <c r="AA25" s="120"/>
      <c r="AB25" s="120"/>
      <c r="AC25" s="120"/>
      <c r="AD25" s="120"/>
    </row>
    <row r="26">
      <c r="A26" s="213" t="s">
        <v>53</v>
      </c>
      <c r="B26" s="203" t="s">
        <v>1704</v>
      </c>
      <c r="C26" s="214" t="s">
        <v>1774</v>
      </c>
      <c r="D26" s="215" t="s">
        <v>1775</v>
      </c>
      <c r="E26" s="203" t="s">
        <v>1776</v>
      </c>
      <c r="F26" s="214" t="str">
        <f t="shared" si="2"/>
        <v>(TrustFM) - Trustworthy Foundation Models for Web Intelligence: Causal Perspectives and Challenges
Haoang Chi  Qi  Wang  Jiantong Jiang  Jiangchao Yao  Feng Liu  Bo Han 
https://www-tfm-causal.github.io/www2026-workshop/</v>
      </c>
      <c r="G26" s="214" t="s">
        <v>1777</v>
      </c>
      <c r="H26" s="216"/>
      <c r="I26" s="120"/>
      <c r="J26" s="120"/>
      <c r="K26" s="120"/>
      <c r="L26" s="120"/>
      <c r="M26" s="120"/>
      <c r="N26" s="120"/>
      <c r="O26" s="120"/>
      <c r="P26" s="120"/>
      <c r="Q26" s="120"/>
      <c r="R26" s="120"/>
      <c r="S26" s="120"/>
      <c r="T26" s="120"/>
      <c r="U26" s="120"/>
      <c r="V26" s="120"/>
      <c r="W26" s="120"/>
      <c r="X26" s="120"/>
      <c r="Y26" s="120"/>
      <c r="Z26" s="120"/>
      <c r="AA26" s="120"/>
      <c r="AB26" s="120"/>
      <c r="AC26" s="120"/>
      <c r="AD26" s="120"/>
    </row>
    <row r="27">
      <c r="A27" s="213" t="s">
        <v>50</v>
      </c>
      <c r="B27" s="203" t="s">
        <v>1721</v>
      </c>
      <c r="C27" s="214" t="s">
        <v>1778</v>
      </c>
      <c r="D27" s="215" t="s">
        <v>1779</v>
      </c>
      <c r="E27" s="203" t="s">
        <v>1780</v>
      </c>
      <c r="F27" s="214" t="str">
        <f t="shared" si="2"/>
        <v>(TIME) part 1 - 2nd International Workshop on Transformative Insights in Multi-faceted Evaluation
 Lei Wang,  Md Zakir Hossain, Tom Gedeon, Syed Mohammed Shamsul Islam. Rafiqul Islam. Yasmeen George and Shreya Ghosh 
https://time.griffith.edu.au/workshop/time2026/</v>
      </c>
      <c r="G27" s="214" t="s">
        <v>1781</v>
      </c>
      <c r="H27" s="216"/>
      <c r="I27" s="120"/>
      <c r="J27" s="120"/>
      <c r="K27" s="120"/>
      <c r="L27" s="120"/>
      <c r="M27" s="120"/>
      <c r="N27" s="120"/>
      <c r="O27" s="120"/>
      <c r="P27" s="120"/>
      <c r="Q27" s="120"/>
      <c r="R27" s="120"/>
      <c r="S27" s="120"/>
      <c r="T27" s="120"/>
      <c r="U27" s="120"/>
      <c r="V27" s="120"/>
      <c r="W27" s="120"/>
      <c r="X27" s="120"/>
      <c r="Y27" s="120"/>
      <c r="Z27" s="120"/>
      <c r="AA27" s="120"/>
      <c r="AB27" s="120"/>
      <c r="AC27" s="120"/>
      <c r="AD27" s="120"/>
    </row>
    <row r="28">
      <c r="A28" s="213" t="s">
        <v>63</v>
      </c>
      <c r="B28" s="203" t="s">
        <v>1721</v>
      </c>
      <c r="C28" s="214" t="s">
        <v>1778</v>
      </c>
      <c r="D28" s="215" t="s">
        <v>1782</v>
      </c>
      <c r="E28" s="203" t="s">
        <v>1783</v>
      </c>
      <c r="F28" s="214" t="str">
        <f t="shared" si="2"/>
        <v>(TIME) part 2 - 2nd International Workshop on Transformative Insights in Multi-faceted Evaluation
 Lei Wang,  Md Zakir Hossain, Tom Gedeon, Syed Mohammed Shamsul Islam. Rafiqul Islam. Yasmeen George and Shreya Ghosh 
https://time.griffith.edu.au/workshop/time2026/</v>
      </c>
      <c r="G28" s="214" t="s">
        <v>1781</v>
      </c>
      <c r="H28" s="216"/>
      <c r="I28" s="120"/>
      <c r="J28" s="120"/>
      <c r="K28" s="120"/>
      <c r="L28" s="120"/>
      <c r="M28" s="120"/>
      <c r="N28" s="120"/>
      <c r="O28" s="120"/>
      <c r="P28" s="120"/>
      <c r="Q28" s="120"/>
      <c r="R28" s="120"/>
      <c r="S28" s="120"/>
      <c r="T28" s="120"/>
      <c r="U28" s="120"/>
      <c r="V28" s="120"/>
      <c r="W28" s="120"/>
      <c r="X28" s="120"/>
      <c r="Y28" s="120"/>
      <c r="Z28" s="120"/>
      <c r="AA28" s="120"/>
      <c r="AB28" s="120"/>
      <c r="AC28" s="120"/>
      <c r="AD28" s="120"/>
    </row>
    <row r="29">
      <c r="A29" s="213" t="s">
        <v>24</v>
      </c>
      <c r="B29" s="203" t="s">
        <v>1704</v>
      </c>
      <c r="C29" s="214" t="s">
        <v>1784</v>
      </c>
      <c r="D29" s="215" t="s">
        <v>1785</v>
      </c>
      <c r="E29" s="203" t="s">
        <v>1786</v>
      </c>
      <c r="F29" s="214" t="str">
        <f t="shared" si="2"/>
        <v>(TML) - International Workshop on Trustworthy Multimodal Learning for Social Media Analysis
Jingwei Sun,G uosheng Lin, Fengmao Lv, Tao Liang, Junlin Fang and Jianli Wang
https://ttthhl.github.io/www2026-workshop/</v>
      </c>
      <c r="G29" s="214" t="s">
        <v>1787</v>
      </c>
      <c r="H29" s="216"/>
      <c r="I29" s="120"/>
      <c r="J29" s="120"/>
      <c r="K29" s="120"/>
      <c r="L29" s="120"/>
      <c r="M29" s="120"/>
      <c r="N29" s="120"/>
      <c r="O29" s="120"/>
      <c r="P29" s="120"/>
      <c r="Q29" s="120"/>
      <c r="R29" s="120"/>
      <c r="S29" s="120"/>
      <c r="T29" s="120"/>
      <c r="U29" s="120"/>
      <c r="V29" s="120"/>
      <c r="W29" s="120"/>
      <c r="X29" s="120"/>
      <c r="Y29" s="120"/>
      <c r="Z29" s="120"/>
      <c r="AA29" s="120"/>
      <c r="AB29" s="120"/>
      <c r="AC29" s="120"/>
      <c r="AD29" s="120"/>
    </row>
    <row r="30">
      <c r="A30" s="213" t="s">
        <v>21</v>
      </c>
      <c r="B30" s="203" t="s">
        <v>1721</v>
      </c>
      <c r="C30" s="214" t="s">
        <v>1788</v>
      </c>
      <c r="D30" s="215" t="s">
        <v>1789</v>
      </c>
      <c r="E30" s="204" t="s">
        <v>1790</v>
      </c>
      <c r="F30" s="214" t="str">
        <f t="shared" si="2"/>
        <v>(WebAds) part 1 - Emerging Trends in Web Advertising
Ehsan Toreini and Muadh Al Kalbani 
https://samsunginternet.github.io/webads26/</v>
      </c>
      <c r="G30" s="214" t="s">
        <v>1791</v>
      </c>
      <c r="H30" s="216"/>
      <c r="I30" s="120"/>
      <c r="J30" s="120"/>
      <c r="K30" s="120"/>
      <c r="L30" s="120"/>
      <c r="M30" s="120"/>
      <c r="N30" s="120"/>
      <c r="O30" s="120"/>
      <c r="P30" s="120"/>
      <c r="Q30" s="120"/>
      <c r="R30" s="120"/>
      <c r="S30" s="120"/>
      <c r="T30" s="120"/>
      <c r="U30" s="120"/>
      <c r="V30" s="120"/>
      <c r="W30" s="120"/>
      <c r="X30" s="120"/>
      <c r="Y30" s="120"/>
      <c r="Z30" s="120"/>
      <c r="AA30" s="120"/>
      <c r="AB30" s="120"/>
      <c r="AC30" s="120"/>
      <c r="AD30" s="120"/>
    </row>
    <row r="31">
      <c r="A31" s="213" t="s">
        <v>37</v>
      </c>
      <c r="B31" s="203" t="s">
        <v>1721</v>
      </c>
      <c r="C31" s="214" t="s">
        <v>1788</v>
      </c>
      <c r="D31" s="217" t="s">
        <v>1792</v>
      </c>
      <c r="E31" s="204" t="s">
        <v>1793</v>
      </c>
      <c r="F31" s="214" t="str">
        <f t="shared" si="2"/>
        <v>(WebAds) part 2 - Emerging Trends in Web Advertising
Ehsan Toreini and Muadh Al Kalbani 
https://samsunginternet.github.io/webads26/</v>
      </c>
      <c r="G31" s="214" t="s">
        <v>1791</v>
      </c>
      <c r="H31" s="216"/>
      <c r="I31" s="120"/>
      <c r="J31" s="120"/>
      <c r="K31" s="120"/>
      <c r="L31" s="120"/>
      <c r="M31" s="120"/>
      <c r="N31" s="120"/>
      <c r="O31" s="120"/>
      <c r="P31" s="120"/>
      <c r="Q31" s="120"/>
      <c r="R31" s="120"/>
      <c r="S31" s="120"/>
      <c r="T31" s="120"/>
      <c r="U31" s="120"/>
      <c r="V31" s="120"/>
      <c r="W31" s="120"/>
      <c r="X31" s="120"/>
      <c r="Y31" s="120"/>
      <c r="Z31" s="120"/>
      <c r="AA31" s="120"/>
      <c r="AB31" s="120"/>
      <c r="AC31" s="120"/>
      <c r="AD31" s="120"/>
    </row>
    <row r="32">
      <c r="A32" s="213" t="s">
        <v>25</v>
      </c>
      <c r="B32" s="203" t="s">
        <v>1704</v>
      </c>
      <c r="C32" s="214" t="s">
        <v>1794</v>
      </c>
      <c r="D32" s="215" t="s">
        <v>1795</v>
      </c>
      <c r="E32" s="203" t="s">
        <v>1796</v>
      </c>
      <c r="F32" s="214" t="str">
        <f t="shared" si="2"/>
        <v>(WebAndTheCity) - 12th International Smart City Workshop – Data-Driven Smart Cities
Leonidas Anthopoulos, Marijn Janssen and Vishanth Weerakkody 
https://webandthecity.home.blog/</v>
      </c>
      <c r="G32" s="214" t="s">
        <v>1797</v>
      </c>
      <c r="H32" s="216"/>
      <c r="I32" s="120"/>
      <c r="J32" s="120"/>
      <c r="K32" s="120"/>
      <c r="L32" s="120"/>
      <c r="M32" s="120"/>
      <c r="N32" s="120"/>
      <c r="O32" s="120"/>
      <c r="P32" s="120"/>
      <c r="Q32" s="120"/>
      <c r="R32" s="120"/>
      <c r="S32" s="120"/>
      <c r="T32" s="120"/>
      <c r="U32" s="120"/>
      <c r="V32" s="120"/>
      <c r="W32" s="120"/>
      <c r="X32" s="120"/>
      <c r="Y32" s="120"/>
      <c r="Z32" s="120"/>
      <c r="AA32" s="120"/>
      <c r="AB32" s="120"/>
      <c r="AC32" s="120"/>
      <c r="AD32" s="120"/>
    </row>
    <row r="33">
      <c r="A33" s="213" t="s">
        <v>26</v>
      </c>
      <c r="B33" s="218" t="s">
        <v>1704</v>
      </c>
      <c r="C33" s="214" t="s">
        <v>1798</v>
      </c>
      <c r="D33" s="215" t="s">
        <v>1799</v>
      </c>
      <c r="E33" s="218" t="s">
        <v>1800</v>
      </c>
      <c r="F33" s="214" t="str">
        <f t="shared" si="2"/>
        <v>(WebST) - The 2nd International Workshop on Spatio-Temporal Data Mining from the Web
Yuxuan Liang, Hao Xue, Ming Jin, Fei Wang, Qingxiang Liu, Qingsong Wen, Shirui Pan and Flora Salim 
https://webst2026.netlify.app/</v>
      </c>
      <c r="G33" s="219" t="s">
        <v>1801</v>
      </c>
      <c r="H33" s="220"/>
      <c r="I33" s="120"/>
      <c r="J33" s="120"/>
      <c r="K33" s="120"/>
      <c r="L33" s="120"/>
      <c r="M33" s="120"/>
      <c r="N33" s="120"/>
      <c r="O33" s="120"/>
      <c r="P33" s="120"/>
      <c r="Q33" s="120"/>
      <c r="R33" s="120"/>
      <c r="S33" s="120"/>
      <c r="T33" s="120"/>
      <c r="U33" s="120"/>
      <c r="V33" s="120"/>
      <c r="W33" s="120"/>
      <c r="X33" s="120"/>
      <c r="Y33" s="120"/>
      <c r="Z33" s="120"/>
      <c r="AA33" s="120"/>
      <c r="AB33" s="120"/>
      <c r="AC33" s="120"/>
      <c r="AD33" s="120"/>
    </row>
    <row r="34">
      <c r="A34" s="213" t="s">
        <v>22</v>
      </c>
      <c r="B34" s="221" t="s">
        <v>1721</v>
      </c>
      <c r="C34" s="214" t="s">
        <v>1802</v>
      </c>
      <c r="D34" s="215" t="s">
        <v>1803</v>
      </c>
      <c r="E34" s="221" t="s">
        <v>1804</v>
      </c>
      <c r="F34" s="214" t="str">
        <f t="shared" si="2"/>
        <v>(ZABAPAD) part 1 - Zero-knowledge Proof and Blockchain for Web 4.0: Advancing the Post-quantum and Decentralized Era
Shiho Kim, Ho Suk, Roberto Di Pietro, Davor Svetinovic, KyungHi Chang, Madhusudan Singh and Rakesh Shrestha 
https://zabapad.github.io</v>
      </c>
      <c r="G34" s="222" t="s">
        <v>1805</v>
      </c>
      <c r="H34" s="212"/>
      <c r="I34" s="120"/>
      <c r="J34" s="120"/>
      <c r="K34" s="120"/>
      <c r="L34" s="120"/>
      <c r="M34" s="120"/>
      <c r="N34" s="120"/>
      <c r="O34" s="120"/>
      <c r="P34" s="120"/>
      <c r="Q34" s="120"/>
      <c r="R34" s="120"/>
      <c r="S34" s="120"/>
      <c r="T34" s="120"/>
      <c r="U34" s="120"/>
      <c r="V34" s="120"/>
      <c r="W34" s="120"/>
      <c r="X34" s="120"/>
      <c r="Y34" s="120"/>
      <c r="Z34" s="120"/>
      <c r="AA34" s="120"/>
      <c r="AB34" s="120"/>
      <c r="AC34" s="120"/>
      <c r="AD34" s="120"/>
    </row>
    <row r="35">
      <c r="A35" s="213" t="s">
        <v>38</v>
      </c>
      <c r="B35" s="221" t="s">
        <v>1721</v>
      </c>
      <c r="C35" s="214" t="s">
        <v>1802</v>
      </c>
      <c r="D35" s="215" t="s">
        <v>1806</v>
      </c>
      <c r="E35" s="221" t="s">
        <v>1807</v>
      </c>
      <c r="F35" s="214" t="str">
        <f t="shared" si="2"/>
        <v>(ZABAPAD) part 2 - Zero-knowledge Proof and Blockchain for Web 4.0: Advancing the Post-quantum and Decentralized Era
Shiho Kim, Ho Suk, Roberto Di Pietro, Davor Svetinovic, KyungHi Chang, Madhusudan Singh and Rakesh Shrestha 
https://zabapad.github.io</v>
      </c>
      <c r="G35" s="222" t="s">
        <v>1805</v>
      </c>
      <c r="H35" s="212"/>
      <c r="I35" s="120"/>
      <c r="J35" s="120"/>
      <c r="K35" s="120"/>
      <c r="L35" s="120"/>
      <c r="M35" s="120"/>
      <c r="N35" s="120"/>
      <c r="O35" s="120"/>
      <c r="P35" s="120"/>
      <c r="Q35" s="120"/>
      <c r="R35" s="120"/>
      <c r="S35" s="120"/>
      <c r="T35" s="120"/>
      <c r="U35" s="120"/>
      <c r="V35" s="120"/>
      <c r="W35" s="120"/>
      <c r="X35" s="120"/>
      <c r="Y35" s="120"/>
      <c r="Z35" s="120"/>
      <c r="AA35" s="120"/>
      <c r="AB35" s="120"/>
      <c r="AC35" s="120"/>
      <c r="AD35" s="120"/>
    </row>
    <row r="36">
      <c r="A36" s="120"/>
      <c r="B36" s="120"/>
      <c r="C36" s="120"/>
      <c r="D36" s="120"/>
      <c r="E36" s="120"/>
      <c r="F36" s="120"/>
      <c r="G36" s="120"/>
      <c r="H36" s="120"/>
      <c r="I36" s="120"/>
      <c r="J36" s="120"/>
      <c r="K36" s="120"/>
      <c r="L36" s="120"/>
      <c r="M36" s="120"/>
      <c r="N36" s="120"/>
      <c r="O36" s="120"/>
      <c r="P36" s="120"/>
      <c r="Q36" s="120"/>
      <c r="R36" s="120"/>
      <c r="S36" s="120"/>
      <c r="T36" s="120"/>
      <c r="U36" s="120"/>
      <c r="V36" s="120"/>
      <c r="W36" s="120"/>
      <c r="X36" s="120"/>
      <c r="Y36" s="120"/>
      <c r="Z36" s="120"/>
      <c r="AA36" s="120"/>
      <c r="AB36" s="120"/>
      <c r="AC36" s="120"/>
      <c r="AD36" s="120"/>
    </row>
    <row r="37">
      <c r="A37" s="120"/>
      <c r="B37" s="120"/>
      <c r="C37" s="120"/>
      <c r="D37" s="120"/>
      <c r="E37" s="120"/>
      <c r="F37" s="120"/>
      <c r="G37" s="120"/>
      <c r="H37" s="120"/>
      <c r="I37" s="120"/>
      <c r="J37" s="120"/>
      <c r="K37" s="120"/>
      <c r="L37" s="120"/>
      <c r="M37" s="120"/>
      <c r="N37" s="120"/>
      <c r="O37" s="120"/>
      <c r="P37" s="120"/>
      <c r="Q37" s="120"/>
      <c r="R37" s="120"/>
      <c r="S37" s="120"/>
      <c r="T37" s="120"/>
      <c r="U37" s="120"/>
      <c r="V37" s="120"/>
      <c r="W37" s="120"/>
      <c r="X37" s="120"/>
      <c r="Y37" s="120"/>
      <c r="Z37" s="120"/>
      <c r="AA37" s="120"/>
      <c r="AB37" s="120"/>
      <c r="AC37" s="120"/>
      <c r="AD37" s="120"/>
    </row>
    <row r="38">
      <c r="A38" s="120"/>
      <c r="B38" s="120"/>
      <c r="C38" s="120"/>
      <c r="D38" s="120"/>
      <c r="E38" s="120"/>
      <c r="F38" s="120"/>
      <c r="G38" s="120"/>
      <c r="H38" s="120"/>
      <c r="I38" s="120"/>
      <c r="J38" s="120"/>
      <c r="K38" s="120"/>
      <c r="L38" s="120"/>
      <c r="M38" s="120"/>
      <c r="N38" s="120"/>
      <c r="O38" s="120"/>
      <c r="P38" s="120"/>
      <c r="Q38" s="120"/>
      <c r="R38" s="120"/>
      <c r="S38" s="120"/>
      <c r="T38" s="120"/>
      <c r="U38" s="120"/>
      <c r="V38" s="120"/>
      <c r="W38" s="120"/>
      <c r="X38" s="120"/>
      <c r="Y38" s="120"/>
      <c r="Z38" s="120"/>
      <c r="AA38" s="120"/>
      <c r="AB38" s="120"/>
      <c r="AC38" s="120"/>
      <c r="AD38" s="120"/>
    </row>
    <row r="39">
      <c r="A39" s="120"/>
      <c r="B39" s="120"/>
      <c r="C39" s="120"/>
      <c r="D39" s="120"/>
      <c r="E39" s="120"/>
      <c r="F39" s="120"/>
      <c r="G39" s="120"/>
      <c r="H39" s="120"/>
      <c r="I39" s="120"/>
      <c r="J39" s="120"/>
      <c r="K39" s="120"/>
      <c r="L39" s="120"/>
      <c r="M39" s="120"/>
      <c r="N39" s="120"/>
      <c r="O39" s="120"/>
      <c r="P39" s="120"/>
      <c r="Q39" s="120"/>
      <c r="R39" s="120"/>
      <c r="S39" s="120"/>
      <c r="T39" s="120"/>
      <c r="U39" s="120"/>
      <c r="V39" s="120"/>
      <c r="W39" s="120"/>
      <c r="X39" s="120"/>
      <c r="Y39" s="120"/>
      <c r="Z39" s="120"/>
      <c r="AA39" s="120"/>
      <c r="AB39" s="120"/>
      <c r="AC39" s="120"/>
      <c r="AD39" s="120"/>
    </row>
    <row r="40">
      <c r="A40" s="120"/>
      <c r="B40" s="120"/>
      <c r="C40" s="120"/>
      <c r="D40" s="120"/>
      <c r="E40" s="120"/>
      <c r="F40" s="120"/>
      <c r="G40" s="120"/>
      <c r="H40" s="120"/>
      <c r="I40" s="120"/>
      <c r="J40" s="120"/>
      <c r="K40" s="120"/>
      <c r="L40" s="120"/>
      <c r="M40" s="120"/>
      <c r="N40" s="120"/>
      <c r="O40" s="120"/>
      <c r="P40" s="120"/>
      <c r="Q40" s="120"/>
      <c r="R40" s="120"/>
      <c r="S40" s="120"/>
      <c r="T40" s="120"/>
      <c r="U40" s="120"/>
      <c r="V40" s="120"/>
      <c r="W40" s="120"/>
      <c r="X40" s="120"/>
      <c r="Y40" s="120"/>
      <c r="Z40" s="120"/>
      <c r="AA40" s="120"/>
      <c r="AB40" s="120"/>
      <c r="AC40" s="120"/>
      <c r="AD40" s="120"/>
    </row>
    <row r="41">
      <c r="A41" s="120"/>
      <c r="B41" s="120"/>
      <c r="C41" s="120"/>
      <c r="D41" s="120"/>
      <c r="E41" s="120"/>
      <c r="F41" s="120"/>
      <c r="G41" s="120"/>
      <c r="H41" s="120"/>
      <c r="I41" s="120"/>
      <c r="J41" s="120"/>
      <c r="K41" s="120"/>
      <c r="L41" s="120"/>
      <c r="M41" s="120"/>
      <c r="N41" s="120"/>
      <c r="O41" s="120"/>
      <c r="P41" s="120"/>
      <c r="Q41" s="120"/>
      <c r="R41" s="120"/>
      <c r="S41" s="120"/>
      <c r="T41" s="120"/>
      <c r="U41" s="120"/>
      <c r="V41" s="120"/>
      <c r="W41" s="120"/>
      <c r="X41" s="120"/>
      <c r="Y41" s="120"/>
      <c r="Z41" s="120"/>
      <c r="AA41" s="120"/>
      <c r="AB41" s="120"/>
      <c r="AC41" s="120"/>
      <c r="AD41" s="120"/>
    </row>
    <row r="42">
      <c r="A42" s="120"/>
      <c r="B42" s="120"/>
      <c r="C42" s="120"/>
      <c r="D42" s="120"/>
      <c r="E42" s="120"/>
      <c r="F42" s="120"/>
      <c r="G42" s="120"/>
      <c r="H42" s="120"/>
      <c r="I42" s="120"/>
      <c r="J42" s="120"/>
      <c r="K42" s="120"/>
      <c r="L42" s="120"/>
      <c r="M42" s="120"/>
      <c r="N42" s="120"/>
      <c r="O42" s="120"/>
      <c r="P42" s="120"/>
      <c r="Q42" s="120"/>
      <c r="R42" s="120"/>
      <c r="S42" s="120"/>
      <c r="T42" s="120"/>
      <c r="U42" s="120"/>
      <c r="V42" s="120"/>
      <c r="W42" s="120"/>
      <c r="X42" s="120"/>
      <c r="Y42" s="120"/>
      <c r="Z42" s="120"/>
      <c r="AA42" s="120"/>
      <c r="AB42" s="120"/>
      <c r="AC42" s="120"/>
      <c r="AD42" s="120"/>
    </row>
    <row r="43">
      <c r="A43" s="120"/>
      <c r="B43" s="120"/>
      <c r="C43" s="120"/>
      <c r="D43" s="120"/>
      <c r="E43" s="120"/>
      <c r="F43" s="120"/>
      <c r="G43" s="120"/>
      <c r="H43" s="120"/>
      <c r="I43" s="120"/>
      <c r="J43" s="120"/>
      <c r="K43" s="120"/>
      <c r="L43" s="120"/>
      <c r="M43" s="120"/>
      <c r="N43" s="120"/>
      <c r="O43" s="120"/>
      <c r="P43" s="120"/>
      <c r="Q43" s="120"/>
      <c r="R43" s="120"/>
      <c r="S43" s="120"/>
      <c r="T43" s="120"/>
      <c r="U43" s="120"/>
      <c r="V43" s="120"/>
      <c r="W43" s="120"/>
      <c r="X43" s="120"/>
      <c r="Y43" s="120"/>
      <c r="Z43" s="120"/>
      <c r="AA43" s="120"/>
      <c r="AB43" s="120"/>
      <c r="AC43" s="120"/>
      <c r="AD43" s="120"/>
    </row>
    <row r="44">
      <c r="A44" s="120"/>
      <c r="B44" s="120"/>
      <c r="C44" s="120"/>
      <c r="D44" s="120"/>
      <c r="E44" s="120"/>
      <c r="F44" s="120"/>
      <c r="G44" s="120"/>
      <c r="H44" s="120"/>
      <c r="I44" s="120"/>
      <c r="J44" s="120"/>
      <c r="K44" s="120"/>
      <c r="L44" s="120"/>
      <c r="M44" s="120"/>
      <c r="N44" s="120"/>
      <c r="O44" s="120"/>
      <c r="P44" s="120"/>
      <c r="Q44" s="120"/>
      <c r="R44" s="120"/>
      <c r="S44" s="120"/>
      <c r="T44" s="120"/>
      <c r="U44" s="120"/>
      <c r="V44" s="120"/>
      <c r="W44" s="120"/>
      <c r="X44" s="120"/>
      <c r="Y44" s="120"/>
      <c r="Z44" s="120"/>
      <c r="AA44" s="120"/>
      <c r="AB44" s="120"/>
      <c r="AC44" s="120"/>
      <c r="AD44" s="120"/>
    </row>
    <row r="45">
      <c r="A45" s="120"/>
      <c r="B45" s="120"/>
      <c r="C45" s="120"/>
      <c r="D45" s="120"/>
      <c r="E45" s="120"/>
      <c r="F45" s="120"/>
      <c r="G45" s="120"/>
      <c r="H45" s="120"/>
      <c r="I45" s="120"/>
      <c r="J45" s="120"/>
      <c r="K45" s="120"/>
      <c r="L45" s="120"/>
      <c r="M45" s="120"/>
      <c r="N45" s="120"/>
      <c r="O45" s="120"/>
      <c r="P45" s="120"/>
      <c r="Q45" s="120"/>
      <c r="R45" s="120"/>
      <c r="S45" s="120"/>
      <c r="T45" s="120"/>
      <c r="U45" s="120"/>
      <c r="V45" s="120"/>
      <c r="W45" s="120"/>
      <c r="X45" s="120"/>
      <c r="Y45" s="120"/>
      <c r="Z45" s="120"/>
      <c r="AA45" s="120"/>
      <c r="AB45" s="120"/>
      <c r="AC45" s="120"/>
      <c r="AD45" s="120"/>
    </row>
    <row r="46">
      <c r="A46" s="120"/>
      <c r="B46" s="120"/>
      <c r="C46" s="120"/>
      <c r="D46" s="120"/>
      <c r="E46" s="120"/>
      <c r="F46" s="120"/>
      <c r="G46" s="120"/>
      <c r="H46" s="120"/>
      <c r="I46" s="120"/>
      <c r="J46" s="120"/>
      <c r="K46" s="120"/>
      <c r="L46" s="120"/>
      <c r="M46" s="120"/>
      <c r="N46" s="120"/>
      <c r="O46" s="120"/>
      <c r="P46" s="120"/>
      <c r="Q46" s="120"/>
      <c r="R46" s="120"/>
      <c r="S46" s="120"/>
      <c r="T46" s="120"/>
      <c r="U46" s="120"/>
      <c r="V46" s="120"/>
      <c r="W46" s="120"/>
      <c r="X46" s="120"/>
      <c r="Y46" s="120"/>
      <c r="Z46" s="120"/>
      <c r="AA46" s="120"/>
      <c r="AB46" s="120"/>
      <c r="AC46" s="120"/>
      <c r="AD46" s="120"/>
    </row>
    <row r="47">
      <c r="A47" s="120"/>
      <c r="B47" s="120"/>
      <c r="C47" s="120"/>
      <c r="D47" s="120"/>
      <c r="E47" s="120"/>
      <c r="F47" s="120"/>
      <c r="G47" s="120"/>
      <c r="H47" s="120"/>
      <c r="I47" s="120"/>
      <c r="J47" s="120"/>
      <c r="K47" s="120"/>
      <c r="L47" s="120"/>
      <c r="M47" s="120"/>
      <c r="N47" s="120"/>
      <c r="O47" s="120"/>
      <c r="P47" s="120"/>
      <c r="Q47" s="120"/>
      <c r="R47" s="120"/>
      <c r="S47" s="120"/>
      <c r="T47" s="120"/>
      <c r="U47" s="120"/>
      <c r="V47" s="120"/>
      <c r="W47" s="120"/>
      <c r="X47" s="120"/>
      <c r="Y47" s="120"/>
      <c r="Z47" s="120"/>
      <c r="AA47" s="120"/>
      <c r="AB47" s="120"/>
      <c r="AC47" s="120"/>
      <c r="AD47" s="120"/>
    </row>
    <row r="48">
      <c r="A48" s="120"/>
      <c r="B48" s="120"/>
      <c r="C48" s="120"/>
      <c r="D48" s="120"/>
      <c r="E48" s="120"/>
      <c r="F48" s="120"/>
      <c r="G48" s="120"/>
      <c r="H48" s="120"/>
      <c r="I48" s="120"/>
      <c r="J48" s="120"/>
      <c r="K48" s="120"/>
      <c r="L48" s="120"/>
      <c r="M48" s="120"/>
      <c r="N48" s="120"/>
      <c r="O48" s="120"/>
      <c r="P48" s="120"/>
      <c r="Q48" s="120"/>
      <c r="R48" s="120"/>
      <c r="S48" s="120"/>
      <c r="T48" s="120"/>
      <c r="U48" s="120"/>
      <c r="V48" s="120"/>
      <c r="W48" s="120"/>
      <c r="X48" s="120"/>
      <c r="Y48" s="120"/>
      <c r="Z48" s="120"/>
      <c r="AA48" s="120"/>
      <c r="AB48" s="120"/>
      <c r="AC48" s="120"/>
      <c r="AD48" s="120"/>
    </row>
    <row r="49">
      <c r="A49" s="120"/>
      <c r="B49" s="120"/>
      <c r="C49" s="120"/>
      <c r="D49" s="120"/>
      <c r="E49" s="120"/>
      <c r="F49" s="120"/>
      <c r="G49" s="120"/>
      <c r="H49" s="120"/>
      <c r="I49" s="120"/>
      <c r="J49" s="120"/>
      <c r="K49" s="120"/>
      <c r="L49" s="120"/>
      <c r="M49" s="120"/>
      <c r="N49" s="120"/>
      <c r="O49" s="120"/>
      <c r="P49" s="120"/>
      <c r="Q49" s="120"/>
      <c r="R49" s="120"/>
      <c r="S49" s="120"/>
      <c r="T49" s="120"/>
      <c r="U49" s="120"/>
      <c r="V49" s="120"/>
      <c r="W49" s="120"/>
      <c r="X49" s="120"/>
      <c r="Y49" s="120"/>
      <c r="Z49" s="120"/>
      <c r="AA49" s="120"/>
      <c r="AB49" s="120"/>
      <c r="AC49" s="120"/>
      <c r="AD49" s="120"/>
    </row>
    <row r="50">
      <c r="A50" s="120"/>
      <c r="B50" s="120"/>
      <c r="C50" s="120"/>
      <c r="D50" s="120"/>
      <c r="E50" s="120"/>
      <c r="F50" s="120"/>
      <c r="G50" s="120"/>
      <c r="H50" s="120"/>
      <c r="I50" s="120"/>
      <c r="J50" s="120"/>
      <c r="K50" s="120"/>
      <c r="L50" s="120"/>
      <c r="M50" s="120"/>
      <c r="N50" s="120"/>
      <c r="O50" s="120"/>
      <c r="P50" s="120"/>
      <c r="Q50" s="120"/>
      <c r="R50" s="120"/>
      <c r="S50" s="120"/>
      <c r="T50" s="120"/>
      <c r="U50" s="120"/>
      <c r="V50" s="120"/>
      <c r="W50" s="120"/>
      <c r="X50" s="120"/>
      <c r="Y50" s="120"/>
      <c r="Z50" s="120"/>
      <c r="AA50" s="120"/>
      <c r="AB50" s="120"/>
      <c r="AC50" s="120"/>
      <c r="AD50" s="120"/>
    </row>
    <row r="51">
      <c r="A51" s="120"/>
      <c r="B51" s="120"/>
      <c r="C51" s="120"/>
      <c r="D51" s="120"/>
      <c r="E51" s="120"/>
      <c r="F51" s="120"/>
      <c r="G51" s="120"/>
      <c r="H51" s="120"/>
      <c r="I51" s="120"/>
      <c r="J51" s="120"/>
      <c r="K51" s="120"/>
      <c r="L51" s="120"/>
      <c r="M51" s="120"/>
      <c r="N51" s="120"/>
      <c r="O51" s="120"/>
      <c r="P51" s="120"/>
      <c r="Q51" s="120"/>
      <c r="R51" s="120"/>
      <c r="S51" s="120"/>
      <c r="T51" s="120"/>
      <c r="U51" s="120"/>
      <c r="V51" s="120"/>
      <c r="W51" s="120"/>
      <c r="X51" s="120"/>
      <c r="Y51" s="120"/>
      <c r="Z51" s="120"/>
      <c r="AA51" s="120"/>
      <c r="AB51" s="120"/>
      <c r="AC51" s="120"/>
      <c r="AD51" s="120"/>
    </row>
    <row r="52">
      <c r="A52" s="120"/>
      <c r="B52" s="120"/>
      <c r="C52" s="120"/>
      <c r="D52" s="120"/>
      <c r="E52" s="120"/>
      <c r="F52" s="120"/>
      <c r="G52" s="120"/>
      <c r="H52" s="120"/>
      <c r="I52" s="120"/>
      <c r="J52" s="120"/>
      <c r="K52" s="120"/>
      <c r="L52" s="120"/>
      <c r="M52" s="120"/>
      <c r="N52" s="120"/>
      <c r="O52" s="120"/>
      <c r="P52" s="120"/>
      <c r="Q52" s="120"/>
      <c r="R52" s="120"/>
      <c r="S52" s="120"/>
      <c r="T52" s="120"/>
      <c r="U52" s="120"/>
      <c r="V52" s="120"/>
      <c r="W52" s="120"/>
      <c r="X52" s="120"/>
      <c r="Y52" s="120"/>
      <c r="Z52" s="120"/>
      <c r="AA52" s="120"/>
      <c r="AB52" s="120"/>
      <c r="AC52" s="120"/>
      <c r="AD52" s="120"/>
    </row>
    <row r="53">
      <c r="A53" s="120"/>
      <c r="B53" s="120"/>
      <c r="C53" s="120"/>
      <c r="D53" s="120"/>
      <c r="E53" s="120"/>
      <c r="F53" s="120"/>
      <c r="G53" s="120"/>
      <c r="H53" s="120"/>
      <c r="I53" s="120"/>
      <c r="J53" s="120"/>
      <c r="K53" s="120"/>
      <c r="L53" s="120"/>
      <c r="M53" s="120"/>
      <c r="N53" s="120"/>
      <c r="O53" s="120"/>
      <c r="P53" s="120"/>
      <c r="Q53" s="120"/>
      <c r="R53" s="120"/>
      <c r="S53" s="120"/>
      <c r="T53" s="120"/>
      <c r="U53" s="120"/>
      <c r="V53" s="120"/>
      <c r="W53" s="120"/>
      <c r="X53" s="120"/>
      <c r="Y53" s="120"/>
      <c r="Z53" s="120"/>
      <c r="AA53" s="120"/>
      <c r="AB53" s="120"/>
      <c r="AC53" s="120"/>
      <c r="AD53" s="120"/>
    </row>
    <row r="54">
      <c r="A54" s="120"/>
      <c r="B54" s="120"/>
      <c r="C54" s="120"/>
      <c r="D54" s="120"/>
      <c r="E54" s="120"/>
      <c r="F54" s="120"/>
      <c r="G54" s="120"/>
      <c r="H54" s="120"/>
      <c r="I54" s="120"/>
      <c r="J54" s="120"/>
      <c r="K54" s="120"/>
      <c r="L54" s="120"/>
      <c r="M54" s="120"/>
      <c r="N54" s="120"/>
      <c r="O54" s="120"/>
      <c r="P54" s="120"/>
      <c r="Q54" s="120"/>
      <c r="R54" s="120"/>
      <c r="S54" s="120"/>
      <c r="T54" s="120"/>
      <c r="U54" s="120"/>
      <c r="V54" s="120"/>
      <c r="W54" s="120"/>
      <c r="X54" s="120"/>
      <c r="Y54" s="120"/>
      <c r="Z54" s="120"/>
      <c r="AA54" s="120"/>
      <c r="AB54" s="120"/>
      <c r="AC54" s="120"/>
      <c r="AD54" s="120"/>
    </row>
    <row r="55">
      <c r="A55" s="120"/>
      <c r="B55" s="120"/>
      <c r="C55" s="120"/>
      <c r="D55" s="120"/>
      <c r="E55" s="120"/>
      <c r="F55" s="120"/>
      <c r="G55" s="120"/>
      <c r="H55" s="120"/>
      <c r="I55" s="120"/>
      <c r="J55" s="120"/>
      <c r="K55" s="120"/>
      <c r="L55" s="120"/>
      <c r="M55" s="120"/>
      <c r="N55" s="120"/>
      <c r="O55" s="120"/>
      <c r="P55" s="120"/>
      <c r="Q55" s="120"/>
      <c r="R55" s="120"/>
      <c r="S55" s="120"/>
      <c r="T55" s="120"/>
      <c r="U55" s="120"/>
      <c r="V55" s="120"/>
      <c r="W55" s="120"/>
      <c r="X55" s="120"/>
      <c r="Y55" s="120"/>
      <c r="Z55" s="120"/>
      <c r="AA55" s="120"/>
      <c r="AB55" s="120"/>
      <c r="AC55" s="120"/>
      <c r="AD55" s="120"/>
    </row>
    <row r="56">
      <c r="A56" s="120"/>
      <c r="B56" s="120"/>
      <c r="C56" s="120"/>
      <c r="D56" s="120"/>
      <c r="E56" s="120"/>
      <c r="F56" s="120"/>
      <c r="G56" s="120"/>
      <c r="H56" s="120"/>
      <c r="I56" s="120"/>
      <c r="J56" s="120"/>
      <c r="K56" s="120"/>
      <c r="L56" s="120"/>
      <c r="M56" s="120"/>
      <c r="N56" s="120"/>
      <c r="O56" s="120"/>
      <c r="P56" s="120"/>
      <c r="Q56" s="120"/>
      <c r="R56" s="120"/>
      <c r="S56" s="120"/>
      <c r="T56" s="120"/>
      <c r="U56" s="120"/>
      <c r="V56" s="120"/>
      <c r="W56" s="120"/>
      <c r="X56" s="120"/>
      <c r="Y56" s="120"/>
      <c r="Z56" s="120"/>
      <c r="AA56" s="120"/>
      <c r="AB56" s="120"/>
      <c r="AC56" s="120"/>
      <c r="AD56" s="120"/>
    </row>
    <row r="57">
      <c r="A57" s="120"/>
      <c r="B57" s="120"/>
      <c r="C57" s="120"/>
      <c r="D57" s="120"/>
      <c r="E57" s="120"/>
      <c r="F57" s="120"/>
      <c r="G57" s="120"/>
      <c r="H57" s="120"/>
      <c r="I57" s="120"/>
      <c r="J57" s="120"/>
      <c r="K57" s="120"/>
      <c r="L57" s="120"/>
      <c r="M57" s="120"/>
      <c r="N57" s="120"/>
      <c r="O57" s="120"/>
      <c r="P57" s="120"/>
      <c r="Q57" s="120"/>
      <c r="R57" s="120"/>
      <c r="S57" s="120"/>
      <c r="T57" s="120"/>
      <c r="U57" s="120"/>
      <c r="V57" s="120"/>
      <c r="W57" s="120"/>
      <c r="X57" s="120"/>
      <c r="Y57" s="120"/>
      <c r="Z57" s="120"/>
      <c r="AA57" s="120"/>
      <c r="AB57" s="120"/>
      <c r="AC57" s="120"/>
      <c r="AD57" s="120"/>
    </row>
    <row r="58">
      <c r="A58" s="120"/>
      <c r="B58" s="120"/>
      <c r="C58" s="120"/>
      <c r="D58" s="120"/>
      <c r="E58" s="120"/>
      <c r="F58" s="120"/>
      <c r="G58" s="120"/>
      <c r="H58" s="120"/>
      <c r="I58" s="120"/>
      <c r="J58" s="120"/>
      <c r="K58" s="120"/>
      <c r="L58" s="120"/>
      <c r="M58" s="120"/>
      <c r="N58" s="120"/>
      <c r="O58" s="120"/>
      <c r="P58" s="120"/>
      <c r="Q58" s="120"/>
      <c r="R58" s="120"/>
      <c r="S58" s="120"/>
      <c r="T58" s="120"/>
      <c r="U58" s="120"/>
      <c r="V58" s="120"/>
      <c r="W58" s="120"/>
      <c r="X58" s="120"/>
      <c r="Y58" s="120"/>
      <c r="Z58" s="120"/>
      <c r="AA58" s="120"/>
      <c r="AB58" s="120"/>
      <c r="AC58" s="120"/>
      <c r="AD58" s="120"/>
    </row>
    <row r="59">
      <c r="A59" s="120"/>
      <c r="B59" s="120"/>
      <c r="C59" s="120"/>
      <c r="D59" s="120"/>
      <c r="E59" s="120"/>
      <c r="F59" s="120"/>
      <c r="G59" s="120"/>
      <c r="H59" s="120"/>
      <c r="I59" s="120"/>
      <c r="J59" s="120"/>
      <c r="K59" s="120"/>
      <c r="L59" s="120"/>
      <c r="M59" s="120"/>
      <c r="N59" s="120"/>
      <c r="O59" s="120"/>
      <c r="P59" s="120"/>
      <c r="Q59" s="120"/>
      <c r="R59" s="120"/>
      <c r="S59" s="120"/>
      <c r="T59" s="120"/>
      <c r="U59" s="120"/>
      <c r="V59" s="120"/>
      <c r="W59" s="120"/>
      <c r="X59" s="120"/>
      <c r="Y59" s="120"/>
      <c r="Z59" s="120"/>
      <c r="AA59" s="120"/>
      <c r="AB59" s="120"/>
      <c r="AC59" s="120"/>
      <c r="AD59" s="120"/>
    </row>
    <row r="60">
      <c r="A60" s="120"/>
      <c r="B60" s="120"/>
      <c r="C60" s="120"/>
      <c r="D60" s="120"/>
      <c r="E60" s="120"/>
      <c r="F60" s="120"/>
      <c r="G60" s="120"/>
      <c r="H60" s="120"/>
      <c r="I60" s="120"/>
      <c r="J60" s="120"/>
      <c r="K60" s="120"/>
      <c r="L60" s="120"/>
      <c r="M60" s="120"/>
      <c r="N60" s="120"/>
      <c r="O60" s="120"/>
      <c r="P60" s="120"/>
      <c r="Q60" s="120"/>
      <c r="R60" s="120"/>
      <c r="S60" s="120"/>
      <c r="T60" s="120"/>
      <c r="U60" s="120"/>
      <c r="V60" s="120"/>
      <c r="W60" s="120"/>
      <c r="X60" s="120"/>
      <c r="Y60" s="120"/>
      <c r="Z60" s="120"/>
      <c r="AA60" s="120"/>
      <c r="AB60" s="120"/>
      <c r="AC60" s="120"/>
      <c r="AD60" s="120"/>
    </row>
    <row r="61">
      <c r="A61" s="120"/>
      <c r="B61" s="120"/>
      <c r="C61" s="120"/>
      <c r="D61" s="120"/>
      <c r="E61" s="120"/>
      <c r="F61" s="120"/>
      <c r="G61" s="120"/>
      <c r="H61" s="120"/>
      <c r="I61" s="120"/>
      <c r="J61" s="120"/>
      <c r="K61" s="120"/>
      <c r="L61" s="120"/>
      <c r="M61" s="120"/>
      <c r="N61" s="120"/>
      <c r="O61" s="120"/>
      <c r="P61" s="120"/>
      <c r="Q61" s="120"/>
      <c r="R61" s="120"/>
      <c r="S61" s="120"/>
      <c r="T61" s="120"/>
      <c r="U61" s="120"/>
      <c r="V61" s="120"/>
      <c r="W61" s="120"/>
      <c r="X61" s="120"/>
      <c r="Y61" s="120"/>
      <c r="Z61" s="120"/>
      <c r="AA61" s="120"/>
      <c r="AB61" s="120"/>
      <c r="AC61" s="120"/>
      <c r="AD61" s="120"/>
    </row>
    <row r="62">
      <c r="A62" s="120"/>
      <c r="B62" s="120"/>
      <c r="C62" s="120"/>
      <c r="D62" s="120"/>
      <c r="E62" s="120"/>
      <c r="F62" s="120"/>
      <c r="G62" s="120"/>
      <c r="H62" s="120"/>
      <c r="I62" s="120"/>
      <c r="J62" s="120"/>
      <c r="K62" s="120"/>
      <c r="L62" s="120"/>
      <c r="M62" s="120"/>
      <c r="N62" s="120"/>
      <c r="O62" s="120"/>
      <c r="P62" s="120"/>
      <c r="Q62" s="120"/>
      <c r="R62" s="120"/>
      <c r="S62" s="120"/>
      <c r="T62" s="120"/>
      <c r="U62" s="120"/>
      <c r="V62" s="120"/>
      <c r="W62" s="120"/>
      <c r="X62" s="120"/>
      <c r="Y62" s="120"/>
      <c r="Z62" s="120"/>
      <c r="AA62" s="120"/>
      <c r="AB62" s="120"/>
      <c r="AC62" s="120"/>
      <c r="AD62" s="120"/>
    </row>
    <row r="63">
      <c r="A63" s="120"/>
      <c r="B63" s="120"/>
      <c r="C63" s="120"/>
      <c r="D63" s="120"/>
      <c r="E63" s="120"/>
      <c r="F63" s="120"/>
      <c r="G63" s="120"/>
      <c r="H63" s="120"/>
      <c r="I63" s="120"/>
      <c r="J63" s="120"/>
      <c r="K63" s="120"/>
      <c r="L63" s="120"/>
      <c r="M63" s="120"/>
      <c r="N63" s="120"/>
      <c r="O63" s="120"/>
      <c r="P63" s="120"/>
      <c r="Q63" s="120"/>
      <c r="R63" s="120"/>
      <c r="S63" s="120"/>
      <c r="T63" s="120"/>
      <c r="U63" s="120"/>
      <c r="V63" s="120"/>
      <c r="W63" s="120"/>
      <c r="X63" s="120"/>
      <c r="Y63" s="120"/>
      <c r="Z63" s="120"/>
      <c r="AA63" s="120"/>
      <c r="AB63" s="120"/>
      <c r="AC63" s="120"/>
      <c r="AD63" s="120"/>
    </row>
    <row r="64">
      <c r="A64" s="120"/>
      <c r="B64" s="120"/>
      <c r="C64" s="120"/>
      <c r="D64" s="120"/>
      <c r="E64" s="120"/>
      <c r="F64" s="120"/>
      <c r="G64" s="120"/>
      <c r="H64" s="120"/>
      <c r="I64" s="120"/>
      <c r="J64" s="120"/>
      <c r="K64" s="120"/>
      <c r="L64" s="120"/>
      <c r="M64" s="120"/>
      <c r="N64" s="120"/>
      <c r="O64" s="120"/>
      <c r="P64" s="120"/>
      <c r="Q64" s="120"/>
      <c r="R64" s="120"/>
      <c r="S64" s="120"/>
      <c r="T64" s="120"/>
      <c r="U64" s="120"/>
      <c r="V64" s="120"/>
      <c r="W64" s="120"/>
      <c r="X64" s="120"/>
      <c r="Y64" s="120"/>
      <c r="Z64" s="120"/>
      <c r="AA64" s="120"/>
      <c r="AB64" s="120"/>
      <c r="AC64" s="120"/>
      <c r="AD64" s="120"/>
    </row>
    <row r="65">
      <c r="A65" s="120"/>
      <c r="B65" s="120"/>
      <c r="C65" s="120"/>
      <c r="D65" s="120"/>
      <c r="E65" s="120"/>
      <c r="F65" s="120"/>
      <c r="G65" s="120"/>
      <c r="H65" s="120"/>
      <c r="I65" s="120"/>
      <c r="J65" s="120"/>
      <c r="K65" s="120"/>
      <c r="L65" s="120"/>
      <c r="M65" s="120"/>
      <c r="N65" s="120"/>
      <c r="O65" s="120"/>
      <c r="P65" s="120"/>
      <c r="Q65" s="120"/>
      <c r="R65" s="120"/>
      <c r="S65" s="120"/>
      <c r="T65" s="120"/>
      <c r="U65" s="120"/>
      <c r="V65" s="120"/>
      <c r="W65" s="120"/>
      <c r="X65" s="120"/>
      <c r="Y65" s="120"/>
      <c r="Z65" s="120"/>
      <c r="AA65" s="120"/>
      <c r="AB65" s="120"/>
      <c r="AC65" s="120"/>
      <c r="AD65" s="120"/>
    </row>
    <row r="66">
      <c r="A66" s="120"/>
      <c r="B66" s="120"/>
      <c r="C66" s="120"/>
      <c r="D66" s="120"/>
      <c r="E66" s="120"/>
      <c r="F66" s="120"/>
      <c r="G66" s="120"/>
      <c r="H66" s="120"/>
      <c r="I66" s="120"/>
      <c r="J66" s="120"/>
      <c r="K66" s="120"/>
      <c r="L66" s="120"/>
      <c r="M66" s="120"/>
      <c r="N66" s="120"/>
      <c r="O66" s="120"/>
      <c r="P66" s="120"/>
      <c r="Q66" s="120"/>
      <c r="R66" s="120"/>
      <c r="S66" s="120"/>
      <c r="T66" s="120"/>
      <c r="U66" s="120"/>
      <c r="V66" s="120"/>
      <c r="W66" s="120"/>
      <c r="X66" s="120"/>
      <c r="Y66" s="120"/>
      <c r="Z66" s="120"/>
      <c r="AA66" s="120"/>
      <c r="AB66" s="120"/>
      <c r="AC66" s="120"/>
      <c r="AD66" s="120"/>
    </row>
    <row r="67">
      <c r="A67" s="120"/>
      <c r="B67" s="120"/>
      <c r="C67" s="120"/>
      <c r="D67" s="120"/>
      <c r="E67" s="120"/>
      <c r="F67" s="120"/>
      <c r="G67" s="120"/>
      <c r="H67" s="120"/>
      <c r="I67" s="120"/>
      <c r="J67" s="120"/>
      <c r="K67" s="120"/>
      <c r="L67" s="120"/>
      <c r="M67" s="120"/>
      <c r="N67" s="120"/>
      <c r="O67" s="120"/>
      <c r="P67" s="120"/>
      <c r="Q67" s="120"/>
      <c r="R67" s="120"/>
      <c r="S67" s="120"/>
      <c r="T67" s="120"/>
      <c r="U67" s="120"/>
      <c r="V67" s="120"/>
      <c r="W67" s="120"/>
      <c r="X67" s="120"/>
      <c r="Y67" s="120"/>
      <c r="Z67" s="120"/>
      <c r="AA67" s="120"/>
      <c r="AB67" s="120"/>
      <c r="AC67" s="120"/>
      <c r="AD67" s="120"/>
    </row>
    <row r="68">
      <c r="A68" s="120"/>
      <c r="B68" s="120"/>
      <c r="C68" s="120"/>
      <c r="D68" s="120"/>
      <c r="E68" s="120"/>
      <c r="F68" s="120"/>
      <c r="G68" s="120"/>
      <c r="H68" s="120"/>
      <c r="I68" s="120"/>
      <c r="J68" s="120"/>
      <c r="K68" s="120"/>
      <c r="L68" s="120"/>
      <c r="M68" s="120"/>
      <c r="N68" s="120"/>
      <c r="O68" s="120"/>
      <c r="P68" s="120"/>
      <c r="Q68" s="120"/>
      <c r="R68" s="120"/>
      <c r="S68" s="120"/>
      <c r="T68" s="120"/>
      <c r="U68" s="120"/>
      <c r="V68" s="120"/>
      <c r="W68" s="120"/>
      <c r="X68" s="120"/>
      <c r="Y68" s="120"/>
      <c r="Z68" s="120"/>
      <c r="AA68" s="120"/>
      <c r="AB68" s="120"/>
      <c r="AC68" s="120"/>
      <c r="AD68" s="120"/>
    </row>
    <row r="69">
      <c r="A69" s="120"/>
      <c r="B69" s="120"/>
      <c r="C69" s="120"/>
      <c r="D69" s="120"/>
      <c r="E69" s="120"/>
      <c r="F69" s="120"/>
      <c r="G69" s="120"/>
      <c r="H69" s="120"/>
      <c r="I69" s="120"/>
      <c r="J69" s="120"/>
      <c r="K69" s="120"/>
      <c r="L69" s="120"/>
      <c r="M69" s="120"/>
      <c r="N69" s="120"/>
      <c r="O69" s="120"/>
      <c r="P69" s="120"/>
      <c r="Q69" s="120"/>
      <c r="R69" s="120"/>
      <c r="S69" s="120"/>
      <c r="T69" s="120"/>
      <c r="U69" s="120"/>
      <c r="V69" s="120"/>
      <c r="W69" s="120"/>
      <c r="X69" s="120"/>
      <c r="Y69" s="120"/>
      <c r="Z69" s="120"/>
      <c r="AA69" s="120"/>
      <c r="AB69" s="120"/>
      <c r="AC69" s="120"/>
      <c r="AD69" s="120"/>
    </row>
    <row r="70">
      <c r="A70" s="120"/>
      <c r="B70" s="120"/>
      <c r="C70" s="120"/>
      <c r="D70" s="120"/>
      <c r="E70" s="120"/>
      <c r="F70" s="120"/>
      <c r="G70" s="120"/>
      <c r="H70" s="120"/>
      <c r="I70" s="120"/>
      <c r="J70" s="120"/>
      <c r="K70" s="120"/>
      <c r="L70" s="120"/>
      <c r="M70" s="120"/>
      <c r="N70" s="120"/>
      <c r="O70" s="120"/>
      <c r="P70" s="120"/>
      <c r="Q70" s="120"/>
      <c r="R70" s="120"/>
      <c r="S70" s="120"/>
      <c r="T70" s="120"/>
      <c r="U70" s="120"/>
      <c r="V70" s="120"/>
      <c r="W70" s="120"/>
      <c r="X70" s="120"/>
      <c r="Y70" s="120"/>
      <c r="Z70" s="120"/>
      <c r="AA70" s="120"/>
      <c r="AB70" s="120"/>
      <c r="AC70" s="120"/>
      <c r="AD70" s="120"/>
    </row>
    <row r="71">
      <c r="A71" s="120"/>
      <c r="B71" s="120"/>
      <c r="C71" s="120"/>
      <c r="D71" s="120"/>
      <c r="E71" s="120"/>
      <c r="F71" s="120"/>
      <c r="G71" s="120"/>
      <c r="H71" s="120"/>
      <c r="I71" s="120"/>
      <c r="J71" s="120"/>
      <c r="K71" s="120"/>
      <c r="L71" s="120"/>
      <c r="M71" s="120"/>
      <c r="N71" s="120"/>
      <c r="O71" s="120"/>
      <c r="P71" s="120"/>
      <c r="Q71" s="120"/>
      <c r="R71" s="120"/>
      <c r="S71" s="120"/>
      <c r="T71" s="120"/>
      <c r="U71" s="120"/>
      <c r="V71" s="120"/>
      <c r="W71" s="120"/>
      <c r="X71" s="120"/>
      <c r="Y71" s="120"/>
      <c r="Z71" s="120"/>
      <c r="AA71" s="120"/>
      <c r="AB71" s="120"/>
      <c r="AC71" s="120"/>
      <c r="AD71" s="120"/>
    </row>
    <row r="72">
      <c r="A72" s="120"/>
      <c r="B72" s="120"/>
      <c r="C72" s="120"/>
      <c r="D72" s="120"/>
      <c r="E72" s="120"/>
      <c r="F72" s="120"/>
      <c r="G72" s="120"/>
      <c r="H72" s="120"/>
      <c r="I72" s="120"/>
      <c r="J72" s="120"/>
      <c r="K72" s="120"/>
      <c r="L72" s="120"/>
      <c r="M72" s="120"/>
      <c r="N72" s="120"/>
      <c r="O72" s="120"/>
      <c r="P72" s="120"/>
      <c r="Q72" s="120"/>
      <c r="R72" s="120"/>
      <c r="S72" s="120"/>
      <c r="T72" s="120"/>
      <c r="U72" s="120"/>
      <c r="V72" s="120"/>
      <c r="W72" s="120"/>
      <c r="X72" s="120"/>
      <c r="Y72" s="120"/>
      <c r="Z72" s="120"/>
      <c r="AA72" s="120"/>
      <c r="AB72" s="120"/>
      <c r="AC72" s="120"/>
      <c r="AD72" s="120"/>
    </row>
    <row r="73">
      <c r="A73" s="120"/>
      <c r="B73" s="120"/>
      <c r="C73" s="120"/>
      <c r="D73" s="120"/>
      <c r="E73" s="120"/>
      <c r="F73" s="120"/>
      <c r="G73" s="120"/>
      <c r="H73" s="120"/>
      <c r="I73" s="120"/>
      <c r="J73" s="120"/>
      <c r="K73" s="120"/>
      <c r="L73" s="120"/>
      <c r="M73" s="120"/>
      <c r="N73" s="120"/>
      <c r="O73" s="120"/>
      <c r="P73" s="120"/>
      <c r="Q73" s="120"/>
      <c r="R73" s="120"/>
      <c r="S73" s="120"/>
      <c r="T73" s="120"/>
      <c r="U73" s="120"/>
      <c r="V73" s="120"/>
      <c r="W73" s="120"/>
      <c r="X73" s="120"/>
      <c r="Y73" s="120"/>
      <c r="Z73" s="120"/>
      <c r="AA73" s="120"/>
      <c r="AB73" s="120"/>
      <c r="AC73" s="120"/>
      <c r="AD73" s="120"/>
    </row>
    <row r="74">
      <c r="A74" s="120"/>
      <c r="B74" s="120"/>
      <c r="C74" s="120"/>
      <c r="D74" s="120"/>
      <c r="E74" s="120"/>
      <c r="F74" s="120"/>
      <c r="G74" s="120"/>
      <c r="H74" s="120"/>
      <c r="I74" s="120"/>
      <c r="J74" s="120"/>
      <c r="K74" s="120"/>
      <c r="L74" s="120"/>
      <c r="M74" s="120"/>
      <c r="N74" s="120"/>
      <c r="O74" s="120"/>
      <c r="P74" s="120"/>
      <c r="Q74" s="120"/>
      <c r="R74" s="120"/>
      <c r="S74" s="120"/>
      <c r="T74" s="120"/>
      <c r="U74" s="120"/>
      <c r="V74" s="120"/>
      <c r="W74" s="120"/>
      <c r="X74" s="120"/>
      <c r="Y74" s="120"/>
      <c r="Z74" s="120"/>
      <c r="AA74" s="120"/>
      <c r="AB74" s="120"/>
      <c r="AC74" s="120"/>
      <c r="AD74" s="120"/>
    </row>
    <row r="75">
      <c r="A75" s="120"/>
      <c r="B75" s="120"/>
      <c r="C75" s="120"/>
      <c r="D75" s="120"/>
      <c r="E75" s="120"/>
      <c r="F75" s="120"/>
      <c r="G75" s="120"/>
      <c r="H75" s="120"/>
      <c r="I75" s="120"/>
      <c r="J75" s="120"/>
      <c r="K75" s="120"/>
      <c r="L75" s="120"/>
      <c r="M75" s="120"/>
      <c r="N75" s="120"/>
      <c r="O75" s="120"/>
      <c r="P75" s="120"/>
      <c r="Q75" s="120"/>
      <c r="R75" s="120"/>
      <c r="S75" s="120"/>
      <c r="T75" s="120"/>
      <c r="U75" s="120"/>
      <c r="V75" s="120"/>
      <c r="W75" s="120"/>
      <c r="X75" s="120"/>
      <c r="Y75" s="120"/>
      <c r="Z75" s="120"/>
      <c r="AA75" s="120"/>
      <c r="AB75" s="120"/>
      <c r="AC75" s="120"/>
      <c r="AD75" s="120"/>
    </row>
    <row r="76">
      <c r="A76" s="120"/>
      <c r="B76" s="120"/>
      <c r="C76" s="120"/>
      <c r="D76" s="120"/>
      <c r="E76" s="120"/>
      <c r="F76" s="120"/>
      <c r="G76" s="120"/>
      <c r="H76" s="120"/>
      <c r="I76" s="120"/>
      <c r="J76" s="120"/>
      <c r="K76" s="120"/>
      <c r="L76" s="120"/>
      <c r="M76" s="120"/>
      <c r="N76" s="120"/>
      <c r="O76" s="120"/>
      <c r="P76" s="120"/>
      <c r="Q76" s="120"/>
      <c r="R76" s="120"/>
      <c r="S76" s="120"/>
      <c r="T76" s="120"/>
      <c r="U76" s="120"/>
      <c r="V76" s="120"/>
      <c r="W76" s="120"/>
      <c r="X76" s="120"/>
      <c r="Y76" s="120"/>
      <c r="Z76" s="120"/>
      <c r="AA76" s="120"/>
      <c r="AB76" s="120"/>
      <c r="AC76" s="120"/>
      <c r="AD76" s="120"/>
    </row>
    <row r="77">
      <c r="A77" s="120"/>
      <c r="B77" s="120"/>
      <c r="C77" s="120"/>
      <c r="D77" s="120"/>
      <c r="E77" s="120"/>
      <c r="F77" s="120"/>
      <c r="G77" s="120"/>
      <c r="H77" s="120"/>
      <c r="I77" s="120"/>
      <c r="J77" s="120"/>
      <c r="K77" s="120"/>
      <c r="L77" s="120"/>
      <c r="M77" s="120"/>
      <c r="N77" s="120"/>
      <c r="O77" s="120"/>
      <c r="P77" s="120"/>
      <c r="Q77" s="120"/>
      <c r="R77" s="120"/>
      <c r="S77" s="120"/>
      <c r="T77" s="120"/>
      <c r="U77" s="120"/>
      <c r="V77" s="120"/>
      <c r="W77" s="120"/>
      <c r="X77" s="120"/>
      <c r="Y77" s="120"/>
      <c r="Z77" s="120"/>
      <c r="AA77" s="120"/>
      <c r="AB77" s="120"/>
      <c r="AC77" s="120"/>
      <c r="AD77" s="120"/>
    </row>
    <row r="78">
      <c r="A78" s="120"/>
      <c r="B78" s="120"/>
      <c r="C78" s="120"/>
      <c r="D78" s="120"/>
      <c r="E78" s="120"/>
      <c r="F78" s="120"/>
      <c r="G78" s="120"/>
      <c r="H78" s="120"/>
      <c r="I78" s="120"/>
      <c r="J78" s="120"/>
      <c r="K78" s="120"/>
      <c r="L78" s="120"/>
      <c r="M78" s="120"/>
      <c r="N78" s="120"/>
      <c r="O78" s="120"/>
      <c r="P78" s="120"/>
      <c r="Q78" s="120"/>
      <c r="R78" s="120"/>
      <c r="S78" s="120"/>
      <c r="T78" s="120"/>
      <c r="U78" s="120"/>
      <c r="V78" s="120"/>
      <c r="W78" s="120"/>
      <c r="X78" s="120"/>
      <c r="Y78" s="120"/>
      <c r="Z78" s="120"/>
      <c r="AA78" s="120"/>
      <c r="AB78" s="120"/>
      <c r="AC78" s="120"/>
      <c r="AD78" s="120"/>
    </row>
    <row r="79">
      <c r="A79" s="120"/>
      <c r="B79" s="120"/>
      <c r="C79" s="120"/>
      <c r="D79" s="120"/>
      <c r="E79" s="120"/>
      <c r="F79" s="120"/>
      <c r="G79" s="120"/>
      <c r="H79" s="120"/>
      <c r="I79" s="120"/>
      <c r="J79" s="120"/>
      <c r="K79" s="120"/>
      <c r="L79" s="120"/>
      <c r="M79" s="120"/>
      <c r="N79" s="120"/>
      <c r="O79" s="120"/>
      <c r="P79" s="120"/>
      <c r="Q79" s="120"/>
      <c r="R79" s="120"/>
      <c r="S79" s="120"/>
      <c r="T79" s="120"/>
      <c r="U79" s="120"/>
      <c r="V79" s="120"/>
      <c r="W79" s="120"/>
      <c r="X79" s="120"/>
      <c r="Y79" s="120"/>
      <c r="Z79" s="120"/>
      <c r="AA79" s="120"/>
      <c r="AB79" s="120"/>
      <c r="AC79" s="120"/>
      <c r="AD79" s="120"/>
    </row>
    <row r="80">
      <c r="A80" s="120"/>
      <c r="B80" s="120"/>
      <c r="C80" s="120"/>
      <c r="D80" s="120"/>
      <c r="E80" s="120"/>
      <c r="F80" s="120"/>
      <c r="G80" s="120"/>
      <c r="H80" s="120"/>
      <c r="I80" s="120"/>
      <c r="J80" s="120"/>
      <c r="K80" s="120"/>
      <c r="L80" s="120"/>
      <c r="M80" s="120"/>
      <c r="N80" s="120"/>
      <c r="O80" s="120"/>
      <c r="P80" s="120"/>
      <c r="Q80" s="120"/>
      <c r="R80" s="120"/>
      <c r="S80" s="120"/>
      <c r="T80" s="120"/>
      <c r="U80" s="120"/>
      <c r="V80" s="120"/>
      <c r="W80" s="120"/>
      <c r="X80" s="120"/>
      <c r="Y80" s="120"/>
      <c r="Z80" s="120"/>
      <c r="AA80" s="120"/>
      <c r="AB80" s="120"/>
      <c r="AC80" s="120"/>
      <c r="AD80" s="120"/>
    </row>
    <row r="81">
      <c r="A81" s="120"/>
      <c r="B81" s="120"/>
      <c r="C81" s="120"/>
      <c r="D81" s="120"/>
      <c r="E81" s="120"/>
      <c r="F81" s="120"/>
      <c r="G81" s="120"/>
      <c r="H81" s="120"/>
      <c r="I81" s="120"/>
      <c r="J81" s="120"/>
      <c r="K81" s="120"/>
      <c r="L81" s="120"/>
      <c r="M81" s="120"/>
      <c r="N81" s="120"/>
      <c r="O81" s="120"/>
      <c r="P81" s="120"/>
      <c r="Q81" s="120"/>
      <c r="R81" s="120"/>
      <c r="S81" s="120"/>
      <c r="T81" s="120"/>
      <c r="U81" s="120"/>
      <c r="V81" s="120"/>
      <c r="W81" s="120"/>
      <c r="X81" s="120"/>
      <c r="Y81" s="120"/>
      <c r="Z81" s="120"/>
      <c r="AA81" s="120"/>
      <c r="AB81" s="120"/>
      <c r="AC81" s="120"/>
      <c r="AD81" s="120"/>
    </row>
    <row r="82">
      <c r="A82" s="120"/>
      <c r="B82" s="120"/>
      <c r="C82" s="120"/>
      <c r="D82" s="120"/>
      <c r="E82" s="120"/>
      <c r="F82" s="120"/>
      <c r="G82" s="120"/>
      <c r="H82" s="120"/>
      <c r="I82" s="120"/>
      <c r="J82" s="120"/>
      <c r="K82" s="120"/>
      <c r="L82" s="120"/>
      <c r="M82" s="120"/>
      <c r="N82" s="120"/>
      <c r="O82" s="120"/>
      <c r="P82" s="120"/>
      <c r="Q82" s="120"/>
      <c r="R82" s="120"/>
      <c r="S82" s="120"/>
      <c r="T82" s="120"/>
      <c r="U82" s="120"/>
      <c r="V82" s="120"/>
      <c r="W82" s="120"/>
      <c r="X82" s="120"/>
      <c r="Y82" s="120"/>
      <c r="Z82" s="120"/>
      <c r="AA82" s="120"/>
      <c r="AB82" s="120"/>
      <c r="AC82" s="120"/>
      <c r="AD82" s="120"/>
    </row>
    <row r="83">
      <c r="A83" s="120"/>
      <c r="B83" s="120"/>
      <c r="C83" s="120"/>
      <c r="D83" s="120"/>
      <c r="E83" s="120"/>
      <c r="F83" s="120"/>
      <c r="G83" s="120"/>
      <c r="H83" s="120"/>
      <c r="I83" s="120"/>
      <c r="J83" s="120"/>
      <c r="K83" s="120"/>
      <c r="L83" s="120"/>
      <c r="M83" s="120"/>
      <c r="N83" s="120"/>
      <c r="O83" s="120"/>
      <c r="P83" s="120"/>
      <c r="Q83" s="120"/>
      <c r="R83" s="120"/>
      <c r="S83" s="120"/>
      <c r="T83" s="120"/>
      <c r="U83" s="120"/>
      <c r="V83" s="120"/>
      <c r="W83" s="120"/>
      <c r="X83" s="120"/>
      <c r="Y83" s="120"/>
      <c r="Z83" s="120"/>
      <c r="AA83" s="120"/>
      <c r="AB83" s="120"/>
      <c r="AC83" s="120"/>
      <c r="AD83" s="120"/>
    </row>
    <row r="84">
      <c r="A84" s="120"/>
      <c r="B84" s="120"/>
      <c r="C84" s="120"/>
      <c r="D84" s="120"/>
      <c r="E84" s="120"/>
      <c r="F84" s="120"/>
      <c r="G84" s="120"/>
      <c r="H84" s="120"/>
      <c r="I84" s="120"/>
      <c r="J84" s="120"/>
      <c r="K84" s="120"/>
      <c r="L84" s="120"/>
      <c r="M84" s="120"/>
      <c r="N84" s="120"/>
      <c r="O84" s="120"/>
      <c r="P84" s="120"/>
      <c r="Q84" s="120"/>
      <c r="R84" s="120"/>
      <c r="S84" s="120"/>
      <c r="T84" s="120"/>
      <c r="U84" s="120"/>
      <c r="V84" s="120"/>
      <c r="W84" s="120"/>
      <c r="X84" s="120"/>
      <c r="Y84" s="120"/>
      <c r="Z84" s="120"/>
      <c r="AA84" s="120"/>
      <c r="AB84" s="120"/>
      <c r="AC84" s="120"/>
      <c r="AD84" s="120"/>
    </row>
    <row r="85">
      <c r="A85" s="120"/>
      <c r="B85" s="120"/>
      <c r="C85" s="120"/>
      <c r="D85" s="120"/>
      <c r="E85" s="120"/>
      <c r="F85" s="120"/>
      <c r="G85" s="120"/>
      <c r="H85" s="120"/>
      <c r="I85" s="120"/>
      <c r="J85" s="120"/>
      <c r="K85" s="120"/>
      <c r="L85" s="120"/>
      <c r="M85" s="120"/>
      <c r="N85" s="120"/>
      <c r="O85" s="120"/>
      <c r="P85" s="120"/>
      <c r="Q85" s="120"/>
      <c r="R85" s="120"/>
      <c r="S85" s="120"/>
      <c r="T85" s="120"/>
      <c r="U85" s="120"/>
      <c r="V85" s="120"/>
      <c r="W85" s="120"/>
      <c r="X85" s="120"/>
      <c r="Y85" s="120"/>
      <c r="Z85" s="120"/>
      <c r="AA85" s="120"/>
      <c r="AB85" s="120"/>
      <c r="AC85" s="120"/>
      <c r="AD85" s="120"/>
    </row>
    <row r="86">
      <c r="A86" s="120"/>
      <c r="B86" s="120"/>
      <c r="C86" s="120"/>
      <c r="D86" s="120"/>
      <c r="E86" s="120"/>
      <c r="F86" s="120"/>
      <c r="G86" s="120"/>
      <c r="H86" s="120"/>
      <c r="I86" s="120"/>
      <c r="J86" s="120"/>
      <c r="K86" s="120"/>
      <c r="L86" s="120"/>
      <c r="M86" s="120"/>
      <c r="N86" s="120"/>
      <c r="O86" s="120"/>
      <c r="P86" s="120"/>
      <c r="Q86" s="120"/>
      <c r="R86" s="120"/>
      <c r="S86" s="120"/>
      <c r="T86" s="120"/>
      <c r="U86" s="120"/>
      <c r="V86" s="120"/>
      <c r="W86" s="120"/>
      <c r="X86" s="120"/>
      <c r="Y86" s="120"/>
      <c r="Z86" s="120"/>
      <c r="AA86" s="120"/>
      <c r="AB86" s="120"/>
      <c r="AC86" s="120"/>
      <c r="AD86" s="120"/>
    </row>
    <row r="87">
      <c r="A87" s="120"/>
      <c r="B87" s="120"/>
      <c r="C87" s="120"/>
      <c r="D87" s="120"/>
      <c r="E87" s="120"/>
      <c r="F87" s="120"/>
      <c r="G87" s="120"/>
      <c r="H87" s="120"/>
      <c r="I87" s="120"/>
      <c r="J87" s="120"/>
      <c r="K87" s="120"/>
      <c r="L87" s="120"/>
      <c r="M87" s="120"/>
      <c r="N87" s="120"/>
      <c r="O87" s="120"/>
      <c r="P87" s="120"/>
      <c r="Q87" s="120"/>
      <c r="R87" s="120"/>
      <c r="S87" s="120"/>
      <c r="T87" s="120"/>
      <c r="U87" s="120"/>
      <c r="V87" s="120"/>
      <c r="W87" s="120"/>
      <c r="X87" s="120"/>
      <c r="Y87" s="120"/>
      <c r="Z87" s="120"/>
      <c r="AA87" s="120"/>
      <c r="AB87" s="120"/>
      <c r="AC87" s="120"/>
      <c r="AD87" s="120"/>
    </row>
    <row r="88">
      <c r="A88" s="120"/>
      <c r="B88" s="120"/>
      <c r="C88" s="120"/>
      <c r="D88" s="120"/>
      <c r="E88" s="120"/>
      <c r="F88" s="120"/>
      <c r="G88" s="120"/>
      <c r="H88" s="120"/>
      <c r="I88" s="120"/>
      <c r="J88" s="120"/>
      <c r="K88" s="120"/>
      <c r="L88" s="120"/>
      <c r="M88" s="120"/>
      <c r="N88" s="120"/>
      <c r="O88" s="120"/>
      <c r="P88" s="120"/>
      <c r="Q88" s="120"/>
      <c r="R88" s="120"/>
      <c r="S88" s="120"/>
      <c r="T88" s="120"/>
      <c r="U88" s="120"/>
      <c r="V88" s="120"/>
      <c r="W88" s="120"/>
      <c r="X88" s="120"/>
      <c r="Y88" s="120"/>
      <c r="Z88" s="120"/>
      <c r="AA88" s="120"/>
      <c r="AB88" s="120"/>
      <c r="AC88" s="120"/>
      <c r="AD88" s="120"/>
    </row>
    <row r="89">
      <c r="A89" s="120"/>
      <c r="B89" s="120"/>
      <c r="C89" s="120"/>
      <c r="D89" s="120"/>
      <c r="E89" s="120"/>
      <c r="F89" s="120"/>
      <c r="G89" s="120"/>
      <c r="H89" s="120"/>
      <c r="I89" s="120"/>
      <c r="J89" s="120"/>
      <c r="K89" s="120"/>
      <c r="L89" s="120"/>
      <c r="M89" s="120"/>
      <c r="N89" s="120"/>
      <c r="O89" s="120"/>
      <c r="P89" s="120"/>
      <c r="Q89" s="120"/>
      <c r="R89" s="120"/>
      <c r="S89" s="120"/>
      <c r="T89" s="120"/>
      <c r="U89" s="120"/>
      <c r="V89" s="120"/>
      <c r="W89" s="120"/>
      <c r="X89" s="120"/>
      <c r="Y89" s="120"/>
      <c r="Z89" s="120"/>
      <c r="AA89" s="120"/>
      <c r="AB89" s="120"/>
      <c r="AC89" s="120"/>
      <c r="AD89" s="120"/>
    </row>
    <row r="90">
      <c r="A90" s="120"/>
      <c r="B90" s="120"/>
      <c r="C90" s="120"/>
      <c r="D90" s="120"/>
      <c r="E90" s="120"/>
      <c r="F90" s="120"/>
      <c r="G90" s="120"/>
      <c r="H90" s="120"/>
      <c r="I90" s="120"/>
      <c r="J90" s="120"/>
      <c r="K90" s="120"/>
      <c r="L90" s="120"/>
      <c r="M90" s="120"/>
      <c r="N90" s="120"/>
      <c r="O90" s="120"/>
      <c r="P90" s="120"/>
      <c r="Q90" s="120"/>
      <c r="R90" s="120"/>
      <c r="S90" s="120"/>
      <c r="T90" s="120"/>
      <c r="U90" s="120"/>
      <c r="V90" s="120"/>
      <c r="W90" s="120"/>
      <c r="X90" s="120"/>
      <c r="Y90" s="120"/>
      <c r="Z90" s="120"/>
      <c r="AA90" s="120"/>
      <c r="AB90" s="120"/>
      <c r="AC90" s="120"/>
      <c r="AD90" s="120"/>
    </row>
    <row r="91">
      <c r="A91" s="120"/>
      <c r="B91" s="120"/>
      <c r="C91" s="120"/>
      <c r="D91" s="120"/>
      <c r="E91" s="120"/>
      <c r="F91" s="120"/>
      <c r="G91" s="120"/>
      <c r="H91" s="120"/>
      <c r="I91" s="120"/>
      <c r="J91" s="120"/>
      <c r="K91" s="120"/>
      <c r="L91" s="120"/>
      <c r="M91" s="120"/>
      <c r="N91" s="120"/>
      <c r="O91" s="120"/>
      <c r="P91" s="120"/>
      <c r="Q91" s="120"/>
      <c r="R91" s="120"/>
      <c r="S91" s="120"/>
      <c r="T91" s="120"/>
      <c r="U91" s="120"/>
      <c r="V91" s="120"/>
      <c r="W91" s="120"/>
      <c r="X91" s="120"/>
      <c r="Y91" s="120"/>
      <c r="Z91" s="120"/>
      <c r="AA91" s="120"/>
      <c r="AB91" s="120"/>
      <c r="AC91" s="120"/>
      <c r="AD91" s="120"/>
    </row>
    <row r="92">
      <c r="A92" s="120"/>
      <c r="B92" s="120"/>
      <c r="C92" s="120"/>
      <c r="D92" s="120"/>
      <c r="E92" s="120"/>
      <c r="F92" s="120"/>
      <c r="G92" s="120"/>
      <c r="H92" s="120"/>
      <c r="I92" s="120"/>
      <c r="J92" s="120"/>
      <c r="K92" s="120"/>
      <c r="L92" s="120"/>
      <c r="M92" s="120"/>
      <c r="N92" s="120"/>
      <c r="O92" s="120"/>
      <c r="P92" s="120"/>
      <c r="Q92" s="120"/>
      <c r="R92" s="120"/>
      <c r="S92" s="120"/>
      <c r="T92" s="120"/>
      <c r="U92" s="120"/>
      <c r="V92" s="120"/>
      <c r="W92" s="120"/>
      <c r="X92" s="120"/>
      <c r="Y92" s="120"/>
      <c r="Z92" s="120"/>
      <c r="AA92" s="120"/>
      <c r="AB92" s="120"/>
      <c r="AC92" s="120"/>
      <c r="AD92" s="120"/>
    </row>
    <row r="93">
      <c r="A93" s="120"/>
      <c r="B93" s="120"/>
      <c r="C93" s="120"/>
      <c r="D93" s="120"/>
      <c r="E93" s="120"/>
      <c r="F93" s="120"/>
      <c r="G93" s="120"/>
      <c r="H93" s="120"/>
      <c r="I93" s="120"/>
      <c r="J93" s="120"/>
      <c r="K93" s="120"/>
      <c r="L93" s="120"/>
      <c r="M93" s="120"/>
      <c r="N93" s="120"/>
      <c r="O93" s="120"/>
      <c r="P93" s="120"/>
      <c r="Q93" s="120"/>
      <c r="R93" s="120"/>
      <c r="S93" s="120"/>
      <c r="T93" s="120"/>
      <c r="U93" s="120"/>
      <c r="V93" s="120"/>
      <c r="W93" s="120"/>
      <c r="X93" s="120"/>
      <c r="Y93" s="120"/>
      <c r="Z93" s="120"/>
      <c r="AA93" s="120"/>
      <c r="AB93" s="120"/>
      <c r="AC93" s="120"/>
      <c r="AD93" s="120"/>
    </row>
    <row r="94">
      <c r="A94" s="120"/>
      <c r="B94" s="120"/>
      <c r="C94" s="120"/>
      <c r="D94" s="120"/>
      <c r="E94" s="120"/>
      <c r="F94" s="120"/>
      <c r="G94" s="120"/>
      <c r="H94" s="120"/>
      <c r="I94" s="120"/>
      <c r="J94" s="120"/>
      <c r="K94" s="120"/>
      <c r="L94" s="120"/>
      <c r="M94" s="120"/>
      <c r="N94" s="120"/>
      <c r="O94" s="120"/>
      <c r="P94" s="120"/>
      <c r="Q94" s="120"/>
      <c r="R94" s="120"/>
      <c r="S94" s="120"/>
      <c r="T94" s="120"/>
      <c r="U94" s="120"/>
      <c r="V94" s="120"/>
      <c r="W94" s="120"/>
      <c r="X94" s="120"/>
      <c r="Y94" s="120"/>
      <c r="Z94" s="120"/>
      <c r="AA94" s="120"/>
      <c r="AB94" s="120"/>
      <c r="AC94" s="120"/>
      <c r="AD94" s="120"/>
    </row>
    <row r="95">
      <c r="A95" s="120"/>
      <c r="B95" s="120"/>
      <c r="C95" s="120"/>
      <c r="D95" s="120"/>
      <c r="E95" s="120"/>
      <c r="F95" s="120"/>
      <c r="G95" s="120"/>
      <c r="H95" s="120"/>
      <c r="I95" s="120"/>
      <c r="J95" s="120"/>
      <c r="K95" s="120"/>
      <c r="L95" s="120"/>
      <c r="M95" s="120"/>
      <c r="N95" s="120"/>
      <c r="O95" s="120"/>
      <c r="P95" s="120"/>
      <c r="Q95" s="120"/>
      <c r="R95" s="120"/>
      <c r="S95" s="120"/>
      <c r="T95" s="120"/>
      <c r="U95" s="120"/>
      <c r="V95" s="120"/>
      <c r="W95" s="120"/>
      <c r="X95" s="120"/>
      <c r="Y95" s="120"/>
      <c r="Z95" s="120"/>
      <c r="AA95" s="120"/>
      <c r="AB95" s="120"/>
      <c r="AC95" s="120"/>
      <c r="AD95" s="120"/>
    </row>
    <row r="96">
      <c r="A96" s="120"/>
      <c r="B96" s="120"/>
      <c r="C96" s="120"/>
      <c r="D96" s="120"/>
      <c r="E96" s="120"/>
      <c r="F96" s="120"/>
      <c r="G96" s="120"/>
      <c r="H96" s="120"/>
      <c r="I96" s="120"/>
      <c r="J96" s="120"/>
      <c r="K96" s="120"/>
      <c r="L96" s="120"/>
      <c r="M96" s="120"/>
      <c r="N96" s="120"/>
      <c r="O96" s="120"/>
      <c r="P96" s="120"/>
      <c r="Q96" s="120"/>
      <c r="R96" s="120"/>
      <c r="S96" s="120"/>
      <c r="T96" s="120"/>
      <c r="U96" s="120"/>
      <c r="V96" s="120"/>
      <c r="W96" s="120"/>
      <c r="X96" s="120"/>
      <c r="Y96" s="120"/>
      <c r="Z96" s="120"/>
      <c r="AA96" s="120"/>
      <c r="AB96" s="120"/>
      <c r="AC96" s="120"/>
      <c r="AD96" s="120"/>
    </row>
    <row r="97">
      <c r="A97" s="120"/>
      <c r="B97" s="120"/>
      <c r="C97" s="120"/>
      <c r="D97" s="120"/>
      <c r="E97" s="120"/>
      <c r="F97" s="120"/>
      <c r="G97" s="120"/>
      <c r="H97" s="120"/>
      <c r="I97" s="120"/>
      <c r="J97" s="120"/>
      <c r="K97" s="120"/>
      <c r="L97" s="120"/>
      <c r="M97" s="120"/>
      <c r="N97" s="120"/>
      <c r="O97" s="120"/>
      <c r="P97" s="120"/>
      <c r="Q97" s="120"/>
      <c r="R97" s="120"/>
      <c r="S97" s="120"/>
      <c r="T97" s="120"/>
      <c r="U97" s="120"/>
      <c r="V97" s="120"/>
      <c r="W97" s="120"/>
      <c r="X97" s="120"/>
      <c r="Y97" s="120"/>
      <c r="Z97" s="120"/>
      <c r="AA97" s="120"/>
      <c r="AB97" s="120"/>
      <c r="AC97" s="120"/>
      <c r="AD97" s="120"/>
    </row>
    <row r="98">
      <c r="A98" s="120"/>
      <c r="B98" s="120"/>
      <c r="C98" s="120"/>
      <c r="D98" s="120"/>
      <c r="E98" s="120"/>
      <c r="F98" s="120"/>
      <c r="G98" s="120"/>
      <c r="H98" s="120"/>
      <c r="I98" s="120"/>
      <c r="J98" s="120"/>
      <c r="K98" s="120"/>
      <c r="L98" s="120"/>
      <c r="M98" s="120"/>
      <c r="N98" s="120"/>
      <c r="O98" s="120"/>
      <c r="P98" s="120"/>
      <c r="Q98" s="120"/>
      <c r="R98" s="120"/>
      <c r="S98" s="120"/>
      <c r="T98" s="120"/>
      <c r="U98" s="120"/>
      <c r="V98" s="120"/>
      <c r="W98" s="120"/>
      <c r="X98" s="120"/>
      <c r="Y98" s="120"/>
      <c r="Z98" s="120"/>
      <c r="AA98" s="120"/>
      <c r="AB98" s="120"/>
      <c r="AC98" s="120"/>
      <c r="AD98" s="120"/>
    </row>
    <row r="99">
      <c r="A99" s="120"/>
      <c r="B99" s="120"/>
      <c r="C99" s="120"/>
      <c r="D99" s="120"/>
      <c r="E99" s="120"/>
      <c r="F99" s="120"/>
      <c r="G99" s="120"/>
      <c r="H99" s="120"/>
      <c r="I99" s="120"/>
      <c r="J99" s="120"/>
      <c r="K99" s="120"/>
      <c r="L99" s="120"/>
      <c r="M99" s="120"/>
      <c r="N99" s="120"/>
      <c r="O99" s="120"/>
      <c r="P99" s="120"/>
      <c r="Q99" s="120"/>
      <c r="R99" s="120"/>
      <c r="S99" s="120"/>
      <c r="T99" s="120"/>
      <c r="U99" s="120"/>
      <c r="V99" s="120"/>
      <c r="W99" s="120"/>
      <c r="X99" s="120"/>
      <c r="Y99" s="120"/>
      <c r="Z99" s="120"/>
      <c r="AA99" s="120"/>
      <c r="AB99" s="120"/>
      <c r="AC99" s="120"/>
      <c r="AD99" s="120"/>
    </row>
    <row r="100">
      <c r="A100" s="120"/>
      <c r="B100" s="120"/>
      <c r="C100" s="120"/>
      <c r="D100" s="120"/>
      <c r="E100" s="120"/>
      <c r="F100" s="120"/>
      <c r="G100" s="120"/>
      <c r="H100" s="120"/>
      <c r="I100" s="120"/>
      <c r="J100" s="120"/>
      <c r="K100" s="120"/>
      <c r="L100" s="120"/>
      <c r="M100" s="120"/>
      <c r="N100" s="120"/>
      <c r="O100" s="120"/>
      <c r="P100" s="120"/>
      <c r="Q100" s="120"/>
      <c r="R100" s="120"/>
      <c r="S100" s="120"/>
      <c r="T100" s="120"/>
      <c r="U100" s="120"/>
      <c r="V100" s="120"/>
      <c r="W100" s="120"/>
      <c r="X100" s="120"/>
      <c r="Y100" s="120"/>
      <c r="Z100" s="120"/>
      <c r="AA100" s="120"/>
      <c r="AB100" s="120"/>
      <c r="AC100" s="120"/>
      <c r="AD100" s="120"/>
    </row>
    <row r="101">
      <c r="A101" s="120"/>
      <c r="B101" s="120"/>
      <c r="C101" s="120"/>
      <c r="D101" s="120"/>
      <c r="E101" s="120"/>
      <c r="F101" s="120"/>
      <c r="G101" s="120"/>
      <c r="H101" s="120"/>
      <c r="I101" s="120"/>
      <c r="J101" s="120"/>
      <c r="K101" s="120"/>
      <c r="L101" s="120"/>
      <c r="M101" s="120"/>
      <c r="N101" s="120"/>
      <c r="O101" s="120"/>
      <c r="P101" s="120"/>
      <c r="Q101" s="120"/>
      <c r="R101" s="120"/>
      <c r="S101" s="120"/>
      <c r="T101" s="120"/>
      <c r="U101" s="120"/>
      <c r="V101" s="120"/>
      <c r="W101" s="120"/>
      <c r="X101" s="120"/>
      <c r="Y101" s="120"/>
      <c r="Z101" s="120"/>
      <c r="AA101" s="120"/>
      <c r="AB101" s="120"/>
      <c r="AC101" s="120"/>
      <c r="AD101" s="120"/>
    </row>
    <row r="102">
      <c r="A102" s="120"/>
      <c r="B102" s="120"/>
      <c r="C102" s="120"/>
      <c r="D102" s="120"/>
      <c r="E102" s="120"/>
      <c r="F102" s="120"/>
      <c r="G102" s="120"/>
      <c r="H102" s="120"/>
      <c r="I102" s="120"/>
      <c r="J102" s="120"/>
      <c r="K102" s="120"/>
      <c r="L102" s="120"/>
      <c r="M102" s="120"/>
      <c r="N102" s="120"/>
      <c r="O102" s="120"/>
      <c r="P102" s="120"/>
      <c r="Q102" s="120"/>
      <c r="R102" s="120"/>
      <c r="S102" s="120"/>
      <c r="T102" s="120"/>
      <c r="U102" s="120"/>
      <c r="V102" s="120"/>
      <c r="W102" s="120"/>
      <c r="X102" s="120"/>
      <c r="Y102" s="120"/>
      <c r="Z102" s="120"/>
      <c r="AA102" s="120"/>
      <c r="AB102" s="120"/>
      <c r="AC102" s="120"/>
      <c r="AD102" s="120"/>
    </row>
    <row r="103">
      <c r="A103" s="120"/>
      <c r="B103" s="120"/>
      <c r="C103" s="120"/>
      <c r="D103" s="120"/>
      <c r="E103" s="120"/>
      <c r="F103" s="120"/>
      <c r="G103" s="120"/>
      <c r="H103" s="120"/>
      <c r="I103" s="120"/>
      <c r="J103" s="120"/>
      <c r="K103" s="120"/>
      <c r="L103" s="120"/>
      <c r="M103" s="120"/>
      <c r="N103" s="120"/>
      <c r="O103" s="120"/>
      <c r="P103" s="120"/>
      <c r="Q103" s="120"/>
      <c r="R103" s="120"/>
      <c r="S103" s="120"/>
      <c r="T103" s="120"/>
      <c r="U103" s="120"/>
      <c r="V103" s="120"/>
      <c r="W103" s="120"/>
      <c r="X103" s="120"/>
      <c r="Y103" s="120"/>
      <c r="Z103" s="120"/>
      <c r="AA103" s="120"/>
      <c r="AB103" s="120"/>
      <c r="AC103" s="120"/>
      <c r="AD103" s="120"/>
    </row>
    <row r="104">
      <c r="A104" s="120"/>
      <c r="B104" s="120"/>
      <c r="C104" s="120"/>
      <c r="D104" s="120"/>
      <c r="E104" s="120"/>
      <c r="F104" s="120"/>
      <c r="G104" s="120"/>
      <c r="H104" s="120"/>
      <c r="I104" s="120"/>
      <c r="J104" s="120"/>
      <c r="K104" s="120"/>
      <c r="L104" s="120"/>
      <c r="M104" s="120"/>
      <c r="N104" s="120"/>
      <c r="O104" s="120"/>
      <c r="P104" s="120"/>
      <c r="Q104" s="120"/>
      <c r="R104" s="120"/>
      <c r="S104" s="120"/>
      <c r="T104" s="120"/>
      <c r="U104" s="120"/>
      <c r="V104" s="120"/>
      <c r="W104" s="120"/>
      <c r="X104" s="120"/>
      <c r="Y104" s="120"/>
      <c r="Z104" s="120"/>
      <c r="AA104" s="120"/>
      <c r="AB104" s="120"/>
      <c r="AC104" s="120"/>
      <c r="AD104" s="120"/>
    </row>
    <row r="105">
      <c r="A105" s="120"/>
      <c r="B105" s="120"/>
      <c r="C105" s="120"/>
      <c r="D105" s="120"/>
      <c r="E105" s="120"/>
      <c r="F105" s="120"/>
      <c r="G105" s="120"/>
      <c r="H105" s="120"/>
      <c r="I105" s="120"/>
      <c r="J105" s="120"/>
      <c r="K105" s="120"/>
      <c r="L105" s="120"/>
      <c r="M105" s="120"/>
      <c r="N105" s="120"/>
      <c r="O105" s="120"/>
      <c r="P105" s="120"/>
      <c r="Q105" s="120"/>
      <c r="R105" s="120"/>
      <c r="S105" s="120"/>
      <c r="T105" s="120"/>
      <c r="U105" s="120"/>
      <c r="V105" s="120"/>
      <c r="W105" s="120"/>
      <c r="X105" s="120"/>
      <c r="Y105" s="120"/>
      <c r="Z105" s="120"/>
      <c r="AA105" s="120"/>
      <c r="AB105" s="120"/>
      <c r="AC105" s="120"/>
      <c r="AD105" s="120"/>
    </row>
    <row r="106">
      <c r="A106" s="120"/>
      <c r="B106" s="120"/>
      <c r="C106" s="120"/>
      <c r="D106" s="120"/>
      <c r="E106" s="120"/>
      <c r="F106" s="120"/>
      <c r="G106" s="120"/>
      <c r="H106" s="120"/>
      <c r="I106" s="120"/>
      <c r="J106" s="120"/>
      <c r="K106" s="120"/>
      <c r="L106" s="120"/>
      <c r="M106" s="120"/>
      <c r="N106" s="120"/>
      <c r="O106" s="120"/>
      <c r="P106" s="120"/>
      <c r="Q106" s="120"/>
      <c r="R106" s="120"/>
      <c r="S106" s="120"/>
      <c r="T106" s="120"/>
      <c r="U106" s="120"/>
      <c r="V106" s="120"/>
      <c r="W106" s="120"/>
      <c r="X106" s="120"/>
      <c r="Y106" s="120"/>
      <c r="Z106" s="120"/>
      <c r="AA106" s="120"/>
      <c r="AB106" s="120"/>
      <c r="AC106" s="120"/>
      <c r="AD106" s="120"/>
    </row>
    <row r="107">
      <c r="A107" s="120"/>
      <c r="B107" s="120"/>
      <c r="C107" s="120"/>
      <c r="D107" s="120"/>
      <c r="E107" s="120"/>
      <c r="F107" s="120"/>
      <c r="G107" s="120"/>
      <c r="H107" s="120"/>
      <c r="I107" s="120"/>
      <c r="J107" s="120"/>
      <c r="K107" s="120"/>
      <c r="L107" s="120"/>
      <c r="M107" s="120"/>
      <c r="N107" s="120"/>
      <c r="O107" s="120"/>
      <c r="P107" s="120"/>
      <c r="Q107" s="120"/>
      <c r="R107" s="120"/>
      <c r="S107" s="120"/>
      <c r="T107" s="120"/>
      <c r="U107" s="120"/>
      <c r="V107" s="120"/>
      <c r="W107" s="120"/>
      <c r="X107" s="120"/>
      <c r="Y107" s="120"/>
      <c r="Z107" s="120"/>
      <c r="AA107" s="120"/>
      <c r="AB107" s="120"/>
      <c r="AC107" s="120"/>
      <c r="AD107" s="120"/>
    </row>
    <row r="108">
      <c r="A108" s="120"/>
      <c r="B108" s="120"/>
      <c r="C108" s="120"/>
      <c r="D108" s="120"/>
      <c r="E108" s="120"/>
      <c r="F108" s="120"/>
      <c r="G108" s="120"/>
      <c r="H108" s="120"/>
      <c r="I108" s="120"/>
      <c r="J108" s="120"/>
      <c r="K108" s="120"/>
      <c r="L108" s="120"/>
      <c r="M108" s="120"/>
      <c r="N108" s="120"/>
      <c r="O108" s="120"/>
      <c r="P108" s="120"/>
      <c r="Q108" s="120"/>
      <c r="R108" s="120"/>
      <c r="S108" s="120"/>
      <c r="T108" s="120"/>
      <c r="U108" s="120"/>
      <c r="V108" s="120"/>
      <c r="W108" s="120"/>
      <c r="X108" s="120"/>
      <c r="Y108" s="120"/>
      <c r="Z108" s="120"/>
      <c r="AA108" s="120"/>
      <c r="AB108" s="120"/>
      <c r="AC108" s="120"/>
      <c r="AD108" s="120"/>
    </row>
    <row r="109">
      <c r="A109" s="120"/>
      <c r="B109" s="120"/>
      <c r="C109" s="120"/>
      <c r="D109" s="120"/>
      <c r="E109" s="120"/>
      <c r="F109" s="120"/>
      <c r="G109" s="120"/>
      <c r="H109" s="120"/>
      <c r="I109" s="120"/>
      <c r="J109" s="120"/>
      <c r="K109" s="120"/>
      <c r="L109" s="120"/>
      <c r="M109" s="120"/>
      <c r="N109" s="120"/>
      <c r="O109" s="120"/>
      <c r="P109" s="120"/>
      <c r="Q109" s="120"/>
      <c r="R109" s="120"/>
      <c r="S109" s="120"/>
      <c r="T109" s="120"/>
      <c r="U109" s="120"/>
      <c r="V109" s="120"/>
      <c r="W109" s="120"/>
      <c r="X109" s="120"/>
      <c r="Y109" s="120"/>
      <c r="Z109" s="120"/>
      <c r="AA109" s="120"/>
      <c r="AB109" s="120"/>
      <c r="AC109" s="120"/>
      <c r="AD109" s="120"/>
    </row>
    <row r="110">
      <c r="A110" s="120"/>
      <c r="B110" s="120"/>
      <c r="C110" s="120"/>
      <c r="D110" s="120"/>
      <c r="E110" s="120"/>
      <c r="F110" s="120"/>
      <c r="G110" s="120"/>
      <c r="H110" s="120"/>
      <c r="I110" s="120"/>
      <c r="J110" s="120"/>
      <c r="K110" s="120"/>
      <c r="L110" s="120"/>
      <c r="M110" s="120"/>
      <c r="N110" s="120"/>
      <c r="O110" s="120"/>
      <c r="P110" s="120"/>
      <c r="Q110" s="120"/>
      <c r="R110" s="120"/>
      <c r="S110" s="120"/>
      <c r="T110" s="120"/>
      <c r="U110" s="120"/>
      <c r="V110" s="120"/>
      <c r="W110" s="120"/>
      <c r="X110" s="120"/>
      <c r="Y110" s="120"/>
      <c r="Z110" s="120"/>
      <c r="AA110" s="120"/>
      <c r="AB110" s="120"/>
      <c r="AC110" s="120"/>
      <c r="AD110" s="120"/>
    </row>
    <row r="111">
      <c r="A111" s="120"/>
      <c r="B111" s="120"/>
      <c r="C111" s="120"/>
      <c r="D111" s="120"/>
      <c r="E111" s="120"/>
      <c r="F111" s="120"/>
      <c r="G111" s="120"/>
      <c r="H111" s="120"/>
      <c r="I111" s="120"/>
      <c r="J111" s="120"/>
      <c r="K111" s="120"/>
      <c r="L111" s="120"/>
      <c r="M111" s="120"/>
      <c r="N111" s="120"/>
      <c r="O111" s="120"/>
      <c r="P111" s="120"/>
      <c r="Q111" s="120"/>
      <c r="R111" s="120"/>
      <c r="S111" s="120"/>
      <c r="T111" s="120"/>
      <c r="U111" s="120"/>
      <c r="V111" s="120"/>
      <c r="W111" s="120"/>
      <c r="X111" s="120"/>
      <c r="Y111" s="120"/>
      <c r="Z111" s="120"/>
      <c r="AA111" s="120"/>
      <c r="AB111" s="120"/>
      <c r="AC111" s="120"/>
      <c r="AD111" s="120"/>
    </row>
    <row r="112">
      <c r="A112" s="120"/>
      <c r="B112" s="120"/>
      <c r="C112" s="120"/>
      <c r="D112" s="120"/>
      <c r="E112" s="120"/>
      <c r="F112" s="120"/>
      <c r="G112" s="120"/>
      <c r="H112" s="120"/>
      <c r="I112" s="120"/>
      <c r="J112" s="120"/>
      <c r="K112" s="120"/>
      <c r="L112" s="120"/>
      <c r="M112" s="120"/>
      <c r="N112" s="120"/>
      <c r="O112" s="120"/>
      <c r="P112" s="120"/>
      <c r="Q112" s="120"/>
      <c r="R112" s="120"/>
      <c r="S112" s="120"/>
      <c r="T112" s="120"/>
      <c r="U112" s="120"/>
      <c r="V112" s="120"/>
      <c r="W112" s="120"/>
      <c r="X112" s="120"/>
      <c r="Y112" s="120"/>
      <c r="Z112" s="120"/>
      <c r="AA112" s="120"/>
      <c r="AB112" s="120"/>
      <c r="AC112" s="120"/>
      <c r="AD112" s="120"/>
    </row>
    <row r="113">
      <c r="A113" s="120"/>
      <c r="B113" s="120"/>
      <c r="C113" s="120"/>
      <c r="D113" s="120"/>
      <c r="E113" s="120"/>
      <c r="F113" s="120"/>
      <c r="G113" s="120"/>
      <c r="H113" s="120"/>
      <c r="I113" s="120"/>
      <c r="J113" s="120"/>
      <c r="K113" s="120"/>
      <c r="L113" s="120"/>
      <c r="M113" s="120"/>
      <c r="N113" s="120"/>
      <c r="O113" s="120"/>
      <c r="P113" s="120"/>
      <c r="Q113" s="120"/>
      <c r="R113" s="120"/>
      <c r="S113" s="120"/>
      <c r="T113" s="120"/>
      <c r="U113" s="120"/>
      <c r="V113" s="120"/>
      <c r="W113" s="120"/>
      <c r="X113" s="120"/>
      <c r="Y113" s="120"/>
      <c r="Z113" s="120"/>
      <c r="AA113" s="120"/>
      <c r="AB113" s="120"/>
      <c r="AC113" s="120"/>
      <c r="AD113" s="120"/>
    </row>
    <row r="114">
      <c r="A114" s="120"/>
      <c r="B114" s="120"/>
      <c r="C114" s="120"/>
      <c r="D114" s="120"/>
      <c r="E114" s="120"/>
      <c r="F114" s="120"/>
      <c r="G114" s="120"/>
      <c r="H114" s="120"/>
      <c r="I114" s="120"/>
      <c r="J114" s="120"/>
      <c r="K114" s="120"/>
      <c r="L114" s="120"/>
      <c r="M114" s="120"/>
      <c r="N114" s="120"/>
      <c r="O114" s="120"/>
      <c r="P114" s="120"/>
      <c r="Q114" s="120"/>
      <c r="R114" s="120"/>
      <c r="S114" s="120"/>
      <c r="T114" s="120"/>
      <c r="U114" s="120"/>
      <c r="V114" s="120"/>
      <c r="W114" s="120"/>
      <c r="X114" s="120"/>
      <c r="Y114" s="120"/>
      <c r="Z114" s="120"/>
      <c r="AA114" s="120"/>
      <c r="AB114" s="120"/>
      <c r="AC114" s="120"/>
      <c r="AD114" s="120"/>
    </row>
    <row r="115">
      <c r="A115" s="120"/>
      <c r="B115" s="120"/>
      <c r="C115" s="120"/>
      <c r="D115" s="120"/>
      <c r="E115" s="120"/>
      <c r="F115" s="120"/>
      <c r="G115" s="120"/>
      <c r="H115" s="120"/>
      <c r="I115" s="120"/>
      <c r="J115" s="120"/>
      <c r="K115" s="120"/>
      <c r="L115" s="120"/>
      <c r="M115" s="120"/>
      <c r="N115" s="120"/>
      <c r="O115" s="120"/>
      <c r="P115" s="120"/>
      <c r="Q115" s="120"/>
      <c r="R115" s="120"/>
      <c r="S115" s="120"/>
      <c r="T115" s="120"/>
      <c r="U115" s="120"/>
      <c r="V115" s="120"/>
      <c r="W115" s="120"/>
      <c r="X115" s="120"/>
      <c r="Y115" s="120"/>
      <c r="Z115" s="120"/>
      <c r="AA115" s="120"/>
      <c r="AB115" s="120"/>
      <c r="AC115" s="120"/>
      <c r="AD115" s="120"/>
    </row>
    <row r="116">
      <c r="A116" s="120"/>
      <c r="B116" s="120"/>
      <c r="C116" s="120"/>
      <c r="D116" s="120"/>
      <c r="E116" s="120"/>
      <c r="F116" s="120"/>
      <c r="G116" s="120"/>
      <c r="H116" s="120"/>
      <c r="I116" s="120"/>
      <c r="J116" s="120"/>
      <c r="K116" s="120"/>
      <c r="L116" s="120"/>
      <c r="M116" s="120"/>
      <c r="N116" s="120"/>
      <c r="O116" s="120"/>
      <c r="P116" s="120"/>
      <c r="Q116" s="120"/>
      <c r="R116" s="120"/>
      <c r="S116" s="120"/>
      <c r="T116" s="120"/>
      <c r="U116" s="120"/>
      <c r="V116" s="120"/>
      <c r="W116" s="120"/>
      <c r="X116" s="120"/>
      <c r="Y116" s="120"/>
      <c r="Z116" s="120"/>
      <c r="AA116" s="120"/>
      <c r="AB116" s="120"/>
      <c r="AC116" s="120"/>
      <c r="AD116" s="120"/>
    </row>
    <row r="117">
      <c r="A117" s="120"/>
      <c r="B117" s="120"/>
      <c r="C117" s="120"/>
      <c r="D117" s="120"/>
      <c r="E117" s="120"/>
      <c r="F117" s="120"/>
      <c r="G117" s="120"/>
      <c r="H117" s="120"/>
      <c r="I117" s="120"/>
      <c r="J117" s="120"/>
      <c r="K117" s="120"/>
      <c r="L117" s="120"/>
      <c r="M117" s="120"/>
      <c r="N117" s="120"/>
      <c r="O117" s="120"/>
      <c r="P117" s="120"/>
      <c r="Q117" s="120"/>
      <c r="R117" s="120"/>
      <c r="S117" s="120"/>
      <c r="T117" s="120"/>
      <c r="U117" s="120"/>
      <c r="V117" s="120"/>
      <c r="W117" s="120"/>
      <c r="X117" s="120"/>
      <c r="Y117" s="120"/>
      <c r="Z117" s="120"/>
      <c r="AA117" s="120"/>
      <c r="AB117" s="120"/>
      <c r="AC117" s="120"/>
      <c r="AD117" s="120"/>
    </row>
    <row r="118">
      <c r="A118" s="120"/>
      <c r="B118" s="120"/>
      <c r="C118" s="120"/>
      <c r="D118" s="120"/>
      <c r="E118" s="120"/>
      <c r="F118" s="120"/>
      <c r="G118" s="120"/>
      <c r="H118" s="120"/>
      <c r="I118" s="120"/>
      <c r="J118" s="120"/>
      <c r="K118" s="120"/>
      <c r="L118" s="120"/>
      <c r="M118" s="120"/>
      <c r="N118" s="120"/>
      <c r="O118" s="120"/>
      <c r="P118" s="120"/>
      <c r="Q118" s="120"/>
      <c r="R118" s="120"/>
      <c r="S118" s="120"/>
      <c r="T118" s="120"/>
      <c r="U118" s="120"/>
      <c r="V118" s="120"/>
      <c r="W118" s="120"/>
      <c r="X118" s="120"/>
      <c r="Y118" s="120"/>
      <c r="Z118" s="120"/>
      <c r="AA118" s="120"/>
      <c r="AB118" s="120"/>
      <c r="AC118" s="120"/>
      <c r="AD118" s="120"/>
    </row>
    <row r="119">
      <c r="A119" s="120"/>
      <c r="B119" s="120"/>
      <c r="C119" s="120"/>
      <c r="D119" s="120"/>
      <c r="E119" s="120"/>
      <c r="F119" s="120"/>
      <c r="G119" s="120"/>
      <c r="H119" s="120"/>
      <c r="I119" s="120"/>
      <c r="J119" s="120"/>
      <c r="K119" s="120"/>
      <c r="L119" s="120"/>
      <c r="M119" s="120"/>
      <c r="N119" s="120"/>
      <c r="O119" s="120"/>
      <c r="P119" s="120"/>
      <c r="Q119" s="120"/>
      <c r="R119" s="120"/>
      <c r="S119" s="120"/>
      <c r="T119" s="120"/>
      <c r="U119" s="120"/>
      <c r="V119" s="120"/>
      <c r="W119" s="120"/>
      <c r="X119" s="120"/>
      <c r="Y119" s="120"/>
      <c r="Z119" s="120"/>
      <c r="AA119" s="120"/>
      <c r="AB119" s="120"/>
      <c r="AC119" s="120"/>
      <c r="AD119" s="120"/>
    </row>
    <row r="120">
      <c r="A120" s="120"/>
      <c r="B120" s="120"/>
      <c r="C120" s="120"/>
      <c r="D120" s="120"/>
      <c r="E120" s="120"/>
      <c r="F120" s="120"/>
      <c r="G120" s="120"/>
      <c r="H120" s="120"/>
      <c r="I120" s="120"/>
      <c r="J120" s="120"/>
      <c r="K120" s="120"/>
      <c r="L120" s="120"/>
      <c r="M120" s="120"/>
      <c r="N120" s="120"/>
      <c r="O120" s="120"/>
      <c r="P120" s="120"/>
      <c r="Q120" s="120"/>
      <c r="R120" s="120"/>
      <c r="S120" s="120"/>
      <c r="T120" s="120"/>
      <c r="U120" s="120"/>
      <c r="V120" s="120"/>
      <c r="W120" s="120"/>
      <c r="X120" s="120"/>
      <c r="Y120" s="120"/>
      <c r="Z120" s="120"/>
      <c r="AA120" s="120"/>
      <c r="AB120" s="120"/>
      <c r="AC120" s="120"/>
      <c r="AD120" s="120"/>
    </row>
    <row r="121">
      <c r="A121" s="120"/>
      <c r="B121" s="120"/>
      <c r="C121" s="120"/>
      <c r="D121" s="120"/>
      <c r="E121" s="120"/>
      <c r="F121" s="120"/>
      <c r="G121" s="120"/>
      <c r="H121" s="120"/>
      <c r="I121" s="120"/>
      <c r="J121" s="120"/>
      <c r="K121" s="120"/>
      <c r="L121" s="120"/>
      <c r="M121" s="120"/>
      <c r="N121" s="120"/>
      <c r="O121" s="120"/>
      <c r="P121" s="120"/>
      <c r="Q121" s="120"/>
      <c r="R121" s="120"/>
      <c r="S121" s="120"/>
      <c r="T121" s="120"/>
      <c r="U121" s="120"/>
      <c r="V121" s="120"/>
      <c r="W121" s="120"/>
      <c r="X121" s="120"/>
      <c r="Y121" s="120"/>
      <c r="Z121" s="120"/>
      <c r="AA121" s="120"/>
      <c r="AB121" s="120"/>
      <c r="AC121" s="120"/>
      <c r="AD121" s="120"/>
    </row>
    <row r="122">
      <c r="A122" s="120"/>
      <c r="B122" s="120"/>
      <c r="C122" s="120"/>
      <c r="D122" s="120"/>
      <c r="E122" s="120"/>
      <c r="F122" s="120"/>
      <c r="G122" s="120"/>
      <c r="H122" s="120"/>
      <c r="I122" s="120"/>
      <c r="J122" s="120"/>
      <c r="K122" s="120"/>
      <c r="L122" s="120"/>
      <c r="M122" s="120"/>
      <c r="N122" s="120"/>
      <c r="O122" s="120"/>
      <c r="P122" s="120"/>
      <c r="Q122" s="120"/>
      <c r="R122" s="120"/>
      <c r="S122" s="120"/>
      <c r="T122" s="120"/>
      <c r="U122" s="120"/>
      <c r="V122" s="120"/>
      <c r="W122" s="120"/>
      <c r="X122" s="120"/>
      <c r="Y122" s="120"/>
      <c r="Z122" s="120"/>
      <c r="AA122" s="120"/>
      <c r="AB122" s="120"/>
      <c r="AC122" s="120"/>
      <c r="AD122" s="120"/>
    </row>
    <row r="123">
      <c r="A123" s="120"/>
      <c r="B123" s="120"/>
      <c r="C123" s="120"/>
      <c r="D123" s="120"/>
      <c r="E123" s="120"/>
      <c r="F123" s="120"/>
      <c r="G123" s="120"/>
      <c r="H123" s="120"/>
      <c r="I123" s="120"/>
      <c r="J123" s="120"/>
      <c r="K123" s="120"/>
      <c r="L123" s="120"/>
      <c r="M123" s="120"/>
      <c r="N123" s="120"/>
      <c r="O123" s="120"/>
      <c r="P123" s="120"/>
      <c r="Q123" s="120"/>
      <c r="R123" s="120"/>
      <c r="S123" s="120"/>
      <c r="T123" s="120"/>
      <c r="U123" s="120"/>
      <c r="V123" s="120"/>
      <c r="W123" s="120"/>
      <c r="X123" s="120"/>
      <c r="Y123" s="120"/>
      <c r="Z123" s="120"/>
      <c r="AA123" s="120"/>
      <c r="AB123" s="120"/>
      <c r="AC123" s="120"/>
      <c r="AD123" s="120"/>
    </row>
    <row r="124">
      <c r="A124" s="120"/>
      <c r="B124" s="120"/>
      <c r="C124" s="120"/>
      <c r="D124" s="120"/>
      <c r="E124" s="120"/>
      <c r="F124" s="120"/>
      <c r="G124" s="120"/>
      <c r="H124" s="120"/>
      <c r="I124" s="120"/>
      <c r="J124" s="120"/>
      <c r="K124" s="120"/>
      <c r="L124" s="120"/>
      <c r="M124" s="120"/>
      <c r="N124" s="120"/>
      <c r="O124" s="120"/>
      <c r="P124" s="120"/>
      <c r="Q124" s="120"/>
      <c r="R124" s="120"/>
      <c r="S124" s="120"/>
      <c r="T124" s="120"/>
      <c r="U124" s="120"/>
      <c r="V124" s="120"/>
      <c r="W124" s="120"/>
      <c r="X124" s="120"/>
      <c r="Y124" s="120"/>
      <c r="Z124" s="120"/>
      <c r="AA124" s="120"/>
      <c r="AB124" s="120"/>
      <c r="AC124" s="120"/>
      <c r="AD124" s="120"/>
    </row>
    <row r="125">
      <c r="A125" s="120"/>
      <c r="B125" s="120"/>
      <c r="C125" s="120"/>
      <c r="D125" s="120"/>
      <c r="E125" s="120"/>
      <c r="F125" s="120"/>
      <c r="G125" s="120"/>
      <c r="H125" s="120"/>
      <c r="I125" s="120"/>
      <c r="J125" s="120"/>
      <c r="K125" s="120"/>
      <c r="L125" s="120"/>
      <c r="M125" s="120"/>
      <c r="N125" s="120"/>
      <c r="O125" s="120"/>
      <c r="P125" s="120"/>
      <c r="Q125" s="120"/>
      <c r="R125" s="120"/>
      <c r="S125" s="120"/>
      <c r="T125" s="120"/>
      <c r="U125" s="120"/>
      <c r="V125" s="120"/>
      <c r="W125" s="120"/>
      <c r="X125" s="120"/>
      <c r="Y125" s="120"/>
      <c r="Z125" s="120"/>
      <c r="AA125" s="120"/>
      <c r="AB125" s="120"/>
      <c r="AC125" s="120"/>
      <c r="AD125" s="120"/>
    </row>
    <row r="126">
      <c r="A126" s="120"/>
      <c r="B126" s="120"/>
      <c r="C126" s="120"/>
      <c r="D126" s="120"/>
      <c r="E126" s="120"/>
      <c r="F126" s="120"/>
      <c r="G126" s="120"/>
      <c r="H126" s="120"/>
      <c r="I126" s="120"/>
      <c r="J126" s="120"/>
      <c r="K126" s="120"/>
      <c r="L126" s="120"/>
      <c r="M126" s="120"/>
      <c r="N126" s="120"/>
      <c r="O126" s="120"/>
      <c r="P126" s="120"/>
      <c r="Q126" s="120"/>
      <c r="R126" s="120"/>
      <c r="S126" s="120"/>
      <c r="T126" s="120"/>
      <c r="U126" s="120"/>
      <c r="V126" s="120"/>
      <c r="W126" s="120"/>
      <c r="X126" s="120"/>
      <c r="Y126" s="120"/>
      <c r="Z126" s="120"/>
      <c r="AA126" s="120"/>
      <c r="AB126" s="120"/>
      <c r="AC126" s="120"/>
      <c r="AD126" s="120"/>
    </row>
    <row r="127">
      <c r="A127" s="120"/>
      <c r="B127" s="120"/>
      <c r="C127" s="120"/>
      <c r="D127" s="120"/>
      <c r="E127" s="120"/>
      <c r="F127" s="120"/>
      <c r="G127" s="120"/>
      <c r="H127" s="120"/>
      <c r="I127" s="120"/>
      <c r="J127" s="120"/>
      <c r="K127" s="120"/>
      <c r="L127" s="120"/>
      <c r="M127" s="120"/>
      <c r="N127" s="120"/>
      <c r="O127" s="120"/>
      <c r="P127" s="120"/>
      <c r="Q127" s="120"/>
      <c r="R127" s="120"/>
      <c r="S127" s="120"/>
      <c r="T127" s="120"/>
      <c r="U127" s="120"/>
      <c r="V127" s="120"/>
      <c r="W127" s="120"/>
      <c r="X127" s="120"/>
      <c r="Y127" s="120"/>
      <c r="Z127" s="120"/>
      <c r="AA127" s="120"/>
      <c r="AB127" s="120"/>
      <c r="AC127" s="120"/>
      <c r="AD127" s="120"/>
    </row>
    <row r="128">
      <c r="A128" s="120"/>
      <c r="B128" s="120"/>
      <c r="C128" s="120"/>
      <c r="D128" s="120"/>
      <c r="E128" s="120"/>
      <c r="F128" s="120"/>
      <c r="G128" s="120"/>
      <c r="H128" s="120"/>
      <c r="I128" s="120"/>
      <c r="J128" s="120"/>
      <c r="K128" s="120"/>
      <c r="L128" s="120"/>
      <c r="M128" s="120"/>
      <c r="N128" s="120"/>
      <c r="O128" s="120"/>
      <c r="P128" s="120"/>
      <c r="Q128" s="120"/>
      <c r="R128" s="120"/>
      <c r="S128" s="120"/>
      <c r="T128" s="120"/>
      <c r="U128" s="120"/>
      <c r="V128" s="120"/>
      <c r="W128" s="120"/>
      <c r="X128" s="120"/>
      <c r="Y128" s="120"/>
      <c r="Z128" s="120"/>
      <c r="AA128" s="120"/>
      <c r="AB128" s="120"/>
      <c r="AC128" s="120"/>
      <c r="AD128" s="120"/>
    </row>
    <row r="129">
      <c r="A129" s="120"/>
      <c r="B129" s="120"/>
      <c r="C129" s="120"/>
      <c r="D129" s="120"/>
      <c r="E129" s="120"/>
      <c r="F129" s="120"/>
      <c r="G129" s="120"/>
      <c r="H129" s="120"/>
      <c r="I129" s="120"/>
      <c r="J129" s="120"/>
      <c r="K129" s="120"/>
      <c r="L129" s="120"/>
      <c r="M129" s="120"/>
      <c r="N129" s="120"/>
      <c r="O129" s="120"/>
      <c r="P129" s="120"/>
      <c r="Q129" s="120"/>
      <c r="R129" s="120"/>
      <c r="S129" s="120"/>
      <c r="T129" s="120"/>
      <c r="U129" s="120"/>
      <c r="V129" s="120"/>
      <c r="W129" s="120"/>
      <c r="X129" s="120"/>
      <c r="Y129" s="120"/>
      <c r="Z129" s="120"/>
      <c r="AA129" s="120"/>
      <c r="AB129" s="120"/>
      <c r="AC129" s="120"/>
      <c r="AD129" s="120"/>
    </row>
    <row r="130">
      <c r="A130" s="120"/>
      <c r="B130" s="120"/>
      <c r="C130" s="120"/>
      <c r="D130" s="120"/>
      <c r="E130" s="120"/>
      <c r="F130" s="120"/>
      <c r="G130" s="120"/>
      <c r="H130" s="120"/>
      <c r="I130" s="120"/>
      <c r="J130" s="120"/>
      <c r="K130" s="120"/>
      <c r="L130" s="120"/>
      <c r="M130" s="120"/>
      <c r="N130" s="120"/>
      <c r="O130" s="120"/>
      <c r="P130" s="120"/>
      <c r="Q130" s="120"/>
      <c r="R130" s="120"/>
      <c r="S130" s="120"/>
      <c r="T130" s="120"/>
      <c r="U130" s="120"/>
      <c r="V130" s="120"/>
      <c r="W130" s="120"/>
      <c r="X130" s="120"/>
      <c r="Y130" s="120"/>
      <c r="Z130" s="120"/>
      <c r="AA130" s="120"/>
      <c r="AB130" s="120"/>
      <c r="AC130" s="120"/>
      <c r="AD130" s="120"/>
    </row>
    <row r="131">
      <c r="A131" s="120"/>
      <c r="B131" s="120"/>
      <c r="C131" s="120"/>
      <c r="D131" s="120"/>
      <c r="E131" s="120"/>
      <c r="F131" s="120"/>
      <c r="G131" s="120"/>
      <c r="H131" s="120"/>
      <c r="I131" s="120"/>
      <c r="J131" s="120"/>
      <c r="K131" s="120"/>
      <c r="L131" s="120"/>
      <c r="M131" s="120"/>
      <c r="N131" s="120"/>
      <c r="O131" s="120"/>
      <c r="P131" s="120"/>
      <c r="Q131" s="120"/>
      <c r="R131" s="120"/>
      <c r="S131" s="120"/>
      <c r="T131" s="120"/>
      <c r="U131" s="120"/>
      <c r="V131" s="120"/>
      <c r="W131" s="120"/>
      <c r="X131" s="120"/>
      <c r="Y131" s="120"/>
      <c r="Z131" s="120"/>
      <c r="AA131" s="120"/>
      <c r="AB131" s="120"/>
      <c r="AC131" s="120"/>
      <c r="AD131" s="120"/>
    </row>
    <row r="132">
      <c r="A132" s="120"/>
      <c r="B132" s="120"/>
      <c r="C132" s="120"/>
      <c r="D132" s="120"/>
      <c r="E132" s="120"/>
      <c r="F132" s="120"/>
      <c r="G132" s="120"/>
      <c r="H132" s="120"/>
      <c r="I132" s="120"/>
      <c r="J132" s="120"/>
      <c r="K132" s="120"/>
      <c r="L132" s="120"/>
      <c r="M132" s="120"/>
      <c r="N132" s="120"/>
      <c r="O132" s="120"/>
      <c r="P132" s="120"/>
      <c r="Q132" s="120"/>
      <c r="R132" s="120"/>
      <c r="S132" s="120"/>
      <c r="T132" s="120"/>
      <c r="U132" s="120"/>
      <c r="V132" s="120"/>
      <c r="W132" s="120"/>
      <c r="X132" s="120"/>
      <c r="Y132" s="120"/>
      <c r="Z132" s="120"/>
      <c r="AA132" s="120"/>
      <c r="AB132" s="120"/>
      <c r="AC132" s="120"/>
      <c r="AD132" s="120"/>
    </row>
    <row r="133">
      <c r="A133" s="120"/>
      <c r="B133" s="120"/>
      <c r="C133" s="120"/>
      <c r="D133" s="120"/>
      <c r="E133" s="120"/>
      <c r="F133" s="120"/>
      <c r="G133" s="120"/>
      <c r="H133" s="120"/>
      <c r="I133" s="120"/>
      <c r="J133" s="120"/>
      <c r="K133" s="120"/>
      <c r="L133" s="120"/>
      <c r="M133" s="120"/>
      <c r="N133" s="120"/>
      <c r="O133" s="120"/>
      <c r="P133" s="120"/>
      <c r="Q133" s="120"/>
      <c r="R133" s="120"/>
      <c r="S133" s="120"/>
      <c r="T133" s="120"/>
      <c r="U133" s="120"/>
      <c r="V133" s="120"/>
      <c r="W133" s="120"/>
      <c r="X133" s="120"/>
      <c r="Y133" s="120"/>
      <c r="Z133" s="120"/>
      <c r="AA133" s="120"/>
      <c r="AB133" s="120"/>
      <c r="AC133" s="120"/>
      <c r="AD133" s="120"/>
    </row>
    <row r="134">
      <c r="A134" s="120"/>
      <c r="B134" s="120"/>
      <c r="C134" s="120"/>
      <c r="D134" s="120"/>
      <c r="E134" s="120"/>
      <c r="F134" s="120"/>
      <c r="G134" s="120"/>
      <c r="H134" s="120"/>
      <c r="I134" s="120"/>
      <c r="J134" s="120"/>
      <c r="K134" s="120"/>
      <c r="L134" s="120"/>
      <c r="M134" s="120"/>
      <c r="N134" s="120"/>
      <c r="O134" s="120"/>
      <c r="P134" s="120"/>
      <c r="Q134" s="120"/>
      <c r="R134" s="120"/>
      <c r="S134" s="120"/>
      <c r="T134" s="120"/>
      <c r="U134" s="120"/>
      <c r="V134" s="120"/>
      <c r="W134" s="120"/>
      <c r="X134" s="120"/>
      <c r="Y134" s="120"/>
      <c r="Z134" s="120"/>
      <c r="AA134" s="120"/>
      <c r="AB134" s="120"/>
      <c r="AC134" s="120"/>
      <c r="AD134" s="120"/>
    </row>
    <row r="135">
      <c r="A135" s="120"/>
      <c r="B135" s="120"/>
      <c r="C135" s="120"/>
      <c r="D135" s="120"/>
      <c r="E135" s="120"/>
      <c r="F135" s="120"/>
      <c r="G135" s="120"/>
      <c r="H135" s="120"/>
      <c r="I135" s="120"/>
      <c r="J135" s="120"/>
      <c r="K135" s="120"/>
      <c r="L135" s="120"/>
      <c r="M135" s="120"/>
      <c r="N135" s="120"/>
      <c r="O135" s="120"/>
      <c r="P135" s="120"/>
      <c r="Q135" s="120"/>
      <c r="R135" s="120"/>
      <c r="S135" s="120"/>
      <c r="T135" s="120"/>
      <c r="U135" s="120"/>
      <c r="V135" s="120"/>
      <c r="W135" s="120"/>
      <c r="X135" s="120"/>
      <c r="Y135" s="120"/>
      <c r="Z135" s="120"/>
      <c r="AA135" s="120"/>
      <c r="AB135" s="120"/>
      <c r="AC135" s="120"/>
      <c r="AD135" s="120"/>
    </row>
    <row r="136">
      <c r="A136" s="120"/>
      <c r="B136" s="120"/>
      <c r="C136" s="120"/>
      <c r="D136" s="120"/>
      <c r="E136" s="120"/>
      <c r="F136" s="120"/>
      <c r="G136" s="120"/>
      <c r="H136" s="120"/>
      <c r="I136" s="120"/>
      <c r="J136" s="120"/>
      <c r="K136" s="120"/>
      <c r="L136" s="120"/>
      <c r="M136" s="120"/>
      <c r="N136" s="120"/>
      <c r="O136" s="120"/>
      <c r="P136" s="120"/>
      <c r="Q136" s="120"/>
      <c r="R136" s="120"/>
      <c r="S136" s="120"/>
      <c r="T136" s="120"/>
      <c r="U136" s="120"/>
      <c r="V136" s="120"/>
      <c r="W136" s="120"/>
      <c r="X136" s="120"/>
      <c r="Y136" s="120"/>
      <c r="Z136" s="120"/>
      <c r="AA136" s="120"/>
      <c r="AB136" s="120"/>
      <c r="AC136" s="120"/>
      <c r="AD136" s="120"/>
    </row>
    <row r="137">
      <c r="A137" s="120"/>
      <c r="B137" s="120"/>
      <c r="C137" s="120"/>
      <c r="D137" s="120"/>
      <c r="E137" s="120"/>
      <c r="F137" s="120"/>
      <c r="G137" s="120"/>
      <c r="H137" s="120"/>
      <c r="I137" s="120"/>
      <c r="J137" s="120"/>
      <c r="K137" s="120"/>
      <c r="L137" s="120"/>
      <c r="M137" s="120"/>
      <c r="N137" s="120"/>
      <c r="O137" s="120"/>
      <c r="P137" s="120"/>
      <c r="Q137" s="120"/>
      <c r="R137" s="120"/>
      <c r="S137" s="120"/>
      <c r="T137" s="120"/>
      <c r="U137" s="120"/>
      <c r="V137" s="120"/>
      <c r="W137" s="120"/>
      <c r="X137" s="120"/>
      <c r="Y137" s="120"/>
      <c r="Z137" s="120"/>
      <c r="AA137" s="120"/>
      <c r="AB137" s="120"/>
      <c r="AC137" s="120"/>
      <c r="AD137" s="120"/>
    </row>
    <row r="138">
      <c r="A138" s="120"/>
      <c r="B138" s="120"/>
      <c r="C138" s="120"/>
      <c r="D138" s="120"/>
      <c r="E138" s="120"/>
      <c r="F138" s="120"/>
      <c r="G138" s="120"/>
      <c r="H138" s="120"/>
      <c r="I138" s="120"/>
      <c r="J138" s="120"/>
      <c r="K138" s="120"/>
      <c r="L138" s="120"/>
      <c r="M138" s="120"/>
      <c r="N138" s="120"/>
      <c r="O138" s="120"/>
      <c r="P138" s="120"/>
      <c r="Q138" s="120"/>
      <c r="R138" s="120"/>
      <c r="S138" s="120"/>
      <c r="T138" s="120"/>
      <c r="U138" s="120"/>
      <c r="V138" s="120"/>
      <c r="W138" s="120"/>
      <c r="X138" s="120"/>
      <c r="Y138" s="120"/>
      <c r="Z138" s="120"/>
      <c r="AA138" s="120"/>
      <c r="AB138" s="120"/>
      <c r="AC138" s="120"/>
      <c r="AD138" s="120"/>
    </row>
    <row r="139">
      <c r="A139" s="120"/>
      <c r="B139" s="120"/>
      <c r="C139" s="120"/>
      <c r="D139" s="120"/>
      <c r="E139" s="120"/>
      <c r="F139" s="120"/>
      <c r="G139" s="120"/>
      <c r="H139" s="120"/>
      <c r="I139" s="120"/>
      <c r="J139" s="120"/>
      <c r="K139" s="120"/>
      <c r="L139" s="120"/>
      <c r="M139" s="120"/>
      <c r="N139" s="120"/>
      <c r="O139" s="120"/>
      <c r="P139" s="120"/>
      <c r="Q139" s="120"/>
      <c r="R139" s="120"/>
      <c r="S139" s="120"/>
      <c r="T139" s="120"/>
      <c r="U139" s="120"/>
      <c r="V139" s="120"/>
      <c r="W139" s="120"/>
      <c r="X139" s="120"/>
      <c r="Y139" s="120"/>
      <c r="Z139" s="120"/>
      <c r="AA139" s="120"/>
      <c r="AB139" s="120"/>
      <c r="AC139" s="120"/>
      <c r="AD139" s="120"/>
    </row>
    <row r="140">
      <c r="A140" s="120"/>
      <c r="B140" s="120"/>
      <c r="C140" s="120"/>
      <c r="D140" s="120"/>
      <c r="E140" s="120"/>
      <c r="F140" s="120"/>
      <c r="G140" s="120"/>
      <c r="H140" s="120"/>
      <c r="I140" s="120"/>
      <c r="J140" s="120"/>
      <c r="K140" s="120"/>
      <c r="L140" s="120"/>
      <c r="M140" s="120"/>
      <c r="N140" s="120"/>
      <c r="O140" s="120"/>
      <c r="P140" s="120"/>
      <c r="Q140" s="120"/>
      <c r="R140" s="120"/>
      <c r="S140" s="120"/>
      <c r="T140" s="120"/>
      <c r="U140" s="120"/>
      <c r="V140" s="120"/>
      <c r="W140" s="120"/>
      <c r="X140" s="120"/>
      <c r="Y140" s="120"/>
      <c r="Z140" s="120"/>
      <c r="AA140" s="120"/>
      <c r="AB140" s="120"/>
      <c r="AC140" s="120"/>
      <c r="AD140" s="120"/>
    </row>
    <row r="141">
      <c r="A141" s="120"/>
      <c r="B141" s="120"/>
      <c r="C141" s="120"/>
      <c r="D141" s="120"/>
      <c r="E141" s="120"/>
      <c r="F141" s="120"/>
      <c r="G141" s="120"/>
      <c r="H141" s="120"/>
      <c r="I141" s="120"/>
      <c r="J141" s="120"/>
      <c r="K141" s="120"/>
      <c r="L141" s="120"/>
      <c r="M141" s="120"/>
      <c r="N141" s="120"/>
      <c r="O141" s="120"/>
      <c r="P141" s="120"/>
      <c r="Q141" s="120"/>
      <c r="R141" s="120"/>
      <c r="S141" s="120"/>
      <c r="T141" s="120"/>
      <c r="U141" s="120"/>
      <c r="V141" s="120"/>
      <c r="W141" s="120"/>
      <c r="X141" s="120"/>
      <c r="Y141" s="120"/>
      <c r="Z141" s="120"/>
      <c r="AA141" s="120"/>
      <c r="AB141" s="120"/>
      <c r="AC141" s="120"/>
      <c r="AD141" s="120"/>
    </row>
    <row r="142">
      <c r="A142" s="120"/>
      <c r="B142" s="120"/>
      <c r="C142" s="120"/>
      <c r="D142" s="120"/>
      <c r="E142" s="120"/>
      <c r="F142" s="120"/>
      <c r="G142" s="120"/>
      <c r="H142" s="120"/>
      <c r="I142" s="120"/>
      <c r="J142" s="120"/>
      <c r="K142" s="120"/>
      <c r="L142" s="120"/>
      <c r="M142" s="120"/>
      <c r="N142" s="120"/>
      <c r="O142" s="120"/>
      <c r="P142" s="120"/>
      <c r="Q142" s="120"/>
      <c r="R142" s="120"/>
      <c r="S142" s="120"/>
      <c r="T142" s="120"/>
      <c r="U142" s="120"/>
      <c r="V142" s="120"/>
      <c r="W142" s="120"/>
      <c r="X142" s="120"/>
      <c r="Y142" s="120"/>
      <c r="Z142" s="120"/>
      <c r="AA142" s="120"/>
      <c r="AB142" s="120"/>
      <c r="AC142" s="120"/>
      <c r="AD142" s="120"/>
    </row>
    <row r="143">
      <c r="A143" s="120"/>
      <c r="B143" s="120"/>
      <c r="C143" s="120"/>
      <c r="D143" s="120"/>
      <c r="E143" s="120"/>
      <c r="F143" s="120"/>
      <c r="G143" s="120"/>
      <c r="H143" s="120"/>
      <c r="I143" s="120"/>
      <c r="J143" s="120"/>
      <c r="K143" s="120"/>
      <c r="L143" s="120"/>
      <c r="M143" s="120"/>
      <c r="N143" s="120"/>
      <c r="O143" s="120"/>
      <c r="P143" s="120"/>
      <c r="Q143" s="120"/>
      <c r="R143" s="120"/>
      <c r="S143" s="120"/>
      <c r="T143" s="120"/>
      <c r="U143" s="120"/>
      <c r="V143" s="120"/>
      <c r="W143" s="120"/>
      <c r="X143" s="120"/>
      <c r="Y143" s="120"/>
      <c r="Z143" s="120"/>
      <c r="AA143" s="120"/>
      <c r="AB143" s="120"/>
      <c r="AC143" s="120"/>
      <c r="AD143" s="120"/>
    </row>
    <row r="144">
      <c r="A144" s="120"/>
      <c r="B144" s="120"/>
      <c r="C144" s="120"/>
      <c r="D144" s="120"/>
      <c r="E144" s="120"/>
      <c r="F144" s="120"/>
      <c r="G144" s="120"/>
      <c r="H144" s="120"/>
      <c r="I144" s="120"/>
      <c r="J144" s="120"/>
      <c r="K144" s="120"/>
      <c r="L144" s="120"/>
      <c r="M144" s="120"/>
      <c r="N144" s="120"/>
      <c r="O144" s="120"/>
      <c r="P144" s="120"/>
      <c r="Q144" s="120"/>
      <c r="R144" s="120"/>
      <c r="S144" s="120"/>
      <c r="T144" s="120"/>
      <c r="U144" s="120"/>
      <c r="V144" s="120"/>
      <c r="W144" s="120"/>
      <c r="X144" s="120"/>
      <c r="Y144" s="120"/>
      <c r="Z144" s="120"/>
      <c r="AA144" s="120"/>
      <c r="AB144" s="120"/>
      <c r="AC144" s="120"/>
      <c r="AD144" s="120"/>
    </row>
    <row r="145">
      <c r="A145" s="120"/>
      <c r="B145" s="120"/>
      <c r="C145" s="120"/>
      <c r="D145" s="120"/>
      <c r="E145" s="120"/>
      <c r="F145" s="120"/>
      <c r="G145" s="120"/>
      <c r="H145" s="120"/>
      <c r="I145" s="120"/>
      <c r="J145" s="120"/>
      <c r="K145" s="120"/>
      <c r="L145" s="120"/>
      <c r="M145" s="120"/>
      <c r="N145" s="120"/>
      <c r="O145" s="120"/>
      <c r="P145" s="120"/>
      <c r="Q145" s="120"/>
      <c r="R145" s="120"/>
      <c r="S145" s="120"/>
      <c r="T145" s="120"/>
      <c r="U145" s="120"/>
      <c r="V145" s="120"/>
      <c r="W145" s="120"/>
      <c r="X145" s="120"/>
      <c r="Y145" s="120"/>
      <c r="Z145" s="120"/>
      <c r="AA145" s="120"/>
      <c r="AB145" s="120"/>
      <c r="AC145" s="120"/>
      <c r="AD145" s="120"/>
    </row>
    <row r="146">
      <c r="A146" s="120"/>
      <c r="B146" s="120"/>
      <c r="C146" s="120"/>
      <c r="D146" s="120"/>
      <c r="E146" s="120"/>
      <c r="F146" s="120"/>
      <c r="G146" s="120"/>
      <c r="H146" s="120"/>
      <c r="I146" s="120"/>
      <c r="J146" s="120"/>
      <c r="K146" s="120"/>
      <c r="L146" s="120"/>
      <c r="M146" s="120"/>
      <c r="N146" s="120"/>
      <c r="O146" s="120"/>
      <c r="P146" s="120"/>
      <c r="Q146" s="120"/>
      <c r="R146" s="120"/>
      <c r="S146" s="120"/>
      <c r="T146" s="120"/>
      <c r="U146" s="120"/>
      <c r="V146" s="120"/>
      <c r="W146" s="120"/>
      <c r="X146" s="120"/>
      <c r="Y146" s="120"/>
      <c r="Z146" s="120"/>
      <c r="AA146" s="120"/>
      <c r="AB146" s="120"/>
      <c r="AC146" s="120"/>
      <c r="AD146" s="120"/>
    </row>
    <row r="147">
      <c r="A147" s="120"/>
      <c r="B147" s="120"/>
      <c r="C147" s="120"/>
      <c r="D147" s="120"/>
      <c r="E147" s="120"/>
      <c r="F147" s="120"/>
      <c r="G147" s="120"/>
      <c r="H147" s="120"/>
      <c r="I147" s="120"/>
      <c r="J147" s="120"/>
      <c r="K147" s="120"/>
      <c r="L147" s="120"/>
      <c r="M147" s="120"/>
      <c r="N147" s="120"/>
      <c r="O147" s="120"/>
      <c r="P147" s="120"/>
      <c r="Q147" s="120"/>
      <c r="R147" s="120"/>
      <c r="S147" s="120"/>
      <c r="T147" s="120"/>
      <c r="U147" s="120"/>
      <c r="V147" s="120"/>
      <c r="W147" s="120"/>
      <c r="X147" s="120"/>
      <c r="Y147" s="120"/>
      <c r="Z147" s="120"/>
      <c r="AA147" s="120"/>
      <c r="AB147" s="120"/>
      <c r="AC147" s="120"/>
      <c r="AD147" s="120"/>
    </row>
    <row r="148">
      <c r="A148" s="120"/>
      <c r="B148" s="120"/>
      <c r="C148" s="120"/>
      <c r="D148" s="120"/>
      <c r="E148" s="120"/>
      <c r="F148" s="120"/>
      <c r="G148" s="120"/>
      <c r="H148" s="120"/>
      <c r="I148" s="120"/>
      <c r="J148" s="120"/>
      <c r="K148" s="120"/>
      <c r="L148" s="120"/>
      <c r="M148" s="120"/>
      <c r="N148" s="120"/>
      <c r="O148" s="120"/>
      <c r="P148" s="120"/>
      <c r="Q148" s="120"/>
      <c r="R148" s="120"/>
      <c r="S148" s="120"/>
      <c r="T148" s="120"/>
      <c r="U148" s="120"/>
      <c r="V148" s="120"/>
      <c r="W148" s="120"/>
      <c r="X148" s="120"/>
      <c r="Y148" s="120"/>
      <c r="Z148" s="120"/>
      <c r="AA148" s="120"/>
      <c r="AB148" s="120"/>
      <c r="AC148" s="120"/>
      <c r="AD148" s="120"/>
    </row>
    <row r="149">
      <c r="A149" s="120"/>
      <c r="B149" s="120"/>
      <c r="C149" s="120"/>
      <c r="D149" s="120"/>
      <c r="E149" s="120"/>
      <c r="F149" s="120"/>
      <c r="G149" s="120"/>
      <c r="H149" s="120"/>
      <c r="I149" s="120"/>
      <c r="J149" s="120"/>
      <c r="K149" s="120"/>
      <c r="L149" s="120"/>
      <c r="M149" s="120"/>
      <c r="N149" s="120"/>
      <c r="O149" s="120"/>
      <c r="P149" s="120"/>
      <c r="Q149" s="120"/>
      <c r="R149" s="120"/>
      <c r="S149" s="120"/>
      <c r="T149" s="120"/>
      <c r="U149" s="120"/>
      <c r="V149" s="120"/>
      <c r="W149" s="120"/>
      <c r="X149" s="120"/>
      <c r="Y149" s="120"/>
      <c r="Z149" s="120"/>
      <c r="AA149" s="120"/>
      <c r="AB149" s="120"/>
      <c r="AC149" s="120"/>
      <c r="AD149" s="120"/>
    </row>
    <row r="150">
      <c r="A150" s="120"/>
      <c r="B150" s="120"/>
      <c r="C150" s="120"/>
      <c r="D150" s="120"/>
      <c r="E150" s="120"/>
      <c r="F150" s="120"/>
      <c r="G150" s="120"/>
      <c r="H150" s="120"/>
      <c r="I150" s="120"/>
      <c r="J150" s="120"/>
      <c r="K150" s="120"/>
      <c r="L150" s="120"/>
      <c r="M150" s="120"/>
      <c r="N150" s="120"/>
      <c r="O150" s="120"/>
      <c r="P150" s="120"/>
      <c r="Q150" s="120"/>
      <c r="R150" s="120"/>
      <c r="S150" s="120"/>
      <c r="T150" s="120"/>
      <c r="U150" s="120"/>
      <c r="V150" s="120"/>
      <c r="W150" s="120"/>
      <c r="X150" s="120"/>
      <c r="Y150" s="120"/>
      <c r="Z150" s="120"/>
      <c r="AA150" s="120"/>
      <c r="AB150" s="120"/>
      <c r="AC150" s="120"/>
      <c r="AD150" s="120"/>
    </row>
    <row r="151">
      <c r="A151" s="120"/>
      <c r="B151" s="120"/>
      <c r="C151" s="120"/>
      <c r="D151" s="120"/>
      <c r="E151" s="120"/>
      <c r="F151" s="120"/>
      <c r="G151" s="120"/>
      <c r="H151" s="120"/>
      <c r="I151" s="120"/>
      <c r="J151" s="120"/>
      <c r="K151" s="120"/>
      <c r="L151" s="120"/>
      <c r="M151" s="120"/>
      <c r="N151" s="120"/>
      <c r="O151" s="120"/>
      <c r="P151" s="120"/>
      <c r="Q151" s="120"/>
      <c r="R151" s="120"/>
      <c r="S151" s="120"/>
      <c r="T151" s="120"/>
      <c r="U151" s="120"/>
      <c r="V151" s="120"/>
      <c r="W151" s="120"/>
      <c r="X151" s="120"/>
      <c r="Y151" s="120"/>
      <c r="Z151" s="120"/>
      <c r="AA151" s="120"/>
      <c r="AB151" s="120"/>
      <c r="AC151" s="120"/>
      <c r="AD151" s="120"/>
    </row>
    <row r="152">
      <c r="A152" s="120"/>
      <c r="B152" s="120"/>
      <c r="C152" s="120"/>
      <c r="D152" s="120"/>
      <c r="E152" s="120"/>
      <c r="F152" s="120"/>
      <c r="G152" s="120"/>
      <c r="H152" s="120"/>
      <c r="I152" s="120"/>
      <c r="J152" s="120"/>
      <c r="K152" s="120"/>
      <c r="L152" s="120"/>
      <c r="M152" s="120"/>
      <c r="N152" s="120"/>
      <c r="O152" s="120"/>
      <c r="P152" s="120"/>
      <c r="Q152" s="120"/>
      <c r="R152" s="120"/>
      <c r="S152" s="120"/>
      <c r="T152" s="120"/>
      <c r="U152" s="120"/>
      <c r="V152" s="120"/>
      <c r="W152" s="120"/>
      <c r="X152" s="120"/>
      <c r="Y152" s="120"/>
      <c r="Z152" s="120"/>
      <c r="AA152" s="120"/>
      <c r="AB152" s="120"/>
      <c r="AC152" s="120"/>
      <c r="AD152" s="120"/>
    </row>
    <row r="153">
      <c r="A153" s="120"/>
      <c r="B153" s="120"/>
      <c r="C153" s="120"/>
      <c r="D153" s="120"/>
      <c r="E153" s="120"/>
      <c r="F153" s="120"/>
      <c r="G153" s="120"/>
      <c r="H153" s="120"/>
      <c r="I153" s="120"/>
      <c r="J153" s="120"/>
      <c r="K153" s="120"/>
      <c r="L153" s="120"/>
      <c r="M153" s="120"/>
      <c r="N153" s="120"/>
      <c r="O153" s="120"/>
      <c r="P153" s="120"/>
      <c r="Q153" s="120"/>
      <c r="R153" s="120"/>
      <c r="S153" s="120"/>
      <c r="T153" s="120"/>
      <c r="U153" s="120"/>
      <c r="V153" s="120"/>
      <c r="W153" s="120"/>
      <c r="X153" s="120"/>
      <c r="Y153" s="120"/>
      <c r="Z153" s="120"/>
      <c r="AA153" s="120"/>
      <c r="AB153" s="120"/>
      <c r="AC153" s="120"/>
      <c r="AD153" s="120"/>
    </row>
    <row r="154">
      <c r="A154" s="120"/>
      <c r="B154" s="120"/>
      <c r="C154" s="120"/>
      <c r="D154" s="120"/>
      <c r="E154" s="120"/>
      <c r="F154" s="120"/>
      <c r="G154" s="120"/>
      <c r="H154" s="120"/>
      <c r="I154" s="120"/>
      <c r="J154" s="120"/>
      <c r="K154" s="120"/>
      <c r="L154" s="120"/>
      <c r="M154" s="120"/>
      <c r="N154" s="120"/>
      <c r="O154" s="120"/>
      <c r="P154" s="120"/>
      <c r="Q154" s="120"/>
      <c r="R154" s="120"/>
      <c r="S154" s="120"/>
      <c r="T154" s="120"/>
      <c r="U154" s="120"/>
      <c r="V154" s="120"/>
      <c r="W154" s="120"/>
      <c r="X154" s="120"/>
      <c r="Y154" s="120"/>
      <c r="Z154" s="120"/>
      <c r="AA154" s="120"/>
      <c r="AB154" s="120"/>
      <c r="AC154" s="120"/>
      <c r="AD154" s="120"/>
    </row>
    <row r="155">
      <c r="A155" s="120"/>
      <c r="B155" s="120"/>
      <c r="C155" s="120"/>
      <c r="D155" s="120"/>
      <c r="E155" s="120"/>
      <c r="F155" s="120"/>
      <c r="G155" s="120"/>
      <c r="H155" s="120"/>
      <c r="I155" s="120"/>
      <c r="J155" s="120"/>
      <c r="K155" s="120"/>
      <c r="L155" s="120"/>
      <c r="M155" s="120"/>
      <c r="N155" s="120"/>
      <c r="O155" s="120"/>
      <c r="P155" s="120"/>
      <c r="Q155" s="120"/>
      <c r="R155" s="120"/>
      <c r="S155" s="120"/>
      <c r="T155" s="120"/>
      <c r="U155" s="120"/>
      <c r="V155" s="120"/>
      <c r="W155" s="120"/>
      <c r="X155" s="120"/>
      <c r="Y155" s="120"/>
      <c r="Z155" s="120"/>
      <c r="AA155" s="120"/>
      <c r="AB155" s="120"/>
      <c r="AC155" s="120"/>
      <c r="AD155" s="120"/>
    </row>
    <row r="156">
      <c r="A156" s="120"/>
      <c r="B156" s="120"/>
      <c r="C156" s="120"/>
      <c r="D156" s="120"/>
      <c r="E156" s="120"/>
      <c r="F156" s="120"/>
      <c r="G156" s="120"/>
      <c r="H156" s="120"/>
      <c r="I156" s="120"/>
      <c r="J156" s="120"/>
      <c r="K156" s="120"/>
      <c r="L156" s="120"/>
      <c r="M156" s="120"/>
      <c r="N156" s="120"/>
      <c r="O156" s="120"/>
      <c r="P156" s="120"/>
      <c r="Q156" s="120"/>
      <c r="R156" s="120"/>
      <c r="S156" s="120"/>
      <c r="T156" s="120"/>
      <c r="U156" s="120"/>
      <c r="V156" s="120"/>
      <c r="W156" s="120"/>
      <c r="X156" s="120"/>
      <c r="Y156" s="120"/>
      <c r="Z156" s="120"/>
      <c r="AA156" s="120"/>
      <c r="AB156" s="120"/>
      <c r="AC156" s="120"/>
      <c r="AD156" s="120"/>
    </row>
    <row r="157">
      <c r="A157" s="120"/>
      <c r="B157" s="120"/>
      <c r="C157" s="120"/>
      <c r="D157" s="120"/>
      <c r="E157" s="120"/>
      <c r="F157" s="120"/>
      <c r="G157" s="120"/>
      <c r="H157" s="120"/>
      <c r="I157" s="120"/>
      <c r="J157" s="120"/>
      <c r="K157" s="120"/>
      <c r="L157" s="120"/>
      <c r="M157" s="120"/>
      <c r="N157" s="120"/>
      <c r="O157" s="120"/>
      <c r="P157" s="120"/>
      <c r="Q157" s="120"/>
      <c r="R157" s="120"/>
      <c r="S157" s="120"/>
      <c r="T157" s="120"/>
      <c r="U157" s="120"/>
      <c r="V157" s="120"/>
      <c r="W157" s="120"/>
      <c r="X157" s="120"/>
      <c r="Y157" s="120"/>
      <c r="Z157" s="120"/>
      <c r="AA157" s="120"/>
      <c r="AB157" s="120"/>
      <c r="AC157" s="120"/>
      <c r="AD157" s="120"/>
    </row>
    <row r="158">
      <c r="A158" s="120"/>
      <c r="B158" s="120"/>
      <c r="C158" s="120"/>
      <c r="D158" s="120"/>
      <c r="E158" s="120"/>
      <c r="F158" s="120"/>
      <c r="G158" s="120"/>
      <c r="H158" s="120"/>
      <c r="I158" s="120"/>
      <c r="J158" s="120"/>
      <c r="K158" s="120"/>
      <c r="L158" s="120"/>
      <c r="M158" s="120"/>
      <c r="N158" s="120"/>
      <c r="O158" s="120"/>
      <c r="P158" s="120"/>
      <c r="Q158" s="120"/>
      <c r="R158" s="120"/>
      <c r="S158" s="120"/>
      <c r="T158" s="120"/>
      <c r="U158" s="120"/>
      <c r="V158" s="120"/>
      <c r="W158" s="120"/>
      <c r="X158" s="120"/>
      <c r="Y158" s="120"/>
      <c r="Z158" s="120"/>
      <c r="AA158" s="120"/>
      <c r="AB158" s="120"/>
      <c r="AC158" s="120"/>
      <c r="AD158" s="120"/>
    </row>
    <row r="159">
      <c r="A159" s="120"/>
      <c r="B159" s="120"/>
      <c r="C159" s="120"/>
      <c r="D159" s="120"/>
      <c r="E159" s="120"/>
      <c r="F159" s="120"/>
      <c r="G159" s="120"/>
      <c r="H159" s="120"/>
      <c r="I159" s="120"/>
      <c r="J159" s="120"/>
      <c r="K159" s="120"/>
      <c r="L159" s="120"/>
      <c r="M159" s="120"/>
      <c r="N159" s="120"/>
      <c r="O159" s="120"/>
      <c r="P159" s="120"/>
      <c r="Q159" s="120"/>
      <c r="R159" s="120"/>
      <c r="S159" s="120"/>
      <c r="T159" s="120"/>
      <c r="U159" s="120"/>
      <c r="V159" s="120"/>
      <c r="W159" s="120"/>
      <c r="X159" s="120"/>
      <c r="Y159" s="120"/>
      <c r="Z159" s="120"/>
      <c r="AA159" s="120"/>
      <c r="AB159" s="120"/>
      <c r="AC159" s="120"/>
      <c r="AD159" s="120"/>
    </row>
    <row r="160">
      <c r="A160" s="120"/>
      <c r="B160" s="120"/>
      <c r="C160" s="120"/>
      <c r="D160" s="120"/>
      <c r="E160" s="120"/>
      <c r="F160" s="120"/>
      <c r="G160" s="120"/>
      <c r="H160" s="120"/>
      <c r="I160" s="120"/>
      <c r="J160" s="120"/>
      <c r="K160" s="120"/>
      <c r="L160" s="120"/>
      <c r="M160" s="120"/>
      <c r="N160" s="120"/>
      <c r="O160" s="120"/>
      <c r="P160" s="120"/>
      <c r="Q160" s="120"/>
      <c r="R160" s="120"/>
      <c r="S160" s="120"/>
      <c r="T160" s="120"/>
      <c r="U160" s="120"/>
      <c r="V160" s="120"/>
      <c r="W160" s="120"/>
      <c r="X160" s="120"/>
      <c r="Y160" s="120"/>
      <c r="Z160" s="120"/>
      <c r="AA160" s="120"/>
      <c r="AB160" s="120"/>
      <c r="AC160" s="120"/>
      <c r="AD160" s="120"/>
    </row>
    <row r="161">
      <c r="A161" s="120"/>
      <c r="B161" s="120"/>
      <c r="C161" s="120"/>
      <c r="D161" s="120"/>
      <c r="E161" s="120"/>
      <c r="F161" s="120"/>
      <c r="G161" s="120"/>
      <c r="H161" s="120"/>
      <c r="I161" s="120"/>
      <c r="J161" s="120"/>
      <c r="K161" s="120"/>
      <c r="L161" s="120"/>
      <c r="M161" s="120"/>
      <c r="N161" s="120"/>
      <c r="O161" s="120"/>
      <c r="P161" s="120"/>
      <c r="Q161" s="120"/>
      <c r="R161" s="120"/>
      <c r="S161" s="120"/>
      <c r="T161" s="120"/>
      <c r="U161" s="120"/>
      <c r="V161" s="120"/>
      <c r="W161" s="120"/>
      <c r="X161" s="120"/>
      <c r="Y161" s="120"/>
      <c r="Z161" s="120"/>
      <c r="AA161" s="120"/>
      <c r="AB161" s="120"/>
      <c r="AC161" s="120"/>
      <c r="AD161" s="120"/>
    </row>
    <row r="162">
      <c r="A162" s="120"/>
      <c r="B162" s="120"/>
      <c r="C162" s="120"/>
      <c r="D162" s="120"/>
      <c r="E162" s="120"/>
      <c r="F162" s="120"/>
      <c r="G162" s="120"/>
      <c r="H162" s="120"/>
      <c r="I162" s="120"/>
      <c r="J162" s="120"/>
      <c r="K162" s="120"/>
      <c r="L162" s="120"/>
      <c r="M162" s="120"/>
      <c r="N162" s="120"/>
      <c r="O162" s="120"/>
      <c r="P162" s="120"/>
      <c r="Q162" s="120"/>
      <c r="R162" s="120"/>
      <c r="S162" s="120"/>
      <c r="T162" s="120"/>
      <c r="U162" s="120"/>
      <c r="V162" s="120"/>
      <c r="W162" s="120"/>
      <c r="X162" s="120"/>
      <c r="Y162" s="120"/>
      <c r="Z162" s="120"/>
      <c r="AA162" s="120"/>
      <c r="AB162" s="120"/>
      <c r="AC162" s="120"/>
      <c r="AD162" s="120"/>
    </row>
    <row r="163">
      <c r="A163" s="120"/>
      <c r="B163" s="120"/>
      <c r="C163" s="120"/>
      <c r="D163" s="120"/>
      <c r="E163" s="120"/>
      <c r="F163" s="120"/>
      <c r="G163" s="120"/>
      <c r="H163" s="120"/>
      <c r="I163" s="120"/>
      <c r="J163" s="120"/>
      <c r="K163" s="120"/>
      <c r="L163" s="120"/>
      <c r="M163" s="120"/>
      <c r="N163" s="120"/>
      <c r="O163" s="120"/>
      <c r="P163" s="120"/>
      <c r="Q163" s="120"/>
      <c r="R163" s="120"/>
      <c r="S163" s="120"/>
      <c r="T163" s="120"/>
      <c r="U163" s="120"/>
      <c r="V163" s="120"/>
      <c r="W163" s="120"/>
      <c r="X163" s="120"/>
      <c r="Y163" s="120"/>
      <c r="Z163" s="120"/>
      <c r="AA163" s="120"/>
      <c r="AB163" s="120"/>
      <c r="AC163" s="120"/>
      <c r="AD163" s="120"/>
    </row>
    <row r="164">
      <c r="A164" s="120"/>
      <c r="B164" s="120"/>
      <c r="C164" s="120"/>
      <c r="D164" s="120"/>
      <c r="E164" s="120"/>
      <c r="F164" s="120"/>
      <c r="G164" s="120"/>
      <c r="H164" s="120"/>
      <c r="I164" s="120"/>
      <c r="J164" s="120"/>
      <c r="K164" s="120"/>
      <c r="L164" s="120"/>
      <c r="M164" s="120"/>
      <c r="N164" s="120"/>
      <c r="O164" s="120"/>
      <c r="P164" s="120"/>
      <c r="Q164" s="120"/>
      <c r="R164" s="120"/>
      <c r="S164" s="120"/>
      <c r="T164" s="120"/>
      <c r="U164" s="120"/>
      <c r="V164" s="120"/>
      <c r="W164" s="120"/>
      <c r="X164" s="120"/>
      <c r="Y164" s="120"/>
      <c r="Z164" s="120"/>
      <c r="AA164" s="120"/>
      <c r="AB164" s="120"/>
      <c r="AC164" s="120"/>
      <c r="AD164" s="120"/>
    </row>
    <row r="165">
      <c r="A165" s="120"/>
      <c r="B165" s="120"/>
      <c r="C165" s="120"/>
      <c r="D165" s="120"/>
      <c r="E165" s="120"/>
      <c r="F165" s="120"/>
      <c r="G165" s="120"/>
      <c r="H165" s="120"/>
      <c r="I165" s="120"/>
      <c r="J165" s="120"/>
      <c r="K165" s="120"/>
      <c r="L165" s="120"/>
      <c r="M165" s="120"/>
      <c r="N165" s="120"/>
      <c r="O165" s="120"/>
      <c r="P165" s="120"/>
      <c r="Q165" s="120"/>
      <c r="R165" s="120"/>
      <c r="S165" s="120"/>
      <c r="T165" s="120"/>
      <c r="U165" s="120"/>
      <c r="V165" s="120"/>
      <c r="W165" s="120"/>
      <c r="X165" s="120"/>
      <c r="Y165" s="120"/>
      <c r="Z165" s="120"/>
      <c r="AA165" s="120"/>
      <c r="AB165" s="120"/>
      <c r="AC165" s="120"/>
      <c r="AD165" s="120"/>
    </row>
    <row r="166">
      <c r="A166" s="120"/>
      <c r="B166" s="120"/>
      <c r="C166" s="120"/>
      <c r="D166" s="120"/>
      <c r="E166" s="120"/>
      <c r="F166" s="120"/>
      <c r="G166" s="120"/>
      <c r="H166" s="120"/>
      <c r="I166" s="120"/>
      <c r="J166" s="120"/>
      <c r="K166" s="120"/>
      <c r="L166" s="120"/>
      <c r="M166" s="120"/>
      <c r="N166" s="120"/>
      <c r="O166" s="120"/>
      <c r="P166" s="120"/>
      <c r="Q166" s="120"/>
      <c r="R166" s="120"/>
      <c r="S166" s="120"/>
      <c r="T166" s="120"/>
      <c r="U166" s="120"/>
      <c r="V166" s="120"/>
      <c r="W166" s="120"/>
      <c r="X166" s="120"/>
      <c r="Y166" s="120"/>
      <c r="Z166" s="120"/>
      <c r="AA166" s="120"/>
      <c r="AB166" s="120"/>
      <c r="AC166" s="120"/>
      <c r="AD166" s="120"/>
    </row>
    <row r="167">
      <c r="A167" s="120"/>
      <c r="B167" s="120"/>
      <c r="C167" s="120"/>
      <c r="D167" s="120"/>
      <c r="E167" s="120"/>
      <c r="F167" s="120"/>
      <c r="G167" s="120"/>
      <c r="H167" s="120"/>
      <c r="I167" s="120"/>
      <c r="J167" s="120"/>
      <c r="K167" s="120"/>
      <c r="L167" s="120"/>
      <c r="M167" s="120"/>
      <c r="N167" s="120"/>
      <c r="O167" s="120"/>
      <c r="P167" s="120"/>
      <c r="Q167" s="120"/>
      <c r="R167" s="120"/>
      <c r="S167" s="120"/>
      <c r="T167" s="120"/>
      <c r="U167" s="120"/>
      <c r="V167" s="120"/>
      <c r="W167" s="120"/>
      <c r="X167" s="120"/>
      <c r="Y167" s="120"/>
      <c r="Z167" s="120"/>
      <c r="AA167" s="120"/>
      <c r="AB167" s="120"/>
      <c r="AC167" s="120"/>
      <c r="AD167" s="120"/>
    </row>
    <row r="168">
      <c r="A168" s="120"/>
      <c r="B168" s="120"/>
      <c r="C168" s="120"/>
      <c r="D168" s="120"/>
      <c r="E168" s="120"/>
      <c r="F168" s="120"/>
      <c r="G168" s="120"/>
      <c r="H168" s="120"/>
      <c r="I168" s="120"/>
      <c r="J168" s="120"/>
      <c r="K168" s="120"/>
      <c r="L168" s="120"/>
      <c r="M168" s="120"/>
      <c r="N168" s="120"/>
      <c r="O168" s="120"/>
      <c r="P168" s="120"/>
      <c r="Q168" s="120"/>
      <c r="R168" s="120"/>
      <c r="S168" s="120"/>
      <c r="T168" s="120"/>
      <c r="U168" s="120"/>
      <c r="V168" s="120"/>
      <c r="W168" s="120"/>
      <c r="X168" s="120"/>
      <c r="Y168" s="120"/>
      <c r="Z168" s="120"/>
      <c r="AA168" s="120"/>
      <c r="AB168" s="120"/>
      <c r="AC168" s="120"/>
      <c r="AD168" s="120"/>
    </row>
    <row r="169">
      <c r="A169" s="120"/>
      <c r="B169" s="120"/>
      <c r="C169" s="120"/>
      <c r="D169" s="120"/>
      <c r="E169" s="120"/>
      <c r="F169" s="120"/>
      <c r="G169" s="120"/>
      <c r="H169" s="120"/>
      <c r="I169" s="120"/>
      <c r="J169" s="120"/>
      <c r="K169" s="120"/>
      <c r="L169" s="120"/>
      <c r="M169" s="120"/>
      <c r="N169" s="120"/>
      <c r="O169" s="120"/>
      <c r="P169" s="120"/>
      <c r="Q169" s="120"/>
      <c r="R169" s="120"/>
      <c r="S169" s="120"/>
      <c r="T169" s="120"/>
      <c r="U169" s="120"/>
      <c r="V169" s="120"/>
      <c r="W169" s="120"/>
      <c r="X169" s="120"/>
      <c r="Y169" s="120"/>
      <c r="Z169" s="120"/>
      <c r="AA169" s="120"/>
      <c r="AB169" s="120"/>
      <c r="AC169" s="120"/>
      <c r="AD169" s="120"/>
    </row>
    <row r="170">
      <c r="A170" s="120"/>
      <c r="B170" s="120"/>
      <c r="C170" s="120"/>
      <c r="D170" s="120"/>
      <c r="E170" s="120"/>
      <c r="F170" s="120"/>
      <c r="G170" s="120"/>
      <c r="H170" s="120"/>
      <c r="I170" s="120"/>
      <c r="J170" s="120"/>
      <c r="K170" s="120"/>
      <c r="L170" s="120"/>
      <c r="M170" s="120"/>
      <c r="N170" s="120"/>
      <c r="O170" s="120"/>
      <c r="P170" s="120"/>
      <c r="Q170" s="120"/>
      <c r="R170" s="120"/>
      <c r="S170" s="120"/>
      <c r="T170" s="120"/>
      <c r="U170" s="120"/>
      <c r="V170" s="120"/>
      <c r="W170" s="120"/>
      <c r="X170" s="120"/>
      <c r="Y170" s="120"/>
      <c r="Z170" s="120"/>
      <c r="AA170" s="120"/>
      <c r="AB170" s="120"/>
      <c r="AC170" s="120"/>
      <c r="AD170" s="120"/>
    </row>
    <row r="171">
      <c r="A171" s="120"/>
      <c r="B171" s="120"/>
      <c r="C171" s="120"/>
      <c r="D171" s="120"/>
      <c r="E171" s="120"/>
      <c r="F171" s="120"/>
      <c r="G171" s="120"/>
      <c r="H171" s="120"/>
      <c r="I171" s="120"/>
      <c r="J171" s="120"/>
      <c r="K171" s="120"/>
      <c r="L171" s="120"/>
      <c r="M171" s="120"/>
      <c r="N171" s="120"/>
      <c r="O171" s="120"/>
      <c r="P171" s="120"/>
      <c r="Q171" s="120"/>
      <c r="R171" s="120"/>
      <c r="S171" s="120"/>
      <c r="T171" s="120"/>
      <c r="U171" s="120"/>
      <c r="V171" s="120"/>
      <c r="W171" s="120"/>
      <c r="X171" s="120"/>
      <c r="Y171" s="120"/>
      <c r="Z171" s="120"/>
      <c r="AA171" s="120"/>
      <c r="AB171" s="120"/>
      <c r="AC171" s="120"/>
      <c r="AD171" s="120"/>
    </row>
    <row r="172">
      <c r="A172" s="120"/>
      <c r="B172" s="120"/>
      <c r="C172" s="120"/>
      <c r="D172" s="120"/>
      <c r="E172" s="120"/>
      <c r="F172" s="120"/>
      <c r="G172" s="120"/>
      <c r="H172" s="120"/>
      <c r="I172" s="120"/>
      <c r="J172" s="120"/>
      <c r="K172" s="120"/>
      <c r="L172" s="120"/>
      <c r="M172" s="120"/>
      <c r="N172" s="120"/>
      <c r="O172" s="120"/>
      <c r="P172" s="120"/>
      <c r="Q172" s="120"/>
      <c r="R172" s="120"/>
      <c r="S172" s="120"/>
      <c r="T172" s="120"/>
      <c r="U172" s="120"/>
      <c r="V172" s="120"/>
      <c r="W172" s="120"/>
      <c r="X172" s="120"/>
      <c r="Y172" s="120"/>
      <c r="Z172" s="120"/>
      <c r="AA172" s="120"/>
      <c r="AB172" s="120"/>
      <c r="AC172" s="120"/>
      <c r="AD172" s="120"/>
    </row>
    <row r="173">
      <c r="A173" s="120"/>
      <c r="B173" s="120"/>
      <c r="C173" s="120"/>
      <c r="D173" s="120"/>
      <c r="E173" s="120"/>
      <c r="F173" s="120"/>
      <c r="G173" s="120"/>
      <c r="H173" s="120"/>
      <c r="I173" s="120"/>
      <c r="J173" s="120"/>
      <c r="K173" s="120"/>
      <c r="L173" s="120"/>
      <c r="M173" s="120"/>
      <c r="N173" s="120"/>
      <c r="O173" s="120"/>
      <c r="P173" s="120"/>
      <c r="Q173" s="120"/>
      <c r="R173" s="120"/>
      <c r="S173" s="120"/>
      <c r="T173" s="120"/>
      <c r="U173" s="120"/>
      <c r="V173" s="120"/>
      <c r="W173" s="120"/>
      <c r="X173" s="120"/>
      <c r="Y173" s="120"/>
      <c r="Z173" s="120"/>
      <c r="AA173" s="120"/>
      <c r="AB173" s="120"/>
      <c r="AC173" s="120"/>
      <c r="AD173" s="120"/>
    </row>
    <row r="174">
      <c r="A174" s="120"/>
      <c r="B174" s="120"/>
      <c r="C174" s="120"/>
      <c r="D174" s="120"/>
      <c r="E174" s="120"/>
      <c r="F174" s="120"/>
      <c r="G174" s="120"/>
      <c r="H174" s="120"/>
      <c r="I174" s="120"/>
      <c r="J174" s="120"/>
      <c r="K174" s="120"/>
      <c r="L174" s="120"/>
      <c r="M174" s="120"/>
      <c r="N174" s="120"/>
      <c r="O174" s="120"/>
      <c r="P174" s="120"/>
      <c r="Q174" s="120"/>
      <c r="R174" s="120"/>
      <c r="S174" s="120"/>
      <c r="T174" s="120"/>
      <c r="U174" s="120"/>
      <c r="V174" s="120"/>
      <c r="W174" s="120"/>
      <c r="X174" s="120"/>
      <c r="Y174" s="120"/>
      <c r="Z174" s="120"/>
      <c r="AA174" s="120"/>
      <c r="AB174" s="120"/>
      <c r="AC174" s="120"/>
      <c r="AD174" s="120"/>
    </row>
    <row r="175">
      <c r="A175" s="120"/>
      <c r="B175" s="120"/>
      <c r="C175" s="120"/>
      <c r="D175" s="120"/>
      <c r="E175" s="120"/>
      <c r="F175" s="120"/>
      <c r="G175" s="120"/>
      <c r="H175" s="120"/>
      <c r="I175" s="120"/>
      <c r="J175" s="120"/>
      <c r="K175" s="120"/>
      <c r="L175" s="120"/>
      <c r="M175" s="120"/>
      <c r="N175" s="120"/>
      <c r="O175" s="120"/>
      <c r="P175" s="120"/>
      <c r="Q175" s="120"/>
      <c r="R175" s="120"/>
      <c r="S175" s="120"/>
      <c r="T175" s="120"/>
      <c r="U175" s="120"/>
      <c r="V175" s="120"/>
      <c r="W175" s="120"/>
      <c r="X175" s="120"/>
      <c r="Y175" s="120"/>
      <c r="Z175" s="120"/>
      <c r="AA175" s="120"/>
      <c r="AB175" s="120"/>
      <c r="AC175" s="120"/>
      <c r="AD175" s="120"/>
    </row>
    <row r="176">
      <c r="A176" s="120"/>
      <c r="B176" s="120"/>
      <c r="C176" s="120"/>
      <c r="D176" s="120"/>
      <c r="E176" s="120"/>
      <c r="F176" s="120"/>
      <c r="G176" s="120"/>
      <c r="H176" s="120"/>
      <c r="I176" s="120"/>
      <c r="J176" s="120"/>
      <c r="K176" s="120"/>
      <c r="L176" s="120"/>
      <c r="M176" s="120"/>
      <c r="N176" s="120"/>
      <c r="O176" s="120"/>
      <c r="P176" s="120"/>
      <c r="Q176" s="120"/>
      <c r="R176" s="120"/>
      <c r="S176" s="120"/>
      <c r="T176" s="120"/>
      <c r="U176" s="120"/>
      <c r="V176" s="120"/>
      <c r="W176" s="120"/>
      <c r="X176" s="120"/>
      <c r="Y176" s="120"/>
      <c r="Z176" s="120"/>
      <c r="AA176" s="120"/>
      <c r="AB176" s="120"/>
      <c r="AC176" s="120"/>
      <c r="AD176" s="120"/>
    </row>
    <row r="177">
      <c r="A177" s="120"/>
      <c r="B177" s="120"/>
      <c r="C177" s="120"/>
      <c r="D177" s="120"/>
      <c r="E177" s="120"/>
      <c r="F177" s="120"/>
      <c r="G177" s="120"/>
      <c r="H177" s="120"/>
      <c r="I177" s="120"/>
      <c r="J177" s="120"/>
      <c r="K177" s="120"/>
      <c r="L177" s="120"/>
      <c r="M177" s="120"/>
      <c r="N177" s="120"/>
      <c r="O177" s="120"/>
      <c r="P177" s="120"/>
      <c r="Q177" s="120"/>
      <c r="R177" s="120"/>
      <c r="S177" s="120"/>
      <c r="T177" s="120"/>
      <c r="U177" s="120"/>
      <c r="V177" s="120"/>
      <c r="W177" s="120"/>
      <c r="X177" s="120"/>
      <c r="Y177" s="120"/>
      <c r="Z177" s="120"/>
      <c r="AA177" s="120"/>
      <c r="AB177" s="120"/>
      <c r="AC177" s="120"/>
      <c r="AD177" s="120"/>
    </row>
    <row r="178">
      <c r="A178" s="120"/>
      <c r="B178" s="120"/>
      <c r="C178" s="120"/>
      <c r="D178" s="120"/>
      <c r="E178" s="120"/>
      <c r="F178" s="120"/>
      <c r="G178" s="120"/>
      <c r="H178" s="120"/>
      <c r="I178" s="120"/>
      <c r="J178" s="120"/>
      <c r="K178" s="120"/>
      <c r="L178" s="120"/>
      <c r="M178" s="120"/>
      <c r="N178" s="120"/>
      <c r="O178" s="120"/>
      <c r="P178" s="120"/>
      <c r="Q178" s="120"/>
      <c r="R178" s="120"/>
      <c r="S178" s="120"/>
      <c r="T178" s="120"/>
      <c r="U178" s="120"/>
      <c r="V178" s="120"/>
      <c r="W178" s="120"/>
      <c r="X178" s="120"/>
      <c r="Y178" s="120"/>
      <c r="Z178" s="120"/>
      <c r="AA178" s="120"/>
      <c r="AB178" s="120"/>
      <c r="AC178" s="120"/>
      <c r="AD178" s="120"/>
    </row>
    <row r="179">
      <c r="A179" s="120"/>
      <c r="B179" s="120"/>
      <c r="C179" s="120"/>
      <c r="D179" s="120"/>
      <c r="E179" s="120"/>
      <c r="F179" s="120"/>
      <c r="G179" s="120"/>
      <c r="H179" s="120"/>
      <c r="I179" s="120"/>
      <c r="J179" s="120"/>
      <c r="K179" s="120"/>
      <c r="L179" s="120"/>
      <c r="M179" s="120"/>
      <c r="N179" s="120"/>
      <c r="O179" s="120"/>
      <c r="P179" s="120"/>
      <c r="Q179" s="120"/>
      <c r="R179" s="120"/>
      <c r="S179" s="120"/>
      <c r="T179" s="120"/>
      <c r="U179" s="120"/>
      <c r="V179" s="120"/>
      <c r="W179" s="120"/>
      <c r="X179" s="120"/>
      <c r="Y179" s="120"/>
      <c r="Z179" s="120"/>
      <c r="AA179" s="120"/>
      <c r="AB179" s="120"/>
      <c r="AC179" s="120"/>
      <c r="AD179" s="120"/>
    </row>
    <row r="180">
      <c r="A180" s="120"/>
      <c r="B180" s="120"/>
      <c r="C180" s="120"/>
      <c r="D180" s="120"/>
      <c r="E180" s="120"/>
      <c r="F180" s="120"/>
      <c r="G180" s="120"/>
      <c r="H180" s="120"/>
      <c r="I180" s="120"/>
      <c r="J180" s="120"/>
      <c r="K180" s="120"/>
      <c r="L180" s="120"/>
      <c r="M180" s="120"/>
      <c r="N180" s="120"/>
      <c r="O180" s="120"/>
      <c r="P180" s="120"/>
      <c r="Q180" s="120"/>
      <c r="R180" s="120"/>
      <c r="S180" s="120"/>
      <c r="T180" s="120"/>
      <c r="U180" s="120"/>
      <c r="V180" s="120"/>
      <c r="W180" s="120"/>
      <c r="X180" s="120"/>
      <c r="Y180" s="120"/>
      <c r="Z180" s="120"/>
      <c r="AA180" s="120"/>
      <c r="AB180" s="120"/>
      <c r="AC180" s="120"/>
      <c r="AD180" s="120"/>
    </row>
    <row r="181">
      <c r="A181" s="120"/>
      <c r="B181" s="120"/>
      <c r="C181" s="120"/>
      <c r="D181" s="120"/>
      <c r="E181" s="120"/>
      <c r="F181" s="120"/>
      <c r="G181" s="120"/>
      <c r="H181" s="120"/>
      <c r="I181" s="120"/>
      <c r="J181" s="120"/>
      <c r="K181" s="120"/>
      <c r="L181" s="120"/>
      <c r="M181" s="120"/>
      <c r="N181" s="120"/>
      <c r="O181" s="120"/>
      <c r="P181" s="120"/>
      <c r="Q181" s="120"/>
      <c r="R181" s="120"/>
      <c r="S181" s="120"/>
      <c r="T181" s="120"/>
      <c r="U181" s="120"/>
      <c r="V181" s="120"/>
      <c r="W181" s="120"/>
      <c r="X181" s="120"/>
      <c r="Y181" s="120"/>
      <c r="Z181" s="120"/>
      <c r="AA181" s="120"/>
      <c r="AB181" s="120"/>
      <c r="AC181" s="120"/>
      <c r="AD181" s="120"/>
    </row>
    <row r="182">
      <c r="A182" s="120"/>
      <c r="B182" s="120"/>
      <c r="C182" s="120"/>
      <c r="D182" s="120"/>
      <c r="E182" s="120"/>
      <c r="F182" s="120"/>
      <c r="G182" s="120"/>
      <c r="H182" s="120"/>
      <c r="I182" s="120"/>
      <c r="J182" s="120"/>
      <c r="K182" s="120"/>
      <c r="L182" s="120"/>
      <c r="M182" s="120"/>
      <c r="N182" s="120"/>
      <c r="O182" s="120"/>
      <c r="P182" s="120"/>
      <c r="Q182" s="120"/>
      <c r="R182" s="120"/>
      <c r="S182" s="120"/>
      <c r="T182" s="120"/>
      <c r="U182" s="120"/>
      <c r="V182" s="120"/>
      <c r="W182" s="120"/>
      <c r="X182" s="120"/>
      <c r="Y182" s="120"/>
      <c r="Z182" s="120"/>
      <c r="AA182" s="120"/>
      <c r="AB182" s="120"/>
      <c r="AC182" s="120"/>
      <c r="AD182" s="120"/>
    </row>
    <row r="183">
      <c r="A183" s="120"/>
      <c r="B183" s="120"/>
      <c r="C183" s="120"/>
      <c r="D183" s="120"/>
      <c r="E183" s="120"/>
      <c r="F183" s="120"/>
      <c r="G183" s="120"/>
      <c r="H183" s="120"/>
      <c r="I183" s="120"/>
      <c r="J183" s="120"/>
      <c r="K183" s="120"/>
      <c r="L183" s="120"/>
      <c r="M183" s="120"/>
      <c r="N183" s="120"/>
      <c r="O183" s="120"/>
      <c r="P183" s="120"/>
      <c r="Q183" s="120"/>
      <c r="R183" s="120"/>
      <c r="S183" s="120"/>
      <c r="T183" s="120"/>
      <c r="U183" s="120"/>
      <c r="V183" s="120"/>
      <c r="W183" s="120"/>
      <c r="X183" s="120"/>
      <c r="Y183" s="120"/>
      <c r="Z183" s="120"/>
      <c r="AA183" s="120"/>
      <c r="AB183" s="120"/>
      <c r="AC183" s="120"/>
      <c r="AD183" s="120"/>
    </row>
    <row r="184">
      <c r="A184" s="120"/>
      <c r="B184" s="120"/>
      <c r="C184" s="120"/>
      <c r="D184" s="120"/>
      <c r="E184" s="120"/>
      <c r="F184" s="120"/>
      <c r="G184" s="120"/>
      <c r="H184" s="120"/>
      <c r="I184" s="120"/>
      <c r="J184" s="120"/>
      <c r="K184" s="120"/>
      <c r="L184" s="120"/>
      <c r="M184" s="120"/>
      <c r="N184" s="120"/>
      <c r="O184" s="120"/>
      <c r="P184" s="120"/>
      <c r="Q184" s="120"/>
      <c r="R184" s="120"/>
      <c r="S184" s="120"/>
      <c r="T184" s="120"/>
      <c r="U184" s="120"/>
      <c r="V184" s="120"/>
      <c r="W184" s="120"/>
      <c r="X184" s="120"/>
      <c r="Y184" s="120"/>
      <c r="Z184" s="120"/>
      <c r="AA184" s="120"/>
      <c r="AB184" s="120"/>
      <c r="AC184" s="120"/>
      <c r="AD184" s="120"/>
    </row>
    <row r="185">
      <c r="A185" s="120"/>
      <c r="B185" s="120"/>
      <c r="C185" s="120"/>
      <c r="D185" s="120"/>
      <c r="E185" s="120"/>
      <c r="F185" s="120"/>
      <c r="G185" s="120"/>
      <c r="H185" s="120"/>
      <c r="I185" s="120"/>
      <c r="J185" s="120"/>
      <c r="K185" s="120"/>
      <c r="L185" s="120"/>
      <c r="M185" s="120"/>
      <c r="N185" s="120"/>
      <c r="O185" s="120"/>
      <c r="P185" s="120"/>
      <c r="Q185" s="120"/>
      <c r="R185" s="120"/>
      <c r="S185" s="120"/>
      <c r="T185" s="120"/>
      <c r="U185" s="120"/>
      <c r="V185" s="120"/>
      <c r="W185" s="120"/>
      <c r="X185" s="120"/>
      <c r="Y185" s="120"/>
      <c r="Z185" s="120"/>
      <c r="AA185" s="120"/>
      <c r="AB185" s="120"/>
      <c r="AC185" s="120"/>
      <c r="AD185" s="120"/>
    </row>
    <row r="186">
      <c r="A186" s="120"/>
      <c r="B186" s="120"/>
      <c r="C186" s="120"/>
      <c r="D186" s="120"/>
      <c r="E186" s="120"/>
      <c r="F186" s="120"/>
      <c r="G186" s="120"/>
      <c r="H186" s="120"/>
      <c r="I186" s="120"/>
      <c r="J186" s="120"/>
      <c r="K186" s="120"/>
      <c r="L186" s="120"/>
      <c r="M186" s="120"/>
      <c r="N186" s="120"/>
      <c r="O186" s="120"/>
      <c r="P186" s="120"/>
      <c r="Q186" s="120"/>
      <c r="R186" s="120"/>
      <c r="S186" s="120"/>
      <c r="T186" s="120"/>
      <c r="U186" s="120"/>
      <c r="V186" s="120"/>
      <c r="W186" s="120"/>
      <c r="X186" s="120"/>
      <c r="Y186" s="120"/>
      <c r="Z186" s="120"/>
      <c r="AA186" s="120"/>
      <c r="AB186" s="120"/>
      <c r="AC186" s="120"/>
      <c r="AD186" s="120"/>
    </row>
    <row r="187">
      <c r="A187" s="120"/>
      <c r="B187" s="120"/>
      <c r="C187" s="120"/>
      <c r="D187" s="120"/>
      <c r="E187" s="120"/>
      <c r="F187" s="120"/>
      <c r="G187" s="120"/>
      <c r="H187" s="120"/>
      <c r="I187" s="120"/>
      <c r="J187" s="120"/>
      <c r="K187" s="120"/>
      <c r="L187" s="120"/>
      <c r="M187" s="120"/>
      <c r="N187" s="120"/>
      <c r="O187" s="120"/>
      <c r="P187" s="120"/>
      <c r="Q187" s="120"/>
      <c r="R187" s="120"/>
      <c r="S187" s="120"/>
      <c r="T187" s="120"/>
      <c r="U187" s="120"/>
      <c r="V187" s="120"/>
      <c r="W187" s="120"/>
      <c r="X187" s="120"/>
      <c r="Y187" s="120"/>
      <c r="Z187" s="120"/>
      <c r="AA187" s="120"/>
      <c r="AB187" s="120"/>
      <c r="AC187" s="120"/>
      <c r="AD187" s="120"/>
    </row>
    <row r="188">
      <c r="A188" s="120"/>
      <c r="B188" s="120"/>
      <c r="C188" s="120"/>
      <c r="D188" s="120"/>
      <c r="E188" s="120"/>
      <c r="F188" s="120"/>
      <c r="G188" s="120"/>
      <c r="H188" s="120"/>
      <c r="I188" s="120"/>
      <c r="J188" s="120"/>
      <c r="K188" s="120"/>
      <c r="L188" s="120"/>
      <c r="M188" s="120"/>
      <c r="N188" s="120"/>
      <c r="O188" s="120"/>
      <c r="P188" s="120"/>
      <c r="Q188" s="120"/>
      <c r="R188" s="120"/>
      <c r="S188" s="120"/>
      <c r="T188" s="120"/>
      <c r="U188" s="120"/>
      <c r="V188" s="120"/>
      <c r="W188" s="120"/>
      <c r="X188" s="120"/>
      <c r="Y188" s="120"/>
      <c r="Z188" s="120"/>
      <c r="AA188" s="120"/>
      <c r="AB188" s="120"/>
      <c r="AC188" s="120"/>
      <c r="AD188" s="120"/>
    </row>
    <row r="189">
      <c r="A189" s="120"/>
      <c r="B189" s="120"/>
      <c r="C189" s="120"/>
      <c r="D189" s="120"/>
      <c r="E189" s="120"/>
      <c r="F189" s="120"/>
      <c r="G189" s="120"/>
      <c r="H189" s="120"/>
      <c r="I189" s="120"/>
      <c r="J189" s="120"/>
      <c r="K189" s="120"/>
      <c r="L189" s="120"/>
      <c r="M189" s="120"/>
      <c r="N189" s="120"/>
      <c r="O189" s="120"/>
      <c r="P189" s="120"/>
      <c r="Q189" s="120"/>
      <c r="R189" s="120"/>
      <c r="S189" s="120"/>
      <c r="T189" s="120"/>
      <c r="U189" s="120"/>
      <c r="V189" s="120"/>
      <c r="W189" s="120"/>
      <c r="X189" s="120"/>
      <c r="Y189" s="120"/>
      <c r="Z189" s="120"/>
      <c r="AA189" s="120"/>
      <c r="AB189" s="120"/>
      <c r="AC189" s="120"/>
      <c r="AD189" s="120"/>
    </row>
    <row r="190">
      <c r="A190" s="120"/>
      <c r="B190" s="120"/>
      <c r="C190" s="120"/>
      <c r="D190" s="120"/>
      <c r="E190" s="120"/>
      <c r="F190" s="120"/>
      <c r="G190" s="120"/>
      <c r="H190" s="120"/>
      <c r="I190" s="120"/>
      <c r="J190" s="120"/>
      <c r="K190" s="120"/>
      <c r="L190" s="120"/>
      <c r="M190" s="120"/>
      <c r="N190" s="120"/>
      <c r="O190" s="120"/>
      <c r="P190" s="120"/>
      <c r="Q190" s="120"/>
      <c r="R190" s="120"/>
      <c r="S190" s="120"/>
      <c r="T190" s="120"/>
      <c r="U190" s="120"/>
      <c r="V190" s="120"/>
      <c r="W190" s="120"/>
      <c r="X190" s="120"/>
      <c r="Y190" s="120"/>
      <c r="Z190" s="120"/>
      <c r="AA190" s="120"/>
      <c r="AB190" s="120"/>
      <c r="AC190" s="120"/>
      <c r="AD190" s="120"/>
    </row>
    <row r="191">
      <c r="A191" s="120"/>
      <c r="B191" s="120"/>
      <c r="C191" s="120"/>
      <c r="D191" s="120"/>
      <c r="E191" s="120"/>
      <c r="F191" s="120"/>
      <c r="G191" s="120"/>
      <c r="H191" s="120"/>
      <c r="I191" s="120"/>
      <c r="J191" s="120"/>
      <c r="K191" s="120"/>
      <c r="L191" s="120"/>
      <c r="M191" s="120"/>
      <c r="N191" s="120"/>
      <c r="O191" s="120"/>
      <c r="P191" s="120"/>
      <c r="Q191" s="120"/>
      <c r="R191" s="120"/>
      <c r="S191" s="120"/>
      <c r="T191" s="120"/>
      <c r="U191" s="120"/>
      <c r="V191" s="120"/>
      <c r="W191" s="120"/>
      <c r="X191" s="120"/>
      <c r="Y191" s="120"/>
      <c r="Z191" s="120"/>
      <c r="AA191" s="120"/>
      <c r="AB191" s="120"/>
      <c r="AC191" s="120"/>
      <c r="AD191" s="120"/>
    </row>
    <row r="192">
      <c r="A192" s="120"/>
      <c r="B192" s="120"/>
      <c r="C192" s="120"/>
      <c r="D192" s="120"/>
      <c r="E192" s="120"/>
      <c r="F192" s="120"/>
      <c r="G192" s="120"/>
      <c r="H192" s="120"/>
      <c r="I192" s="120"/>
      <c r="J192" s="120"/>
      <c r="K192" s="120"/>
      <c r="L192" s="120"/>
      <c r="M192" s="120"/>
      <c r="N192" s="120"/>
      <c r="O192" s="120"/>
      <c r="P192" s="120"/>
      <c r="Q192" s="120"/>
      <c r="R192" s="120"/>
      <c r="S192" s="120"/>
      <c r="T192" s="120"/>
      <c r="U192" s="120"/>
      <c r="V192" s="120"/>
      <c r="W192" s="120"/>
      <c r="X192" s="120"/>
      <c r="Y192" s="120"/>
      <c r="Z192" s="120"/>
      <c r="AA192" s="120"/>
      <c r="AB192" s="120"/>
      <c r="AC192" s="120"/>
      <c r="AD192" s="120"/>
    </row>
    <row r="193">
      <c r="A193" s="120"/>
      <c r="B193" s="120"/>
      <c r="C193" s="120"/>
      <c r="D193" s="120"/>
      <c r="E193" s="120"/>
      <c r="F193" s="120"/>
      <c r="G193" s="120"/>
      <c r="H193" s="120"/>
      <c r="I193" s="120"/>
      <c r="J193" s="120"/>
      <c r="K193" s="120"/>
      <c r="L193" s="120"/>
      <c r="M193" s="120"/>
      <c r="N193" s="120"/>
      <c r="O193" s="120"/>
      <c r="P193" s="120"/>
      <c r="Q193" s="120"/>
      <c r="R193" s="120"/>
      <c r="S193" s="120"/>
      <c r="T193" s="120"/>
      <c r="U193" s="120"/>
      <c r="V193" s="120"/>
      <c r="W193" s="120"/>
      <c r="X193" s="120"/>
      <c r="Y193" s="120"/>
      <c r="Z193" s="120"/>
      <c r="AA193" s="120"/>
      <c r="AB193" s="120"/>
      <c r="AC193" s="120"/>
      <c r="AD193" s="120"/>
    </row>
    <row r="194">
      <c r="A194" s="120"/>
      <c r="B194" s="120"/>
      <c r="C194" s="120"/>
      <c r="D194" s="120"/>
      <c r="E194" s="120"/>
      <c r="F194" s="120"/>
      <c r="G194" s="120"/>
      <c r="H194" s="120"/>
      <c r="I194" s="120"/>
      <c r="J194" s="120"/>
      <c r="K194" s="120"/>
      <c r="L194" s="120"/>
      <c r="M194" s="120"/>
      <c r="N194" s="120"/>
      <c r="O194" s="120"/>
      <c r="P194" s="120"/>
      <c r="Q194" s="120"/>
      <c r="R194" s="120"/>
      <c r="S194" s="120"/>
      <c r="T194" s="120"/>
      <c r="U194" s="120"/>
      <c r="V194" s="120"/>
      <c r="W194" s="120"/>
      <c r="X194" s="120"/>
      <c r="Y194" s="120"/>
      <c r="Z194" s="120"/>
      <c r="AA194" s="120"/>
      <c r="AB194" s="120"/>
      <c r="AC194" s="120"/>
      <c r="AD194" s="120"/>
    </row>
    <row r="195">
      <c r="A195" s="120"/>
      <c r="B195" s="120"/>
      <c r="C195" s="120"/>
      <c r="D195" s="120"/>
      <c r="E195" s="120"/>
      <c r="F195" s="120"/>
      <c r="G195" s="120"/>
      <c r="H195" s="120"/>
      <c r="I195" s="120"/>
      <c r="J195" s="120"/>
      <c r="K195" s="120"/>
      <c r="L195" s="120"/>
      <c r="M195" s="120"/>
      <c r="N195" s="120"/>
      <c r="O195" s="120"/>
      <c r="P195" s="120"/>
      <c r="Q195" s="120"/>
      <c r="R195" s="120"/>
      <c r="S195" s="120"/>
      <c r="T195" s="120"/>
      <c r="U195" s="120"/>
      <c r="V195" s="120"/>
      <c r="W195" s="120"/>
      <c r="X195" s="120"/>
      <c r="Y195" s="120"/>
      <c r="Z195" s="120"/>
      <c r="AA195" s="120"/>
      <c r="AB195" s="120"/>
      <c r="AC195" s="120"/>
      <c r="AD195" s="120"/>
    </row>
    <row r="196">
      <c r="A196" s="120"/>
      <c r="B196" s="120"/>
      <c r="C196" s="120"/>
      <c r="D196" s="120"/>
      <c r="E196" s="120"/>
      <c r="F196" s="120"/>
      <c r="G196" s="120"/>
      <c r="H196" s="120"/>
      <c r="I196" s="120"/>
      <c r="J196" s="120"/>
      <c r="K196" s="120"/>
      <c r="L196" s="120"/>
      <c r="M196" s="120"/>
      <c r="N196" s="120"/>
      <c r="O196" s="120"/>
      <c r="P196" s="120"/>
      <c r="Q196" s="120"/>
      <c r="R196" s="120"/>
      <c r="S196" s="120"/>
      <c r="T196" s="120"/>
      <c r="U196" s="120"/>
      <c r="V196" s="120"/>
      <c r="W196" s="120"/>
      <c r="X196" s="120"/>
      <c r="Y196" s="120"/>
      <c r="Z196" s="120"/>
      <c r="AA196" s="120"/>
      <c r="AB196" s="120"/>
      <c r="AC196" s="120"/>
      <c r="AD196" s="120"/>
    </row>
    <row r="197">
      <c r="A197" s="120"/>
      <c r="B197" s="120"/>
      <c r="C197" s="120"/>
      <c r="D197" s="120"/>
      <c r="E197" s="120"/>
      <c r="F197" s="120"/>
      <c r="G197" s="120"/>
      <c r="H197" s="120"/>
      <c r="I197" s="120"/>
      <c r="J197" s="120"/>
      <c r="K197" s="120"/>
      <c r="L197" s="120"/>
      <c r="M197" s="120"/>
      <c r="N197" s="120"/>
      <c r="O197" s="120"/>
      <c r="P197" s="120"/>
      <c r="Q197" s="120"/>
      <c r="R197" s="120"/>
      <c r="S197" s="120"/>
      <c r="T197" s="120"/>
      <c r="U197" s="120"/>
      <c r="V197" s="120"/>
      <c r="W197" s="120"/>
      <c r="X197" s="120"/>
      <c r="Y197" s="120"/>
      <c r="Z197" s="120"/>
      <c r="AA197" s="120"/>
      <c r="AB197" s="120"/>
      <c r="AC197" s="120"/>
      <c r="AD197" s="120"/>
    </row>
    <row r="198">
      <c r="A198" s="120"/>
      <c r="B198" s="120"/>
      <c r="C198" s="120"/>
      <c r="D198" s="120"/>
      <c r="E198" s="120"/>
      <c r="F198" s="120"/>
      <c r="G198" s="120"/>
      <c r="H198" s="120"/>
      <c r="I198" s="120"/>
      <c r="J198" s="120"/>
      <c r="K198" s="120"/>
      <c r="L198" s="120"/>
      <c r="M198" s="120"/>
      <c r="N198" s="120"/>
      <c r="O198" s="120"/>
      <c r="P198" s="120"/>
      <c r="Q198" s="120"/>
      <c r="R198" s="120"/>
      <c r="S198" s="120"/>
      <c r="T198" s="120"/>
      <c r="U198" s="120"/>
      <c r="V198" s="120"/>
      <c r="W198" s="120"/>
      <c r="X198" s="120"/>
      <c r="Y198" s="120"/>
      <c r="Z198" s="120"/>
      <c r="AA198" s="120"/>
      <c r="AB198" s="120"/>
      <c r="AC198" s="120"/>
      <c r="AD198" s="120"/>
    </row>
    <row r="199">
      <c r="A199" s="120"/>
      <c r="B199" s="120"/>
      <c r="C199" s="120"/>
      <c r="D199" s="120"/>
      <c r="E199" s="120"/>
      <c r="F199" s="120"/>
      <c r="G199" s="120"/>
      <c r="H199" s="120"/>
      <c r="I199" s="120"/>
      <c r="J199" s="120"/>
      <c r="K199" s="120"/>
      <c r="L199" s="120"/>
      <c r="M199" s="120"/>
      <c r="N199" s="120"/>
      <c r="O199" s="120"/>
      <c r="P199" s="120"/>
      <c r="Q199" s="120"/>
      <c r="R199" s="120"/>
      <c r="S199" s="120"/>
      <c r="T199" s="120"/>
      <c r="U199" s="120"/>
      <c r="V199" s="120"/>
      <c r="W199" s="120"/>
      <c r="X199" s="120"/>
      <c r="Y199" s="120"/>
      <c r="Z199" s="120"/>
      <c r="AA199" s="120"/>
      <c r="AB199" s="120"/>
      <c r="AC199" s="120"/>
      <c r="AD199" s="120"/>
    </row>
    <row r="200">
      <c r="A200" s="120"/>
      <c r="B200" s="120"/>
      <c r="C200" s="120"/>
      <c r="D200" s="120"/>
      <c r="E200" s="120"/>
      <c r="F200" s="120"/>
      <c r="G200" s="120"/>
      <c r="H200" s="120"/>
      <c r="I200" s="120"/>
      <c r="J200" s="120"/>
      <c r="K200" s="120"/>
      <c r="L200" s="120"/>
      <c r="M200" s="120"/>
      <c r="N200" s="120"/>
      <c r="O200" s="120"/>
      <c r="P200" s="120"/>
      <c r="Q200" s="120"/>
      <c r="R200" s="120"/>
      <c r="S200" s="120"/>
      <c r="T200" s="120"/>
      <c r="U200" s="120"/>
      <c r="V200" s="120"/>
      <c r="W200" s="120"/>
      <c r="X200" s="120"/>
      <c r="Y200" s="120"/>
      <c r="Z200" s="120"/>
      <c r="AA200" s="120"/>
      <c r="AB200" s="120"/>
      <c r="AC200" s="120"/>
      <c r="AD200" s="120"/>
    </row>
    <row r="201">
      <c r="A201" s="120"/>
      <c r="B201" s="120"/>
      <c r="C201" s="120"/>
      <c r="D201" s="120"/>
      <c r="E201" s="120"/>
      <c r="F201" s="120"/>
      <c r="G201" s="120"/>
      <c r="H201" s="120"/>
      <c r="I201" s="120"/>
      <c r="J201" s="120"/>
      <c r="K201" s="120"/>
      <c r="L201" s="120"/>
      <c r="M201" s="120"/>
      <c r="N201" s="120"/>
      <c r="O201" s="120"/>
      <c r="P201" s="120"/>
      <c r="Q201" s="120"/>
      <c r="R201" s="120"/>
      <c r="S201" s="120"/>
      <c r="T201" s="120"/>
      <c r="U201" s="120"/>
      <c r="V201" s="120"/>
      <c r="W201" s="120"/>
      <c r="X201" s="120"/>
      <c r="Y201" s="120"/>
      <c r="Z201" s="120"/>
      <c r="AA201" s="120"/>
      <c r="AB201" s="120"/>
      <c r="AC201" s="120"/>
      <c r="AD201" s="120"/>
    </row>
    <row r="202">
      <c r="A202" s="120"/>
      <c r="B202" s="120"/>
      <c r="C202" s="120"/>
      <c r="D202" s="120"/>
      <c r="E202" s="120"/>
      <c r="F202" s="120"/>
      <c r="G202" s="120"/>
      <c r="H202" s="120"/>
      <c r="I202" s="120"/>
      <c r="J202" s="120"/>
      <c r="K202" s="120"/>
      <c r="L202" s="120"/>
      <c r="M202" s="120"/>
      <c r="N202" s="120"/>
      <c r="O202" s="120"/>
      <c r="P202" s="120"/>
      <c r="Q202" s="120"/>
      <c r="R202" s="120"/>
      <c r="S202" s="120"/>
      <c r="T202" s="120"/>
      <c r="U202" s="120"/>
      <c r="V202" s="120"/>
      <c r="W202" s="120"/>
      <c r="X202" s="120"/>
      <c r="Y202" s="120"/>
      <c r="Z202" s="120"/>
      <c r="AA202" s="120"/>
      <c r="AB202" s="120"/>
      <c r="AC202" s="120"/>
      <c r="AD202" s="120"/>
    </row>
    <row r="203">
      <c r="A203" s="120"/>
      <c r="B203" s="120"/>
      <c r="C203" s="120"/>
      <c r="D203" s="120"/>
      <c r="E203" s="120"/>
      <c r="F203" s="120"/>
      <c r="G203" s="120"/>
      <c r="H203" s="120"/>
      <c r="I203" s="120"/>
      <c r="J203" s="120"/>
      <c r="K203" s="120"/>
      <c r="L203" s="120"/>
      <c r="M203" s="120"/>
      <c r="N203" s="120"/>
      <c r="O203" s="120"/>
      <c r="P203" s="120"/>
      <c r="Q203" s="120"/>
      <c r="R203" s="120"/>
      <c r="S203" s="120"/>
      <c r="T203" s="120"/>
      <c r="U203" s="120"/>
      <c r="V203" s="120"/>
      <c r="W203" s="120"/>
      <c r="X203" s="120"/>
      <c r="Y203" s="120"/>
      <c r="Z203" s="120"/>
      <c r="AA203" s="120"/>
      <c r="AB203" s="120"/>
      <c r="AC203" s="120"/>
      <c r="AD203" s="120"/>
    </row>
    <row r="204">
      <c r="A204" s="120"/>
      <c r="B204" s="120"/>
      <c r="C204" s="120"/>
      <c r="D204" s="120"/>
      <c r="E204" s="120"/>
      <c r="F204" s="120"/>
      <c r="G204" s="120"/>
      <c r="H204" s="120"/>
      <c r="I204" s="120"/>
      <c r="J204" s="120"/>
      <c r="K204" s="120"/>
      <c r="L204" s="120"/>
      <c r="M204" s="120"/>
      <c r="N204" s="120"/>
      <c r="O204" s="120"/>
      <c r="P204" s="120"/>
      <c r="Q204" s="120"/>
      <c r="R204" s="120"/>
      <c r="S204" s="120"/>
      <c r="T204" s="120"/>
      <c r="U204" s="120"/>
      <c r="V204" s="120"/>
      <c r="W204" s="120"/>
      <c r="X204" s="120"/>
      <c r="Y204" s="120"/>
      <c r="Z204" s="120"/>
      <c r="AA204" s="120"/>
      <c r="AB204" s="120"/>
      <c r="AC204" s="120"/>
      <c r="AD204" s="120"/>
    </row>
    <row r="205">
      <c r="A205" s="120"/>
      <c r="B205" s="120"/>
      <c r="C205" s="120"/>
      <c r="D205" s="120"/>
      <c r="E205" s="120"/>
      <c r="F205" s="120"/>
      <c r="G205" s="120"/>
      <c r="H205" s="120"/>
      <c r="I205" s="120"/>
      <c r="J205" s="120"/>
      <c r="K205" s="120"/>
      <c r="L205" s="120"/>
      <c r="M205" s="120"/>
      <c r="N205" s="120"/>
      <c r="O205" s="120"/>
      <c r="P205" s="120"/>
      <c r="Q205" s="120"/>
      <c r="R205" s="120"/>
      <c r="S205" s="120"/>
      <c r="T205" s="120"/>
      <c r="U205" s="120"/>
      <c r="V205" s="120"/>
      <c r="W205" s="120"/>
      <c r="X205" s="120"/>
      <c r="Y205" s="120"/>
      <c r="Z205" s="120"/>
      <c r="AA205" s="120"/>
      <c r="AB205" s="120"/>
      <c r="AC205" s="120"/>
      <c r="AD205" s="120"/>
    </row>
    <row r="206">
      <c r="A206" s="120"/>
      <c r="B206" s="120"/>
      <c r="C206" s="120"/>
      <c r="D206" s="120"/>
      <c r="E206" s="120"/>
      <c r="F206" s="120"/>
      <c r="G206" s="120"/>
      <c r="H206" s="120"/>
      <c r="I206" s="120"/>
      <c r="J206" s="120"/>
      <c r="K206" s="120"/>
      <c r="L206" s="120"/>
      <c r="M206" s="120"/>
      <c r="N206" s="120"/>
      <c r="O206" s="120"/>
      <c r="P206" s="120"/>
      <c r="Q206" s="120"/>
      <c r="R206" s="120"/>
      <c r="S206" s="120"/>
      <c r="T206" s="120"/>
      <c r="U206" s="120"/>
      <c r="V206" s="120"/>
      <c r="W206" s="120"/>
      <c r="X206" s="120"/>
      <c r="Y206" s="120"/>
      <c r="Z206" s="120"/>
      <c r="AA206" s="120"/>
      <c r="AB206" s="120"/>
      <c r="AC206" s="120"/>
      <c r="AD206" s="120"/>
    </row>
    <row r="207">
      <c r="A207" s="120"/>
      <c r="B207" s="120"/>
      <c r="C207" s="120"/>
      <c r="D207" s="120"/>
      <c r="E207" s="120"/>
      <c r="F207" s="120"/>
      <c r="G207" s="120"/>
      <c r="H207" s="120"/>
      <c r="I207" s="120"/>
      <c r="J207" s="120"/>
      <c r="K207" s="120"/>
      <c r="L207" s="120"/>
      <c r="M207" s="120"/>
      <c r="N207" s="120"/>
      <c r="O207" s="120"/>
      <c r="P207" s="120"/>
      <c r="Q207" s="120"/>
      <c r="R207" s="120"/>
      <c r="S207" s="120"/>
      <c r="T207" s="120"/>
      <c r="U207" s="120"/>
      <c r="V207" s="120"/>
      <c r="W207" s="120"/>
      <c r="X207" s="120"/>
      <c r="Y207" s="120"/>
      <c r="Z207" s="120"/>
      <c r="AA207" s="120"/>
      <c r="AB207" s="120"/>
      <c r="AC207" s="120"/>
      <c r="AD207" s="120"/>
    </row>
    <row r="208">
      <c r="A208" s="120"/>
      <c r="B208" s="120"/>
      <c r="C208" s="120"/>
      <c r="D208" s="120"/>
      <c r="E208" s="120"/>
      <c r="F208" s="120"/>
      <c r="G208" s="120"/>
      <c r="H208" s="120"/>
      <c r="I208" s="120"/>
      <c r="J208" s="120"/>
      <c r="K208" s="120"/>
      <c r="L208" s="120"/>
      <c r="M208" s="120"/>
      <c r="N208" s="120"/>
      <c r="O208" s="120"/>
      <c r="P208" s="120"/>
      <c r="Q208" s="120"/>
      <c r="R208" s="120"/>
      <c r="S208" s="120"/>
      <c r="T208" s="120"/>
      <c r="U208" s="120"/>
      <c r="V208" s="120"/>
      <c r="W208" s="120"/>
      <c r="X208" s="120"/>
      <c r="Y208" s="120"/>
      <c r="Z208" s="120"/>
      <c r="AA208" s="120"/>
      <c r="AB208" s="120"/>
      <c r="AC208" s="120"/>
      <c r="AD208" s="120"/>
    </row>
    <row r="209">
      <c r="A209" s="120"/>
      <c r="B209" s="120"/>
      <c r="C209" s="120"/>
      <c r="D209" s="120"/>
      <c r="E209" s="120"/>
      <c r="F209" s="120"/>
      <c r="G209" s="120"/>
      <c r="H209" s="120"/>
      <c r="I209" s="120"/>
      <c r="J209" s="120"/>
      <c r="K209" s="120"/>
      <c r="L209" s="120"/>
      <c r="M209" s="120"/>
      <c r="N209" s="120"/>
      <c r="O209" s="120"/>
      <c r="P209" s="120"/>
      <c r="Q209" s="120"/>
      <c r="R209" s="120"/>
      <c r="S209" s="120"/>
      <c r="T209" s="120"/>
      <c r="U209" s="120"/>
      <c r="V209" s="120"/>
      <c r="W209" s="120"/>
      <c r="X209" s="120"/>
      <c r="Y209" s="120"/>
      <c r="Z209" s="120"/>
      <c r="AA209" s="120"/>
      <c r="AB209" s="120"/>
      <c r="AC209" s="120"/>
      <c r="AD209" s="120"/>
    </row>
    <row r="210">
      <c r="A210" s="120"/>
      <c r="B210" s="120"/>
      <c r="C210" s="120"/>
      <c r="D210" s="120"/>
      <c r="E210" s="120"/>
      <c r="F210" s="120"/>
      <c r="G210" s="120"/>
      <c r="H210" s="120"/>
      <c r="I210" s="120"/>
      <c r="J210" s="120"/>
      <c r="K210" s="120"/>
      <c r="L210" s="120"/>
      <c r="M210" s="120"/>
      <c r="N210" s="120"/>
      <c r="O210" s="120"/>
      <c r="P210" s="120"/>
      <c r="Q210" s="120"/>
      <c r="R210" s="120"/>
      <c r="S210" s="120"/>
      <c r="T210" s="120"/>
      <c r="U210" s="120"/>
      <c r="V210" s="120"/>
      <c r="W210" s="120"/>
      <c r="X210" s="120"/>
      <c r="Y210" s="120"/>
      <c r="Z210" s="120"/>
      <c r="AA210" s="120"/>
      <c r="AB210" s="120"/>
      <c r="AC210" s="120"/>
      <c r="AD210" s="120"/>
    </row>
    <row r="211">
      <c r="A211" s="120"/>
      <c r="B211" s="120"/>
      <c r="C211" s="120"/>
      <c r="D211" s="120"/>
      <c r="E211" s="120"/>
      <c r="F211" s="120"/>
      <c r="G211" s="120"/>
      <c r="H211" s="120"/>
      <c r="I211" s="120"/>
      <c r="J211" s="120"/>
      <c r="K211" s="120"/>
      <c r="L211" s="120"/>
      <c r="M211" s="120"/>
      <c r="N211" s="120"/>
      <c r="O211" s="120"/>
      <c r="P211" s="120"/>
      <c r="Q211" s="120"/>
      <c r="R211" s="120"/>
      <c r="S211" s="120"/>
      <c r="T211" s="120"/>
      <c r="U211" s="120"/>
      <c r="V211" s="120"/>
      <c r="W211" s="120"/>
      <c r="X211" s="120"/>
      <c r="Y211" s="120"/>
      <c r="Z211" s="120"/>
      <c r="AA211" s="120"/>
      <c r="AB211" s="120"/>
      <c r="AC211" s="120"/>
      <c r="AD211" s="120"/>
    </row>
    <row r="212">
      <c r="A212" s="120"/>
      <c r="B212" s="120"/>
      <c r="C212" s="120"/>
      <c r="D212" s="120"/>
      <c r="E212" s="120"/>
      <c r="F212" s="120"/>
      <c r="G212" s="120"/>
      <c r="H212" s="120"/>
      <c r="I212" s="120"/>
      <c r="J212" s="120"/>
      <c r="K212" s="120"/>
      <c r="L212" s="120"/>
      <c r="M212" s="120"/>
      <c r="N212" s="120"/>
      <c r="O212" s="120"/>
      <c r="P212" s="120"/>
      <c r="Q212" s="120"/>
      <c r="R212" s="120"/>
      <c r="S212" s="120"/>
      <c r="T212" s="120"/>
      <c r="U212" s="120"/>
      <c r="V212" s="120"/>
      <c r="W212" s="120"/>
      <c r="X212" s="120"/>
      <c r="Y212" s="120"/>
      <c r="Z212" s="120"/>
      <c r="AA212" s="120"/>
      <c r="AB212" s="120"/>
      <c r="AC212" s="120"/>
      <c r="AD212" s="120"/>
    </row>
    <row r="213">
      <c r="A213" s="120"/>
      <c r="B213" s="120"/>
      <c r="C213" s="120"/>
      <c r="D213" s="120"/>
      <c r="E213" s="120"/>
      <c r="F213" s="120"/>
      <c r="G213" s="120"/>
      <c r="H213" s="120"/>
      <c r="I213" s="120"/>
      <c r="J213" s="120"/>
      <c r="K213" s="120"/>
      <c r="L213" s="120"/>
      <c r="M213" s="120"/>
      <c r="N213" s="120"/>
      <c r="O213" s="120"/>
      <c r="P213" s="120"/>
      <c r="Q213" s="120"/>
      <c r="R213" s="120"/>
      <c r="S213" s="120"/>
      <c r="T213" s="120"/>
      <c r="U213" s="120"/>
      <c r="V213" s="120"/>
      <c r="W213" s="120"/>
      <c r="X213" s="120"/>
      <c r="Y213" s="120"/>
      <c r="Z213" s="120"/>
      <c r="AA213" s="120"/>
      <c r="AB213" s="120"/>
      <c r="AC213" s="120"/>
      <c r="AD213" s="120"/>
    </row>
    <row r="214">
      <c r="A214" s="120"/>
      <c r="B214" s="120"/>
      <c r="C214" s="120"/>
      <c r="D214" s="120"/>
      <c r="E214" s="120"/>
      <c r="F214" s="120"/>
      <c r="G214" s="120"/>
      <c r="H214" s="120"/>
      <c r="I214" s="120"/>
      <c r="J214" s="120"/>
      <c r="K214" s="120"/>
      <c r="L214" s="120"/>
      <c r="M214" s="120"/>
      <c r="N214" s="120"/>
      <c r="O214" s="120"/>
      <c r="P214" s="120"/>
      <c r="Q214" s="120"/>
      <c r="R214" s="120"/>
      <c r="S214" s="120"/>
      <c r="T214" s="120"/>
      <c r="U214" s="120"/>
      <c r="V214" s="120"/>
      <c r="W214" s="120"/>
      <c r="X214" s="120"/>
      <c r="Y214" s="120"/>
      <c r="Z214" s="120"/>
      <c r="AA214" s="120"/>
      <c r="AB214" s="120"/>
      <c r="AC214" s="120"/>
      <c r="AD214" s="120"/>
    </row>
    <row r="215">
      <c r="A215" s="120"/>
      <c r="B215" s="120"/>
      <c r="C215" s="120"/>
      <c r="D215" s="120"/>
      <c r="E215" s="120"/>
      <c r="F215" s="120"/>
      <c r="G215" s="120"/>
      <c r="H215" s="120"/>
      <c r="I215" s="120"/>
      <c r="J215" s="120"/>
      <c r="K215" s="120"/>
      <c r="L215" s="120"/>
      <c r="M215" s="120"/>
      <c r="N215" s="120"/>
      <c r="O215" s="120"/>
      <c r="P215" s="120"/>
      <c r="Q215" s="120"/>
      <c r="R215" s="120"/>
      <c r="S215" s="120"/>
      <c r="T215" s="120"/>
      <c r="U215" s="120"/>
      <c r="V215" s="120"/>
      <c r="W215" s="120"/>
      <c r="X215" s="120"/>
      <c r="Y215" s="120"/>
      <c r="Z215" s="120"/>
      <c r="AA215" s="120"/>
      <c r="AB215" s="120"/>
      <c r="AC215" s="120"/>
      <c r="AD215" s="120"/>
    </row>
    <row r="216">
      <c r="A216" s="120"/>
      <c r="B216" s="120"/>
      <c r="C216" s="120"/>
      <c r="D216" s="120"/>
      <c r="E216" s="120"/>
      <c r="F216" s="120"/>
      <c r="G216" s="120"/>
      <c r="H216" s="120"/>
      <c r="I216" s="120"/>
      <c r="J216" s="120"/>
      <c r="K216" s="120"/>
      <c r="L216" s="120"/>
      <c r="M216" s="120"/>
      <c r="N216" s="120"/>
      <c r="O216" s="120"/>
      <c r="P216" s="120"/>
      <c r="Q216" s="120"/>
      <c r="R216" s="120"/>
      <c r="S216" s="120"/>
      <c r="T216" s="120"/>
      <c r="U216" s="120"/>
      <c r="V216" s="120"/>
      <c r="W216" s="120"/>
      <c r="X216" s="120"/>
      <c r="Y216" s="120"/>
      <c r="Z216" s="120"/>
      <c r="AA216" s="120"/>
      <c r="AB216" s="120"/>
      <c r="AC216" s="120"/>
      <c r="AD216" s="120"/>
    </row>
    <row r="217">
      <c r="A217" s="120"/>
      <c r="B217" s="120"/>
      <c r="C217" s="120"/>
      <c r="D217" s="120"/>
      <c r="E217" s="120"/>
      <c r="F217" s="120"/>
      <c r="G217" s="120"/>
      <c r="H217" s="120"/>
      <c r="I217" s="120"/>
      <c r="J217" s="120"/>
      <c r="K217" s="120"/>
      <c r="L217" s="120"/>
      <c r="M217" s="120"/>
      <c r="N217" s="120"/>
      <c r="O217" s="120"/>
      <c r="P217" s="120"/>
      <c r="Q217" s="120"/>
      <c r="R217" s="120"/>
      <c r="S217" s="120"/>
      <c r="T217" s="120"/>
      <c r="U217" s="120"/>
      <c r="V217" s="120"/>
      <c r="W217" s="120"/>
      <c r="X217" s="120"/>
      <c r="Y217" s="120"/>
      <c r="Z217" s="120"/>
      <c r="AA217" s="120"/>
      <c r="AB217" s="120"/>
      <c r="AC217" s="120"/>
      <c r="AD217" s="120"/>
    </row>
    <row r="218">
      <c r="A218" s="120"/>
      <c r="B218" s="120"/>
      <c r="C218" s="120"/>
      <c r="D218" s="120"/>
      <c r="E218" s="120"/>
      <c r="F218" s="120"/>
      <c r="G218" s="120"/>
      <c r="H218" s="120"/>
      <c r="I218" s="120"/>
      <c r="J218" s="120"/>
      <c r="K218" s="120"/>
      <c r="L218" s="120"/>
      <c r="M218" s="120"/>
      <c r="N218" s="120"/>
      <c r="O218" s="120"/>
      <c r="P218" s="120"/>
      <c r="Q218" s="120"/>
      <c r="R218" s="120"/>
      <c r="S218" s="120"/>
      <c r="T218" s="120"/>
      <c r="U218" s="120"/>
      <c r="V218" s="120"/>
      <c r="W218" s="120"/>
      <c r="X218" s="120"/>
      <c r="Y218" s="120"/>
      <c r="Z218" s="120"/>
      <c r="AA218" s="120"/>
      <c r="AB218" s="120"/>
      <c r="AC218" s="120"/>
      <c r="AD218" s="120"/>
    </row>
    <row r="219">
      <c r="A219" s="120"/>
      <c r="B219" s="120"/>
      <c r="C219" s="120"/>
      <c r="D219" s="120"/>
      <c r="E219" s="120"/>
      <c r="F219" s="120"/>
      <c r="G219" s="120"/>
      <c r="H219" s="120"/>
      <c r="I219" s="120"/>
      <c r="J219" s="120"/>
      <c r="K219" s="120"/>
      <c r="L219" s="120"/>
      <c r="M219" s="120"/>
      <c r="N219" s="120"/>
      <c r="O219" s="120"/>
      <c r="P219" s="120"/>
      <c r="Q219" s="120"/>
      <c r="R219" s="120"/>
      <c r="S219" s="120"/>
      <c r="T219" s="120"/>
      <c r="U219" s="120"/>
      <c r="V219" s="120"/>
      <c r="W219" s="120"/>
      <c r="X219" s="120"/>
      <c r="Y219" s="120"/>
      <c r="Z219" s="120"/>
      <c r="AA219" s="120"/>
      <c r="AB219" s="120"/>
      <c r="AC219" s="120"/>
      <c r="AD219" s="120"/>
    </row>
    <row r="220">
      <c r="A220" s="120"/>
      <c r="B220" s="120"/>
      <c r="C220" s="120"/>
      <c r="D220" s="120"/>
      <c r="E220" s="120"/>
      <c r="F220" s="120"/>
      <c r="G220" s="120"/>
      <c r="H220" s="120"/>
      <c r="I220" s="120"/>
      <c r="J220" s="120"/>
      <c r="K220" s="120"/>
      <c r="L220" s="120"/>
      <c r="M220" s="120"/>
      <c r="N220" s="120"/>
      <c r="O220" s="120"/>
      <c r="P220" s="120"/>
      <c r="Q220" s="120"/>
      <c r="R220" s="120"/>
      <c r="S220" s="120"/>
      <c r="T220" s="120"/>
      <c r="U220" s="120"/>
      <c r="V220" s="120"/>
      <c r="W220" s="120"/>
      <c r="X220" s="120"/>
      <c r="Y220" s="120"/>
      <c r="Z220" s="120"/>
      <c r="AA220" s="120"/>
      <c r="AB220" s="120"/>
      <c r="AC220" s="120"/>
      <c r="AD220" s="120"/>
    </row>
    <row r="221">
      <c r="A221" s="120"/>
      <c r="B221" s="120"/>
      <c r="C221" s="120"/>
      <c r="D221" s="120"/>
      <c r="E221" s="120"/>
      <c r="F221" s="120"/>
      <c r="G221" s="120"/>
      <c r="H221" s="120"/>
      <c r="I221" s="120"/>
      <c r="J221" s="120"/>
      <c r="K221" s="120"/>
      <c r="L221" s="120"/>
      <c r="M221" s="120"/>
      <c r="N221" s="120"/>
      <c r="O221" s="120"/>
      <c r="P221" s="120"/>
      <c r="Q221" s="120"/>
      <c r="R221" s="120"/>
      <c r="S221" s="120"/>
      <c r="T221" s="120"/>
      <c r="U221" s="120"/>
      <c r="V221" s="120"/>
      <c r="W221" s="120"/>
      <c r="X221" s="120"/>
      <c r="Y221" s="120"/>
      <c r="Z221" s="120"/>
      <c r="AA221" s="120"/>
      <c r="AB221" s="120"/>
      <c r="AC221" s="120"/>
      <c r="AD221" s="120"/>
    </row>
    <row r="222">
      <c r="A222" s="120"/>
      <c r="B222" s="120"/>
      <c r="C222" s="120"/>
      <c r="D222" s="120"/>
      <c r="E222" s="120"/>
      <c r="F222" s="120"/>
      <c r="G222" s="120"/>
      <c r="H222" s="120"/>
      <c r="I222" s="120"/>
      <c r="J222" s="120"/>
      <c r="K222" s="120"/>
      <c r="L222" s="120"/>
      <c r="M222" s="120"/>
      <c r="N222" s="120"/>
      <c r="O222" s="120"/>
      <c r="P222" s="120"/>
      <c r="Q222" s="120"/>
      <c r="R222" s="120"/>
      <c r="S222" s="120"/>
      <c r="T222" s="120"/>
      <c r="U222" s="120"/>
      <c r="V222" s="120"/>
      <c r="W222" s="120"/>
      <c r="X222" s="120"/>
      <c r="Y222" s="120"/>
      <c r="Z222" s="120"/>
      <c r="AA222" s="120"/>
      <c r="AB222" s="120"/>
      <c r="AC222" s="120"/>
      <c r="AD222" s="120"/>
    </row>
    <row r="223">
      <c r="A223" s="120"/>
      <c r="B223" s="120"/>
      <c r="C223" s="120"/>
      <c r="D223" s="120"/>
      <c r="E223" s="120"/>
      <c r="F223" s="120"/>
      <c r="G223" s="120"/>
      <c r="H223" s="120"/>
      <c r="I223" s="120"/>
      <c r="J223" s="120"/>
      <c r="K223" s="120"/>
      <c r="L223" s="120"/>
      <c r="M223" s="120"/>
      <c r="N223" s="120"/>
      <c r="O223" s="120"/>
      <c r="P223" s="120"/>
      <c r="Q223" s="120"/>
      <c r="R223" s="120"/>
      <c r="S223" s="120"/>
      <c r="T223" s="120"/>
      <c r="U223" s="120"/>
      <c r="V223" s="120"/>
      <c r="W223" s="120"/>
      <c r="X223" s="120"/>
      <c r="Y223" s="120"/>
      <c r="Z223" s="120"/>
      <c r="AA223" s="120"/>
      <c r="AB223" s="120"/>
      <c r="AC223" s="120"/>
      <c r="AD223" s="120"/>
    </row>
    <row r="224">
      <c r="A224" s="120"/>
      <c r="B224" s="120"/>
      <c r="C224" s="120"/>
      <c r="D224" s="120"/>
      <c r="E224" s="120"/>
      <c r="F224" s="120"/>
      <c r="G224" s="120"/>
      <c r="H224" s="120"/>
      <c r="I224" s="120"/>
      <c r="J224" s="120"/>
      <c r="K224" s="120"/>
      <c r="L224" s="120"/>
      <c r="M224" s="120"/>
      <c r="N224" s="120"/>
      <c r="O224" s="120"/>
      <c r="P224" s="120"/>
      <c r="Q224" s="120"/>
      <c r="R224" s="120"/>
      <c r="S224" s="120"/>
      <c r="T224" s="120"/>
      <c r="U224" s="120"/>
      <c r="V224" s="120"/>
      <c r="W224" s="120"/>
      <c r="X224" s="120"/>
      <c r="Y224" s="120"/>
      <c r="Z224" s="120"/>
      <c r="AA224" s="120"/>
      <c r="AB224" s="120"/>
      <c r="AC224" s="120"/>
      <c r="AD224" s="120"/>
    </row>
    <row r="225">
      <c r="A225" s="120"/>
      <c r="B225" s="120"/>
      <c r="C225" s="120"/>
      <c r="D225" s="120"/>
      <c r="E225" s="120"/>
      <c r="F225" s="120"/>
      <c r="G225" s="120"/>
      <c r="H225" s="120"/>
      <c r="I225" s="120"/>
      <c r="J225" s="120"/>
      <c r="K225" s="120"/>
      <c r="L225" s="120"/>
      <c r="M225" s="120"/>
      <c r="N225" s="120"/>
      <c r="O225" s="120"/>
      <c r="P225" s="120"/>
      <c r="Q225" s="120"/>
      <c r="R225" s="120"/>
      <c r="S225" s="120"/>
      <c r="T225" s="120"/>
      <c r="U225" s="120"/>
      <c r="V225" s="120"/>
      <c r="W225" s="120"/>
      <c r="X225" s="120"/>
      <c r="Y225" s="120"/>
      <c r="Z225" s="120"/>
      <c r="AA225" s="120"/>
      <c r="AB225" s="120"/>
      <c r="AC225" s="120"/>
      <c r="AD225" s="120"/>
    </row>
    <row r="226">
      <c r="A226" s="120"/>
      <c r="B226" s="120"/>
      <c r="C226" s="120"/>
      <c r="D226" s="120"/>
      <c r="E226" s="120"/>
      <c r="F226" s="120"/>
      <c r="G226" s="120"/>
      <c r="H226" s="120"/>
      <c r="I226" s="120"/>
      <c r="J226" s="120"/>
      <c r="K226" s="120"/>
      <c r="L226" s="120"/>
      <c r="M226" s="120"/>
      <c r="N226" s="120"/>
      <c r="O226" s="120"/>
      <c r="P226" s="120"/>
      <c r="Q226" s="120"/>
      <c r="R226" s="120"/>
      <c r="S226" s="120"/>
      <c r="T226" s="120"/>
      <c r="U226" s="120"/>
      <c r="V226" s="120"/>
      <c r="W226" s="120"/>
      <c r="X226" s="120"/>
      <c r="Y226" s="120"/>
      <c r="Z226" s="120"/>
      <c r="AA226" s="120"/>
      <c r="AB226" s="120"/>
      <c r="AC226" s="120"/>
      <c r="AD226" s="120"/>
    </row>
    <row r="227">
      <c r="A227" s="120"/>
      <c r="B227" s="120"/>
      <c r="C227" s="120"/>
      <c r="D227" s="120"/>
      <c r="E227" s="120"/>
      <c r="F227" s="120"/>
      <c r="G227" s="120"/>
      <c r="H227" s="120"/>
      <c r="I227" s="120"/>
      <c r="J227" s="120"/>
      <c r="K227" s="120"/>
      <c r="L227" s="120"/>
      <c r="M227" s="120"/>
      <c r="N227" s="120"/>
      <c r="O227" s="120"/>
      <c r="P227" s="120"/>
      <c r="Q227" s="120"/>
      <c r="R227" s="120"/>
      <c r="S227" s="120"/>
      <c r="T227" s="120"/>
      <c r="U227" s="120"/>
      <c r="V227" s="120"/>
      <c r="W227" s="120"/>
      <c r="X227" s="120"/>
      <c r="Y227" s="120"/>
      <c r="Z227" s="120"/>
      <c r="AA227" s="120"/>
      <c r="AB227" s="120"/>
      <c r="AC227" s="120"/>
      <c r="AD227" s="120"/>
    </row>
    <row r="228">
      <c r="A228" s="120"/>
      <c r="B228" s="120"/>
      <c r="C228" s="120"/>
      <c r="D228" s="120"/>
      <c r="E228" s="120"/>
      <c r="F228" s="120"/>
      <c r="G228" s="120"/>
      <c r="H228" s="120"/>
      <c r="I228" s="120"/>
      <c r="J228" s="120"/>
      <c r="K228" s="120"/>
      <c r="L228" s="120"/>
      <c r="M228" s="120"/>
      <c r="N228" s="120"/>
      <c r="O228" s="120"/>
      <c r="P228" s="120"/>
      <c r="Q228" s="120"/>
      <c r="R228" s="120"/>
      <c r="S228" s="120"/>
      <c r="T228" s="120"/>
      <c r="U228" s="120"/>
      <c r="V228" s="120"/>
      <c r="W228" s="120"/>
      <c r="X228" s="120"/>
      <c r="Y228" s="120"/>
      <c r="Z228" s="120"/>
      <c r="AA228" s="120"/>
      <c r="AB228" s="120"/>
      <c r="AC228" s="120"/>
      <c r="AD228" s="120"/>
    </row>
    <row r="229">
      <c r="A229" s="120"/>
      <c r="B229" s="120"/>
      <c r="C229" s="120"/>
      <c r="D229" s="120"/>
      <c r="E229" s="120"/>
      <c r="F229" s="120"/>
      <c r="G229" s="120"/>
      <c r="H229" s="120"/>
      <c r="I229" s="120"/>
      <c r="J229" s="120"/>
      <c r="K229" s="120"/>
      <c r="L229" s="120"/>
      <c r="M229" s="120"/>
      <c r="N229" s="120"/>
      <c r="O229" s="120"/>
      <c r="P229" s="120"/>
      <c r="Q229" s="120"/>
      <c r="R229" s="120"/>
      <c r="S229" s="120"/>
      <c r="T229" s="120"/>
      <c r="U229" s="120"/>
      <c r="V229" s="120"/>
      <c r="W229" s="120"/>
      <c r="X229" s="120"/>
      <c r="Y229" s="120"/>
      <c r="Z229" s="120"/>
      <c r="AA229" s="120"/>
      <c r="AB229" s="120"/>
      <c r="AC229" s="120"/>
      <c r="AD229" s="120"/>
    </row>
    <row r="230">
      <c r="A230" s="120"/>
      <c r="B230" s="120"/>
      <c r="C230" s="120"/>
      <c r="D230" s="120"/>
      <c r="E230" s="120"/>
      <c r="F230" s="120"/>
      <c r="G230" s="120"/>
      <c r="H230" s="120"/>
      <c r="I230" s="120"/>
      <c r="J230" s="120"/>
      <c r="K230" s="120"/>
      <c r="L230" s="120"/>
      <c r="M230" s="120"/>
      <c r="N230" s="120"/>
      <c r="O230" s="120"/>
      <c r="P230" s="120"/>
      <c r="Q230" s="120"/>
      <c r="R230" s="120"/>
      <c r="S230" s="120"/>
      <c r="T230" s="120"/>
      <c r="U230" s="120"/>
      <c r="V230" s="120"/>
      <c r="W230" s="120"/>
      <c r="X230" s="120"/>
      <c r="Y230" s="120"/>
      <c r="Z230" s="120"/>
      <c r="AA230" s="120"/>
      <c r="AB230" s="120"/>
      <c r="AC230" s="120"/>
      <c r="AD230" s="120"/>
    </row>
    <row r="231">
      <c r="A231" s="120"/>
      <c r="B231" s="120"/>
      <c r="C231" s="120"/>
      <c r="D231" s="120"/>
      <c r="E231" s="120"/>
      <c r="F231" s="120"/>
      <c r="G231" s="120"/>
      <c r="H231" s="120"/>
      <c r="I231" s="120"/>
      <c r="J231" s="120"/>
      <c r="K231" s="120"/>
      <c r="L231" s="120"/>
      <c r="M231" s="120"/>
      <c r="N231" s="120"/>
      <c r="O231" s="120"/>
      <c r="P231" s="120"/>
      <c r="Q231" s="120"/>
      <c r="R231" s="120"/>
      <c r="S231" s="120"/>
      <c r="T231" s="120"/>
      <c r="U231" s="120"/>
      <c r="V231" s="120"/>
      <c r="W231" s="120"/>
      <c r="X231" s="120"/>
      <c r="Y231" s="120"/>
      <c r="Z231" s="120"/>
      <c r="AA231" s="120"/>
      <c r="AB231" s="120"/>
      <c r="AC231" s="120"/>
      <c r="AD231" s="120"/>
    </row>
    <row r="232">
      <c r="A232" s="120"/>
      <c r="B232" s="120"/>
      <c r="C232" s="120"/>
      <c r="D232" s="120"/>
      <c r="E232" s="120"/>
      <c r="F232" s="120"/>
      <c r="G232" s="120"/>
      <c r="H232" s="120"/>
      <c r="I232" s="120"/>
      <c r="J232" s="120"/>
      <c r="K232" s="120"/>
      <c r="L232" s="120"/>
      <c r="M232" s="120"/>
      <c r="N232" s="120"/>
      <c r="O232" s="120"/>
      <c r="P232" s="120"/>
      <c r="Q232" s="120"/>
      <c r="R232" s="120"/>
      <c r="S232" s="120"/>
      <c r="T232" s="120"/>
      <c r="U232" s="120"/>
      <c r="V232" s="120"/>
      <c r="W232" s="120"/>
      <c r="X232" s="120"/>
      <c r="Y232" s="120"/>
      <c r="Z232" s="120"/>
      <c r="AA232" s="120"/>
      <c r="AB232" s="120"/>
      <c r="AC232" s="120"/>
      <c r="AD232" s="120"/>
    </row>
    <row r="233">
      <c r="A233" s="120"/>
      <c r="B233" s="120"/>
      <c r="C233" s="120"/>
      <c r="D233" s="120"/>
      <c r="E233" s="120"/>
      <c r="F233" s="120"/>
      <c r="G233" s="120"/>
      <c r="H233" s="120"/>
      <c r="I233" s="120"/>
      <c r="J233" s="120"/>
      <c r="K233" s="120"/>
      <c r="L233" s="120"/>
      <c r="M233" s="120"/>
      <c r="N233" s="120"/>
      <c r="O233" s="120"/>
      <c r="P233" s="120"/>
      <c r="Q233" s="120"/>
      <c r="R233" s="120"/>
      <c r="S233" s="120"/>
      <c r="T233" s="120"/>
      <c r="U233" s="120"/>
      <c r="V233" s="120"/>
      <c r="W233" s="120"/>
      <c r="X233" s="120"/>
      <c r="Y233" s="120"/>
      <c r="Z233" s="120"/>
      <c r="AA233" s="120"/>
      <c r="AB233" s="120"/>
      <c r="AC233" s="120"/>
      <c r="AD233" s="120"/>
    </row>
    <row r="234">
      <c r="A234" s="120"/>
      <c r="B234" s="120"/>
      <c r="C234" s="120"/>
      <c r="D234" s="120"/>
      <c r="E234" s="120"/>
      <c r="F234" s="120"/>
      <c r="G234" s="120"/>
      <c r="H234" s="120"/>
      <c r="I234" s="120"/>
      <c r="J234" s="120"/>
      <c r="K234" s="120"/>
      <c r="L234" s="120"/>
      <c r="M234" s="120"/>
      <c r="N234" s="120"/>
      <c r="O234" s="120"/>
      <c r="P234" s="120"/>
      <c r="Q234" s="120"/>
      <c r="R234" s="120"/>
      <c r="S234" s="120"/>
      <c r="T234" s="120"/>
      <c r="U234" s="120"/>
      <c r="V234" s="120"/>
      <c r="W234" s="120"/>
      <c r="X234" s="120"/>
      <c r="Y234" s="120"/>
      <c r="Z234" s="120"/>
      <c r="AA234" s="120"/>
      <c r="AB234" s="120"/>
      <c r="AC234" s="120"/>
      <c r="AD234" s="120"/>
    </row>
    <row r="235">
      <c r="A235" s="120"/>
      <c r="B235" s="120"/>
      <c r="C235" s="120"/>
      <c r="D235" s="120"/>
      <c r="E235" s="120"/>
      <c r="F235" s="120"/>
      <c r="G235" s="120"/>
      <c r="H235" s="120"/>
      <c r="I235" s="120"/>
      <c r="J235" s="120"/>
      <c r="K235" s="120"/>
      <c r="L235" s="120"/>
      <c r="M235" s="120"/>
      <c r="N235" s="120"/>
      <c r="O235" s="120"/>
      <c r="P235" s="120"/>
      <c r="Q235" s="120"/>
      <c r="R235" s="120"/>
      <c r="S235" s="120"/>
      <c r="T235" s="120"/>
      <c r="U235" s="120"/>
      <c r="V235" s="120"/>
      <c r="W235" s="120"/>
      <c r="X235" s="120"/>
      <c r="Y235" s="120"/>
      <c r="Z235" s="120"/>
      <c r="AA235" s="120"/>
      <c r="AB235" s="120"/>
      <c r="AC235" s="120"/>
      <c r="AD235" s="120"/>
    </row>
    <row r="236">
      <c r="A236" s="120"/>
      <c r="B236" s="120"/>
      <c r="C236" s="120"/>
      <c r="D236" s="120"/>
      <c r="E236" s="120"/>
      <c r="F236" s="120"/>
      <c r="G236" s="120"/>
      <c r="H236" s="120"/>
      <c r="I236" s="120"/>
      <c r="J236" s="120"/>
      <c r="K236" s="120"/>
      <c r="L236" s="120"/>
      <c r="M236" s="120"/>
      <c r="N236" s="120"/>
      <c r="O236" s="120"/>
      <c r="P236" s="120"/>
      <c r="Q236" s="120"/>
      <c r="R236" s="120"/>
      <c r="S236" s="120"/>
      <c r="T236" s="120"/>
      <c r="U236" s="120"/>
      <c r="V236" s="120"/>
      <c r="W236" s="120"/>
      <c r="X236" s="120"/>
      <c r="Y236" s="120"/>
      <c r="Z236" s="120"/>
      <c r="AA236" s="120"/>
      <c r="AB236" s="120"/>
      <c r="AC236" s="120"/>
      <c r="AD236" s="120"/>
    </row>
    <row r="237">
      <c r="A237" s="120"/>
      <c r="B237" s="120"/>
      <c r="C237" s="120"/>
      <c r="D237" s="120"/>
      <c r="E237" s="120"/>
      <c r="F237" s="120"/>
      <c r="G237" s="120"/>
      <c r="H237" s="120"/>
      <c r="I237" s="120"/>
      <c r="J237" s="120"/>
      <c r="K237" s="120"/>
      <c r="L237" s="120"/>
      <c r="M237" s="120"/>
      <c r="N237" s="120"/>
      <c r="O237" s="120"/>
      <c r="P237" s="120"/>
      <c r="Q237" s="120"/>
      <c r="R237" s="120"/>
      <c r="S237" s="120"/>
      <c r="T237" s="120"/>
      <c r="U237" s="120"/>
      <c r="V237" s="120"/>
      <c r="W237" s="120"/>
      <c r="X237" s="120"/>
      <c r="Y237" s="120"/>
      <c r="Z237" s="120"/>
      <c r="AA237" s="120"/>
      <c r="AB237" s="120"/>
      <c r="AC237" s="120"/>
      <c r="AD237" s="120"/>
    </row>
    <row r="238">
      <c r="A238" s="120"/>
      <c r="B238" s="120"/>
      <c r="C238" s="120"/>
      <c r="D238" s="120"/>
      <c r="E238" s="120"/>
      <c r="F238" s="120"/>
      <c r="G238" s="120"/>
      <c r="H238" s="120"/>
      <c r="I238" s="120"/>
      <c r="J238" s="120"/>
      <c r="K238" s="120"/>
      <c r="L238" s="120"/>
      <c r="M238" s="120"/>
      <c r="N238" s="120"/>
      <c r="O238" s="120"/>
      <c r="P238" s="120"/>
      <c r="Q238" s="120"/>
      <c r="R238" s="120"/>
      <c r="S238" s="120"/>
      <c r="T238" s="120"/>
      <c r="U238" s="120"/>
      <c r="V238" s="120"/>
      <c r="W238" s="120"/>
      <c r="X238" s="120"/>
      <c r="Y238" s="120"/>
      <c r="Z238" s="120"/>
      <c r="AA238" s="120"/>
      <c r="AB238" s="120"/>
      <c r="AC238" s="120"/>
      <c r="AD238" s="120"/>
    </row>
    <row r="239">
      <c r="A239" s="120"/>
      <c r="B239" s="120"/>
      <c r="C239" s="120"/>
      <c r="D239" s="120"/>
      <c r="E239" s="120"/>
      <c r="F239" s="120"/>
      <c r="G239" s="120"/>
      <c r="H239" s="120"/>
      <c r="I239" s="120"/>
      <c r="J239" s="120"/>
      <c r="K239" s="120"/>
      <c r="L239" s="120"/>
      <c r="M239" s="120"/>
      <c r="N239" s="120"/>
      <c r="O239" s="120"/>
      <c r="P239" s="120"/>
      <c r="Q239" s="120"/>
      <c r="R239" s="120"/>
      <c r="S239" s="120"/>
      <c r="T239" s="120"/>
      <c r="U239" s="120"/>
      <c r="V239" s="120"/>
      <c r="W239" s="120"/>
      <c r="X239" s="120"/>
      <c r="Y239" s="120"/>
      <c r="Z239" s="120"/>
      <c r="AA239" s="120"/>
      <c r="AB239" s="120"/>
      <c r="AC239" s="120"/>
      <c r="AD239" s="120"/>
    </row>
    <row r="240">
      <c r="A240" s="120"/>
      <c r="B240" s="120"/>
      <c r="C240" s="120"/>
      <c r="D240" s="120"/>
      <c r="E240" s="120"/>
      <c r="F240" s="120"/>
      <c r="G240" s="120"/>
      <c r="H240" s="120"/>
      <c r="I240" s="120"/>
      <c r="J240" s="120"/>
      <c r="K240" s="120"/>
      <c r="L240" s="120"/>
      <c r="M240" s="120"/>
      <c r="N240" s="120"/>
      <c r="O240" s="120"/>
      <c r="P240" s="120"/>
      <c r="Q240" s="120"/>
      <c r="R240" s="120"/>
      <c r="S240" s="120"/>
      <c r="T240" s="120"/>
      <c r="U240" s="120"/>
      <c r="V240" s="120"/>
      <c r="W240" s="120"/>
      <c r="X240" s="120"/>
      <c r="Y240" s="120"/>
      <c r="Z240" s="120"/>
      <c r="AA240" s="120"/>
      <c r="AB240" s="120"/>
      <c r="AC240" s="120"/>
      <c r="AD240" s="120"/>
    </row>
    <row r="241">
      <c r="A241" s="120"/>
      <c r="B241" s="120"/>
      <c r="C241" s="120"/>
      <c r="D241" s="120"/>
      <c r="E241" s="120"/>
      <c r="F241" s="120"/>
      <c r="G241" s="120"/>
      <c r="H241" s="120"/>
      <c r="I241" s="120"/>
      <c r="J241" s="120"/>
      <c r="K241" s="120"/>
      <c r="L241" s="120"/>
      <c r="M241" s="120"/>
      <c r="N241" s="120"/>
      <c r="O241" s="120"/>
      <c r="P241" s="120"/>
      <c r="Q241" s="120"/>
      <c r="R241" s="120"/>
      <c r="S241" s="120"/>
      <c r="T241" s="120"/>
      <c r="U241" s="120"/>
      <c r="V241" s="120"/>
      <c r="W241" s="120"/>
      <c r="X241" s="120"/>
      <c r="Y241" s="120"/>
      <c r="Z241" s="120"/>
      <c r="AA241" s="120"/>
      <c r="AB241" s="120"/>
      <c r="AC241" s="120"/>
      <c r="AD241" s="120"/>
    </row>
    <row r="242">
      <c r="A242" s="120"/>
      <c r="B242" s="120"/>
      <c r="C242" s="120"/>
      <c r="D242" s="120"/>
      <c r="E242" s="120"/>
      <c r="F242" s="120"/>
      <c r="G242" s="120"/>
      <c r="H242" s="120"/>
      <c r="I242" s="120"/>
      <c r="J242" s="120"/>
      <c r="K242" s="120"/>
      <c r="L242" s="120"/>
      <c r="M242" s="120"/>
      <c r="N242" s="120"/>
      <c r="O242" s="120"/>
      <c r="P242" s="120"/>
      <c r="Q242" s="120"/>
      <c r="R242" s="120"/>
      <c r="S242" s="120"/>
      <c r="T242" s="120"/>
      <c r="U242" s="120"/>
      <c r="V242" s="120"/>
      <c r="W242" s="120"/>
      <c r="X242" s="120"/>
      <c r="Y242" s="120"/>
      <c r="Z242" s="120"/>
      <c r="AA242" s="120"/>
      <c r="AB242" s="120"/>
      <c r="AC242" s="120"/>
      <c r="AD242" s="120"/>
    </row>
    <row r="243">
      <c r="A243" s="120"/>
      <c r="B243" s="120"/>
      <c r="C243" s="120"/>
      <c r="D243" s="120"/>
      <c r="E243" s="120"/>
      <c r="F243" s="120"/>
      <c r="G243" s="120"/>
      <c r="H243" s="120"/>
      <c r="I243" s="120"/>
      <c r="J243" s="120"/>
      <c r="K243" s="120"/>
      <c r="L243" s="120"/>
      <c r="M243" s="120"/>
      <c r="N243" s="120"/>
      <c r="O243" s="120"/>
      <c r="P243" s="120"/>
      <c r="Q243" s="120"/>
      <c r="R243" s="120"/>
      <c r="S243" s="120"/>
      <c r="T243" s="120"/>
      <c r="U243" s="120"/>
      <c r="V243" s="120"/>
      <c r="W243" s="120"/>
      <c r="X243" s="120"/>
      <c r="Y243" s="120"/>
      <c r="Z243" s="120"/>
      <c r="AA243" s="120"/>
      <c r="AB243" s="120"/>
      <c r="AC243" s="120"/>
      <c r="AD243" s="120"/>
    </row>
    <row r="244">
      <c r="A244" s="120"/>
      <c r="B244" s="120"/>
      <c r="C244" s="120"/>
      <c r="D244" s="120"/>
      <c r="E244" s="120"/>
      <c r="F244" s="120"/>
      <c r="G244" s="120"/>
      <c r="H244" s="120"/>
      <c r="I244" s="120"/>
      <c r="J244" s="120"/>
      <c r="K244" s="120"/>
      <c r="L244" s="120"/>
      <c r="M244" s="120"/>
      <c r="N244" s="120"/>
      <c r="O244" s="120"/>
      <c r="P244" s="120"/>
      <c r="Q244" s="120"/>
      <c r="R244" s="120"/>
      <c r="S244" s="120"/>
      <c r="T244" s="120"/>
      <c r="U244" s="120"/>
      <c r="V244" s="120"/>
      <c r="W244" s="120"/>
      <c r="X244" s="120"/>
      <c r="Y244" s="120"/>
      <c r="Z244" s="120"/>
      <c r="AA244" s="120"/>
      <c r="AB244" s="120"/>
      <c r="AC244" s="120"/>
      <c r="AD244" s="120"/>
    </row>
    <row r="245">
      <c r="A245" s="120"/>
      <c r="B245" s="120"/>
      <c r="C245" s="120"/>
      <c r="D245" s="120"/>
      <c r="E245" s="120"/>
      <c r="F245" s="120"/>
      <c r="G245" s="120"/>
      <c r="H245" s="120"/>
      <c r="I245" s="120"/>
      <c r="J245" s="120"/>
      <c r="K245" s="120"/>
      <c r="L245" s="120"/>
      <c r="M245" s="120"/>
      <c r="N245" s="120"/>
      <c r="O245" s="120"/>
      <c r="P245" s="120"/>
      <c r="Q245" s="120"/>
      <c r="R245" s="120"/>
      <c r="S245" s="120"/>
      <c r="T245" s="120"/>
      <c r="U245" s="120"/>
      <c r="V245" s="120"/>
      <c r="W245" s="120"/>
      <c r="X245" s="120"/>
      <c r="Y245" s="120"/>
      <c r="Z245" s="120"/>
      <c r="AA245" s="120"/>
      <c r="AB245" s="120"/>
      <c r="AC245" s="120"/>
      <c r="AD245" s="120"/>
    </row>
    <row r="246">
      <c r="A246" s="120"/>
      <c r="B246" s="120"/>
      <c r="C246" s="120"/>
      <c r="D246" s="120"/>
      <c r="E246" s="120"/>
      <c r="F246" s="120"/>
      <c r="G246" s="120"/>
      <c r="H246" s="120"/>
      <c r="I246" s="120"/>
      <c r="J246" s="120"/>
      <c r="K246" s="120"/>
      <c r="L246" s="120"/>
      <c r="M246" s="120"/>
      <c r="N246" s="120"/>
      <c r="O246" s="120"/>
      <c r="P246" s="120"/>
      <c r="Q246" s="120"/>
      <c r="R246" s="120"/>
      <c r="S246" s="120"/>
      <c r="T246" s="120"/>
      <c r="U246" s="120"/>
      <c r="V246" s="120"/>
      <c r="W246" s="120"/>
      <c r="X246" s="120"/>
      <c r="Y246" s="120"/>
      <c r="Z246" s="120"/>
      <c r="AA246" s="120"/>
      <c r="AB246" s="120"/>
      <c r="AC246" s="120"/>
      <c r="AD246" s="120"/>
    </row>
    <row r="247">
      <c r="A247" s="120"/>
      <c r="B247" s="120"/>
      <c r="C247" s="120"/>
      <c r="D247" s="120"/>
      <c r="E247" s="120"/>
      <c r="F247" s="120"/>
      <c r="G247" s="120"/>
      <c r="H247" s="120"/>
      <c r="I247" s="120"/>
      <c r="J247" s="120"/>
      <c r="K247" s="120"/>
      <c r="L247" s="120"/>
      <c r="M247" s="120"/>
      <c r="N247" s="120"/>
      <c r="O247" s="120"/>
      <c r="P247" s="120"/>
      <c r="Q247" s="120"/>
      <c r="R247" s="120"/>
      <c r="S247" s="120"/>
      <c r="T247" s="120"/>
      <c r="U247" s="120"/>
      <c r="V247" s="120"/>
      <c r="W247" s="120"/>
      <c r="X247" s="120"/>
      <c r="Y247" s="120"/>
      <c r="Z247" s="120"/>
      <c r="AA247" s="120"/>
      <c r="AB247" s="120"/>
      <c r="AC247" s="120"/>
      <c r="AD247" s="120"/>
    </row>
    <row r="248">
      <c r="A248" s="120"/>
      <c r="B248" s="120"/>
      <c r="C248" s="120"/>
      <c r="D248" s="120"/>
      <c r="E248" s="120"/>
      <c r="F248" s="120"/>
      <c r="G248" s="120"/>
      <c r="H248" s="120"/>
      <c r="I248" s="120"/>
      <c r="J248" s="120"/>
      <c r="K248" s="120"/>
      <c r="L248" s="120"/>
      <c r="M248" s="120"/>
      <c r="N248" s="120"/>
      <c r="O248" s="120"/>
      <c r="P248" s="120"/>
      <c r="Q248" s="120"/>
      <c r="R248" s="120"/>
      <c r="S248" s="120"/>
      <c r="T248" s="120"/>
      <c r="U248" s="120"/>
      <c r="V248" s="120"/>
      <c r="W248" s="120"/>
      <c r="X248" s="120"/>
      <c r="Y248" s="120"/>
      <c r="Z248" s="120"/>
      <c r="AA248" s="120"/>
      <c r="AB248" s="120"/>
      <c r="AC248" s="120"/>
      <c r="AD248" s="120"/>
    </row>
    <row r="249">
      <c r="A249" s="120"/>
      <c r="B249" s="120"/>
      <c r="C249" s="120"/>
      <c r="D249" s="120"/>
      <c r="E249" s="120"/>
      <c r="F249" s="120"/>
      <c r="G249" s="120"/>
      <c r="H249" s="120"/>
      <c r="I249" s="120"/>
      <c r="J249" s="120"/>
      <c r="K249" s="120"/>
      <c r="L249" s="120"/>
      <c r="M249" s="120"/>
      <c r="N249" s="120"/>
      <c r="O249" s="120"/>
      <c r="P249" s="120"/>
      <c r="Q249" s="120"/>
      <c r="R249" s="120"/>
      <c r="S249" s="120"/>
      <c r="T249" s="120"/>
      <c r="U249" s="120"/>
      <c r="V249" s="120"/>
      <c r="W249" s="120"/>
      <c r="X249" s="120"/>
      <c r="Y249" s="120"/>
      <c r="Z249" s="120"/>
      <c r="AA249" s="120"/>
      <c r="AB249" s="120"/>
      <c r="AC249" s="120"/>
      <c r="AD249" s="120"/>
    </row>
    <row r="250">
      <c r="A250" s="120"/>
      <c r="B250" s="120"/>
      <c r="C250" s="120"/>
      <c r="D250" s="120"/>
      <c r="E250" s="120"/>
      <c r="F250" s="120"/>
      <c r="G250" s="120"/>
      <c r="H250" s="120"/>
      <c r="I250" s="120"/>
      <c r="J250" s="120"/>
      <c r="K250" s="120"/>
      <c r="L250" s="120"/>
      <c r="M250" s="120"/>
      <c r="N250" s="120"/>
      <c r="O250" s="120"/>
      <c r="P250" s="120"/>
      <c r="Q250" s="120"/>
      <c r="R250" s="120"/>
      <c r="S250" s="120"/>
      <c r="T250" s="120"/>
      <c r="U250" s="120"/>
      <c r="V250" s="120"/>
      <c r="W250" s="120"/>
      <c r="X250" s="120"/>
      <c r="Y250" s="120"/>
      <c r="Z250" s="120"/>
      <c r="AA250" s="120"/>
      <c r="AB250" s="120"/>
      <c r="AC250" s="120"/>
      <c r="AD250" s="120"/>
    </row>
    <row r="251">
      <c r="A251" s="120"/>
      <c r="B251" s="120"/>
      <c r="C251" s="120"/>
      <c r="D251" s="120"/>
      <c r="E251" s="120"/>
      <c r="F251" s="120"/>
      <c r="G251" s="120"/>
      <c r="H251" s="120"/>
      <c r="I251" s="120"/>
      <c r="J251" s="120"/>
      <c r="K251" s="120"/>
      <c r="L251" s="120"/>
      <c r="M251" s="120"/>
      <c r="N251" s="120"/>
      <c r="O251" s="120"/>
      <c r="P251" s="120"/>
      <c r="Q251" s="120"/>
      <c r="R251" s="120"/>
      <c r="S251" s="120"/>
      <c r="T251" s="120"/>
      <c r="U251" s="120"/>
      <c r="V251" s="120"/>
      <c r="W251" s="120"/>
      <c r="X251" s="120"/>
      <c r="Y251" s="120"/>
      <c r="Z251" s="120"/>
      <c r="AA251" s="120"/>
      <c r="AB251" s="120"/>
      <c r="AC251" s="120"/>
      <c r="AD251" s="120"/>
    </row>
    <row r="252">
      <c r="A252" s="120"/>
      <c r="B252" s="120"/>
      <c r="C252" s="120"/>
      <c r="D252" s="120"/>
      <c r="E252" s="120"/>
      <c r="F252" s="120"/>
      <c r="G252" s="120"/>
      <c r="H252" s="120"/>
      <c r="I252" s="120"/>
      <c r="J252" s="120"/>
      <c r="K252" s="120"/>
      <c r="L252" s="120"/>
      <c r="M252" s="120"/>
      <c r="N252" s="120"/>
      <c r="O252" s="120"/>
      <c r="P252" s="120"/>
      <c r="Q252" s="120"/>
      <c r="R252" s="120"/>
      <c r="S252" s="120"/>
      <c r="T252" s="120"/>
      <c r="U252" s="120"/>
      <c r="V252" s="120"/>
      <c r="W252" s="120"/>
      <c r="X252" s="120"/>
      <c r="Y252" s="120"/>
      <c r="Z252" s="120"/>
      <c r="AA252" s="120"/>
      <c r="AB252" s="120"/>
      <c r="AC252" s="120"/>
      <c r="AD252" s="120"/>
    </row>
    <row r="253">
      <c r="A253" s="120"/>
      <c r="B253" s="120"/>
      <c r="C253" s="120"/>
      <c r="D253" s="120"/>
      <c r="E253" s="120"/>
      <c r="F253" s="120"/>
      <c r="G253" s="120"/>
      <c r="H253" s="120"/>
      <c r="I253" s="120"/>
      <c r="J253" s="120"/>
      <c r="K253" s="120"/>
      <c r="L253" s="120"/>
      <c r="M253" s="120"/>
      <c r="N253" s="120"/>
      <c r="O253" s="120"/>
      <c r="P253" s="120"/>
      <c r="Q253" s="120"/>
      <c r="R253" s="120"/>
      <c r="S253" s="120"/>
      <c r="T253" s="120"/>
      <c r="U253" s="120"/>
      <c r="V253" s="120"/>
      <c r="W253" s="120"/>
      <c r="X253" s="120"/>
      <c r="Y253" s="120"/>
      <c r="Z253" s="120"/>
      <c r="AA253" s="120"/>
      <c r="AB253" s="120"/>
      <c r="AC253" s="120"/>
      <c r="AD253" s="120"/>
    </row>
    <row r="254">
      <c r="A254" s="120"/>
      <c r="B254" s="120"/>
      <c r="C254" s="120"/>
      <c r="D254" s="120"/>
      <c r="E254" s="120"/>
      <c r="F254" s="120"/>
      <c r="G254" s="120"/>
      <c r="H254" s="120"/>
      <c r="I254" s="120"/>
      <c r="J254" s="120"/>
      <c r="K254" s="120"/>
      <c r="L254" s="120"/>
      <c r="M254" s="120"/>
      <c r="N254" s="120"/>
      <c r="O254" s="120"/>
      <c r="P254" s="120"/>
      <c r="Q254" s="120"/>
      <c r="R254" s="120"/>
      <c r="S254" s="120"/>
      <c r="T254" s="120"/>
      <c r="U254" s="120"/>
      <c r="V254" s="120"/>
      <c r="W254" s="120"/>
      <c r="X254" s="120"/>
      <c r="Y254" s="120"/>
      <c r="Z254" s="120"/>
      <c r="AA254" s="120"/>
      <c r="AB254" s="120"/>
      <c r="AC254" s="120"/>
      <c r="AD254" s="120"/>
    </row>
    <row r="255">
      <c r="A255" s="120"/>
      <c r="B255" s="120"/>
      <c r="C255" s="120"/>
      <c r="D255" s="120"/>
      <c r="E255" s="120"/>
      <c r="F255" s="120"/>
      <c r="G255" s="120"/>
      <c r="H255" s="120"/>
      <c r="I255" s="120"/>
      <c r="J255" s="120"/>
      <c r="K255" s="120"/>
      <c r="L255" s="120"/>
      <c r="M255" s="120"/>
      <c r="N255" s="120"/>
      <c r="O255" s="120"/>
      <c r="P255" s="120"/>
      <c r="Q255" s="120"/>
      <c r="R255" s="120"/>
      <c r="S255" s="120"/>
      <c r="T255" s="120"/>
      <c r="U255" s="120"/>
      <c r="V255" s="120"/>
      <c r="W255" s="120"/>
      <c r="X255" s="120"/>
      <c r="Y255" s="120"/>
      <c r="Z255" s="120"/>
      <c r="AA255" s="120"/>
      <c r="AB255" s="120"/>
      <c r="AC255" s="120"/>
      <c r="AD255" s="120"/>
    </row>
    <row r="256">
      <c r="A256" s="120"/>
      <c r="B256" s="120"/>
      <c r="C256" s="120"/>
      <c r="D256" s="120"/>
      <c r="E256" s="120"/>
      <c r="F256" s="120"/>
      <c r="G256" s="120"/>
      <c r="H256" s="120"/>
      <c r="I256" s="120"/>
      <c r="J256" s="120"/>
      <c r="K256" s="120"/>
      <c r="L256" s="120"/>
      <c r="M256" s="120"/>
      <c r="N256" s="120"/>
      <c r="O256" s="120"/>
      <c r="P256" s="120"/>
      <c r="Q256" s="120"/>
      <c r="R256" s="120"/>
      <c r="S256" s="120"/>
      <c r="T256" s="120"/>
      <c r="U256" s="120"/>
      <c r="V256" s="120"/>
      <c r="W256" s="120"/>
      <c r="X256" s="120"/>
      <c r="Y256" s="120"/>
      <c r="Z256" s="120"/>
      <c r="AA256" s="120"/>
      <c r="AB256" s="120"/>
      <c r="AC256" s="120"/>
      <c r="AD256" s="120"/>
    </row>
    <row r="257">
      <c r="A257" s="120"/>
      <c r="B257" s="120"/>
      <c r="C257" s="120"/>
      <c r="D257" s="120"/>
      <c r="E257" s="120"/>
      <c r="F257" s="120"/>
      <c r="G257" s="120"/>
      <c r="H257" s="120"/>
      <c r="I257" s="120"/>
      <c r="J257" s="120"/>
      <c r="K257" s="120"/>
      <c r="L257" s="120"/>
      <c r="M257" s="120"/>
      <c r="N257" s="120"/>
      <c r="O257" s="120"/>
      <c r="P257" s="120"/>
      <c r="Q257" s="120"/>
      <c r="R257" s="120"/>
      <c r="S257" s="120"/>
      <c r="T257" s="120"/>
      <c r="U257" s="120"/>
      <c r="V257" s="120"/>
      <c r="W257" s="120"/>
      <c r="X257" s="120"/>
      <c r="Y257" s="120"/>
      <c r="Z257" s="120"/>
      <c r="AA257" s="120"/>
      <c r="AB257" s="120"/>
      <c r="AC257" s="120"/>
      <c r="AD257" s="120"/>
    </row>
    <row r="258">
      <c r="A258" s="120"/>
      <c r="B258" s="120"/>
      <c r="C258" s="120"/>
      <c r="D258" s="120"/>
      <c r="E258" s="120"/>
      <c r="F258" s="120"/>
      <c r="G258" s="120"/>
      <c r="H258" s="120"/>
      <c r="I258" s="120"/>
      <c r="J258" s="120"/>
      <c r="K258" s="120"/>
      <c r="L258" s="120"/>
      <c r="M258" s="120"/>
      <c r="N258" s="120"/>
      <c r="O258" s="120"/>
      <c r="P258" s="120"/>
      <c r="Q258" s="120"/>
      <c r="R258" s="120"/>
      <c r="S258" s="120"/>
      <c r="T258" s="120"/>
      <c r="U258" s="120"/>
      <c r="V258" s="120"/>
      <c r="W258" s="120"/>
      <c r="X258" s="120"/>
      <c r="Y258" s="120"/>
      <c r="Z258" s="120"/>
      <c r="AA258" s="120"/>
      <c r="AB258" s="120"/>
      <c r="AC258" s="120"/>
      <c r="AD258" s="120"/>
    </row>
    <row r="259">
      <c r="A259" s="120"/>
      <c r="B259" s="120"/>
      <c r="C259" s="120"/>
      <c r="D259" s="120"/>
      <c r="E259" s="120"/>
      <c r="F259" s="120"/>
      <c r="G259" s="120"/>
      <c r="H259" s="120"/>
      <c r="I259" s="120"/>
      <c r="J259" s="120"/>
      <c r="K259" s="120"/>
      <c r="L259" s="120"/>
      <c r="M259" s="120"/>
      <c r="N259" s="120"/>
      <c r="O259" s="120"/>
      <c r="P259" s="120"/>
      <c r="Q259" s="120"/>
      <c r="R259" s="120"/>
      <c r="S259" s="120"/>
      <c r="T259" s="120"/>
      <c r="U259" s="120"/>
      <c r="V259" s="120"/>
      <c r="W259" s="120"/>
      <c r="X259" s="120"/>
      <c r="Y259" s="120"/>
      <c r="Z259" s="120"/>
      <c r="AA259" s="120"/>
      <c r="AB259" s="120"/>
      <c r="AC259" s="120"/>
      <c r="AD259" s="120"/>
    </row>
    <row r="260">
      <c r="A260" s="120"/>
      <c r="B260" s="120"/>
      <c r="C260" s="120"/>
      <c r="D260" s="120"/>
      <c r="E260" s="120"/>
      <c r="F260" s="120"/>
      <c r="G260" s="120"/>
      <c r="H260" s="120"/>
      <c r="I260" s="120"/>
      <c r="J260" s="120"/>
      <c r="K260" s="120"/>
      <c r="L260" s="120"/>
      <c r="M260" s="120"/>
      <c r="N260" s="120"/>
      <c r="O260" s="120"/>
      <c r="P260" s="120"/>
      <c r="Q260" s="120"/>
      <c r="R260" s="120"/>
      <c r="S260" s="120"/>
      <c r="T260" s="120"/>
      <c r="U260" s="120"/>
      <c r="V260" s="120"/>
      <c r="W260" s="120"/>
      <c r="X260" s="120"/>
      <c r="Y260" s="120"/>
      <c r="Z260" s="120"/>
      <c r="AA260" s="120"/>
      <c r="AB260" s="120"/>
      <c r="AC260" s="120"/>
      <c r="AD260" s="120"/>
    </row>
    <row r="261">
      <c r="A261" s="120"/>
      <c r="B261" s="120"/>
      <c r="C261" s="120"/>
      <c r="D261" s="120"/>
      <c r="E261" s="120"/>
      <c r="F261" s="120"/>
      <c r="G261" s="120"/>
      <c r="H261" s="120"/>
      <c r="I261" s="120"/>
      <c r="J261" s="120"/>
      <c r="K261" s="120"/>
      <c r="L261" s="120"/>
      <c r="M261" s="120"/>
      <c r="N261" s="120"/>
      <c r="O261" s="120"/>
      <c r="P261" s="120"/>
      <c r="Q261" s="120"/>
      <c r="R261" s="120"/>
      <c r="S261" s="120"/>
      <c r="T261" s="120"/>
      <c r="U261" s="120"/>
      <c r="V261" s="120"/>
      <c r="W261" s="120"/>
      <c r="X261" s="120"/>
      <c r="Y261" s="120"/>
      <c r="Z261" s="120"/>
      <c r="AA261" s="120"/>
      <c r="AB261" s="120"/>
      <c r="AC261" s="120"/>
      <c r="AD261" s="120"/>
    </row>
    <row r="262">
      <c r="A262" s="120"/>
      <c r="B262" s="120"/>
      <c r="C262" s="120"/>
      <c r="D262" s="120"/>
      <c r="E262" s="120"/>
      <c r="F262" s="120"/>
      <c r="G262" s="120"/>
      <c r="H262" s="120"/>
      <c r="I262" s="120"/>
      <c r="J262" s="120"/>
      <c r="K262" s="120"/>
      <c r="L262" s="120"/>
      <c r="M262" s="120"/>
      <c r="N262" s="120"/>
      <c r="O262" s="120"/>
      <c r="P262" s="120"/>
      <c r="Q262" s="120"/>
      <c r="R262" s="120"/>
      <c r="S262" s="120"/>
      <c r="T262" s="120"/>
      <c r="U262" s="120"/>
      <c r="V262" s="120"/>
      <c r="W262" s="120"/>
      <c r="X262" s="120"/>
      <c r="Y262" s="120"/>
      <c r="Z262" s="120"/>
      <c r="AA262" s="120"/>
      <c r="AB262" s="120"/>
      <c r="AC262" s="120"/>
      <c r="AD262" s="120"/>
    </row>
    <row r="263">
      <c r="A263" s="120"/>
      <c r="B263" s="120"/>
      <c r="C263" s="120"/>
      <c r="D263" s="120"/>
      <c r="E263" s="120"/>
      <c r="F263" s="120"/>
      <c r="G263" s="120"/>
      <c r="H263" s="120"/>
      <c r="I263" s="120"/>
      <c r="J263" s="120"/>
      <c r="K263" s="120"/>
      <c r="L263" s="120"/>
      <c r="M263" s="120"/>
      <c r="N263" s="120"/>
      <c r="O263" s="120"/>
      <c r="P263" s="120"/>
      <c r="Q263" s="120"/>
      <c r="R263" s="120"/>
      <c r="S263" s="120"/>
      <c r="T263" s="120"/>
      <c r="U263" s="120"/>
      <c r="V263" s="120"/>
      <c r="W263" s="120"/>
      <c r="X263" s="120"/>
      <c r="Y263" s="120"/>
      <c r="Z263" s="120"/>
      <c r="AA263" s="120"/>
      <c r="AB263" s="120"/>
      <c r="AC263" s="120"/>
      <c r="AD263" s="120"/>
    </row>
    <row r="264">
      <c r="A264" s="120"/>
      <c r="B264" s="120"/>
      <c r="C264" s="120"/>
      <c r="D264" s="120"/>
      <c r="E264" s="120"/>
      <c r="F264" s="120"/>
      <c r="G264" s="120"/>
      <c r="H264" s="120"/>
      <c r="I264" s="120"/>
      <c r="J264" s="120"/>
      <c r="K264" s="120"/>
      <c r="L264" s="120"/>
      <c r="M264" s="120"/>
      <c r="N264" s="120"/>
      <c r="O264" s="120"/>
      <c r="P264" s="120"/>
      <c r="Q264" s="120"/>
      <c r="R264" s="120"/>
      <c r="S264" s="120"/>
      <c r="T264" s="120"/>
      <c r="U264" s="120"/>
      <c r="V264" s="120"/>
      <c r="W264" s="120"/>
      <c r="X264" s="120"/>
      <c r="Y264" s="120"/>
      <c r="Z264" s="120"/>
      <c r="AA264" s="120"/>
      <c r="AB264" s="120"/>
      <c r="AC264" s="120"/>
      <c r="AD264" s="120"/>
    </row>
    <row r="265">
      <c r="A265" s="120"/>
      <c r="B265" s="120"/>
      <c r="C265" s="120"/>
      <c r="D265" s="120"/>
      <c r="E265" s="120"/>
      <c r="F265" s="120"/>
      <c r="G265" s="120"/>
      <c r="H265" s="120"/>
      <c r="I265" s="120"/>
      <c r="J265" s="120"/>
      <c r="K265" s="120"/>
      <c r="L265" s="120"/>
      <c r="M265" s="120"/>
      <c r="N265" s="120"/>
      <c r="O265" s="120"/>
      <c r="P265" s="120"/>
      <c r="Q265" s="120"/>
      <c r="R265" s="120"/>
      <c r="S265" s="120"/>
      <c r="T265" s="120"/>
      <c r="U265" s="120"/>
      <c r="V265" s="120"/>
      <c r="W265" s="120"/>
      <c r="X265" s="120"/>
      <c r="Y265" s="120"/>
      <c r="Z265" s="120"/>
      <c r="AA265" s="120"/>
      <c r="AB265" s="120"/>
      <c r="AC265" s="120"/>
      <c r="AD265" s="120"/>
    </row>
    <row r="266">
      <c r="A266" s="120"/>
      <c r="B266" s="120"/>
      <c r="C266" s="120"/>
      <c r="D266" s="120"/>
      <c r="E266" s="120"/>
      <c r="F266" s="120"/>
      <c r="G266" s="120"/>
      <c r="H266" s="120"/>
      <c r="I266" s="120"/>
      <c r="J266" s="120"/>
      <c r="K266" s="120"/>
      <c r="L266" s="120"/>
      <c r="M266" s="120"/>
      <c r="N266" s="120"/>
      <c r="O266" s="120"/>
      <c r="P266" s="120"/>
      <c r="Q266" s="120"/>
      <c r="R266" s="120"/>
      <c r="S266" s="120"/>
      <c r="T266" s="120"/>
      <c r="U266" s="120"/>
      <c r="V266" s="120"/>
      <c r="W266" s="120"/>
      <c r="X266" s="120"/>
      <c r="Y266" s="120"/>
      <c r="Z266" s="120"/>
      <c r="AA266" s="120"/>
      <c r="AB266" s="120"/>
      <c r="AC266" s="120"/>
      <c r="AD266" s="120"/>
    </row>
    <row r="267">
      <c r="A267" s="120"/>
      <c r="B267" s="120"/>
      <c r="C267" s="120"/>
      <c r="D267" s="120"/>
      <c r="E267" s="120"/>
      <c r="F267" s="120"/>
      <c r="G267" s="120"/>
      <c r="H267" s="120"/>
      <c r="I267" s="120"/>
      <c r="J267" s="120"/>
      <c r="K267" s="120"/>
      <c r="L267" s="120"/>
      <c r="M267" s="120"/>
      <c r="N267" s="120"/>
      <c r="O267" s="120"/>
      <c r="P267" s="120"/>
      <c r="Q267" s="120"/>
      <c r="R267" s="120"/>
      <c r="S267" s="120"/>
      <c r="T267" s="120"/>
      <c r="U267" s="120"/>
      <c r="V267" s="120"/>
      <c r="W267" s="120"/>
      <c r="X267" s="120"/>
      <c r="Y267" s="120"/>
      <c r="Z267" s="120"/>
      <c r="AA267" s="120"/>
      <c r="AB267" s="120"/>
      <c r="AC267" s="120"/>
      <c r="AD267" s="120"/>
    </row>
    <row r="268">
      <c r="A268" s="120"/>
      <c r="B268" s="120"/>
      <c r="C268" s="120"/>
      <c r="D268" s="120"/>
      <c r="E268" s="120"/>
      <c r="F268" s="120"/>
      <c r="G268" s="120"/>
      <c r="H268" s="120"/>
      <c r="I268" s="120"/>
      <c r="J268" s="120"/>
      <c r="K268" s="120"/>
      <c r="L268" s="120"/>
      <c r="M268" s="120"/>
      <c r="N268" s="120"/>
      <c r="O268" s="120"/>
      <c r="P268" s="120"/>
      <c r="Q268" s="120"/>
      <c r="R268" s="120"/>
      <c r="S268" s="120"/>
      <c r="T268" s="120"/>
      <c r="U268" s="120"/>
      <c r="V268" s="120"/>
      <c r="W268" s="120"/>
      <c r="X268" s="120"/>
      <c r="Y268" s="120"/>
      <c r="Z268" s="120"/>
      <c r="AA268" s="120"/>
      <c r="AB268" s="120"/>
      <c r="AC268" s="120"/>
      <c r="AD268" s="120"/>
    </row>
    <row r="269">
      <c r="A269" s="120"/>
      <c r="B269" s="120"/>
      <c r="C269" s="120"/>
      <c r="D269" s="120"/>
      <c r="E269" s="120"/>
      <c r="F269" s="120"/>
      <c r="G269" s="120"/>
      <c r="H269" s="120"/>
      <c r="I269" s="120"/>
      <c r="J269" s="120"/>
      <c r="K269" s="120"/>
      <c r="L269" s="120"/>
      <c r="M269" s="120"/>
      <c r="N269" s="120"/>
      <c r="O269" s="120"/>
      <c r="P269" s="120"/>
      <c r="Q269" s="120"/>
      <c r="R269" s="120"/>
      <c r="S269" s="120"/>
      <c r="T269" s="120"/>
      <c r="U269" s="120"/>
      <c r="V269" s="120"/>
      <c r="W269" s="120"/>
      <c r="X269" s="120"/>
      <c r="Y269" s="120"/>
      <c r="Z269" s="120"/>
      <c r="AA269" s="120"/>
      <c r="AB269" s="120"/>
      <c r="AC269" s="120"/>
      <c r="AD269" s="120"/>
    </row>
    <row r="270">
      <c r="A270" s="120"/>
      <c r="B270" s="120"/>
      <c r="C270" s="120"/>
      <c r="D270" s="120"/>
      <c r="E270" s="120"/>
      <c r="F270" s="120"/>
      <c r="G270" s="120"/>
      <c r="H270" s="120"/>
      <c r="I270" s="120"/>
      <c r="J270" s="120"/>
      <c r="K270" s="120"/>
      <c r="L270" s="120"/>
      <c r="M270" s="120"/>
      <c r="N270" s="120"/>
      <c r="O270" s="120"/>
      <c r="P270" s="120"/>
      <c r="Q270" s="120"/>
      <c r="R270" s="120"/>
      <c r="S270" s="120"/>
      <c r="T270" s="120"/>
      <c r="U270" s="120"/>
      <c r="V270" s="120"/>
      <c r="W270" s="120"/>
      <c r="X270" s="120"/>
      <c r="Y270" s="120"/>
      <c r="Z270" s="120"/>
      <c r="AA270" s="120"/>
      <c r="AB270" s="120"/>
      <c r="AC270" s="120"/>
      <c r="AD270" s="120"/>
    </row>
    <row r="271">
      <c r="A271" s="120"/>
      <c r="B271" s="120"/>
      <c r="C271" s="120"/>
      <c r="D271" s="120"/>
      <c r="E271" s="120"/>
      <c r="F271" s="120"/>
      <c r="G271" s="120"/>
      <c r="H271" s="120"/>
      <c r="I271" s="120"/>
      <c r="J271" s="120"/>
      <c r="K271" s="120"/>
      <c r="L271" s="120"/>
      <c r="M271" s="120"/>
      <c r="N271" s="120"/>
      <c r="O271" s="120"/>
      <c r="P271" s="120"/>
      <c r="Q271" s="120"/>
      <c r="R271" s="120"/>
      <c r="S271" s="120"/>
      <c r="T271" s="120"/>
      <c r="U271" s="120"/>
      <c r="V271" s="120"/>
      <c r="W271" s="120"/>
      <c r="X271" s="120"/>
      <c r="Y271" s="120"/>
      <c r="Z271" s="120"/>
      <c r="AA271" s="120"/>
      <c r="AB271" s="120"/>
      <c r="AC271" s="120"/>
      <c r="AD271" s="120"/>
    </row>
    <row r="272">
      <c r="A272" s="120"/>
      <c r="B272" s="120"/>
      <c r="C272" s="120"/>
      <c r="D272" s="120"/>
      <c r="E272" s="120"/>
      <c r="F272" s="120"/>
      <c r="G272" s="120"/>
      <c r="H272" s="120"/>
      <c r="I272" s="120"/>
      <c r="J272" s="120"/>
      <c r="K272" s="120"/>
      <c r="L272" s="120"/>
      <c r="M272" s="120"/>
      <c r="N272" s="120"/>
      <c r="O272" s="120"/>
      <c r="P272" s="120"/>
      <c r="Q272" s="120"/>
      <c r="R272" s="120"/>
      <c r="S272" s="120"/>
      <c r="T272" s="120"/>
      <c r="U272" s="120"/>
      <c r="V272" s="120"/>
      <c r="W272" s="120"/>
      <c r="X272" s="120"/>
      <c r="Y272" s="120"/>
      <c r="Z272" s="120"/>
      <c r="AA272" s="120"/>
      <c r="AB272" s="120"/>
      <c r="AC272" s="120"/>
      <c r="AD272" s="120"/>
    </row>
    <row r="273">
      <c r="A273" s="120"/>
      <c r="B273" s="120"/>
      <c r="C273" s="120"/>
      <c r="D273" s="120"/>
      <c r="E273" s="120"/>
      <c r="F273" s="120"/>
      <c r="G273" s="120"/>
      <c r="H273" s="120"/>
      <c r="I273" s="120"/>
      <c r="J273" s="120"/>
      <c r="K273" s="120"/>
      <c r="L273" s="120"/>
      <c r="M273" s="120"/>
      <c r="N273" s="120"/>
      <c r="O273" s="120"/>
      <c r="P273" s="120"/>
      <c r="Q273" s="120"/>
      <c r="R273" s="120"/>
      <c r="S273" s="120"/>
      <c r="T273" s="120"/>
      <c r="U273" s="120"/>
      <c r="V273" s="120"/>
      <c r="W273" s="120"/>
      <c r="X273" s="120"/>
      <c r="Y273" s="120"/>
      <c r="Z273" s="120"/>
      <c r="AA273" s="120"/>
      <c r="AB273" s="120"/>
      <c r="AC273" s="120"/>
      <c r="AD273" s="120"/>
    </row>
    <row r="274">
      <c r="A274" s="120"/>
      <c r="B274" s="120"/>
      <c r="C274" s="120"/>
      <c r="D274" s="120"/>
      <c r="E274" s="120"/>
      <c r="F274" s="120"/>
      <c r="G274" s="120"/>
      <c r="H274" s="120"/>
      <c r="I274" s="120"/>
      <c r="J274" s="120"/>
      <c r="K274" s="120"/>
      <c r="L274" s="120"/>
      <c r="M274" s="120"/>
      <c r="N274" s="120"/>
      <c r="O274" s="120"/>
      <c r="P274" s="120"/>
      <c r="Q274" s="120"/>
      <c r="R274" s="120"/>
      <c r="S274" s="120"/>
      <c r="T274" s="120"/>
      <c r="U274" s="120"/>
      <c r="V274" s="120"/>
      <c r="W274" s="120"/>
      <c r="X274" s="120"/>
      <c r="Y274" s="120"/>
      <c r="Z274" s="120"/>
      <c r="AA274" s="120"/>
      <c r="AB274" s="120"/>
      <c r="AC274" s="120"/>
      <c r="AD274" s="120"/>
    </row>
    <row r="275">
      <c r="A275" s="120"/>
      <c r="B275" s="120"/>
      <c r="C275" s="120"/>
      <c r="D275" s="120"/>
      <c r="E275" s="120"/>
      <c r="F275" s="120"/>
      <c r="G275" s="120"/>
      <c r="H275" s="120"/>
      <c r="I275" s="120"/>
      <c r="J275" s="120"/>
      <c r="K275" s="120"/>
      <c r="L275" s="120"/>
      <c r="M275" s="120"/>
      <c r="N275" s="120"/>
      <c r="O275" s="120"/>
      <c r="P275" s="120"/>
      <c r="Q275" s="120"/>
      <c r="R275" s="120"/>
      <c r="S275" s="120"/>
      <c r="T275" s="120"/>
      <c r="U275" s="120"/>
      <c r="V275" s="120"/>
      <c r="W275" s="120"/>
      <c r="X275" s="120"/>
      <c r="Y275" s="120"/>
      <c r="Z275" s="120"/>
      <c r="AA275" s="120"/>
      <c r="AB275" s="120"/>
      <c r="AC275" s="120"/>
      <c r="AD275" s="120"/>
    </row>
    <row r="276">
      <c r="A276" s="120"/>
      <c r="B276" s="120"/>
      <c r="C276" s="120"/>
      <c r="D276" s="120"/>
      <c r="E276" s="120"/>
      <c r="F276" s="120"/>
      <c r="G276" s="120"/>
      <c r="H276" s="120"/>
      <c r="I276" s="120"/>
      <c r="J276" s="120"/>
      <c r="K276" s="120"/>
      <c r="L276" s="120"/>
      <c r="M276" s="120"/>
      <c r="N276" s="120"/>
      <c r="O276" s="120"/>
      <c r="P276" s="120"/>
      <c r="Q276" s="120"/>
      <c r="R276" s="120"/>
      <c r="S276" s="120"/>
      <c r="T276" s="120"/>
      <c r="U276" s="120"/>
      <c r="V276" s="120"/>
      <c r="W276" s="120"/>
      <c r="X276" s="120"/>
      <c r="Y276" s="120"/>
      <c r="Z276" s="120"/>
      <c r="AA276" s="120"/>
      <c r="AB276" s="120"/>
      <c r="AC276" s="120"/>
      <c r="AD276" s="120"/>
    </row>
    <row r="277">
      <c r="A277" s="120"/>
      <c r="B277" s="120"/>
      <c r="C277" s="120"/>
      <c r="D277" s="120"/>
      <c r="E277" s="120"/>
      <c r="F277" s="120"/>
      <c r="G277" s="120"/>
      <c r="H277" s="120"/>
      <c r="I277" s="120"/>
      <c r="J277" s="120"/>
      <c r="K277" s="120"/>
      <c r="L277" s="120"/>
      <c r="M277" s="120"/>
      <c r="N277" s="120"/>
      <c r="O277" s="120"/>
      <c r="P277" s="120"/>
      <c r="Q277" s="120"/>
      <c r="R277" s="120"/>
      <c r="S277" s="120"/>
      <c r="T277" s="120"/>
      <c r="U277" s="120"/>
      <c r="V277" s="120"/>
      <c r="W277" s="120"/>
      <c r="X277" s="120"/>
      <c r="Y277" s="120"/>
      <c r="Z277" s="120"/>
      <c r="AA277" s="120"/>
      <c r="AB277" s="120"/>
      <c r="AC277" s="120"/>
      <c r="AD277" s="120"/>
    </row>
    <row r="278">
      <c r="A278" s="120"/>
      <c r="B278" s="120"/>
      <c r="C278" s="120"/>
      <c r="D278" s="120"/>
      <c r="E278" s="120"/>
      <c r="F278" s="120"/>
      <c r="G278" s="120"/>
      <c r="H278" s="120"/>
      <c r="I278" s="120"/>
      <c r="J278" s="120"/>
      <c r="K278" s="120"/>
      <c r="L278" s="120"/>
      <c r="M278" s="120"/>
      <c r="N278" s="120"/>
      <c r="O278" s="120"/>
      <c r="P278" s="120"/>
      <c r="Q278" s="120"/>
      <c r="R278" s="120"/>
      <c r="S278" s="120"/>
      <c r="T278" s="120"/>
      <c r="U278" s="120"/>
      <c r="V278" s="120"/>
      <c r="W278" s="120"/>
      <c r="X278" s="120"/>
      <c r="Y278" s="120"/>
      <c r="Z278" s="120"/>
      <c r="AA278" s="120"/>
      <c r="AB278" s="120"/>
      <c r="AC278" s="120"/>
      <c r="AD278" s="120"/>
    </row>
    <row r="279">
      <c r="A279" s="120"/>
      <c r="B279" s="120"/>
      <c r="C279" s="120"/>
      <c r="D279" s="120"/>
      <c r="E279" s="120"/>
      <c r="F279" s="120"/>
      <c r="G279" s="120"/>
      <c r="H279" s="120"/>
      <c r="I279" s="120"/>
      <c r="J279" s="120"/>
      <c r="K279" s="120"/>
      <c r="L279" s="120"/>
      <c r="M279" s="120"/>
      <c r="N279" s="120"/>
      <c r="O279" s="120"/>
      <c r="P279" s="120"/>
      <c r="Q279" s="120"/>
      <c r="R279" s="120"/>
      <c r="S279" s="120"/>
      <c r="T279" s="120"/>
      <c r="U279" s="120"/>
      <c r="V279" s="120"/>
      <c r="W279" s="120"/>
      <c r="X279" s="120"/>
      <c r="Y279" s="120"/>
      <c r="Z279" s="120"/>
      <c r="AA279" s="120"/>
      <c r="AB279" s="120"/>
      <c r="AC279" s="120"/>
      <c r="AD279" s="120"/>
    </row>
    <row r="280">
      <c r="A280" s="120"/>
      <c r="B280" s="120"/>
      <c r="C280" s="120"/>
      <c r="D280" s="120"/>
      <c r="E280" s="120"/>
      <c r="F280" s="120"/>
      <c r="G280" s="120"/>
      <c r="H280" s="120"/>
      <c r="I280" s="120"/>
      <c r="J280" s="120"/>
      <c r="K280" s="120"/>
      <c r="L280" s="120"/>
      <c r="M280" s="120"/>
      <c r="N280" s="120"/>
      <c r="O280" s="120"/>
      <c r="P280" s="120"/>
      <c r="Q280" s="120"/>
      <c r="R280" s="120"/>
      <c r="S280" s="120"/>
      <c r="T280" s="120"/>
      <c r="U280" s="120"/>
      <c r="V280" s="120"/>
      <c r="W280" s="120"/>
      <c r="X280" s="120"/>
      <c r="Y280" s="120"/>
      <c r="Z280" s="120"/>
      <c r="AA280" s="120"/>
      <c r="AB280" s="120"/>
      <c r="AC280" s="120"/>
      <c r="AD280" s="120"/>
    </row>
    <row r="281">
      <c r="A281" s="120"/>
      <c r="B281" s="120"/>
      <c r="C281" s="120"/>
      <c r="D281" s="120"/>
      <c r="E281" s="120"/>
      <c r="F281" s="120"/>
      <c r="G281" s="120"/>
      <c r="H281" s="120"/>
      <c r="I281" s="120"/>
      <c r="J281" s="120"/>
      <c r="K281" s="120"/>
      <c r="L281" s="120"/>
      <c r="M281" s="120"/>
      <c r="N281" s="120"/>
      <c r="O281" s="120"/>
      <c r="P281" s="120"/>
      <c r="Q281" s="120"/>
      <c r="R281" s="120"/>
      <c r="S281" s="120"/>
      <c r="T281" s="120"/>
      <c r="U281" s="120"/>
      <c r="V281" s="120"/>
      <c r="W281" s="120"/>
      <c r="X281" s="120"/>
      <c r="Y281" s="120"/>
      <c r="Z281" s="120"/>
      <c r="AA281" s="120"/>
      <c r="AB281" s="120"/>
      <c r="AC281" s="120"/>
      <c r="AD281" s="120"/>
    </row>
    <row r="282">
      <c r="A282" s="120"/>
      <c r="B282" s="120"/>
      <c r="C282" s="120"/>
      <c r="D282" s="120"/>
      <c r="E282" s="120"/>
      <c r="F282" s="120"/>
      <c r="G282" s="120"/>
      <c r="H282" s="120"/>
      <c r="I282" s="120"/>
      <c r="J282" s="120"/>
      <c r="K282" s="120"/>
      <c r="L282" s="120"/>
      <c r="M282" s="120"/>
      <c r="N282" s="120"/>
      <c r="O282" s="120"/>
      <c r="P282" s="120"/>
      <c r="Q282" s="120"/>
      <c r="R282" s="120"/>
      <c r="S282" s="120"/>
      <c r="T282" s="120"/>
      <c r="U282" s="120"/>
      <c r="V282" s="120"/>
      <c r="W282" s="120"/>
      <c r="X282" s="120"/>
      <c r="Y282" s="120"/>
      <c r="Z282" s="120"/>
      <c r="AA282" s="120"/>
      <c r="AB282" s="120"/>
      <c r="AC282" s="120"/>
      <c r="AD282" s="120"/>
    </row>
    <row r="283">
      <c r="A283" s="120"/>
      <c r="B283" s="120"/>
      <c r="C283" s="120"/>
      <c r="D283" s="120"/>
      <c r="E283" s="120"/>
      <c r="F283" s="120"/>
      <c r="G283" s="120"/>
      <c r="H283" s="120"/>
      <c r="I283" s="120"/>
      <c r="J283" s="120"/>
      <c r="K283" s="120"/>
      <c r="L283" s="120"/>
      <c r="M283" s="120"/>
      <c r="N283" s="120"/>
      <c r="O283" s="120"/>
      <c r="P283" s="120"/>
      <c r="Q283" s="120"/>
      <c r="R283" s="120"/>
      <c r="S283" s="120"/>
      <c r="T283" s="120"/>
      <c r="U283" s="120"/>
      <c r="V283" s="120"/>
      <c r="W283" s="120"/>
      <c r="X283" s="120"/>
      <c r="Y283" s="120"/>
      <c r="Z283" s="120"/>
      <c r="AA283" s="120"/>
      <c r="AB283" s="120"/>
      <c r="AC283" s="120"/>
      <c r="AD283" s="120"/>
    </row>
    <row r="284">
      <c r="A284" s="120"/>
      <c r="B284" s="120"/>
      <c r="C284" s="120"/>
      <c r="D284" s="120"/>
      <c r="E284" s="120"/>
      <c r="F284" s="120"/>
      <c r="G284" s="120"/>
      <c r="H284" s="120"/>
      <c r="I284" s="120"/>
      <c r="J284" s="120"/>
      <c r="K284" s="120"/>
      <c r="L284" s="120"/>
      <c r="M284" s="120"/>
      <c r="N284" s="120"/>
      <c r="O284" s="120"/>
      <c r="P284" s="120"/>
      <c r="Q284" s="120"/>
      <c r="R284" s="120"/>
      <c r="S284" s="120"/>
      <c r="T284" s="120"/>
      <c r="U284" s="120"/>
      <c r="V284" s="120"/>
      <c r="W284" s="120"/>
      <c r="X284" s="120"/>
      <c r="Y284" s="120"/>
      <c r="Z284" s="120"/>
      <c r="AA284" s="120"/>
      <c r="AB284" s="120"/>
      <c r="AC284" s="120"/>
      <c r="AD284" s="120"/>
    </row>
    <row r="285">
      <c r="A285" s="120"/>
      <c r="B285" s="120"/>
      <c r="C285" s="120"/>
      <c r="D285" s="120"/>
      <c r="E285" s="120"/>
      <c r="F285" s="120"/>
      <c r="G285" s="120"/>
      <c r="H285" s="120"/>
      <c r="I285" s="120"/>
      <c r="J285" s="120"/>
      <c r="K285" s="120"/>
      <c r="L285" s="120"/>
      <c r="M285" s="120"/>
      <c r="N285" s="120"/>
      <c r="O285" s="120"/>
      <c r="P285" s="120"/>
      <c r="Q285" s="120"/>
      <c r="R285" s="120"/>
      <c r="S285" s="120"/>
      <c r="T285" s="120"/>
      <c r="U285" s="120"/>
      <c r="V285" s="120"/>
      <c r="W285" s="120"/>
      <c r="X285" s="120"/>
      <c r="Y285" s="120"/>
      <c r="Z285" s="120"/>
      <c r="AA285" s="120"/>
      <c r="AB285" s="120"/>
      <c r="AC285" s="120"/>
      <c r="AD285" s="120"/>
    </row>
    <row r="286">
      <c r="A286" s="120"/>
      <c r="B286" s="120"/>
      <c r="C286" s="120"/>
      <c r="D286" s="120"/>
      <c r="E286" s="120"/>
      <c r="F286" s="120"/>
      <c r="G286" s="120"/>
      <c r="H286" s="120"/>
      <c r="I286" s="120"/>
      <c r="J286" s="120"/>
      <c r="K286" s="120"/>
      <c r="L286" s="120"/>
      <c r="M286" s="120"/>
      <c r="N286" s="120"/>
      <c r="O286" s="120"/>
      <c r="P286" s="120"/>
      <c r="Q286" s="120"/>
      <c r="R286" s="120"/>
      <c r="S286" s="120"/>
      <c r="T286" s="120"/>
      <c r="U286" s="120"/>
      <c r="V286" s="120"/>
      <c r="W286" s="120"/>
      <c r="X286" s="120"/>
      <c r="Y286" s="120"/>
      <c r="Z286" s="120"/>
      <c r="AA286" s="120"/>
      <c r="AB286" s="120"/>
      <c r="AC286" s="120"/>
      <c r="AD286" s="120"/>
    </row>
    <row r="287">
      <c r="A287" s="120"/>
      <c r="B287" s="120"/>
      <c r="C287" s="120"/>
      <c r="D287" s="120"/>
      <c r="E287" s="120"/>
      <c r="F287" s="120"/>
      <c r="G287" s="120"/>
      <c r="H287" s="120"/>
      <c r="I287" s="120"/>
      <c r="J287" s="120"/>
      <c r="K287" s="120"/>
      <c r="L287" s="120"/>
      <c r="M287" s="120"/>
      <c r="N287" s="120"/>
      <c r="O287" s="120"/>
      <c r="P287" s="120"/>
      <c r="Q287" s="120"/>
      <c r="R287" s="120"/>
      <c r="S287" s="120"/>
      <c r="T287" s="120"/>
      <c r="U287" s="120"/>
      <c r="V287" s="120"/>
      <c r="W287" s="120"/>
      <c r="X287" s="120"/>
      <c r="Y287" s="120"/>
      <c r="Z287" s="120"/>
      <c r="AA287" s="120"/>
      <c r="AB287" s="120"/>
      <c r="AC287" s="120"/>
      <c r="AD287" s="120"/>
    </row>
    <row r="288">
      <c r="A288" s="120"/>
      <c r="B288" s="120"/>
      <c r="C288" s="120"/>
      <c r="D288" s="120"/>
      <c r="E288" s="120"/>
      <c r="F288" s="120"/>
      <c r="G288" s="120"/>
      <c r="H288" s="120"/>
      <c r="I288" s="120"/>
      <c r="J288" s="120"/>
      <c r="K288" s="120"/>
      <c r="L288" s="120"/>
      <c r="M288" s="120"/>
      <c r="N288" s="120"/>
      <c r="O288" s="120"/>
      <c r="P288" s="120"/>
      <c r="Q288" s="120"/>
      <c r="R288" s="120"/>
      <c r="S288" s="120"/>
      <c r="T288" s="120"/>
      <c r="U288" s="120"/>
      <c r="V288" s="120"/>
      <c r="W288" s="120"/>
      <c r="X288" s="120"/>
      <c r="Y288" s="120"/>
      <c r="Z288" s="120"/>
      <c r="AA288" s="120"/>
      <c r="AB288" s="120"/>
      <c r="AC288" s="120"/>
      <c r="AD288" s="120"/>
    </row>
    <row r="289">
      <c r="A289" s="120"/>
      <c r="B289" s="120"/>
      <c r="C289" s="120"/>
      <c r="D289" s="120"/>
      <c r="E289" s="120"/>
      <c r="F289" s="120"/>
      <c r="G289" s="120"/>
      <c r="H289" s="120"/>
      <c r="I289" s="120"/>
      <c r="J289" s="120"/>
      <c r="K289" s="120"/>
      <c r="L289" s="120"/>
      <c r="M289" s="120"/>
      <c r="N289" s="120"/>
      <c r="O289" s="120"/>
      <c r="P289" s="120"/>
      <c r="Q289" s="120"/>
      <c r="R289" s="120"/>
      <c r="S289" s="120"/>
      <c r="T289" s="120"/>
      <c r="U289" s="120"/>
      <c r="V289" s="120"/>
      <c r="W289" s="120"/>
      <c r="X289" s="120"/>
      <c r="Y289" s="120"/>
      <c r="Z289" s="120"/>
      <c r="AA289" s="120"/>
      <c r="AB289" s="120"/>
      <c r="AC289" s="120"/>
      <c r="AD289" s="120"/>
    </row>
    <row r="290">
      <c r="A290" s="120"/>
      <c r="B290" s="120"/>
      <c r="C290" s="120"/>
      <c r="D290" s="120"/>
      <c r="E290" s="120"/>
      <c r="F290" s="120"/>
      <c r="G290" s="120"/>
      <c r="H290" s="120"/>
      <c r="I290" s="120"/>
      <c r="J290" s="120"/>
      <c r="K290" s="120"/>
      <c r="L290" s="120"/>
      <c r="M290" s="120"/>
      <c r="N290" s="120"/>
      <c r="O290" s="120"/>
      <c r="P290" s="120"/>
      <c r="Q290" s="120"/>
      <c r="R290" s="120"/>
      <c r="S290" s="120"/>
      <c r="T290" s="120"/>
      <c r="U290" s="120"/>
      <c r="V290" s="120"/>
      <c r="W290" s="120"/>
      <c r="X290" s="120"/>
      <c r="Y290" s="120"/>
      <c r="Z290" s="120"/>
      <c r="AA290" s="120"/>
      <c r="AB290" s="120"/>
      <c r="AC290" s="120"/>
      <c r="AD290" s="120"/>
    </row>
    <row r="291">
      <c r="A291" s="120"/>
      <c r="B291" s="120"/>
      <c r="C291" s="120"/>
      <c r="D291" s="120"/>
      <c r="E291" s="120"/>
      <c r="F291" s="120"/>
      <c r="G291" s="120"/>
      <c r="H291" s="120"/>
      <c r="I291" s="120"/>
      <c r="J291" s="120"/>
      <c r="K291" s="120"/>
      <c r="L291" s="120"/>
      <c r="M291" s="120"/>
      <c r="N291" s="120"/>
      <c r="O291" s="120"/>
      <c r="P291" s="120"/>
      <c r="Q291" s="120"/>
      <c r="R291" s="120"/>
      <c r="S291" s="120"/>
      <c r="T291" s="120"/>
      <c r="U291" s="120"/>
      <c r="V291" s="120"/>
      <c r="W291" s="120"/>
      <c r="X291" s="120"/>
      <c r="Y291" s="120"/>
      <c r="Z291" s="120"/>
      <c r="AA291" s="120"/>
      <c r="AB291" s="120"/>
      <c r="AC291" s="120"/>
      <c r="AD291" s="120"/>
    </row>
    <row r="292">
      <c r="A292" s="120"/>
      <c r="B292" s="120"/>
      <c r="C292" s="120"/>
      <c r="D292" s="120"/>
      <c r="E292" s="120"/>
      <c r="F292" s="120"/>
      <c r="G292" s="120"/>
      <c r="H292" s="120"/>
      <c r="I292" s="120"/>
      <c r="J292" s="120"/>
      <c r="K292" s="120"/>
      <c r="L292" s="120"/>
      <c r="M292" s="120"/>
      <c r="N292" s="120"/>
      <c r="O292" s="120"/>
      <c r="P292" s="120"/>
      <c r="Q292" s="120"/>
      <c r="R292" s="120"/>
      <c r="S292" s="120"/>
      <c r="T292" s="120"/>
      <c r="U292" s="120"/>
      <c r="V292" s="120"/>
      <c r="W292" s="120"/>
      <c r="X292" s="120"/>
      <c r="Y292" s="120"/>
      <c r="Z292" s="120"/>
      <c r="AA292" s="120"/>
      <c r="AB292" s="120"/>
      <c r="AC292" s="120"/>
      <c r="AD292" s="120"/>
    </row>
    <row r="293">
      <c r="A293" s="120"/>
      <c r="B293" s="120"/>
      <c r="C293" s="120"/>
      <c r="D293" s="120"/>
      <c r="E293" s="120"/>
      <c r="F293" s="120"/>
      <c r="G293" s="120"/>
      <c r="H293" s="120"/>
      <c r="I293" s="120"/>
      <c r="J293" s="120"/>
      <c r="K293" s="120"/>
      <c r="L293" s="120"/>
      <c r="M293" s="120"/>
      <c r="N293" s="120"/>
      <c r="O293" s="120"/>
      <c r="P293" s="120"/>
      <c r="Q293" s="120"/>
      <c r="R293" s="120"/>
      <c r="S293" s="120"/>
      <c r="T293" s="120"/>
      <c r="U293" s="120"/>
      <c r="V293" s="120"/>
      <c r="W293" s="120"/>
      <c r="X293" s="120"/>
      <c r="Y293" s="120"/>
      <c r="Z293" s="120"/>
      <c r="AA293" s="120"/>
      <c r="AB293" s="120"/>
      <c r="AC293" s="120"/>
      <c r="AD293" s="120"/>
    </row>
    <row r="294">
      <c r="A294" s="120"/>
      <c r="B294" s="120"/>
      <c r="C294" s="120"/>
      <c r="D294" s="120"/>
      <c r="E294" s="120"/>
      <c r="F294" s="120"/>
      <c r="G294" s="120"/>
      <c r="H294" s="120"/>
      <c r="I294" s="120"/>
      <c r="J294" s="120"/>
      <c r="K294" s="120"/>
      <c r="L294" s="120"/>
      <c r="M294" s="120"/>
      <c r="N294" s="120"/>
      <c r="O294" s="120"/>
      <c r="P294" s="120"/>
      <c r="Q294" s="120"/>
      <c r="R294" s="120"/>
      <c r="S294" s="120"/>
      <c r="T294" s="120"/>
      <c r="U294" s="120"/>
      <c r="V294" s="120"/>
      <c r="W294" s="120"/>
      <c r="X294" s="120"/>
      <c r="Y294" s="120"/>
      <c r="Z294" s="120"/>
      <c r="AA294" s="120"/>
      <c r="AB294" s="120"/>
      <c r="AC294" s="120"/>
      <c r="AD294" s="120"/>
    </row>
    <row r="295">
      <c r="A295" s="120"/>
      <c r="B295" s="120"/>
      <c r="C295" s="120"/>
      <c r="D295" s="120"/>
      <c r="E295" s="120"/>
      <c r="F295" s="120"/>
      <c r="G295" s="120"/>
      <c r="H295" s="120"/>
      <c r="I295" s="120"/>
      <c r="J295" s="120"/>
      <c r="K295" s="120"/>
      <c r="L295" s="120"/>
      <c r="M295" s="120"/>
      <c r="N295" s="120"/>
      <c r="O295" s="120"/>
      <c r="P295" s="120"/>
      <c r="Q295" s="120"/>
      <c r="R295" s="120"/>
      <c r="S295" s="120"/>
      <c r="T295" s="120"/>
      <c r="U295" s="120"/>
      <c r="V295" s="120"/>
      <c r="W295" s="120"/>
      <c r="X295" s="120"/>
      <c r="Y295" s="120"/>
      <c r="Z295" s="120"/>
      <c r="AA295" s="120"/>
      <c r="AB295" s="120"/>
      <c r="AC295" s="120"/>
      <c r="AD295" s="120"/>
    </row>
    <row r="296">
      <c r="A296" s="120"/>
      <c r="B296" s="120"/>
      <c r="C296" s="120"/>
      <c r="D296" s="120"/>
      <c r="E296" s="120"/>
      <c r="F296" s="120"/>
      <c r="G296" s="120"/>
      <c r="H296" s="120"/>
      <c r="I296" s="120"/>
      <c r="J296" s="120"/>
      <c r="K296" s="120"/>
      <c r="L296" s="120"/>
      <c r="M296" s="120"/>
      <c r="N296" s="120"/>
      <c r="O296" s="120"/>
      <c r="P296" s="120"/>
      <c r="Q296" s="120"/>
      <c r="R296" s="120"/>
      <c r="S296" s="120"/>
      <c r="T296" s="120"/>
      <c r="U296" s="120"/>
      <c r="V296" s="120"/>
      <c r="W296" s="120"/>
      <c r="X296" s="120"/>
      <c r="Y296" s="120"/>
      <c r="Z296" s="120"/>
      <c r="AA296" s="120"/>
      <c r="AB296" s="120"/>
      <c r="AC296" s="120"/>
      <c r="AD296" s="120"/>
    </row>
    <row r="297">
      <c r="A297" s="120"/>
      <c r="B297" s="120"/>
      <c r="C297" s="120"/>
      <c r="D297" s="120"/>
      <c r="E297" s="120"/>
      <c r="F297" s="120"/>
      <c r="G297" s="120"/>
      <c r="H297" s="120"/>
      <c r="I297" s="120"/>
      <c r="J297" s="120"/>
      <c r="K297" s="120"/>
      <c r="L297" s="120"/>
      <c r="M297" s="120"/>
      <c r="N297" s="120"/>
      <c r="O297" s="120"/>
      <c r="P297" s="120"/>
      <c r="Q297" s="120"/>
      <c r="R297" s="120"/>
      <c r="S297" s="120"/>
      <c r="T297" s="120"/>
      <c r="U297" s="120"/>
      <c r="V297" s="120"/>
      <c r="W297" s="120"/>
      <c r="X297" s="120"/>
      <c r="Y297" s="120"/>
      <c r="Z297" s="120"/>
      <c r="AA297" s="120"/>
      <c r="AB297" s="120"/>
      <c r="AC297" s="120"/>
      <c r="AD297" s="120"/>
    </row>
    <row r="298">
      <c r="A298" s="120"/>
      <c r="B298" s="120"/>
      <c r="C298" s="120"/>
      <c r="D298" s="120"/>
      <c r="E298" s="120"/>
      <c r="F298" s="120"/>
      <c r="G298" s="120"/>
      <c r="H298" s="120"/>
      <c r="I298" s="120"/>
      <c r="J298" s="120"/>
      <c r="K298" s="120"/>
      <c r="L298" s="120"/>
      <c r="M298" s="120"/>
      <c r="N298" s="120"/>
      <c r="O298" s="120"/>
      <c r="P298" s="120"/>
      <c r="Q298" s="120"/>
      <c r="R298" s="120"/>
      <c r="S298" s="120"/>
      <c r="T298" s="120"/>
      <c r="U298" s="120"/>
      <c r="V298" s="120"/>
      <c r="W298" s="120"/>
      <c r="X298" s="120"/>
      <c r="Y298" s="120"/>
      <c r="Z298" s="120"/>
      <c r="AA298" s="120"/>
      <c r="AB298" s="120"/>
      <c r="AC298" s="120"/>
      <c r="AD298" s="120"/>
    </row>
    <row r="299">
      <c r="A299" s="120"/>
      <c r="B299" s="120"/>
      <c r="C299" s="120"/>
      <c r="D299" s="120"/>
      <c r="E299" s="120"/>
      <c r="F299" s="120"/>
      <c r="G299" s="120"/>
      <c r="H299" s="120"/>
      <c r="I299" s="120"/>
      <c r="J299" s="120"/>
      <c r="K299" s="120"/>
      <c r="L299" s="120"/>
      <c r="M299" s="120"/>
      <c r="N299" s="120"/>
      <c r="O299" s="120"/>
      <c r="P299" s="120"/>
      <c r="Q299" s="120"/>
      <c r="R299" s="120"/>
      <c r="S299" s="120"/>
      <c r="T299" s="120"/>
      <c r="U299" s="120"/>
      <c r="V299" s="120"/>
      <c r="W299" s="120"/>
      <c r="X299" s="120"/>
      <c r="Y299" s="120"/>
      <c r="Z299" s="120"/>
      <c r="AA299" s="120"/>
      <c r="AB299" s="120"/>
      <c r="AC299" s="120"/>
      <c r="AD299" s="120"/>
    </row>
    <row r="300">
      <c r="A300" s="120"/>
      <c r="B300" s="120"/>
      <c r="C300" s="120"/>
      <c r="D300" s="120"/>
      <c r="E300" s="120"/>
      <c r="F300" s="120"/>
      <c r="G300" s="120"/>
      <c r="H300" s="120"/>
      <c r="I300" s="120"/>
      <c r="J300" s="120"/>
      <c r="K300" s="120"/>
      <c r="L300" s="120"/>
      <c r="M300" s="120"/>
      <c r="N300" s="120"/>
      <c r="O300" s="120"/>
      <c r="P300" s="120"/>
      <c r="Q300" s="120"/>
      <c r="R300" s="120"/>
      <c r="S300" s="120"/>
      <c r="T300" s="120"/>
      <c r="U300" s="120"/>
      <c r="V300" s="120"/>
      <c r="W300" s="120"/>
      <c r="X300" s="120"/>
      <c r="Y300" s="120"/>
      <c r="Z300" s="120"/>
      <c r="AA300" s="120"/>
      <c r="AB300" s="120"/>
      <c r="AC300" s="120"/>
      <c r="AD300" s="120"/>
    </row>
    <row r="301">
      <c r="A301" s="120"/>
      <c r="B301" s="120"/>
      <c r="C301" s="120"/>
      <c r="D301" s="120"/>
      <c r="E301" s="120"/>
      <c r="F301" s="120"/>
      <c r="G301" s="120"/>
      <c r="H301" s="120"/>
      <c r="I301" s="120"/>
      <c r="J301" s="120"/>
      <c r="K301" s="120"/>
      <c r="L301" s="120"/>
      <c r="M301" s="120"/>
      <c r="N301" s="120"/>
      <c r="O301" s="120"/>
      <c r="P301" s="120"/>
      <c r="Q301" s="120"/>
      <c r="R301" s="120"/>
      <c r="S301" s="120"/>
      <c r="T301" s="120"/>
      <c r="U301" s="120"/>
      <c r="V301" s="120"/>
      <c r="W301" s="120"/>
      <c r="X301" s="120"/>
      <c r="Y301" s="120"/>
      <c r="Z301" s="120"/>
      <c r="AA301" s="120"/>
      <c r="AB301" s="120"/>
      <c r="AC301" s="120"/>
      <c r="AD301" s="120"/>
    </row>
    <row r="302">
      <c r="A302" s="120"/>
      <c r="B302" s="120"/>
      <c r="C302" s="120"/>
      <c r="D302" s="120"/>
      <c r="E302" s="120"/>
      <c r="F302" s="120"/>
      <c r="G302" s="120"/>
      <c r="H302" s="120"/>
      <c r="I302" s="120"/>
      <c r="J302" s="120"/>
      <c r="K302" s="120"/>
      <c r="L302" s="120"/>
      <c r="M302" s="120"/>
      <c r="N302" s="120"/>
      <c r="O302" s="120"/>
      <c r="P302" s="120"/>
      <c r="Q302" s="120"/>
      <c r="R302" s="120"/>
      <c r="S302" s="120"/>
      <c r="T302" s="120"/>
      <c r="U302" s="120"/>
      <c r="V302" s="120"/>
      <c r="W302" s="120"/>
      <c r="X302" s="120"/>
      <c r="Y302" s="120"/>
      <c r="Z302" s="120"/>
      <c r="AA302" s="120"/>
      <c r="AB302" s="120"/>
      <c r="AC302" s="120"/>
      <c r="AD302" s="120"/>
    </row>
    <row r="303">
      <c r="A303" s="120"/>
      <c r="B303" s="120"/>
      <c r="C303" s="120"/>
      <c r="D303" s="120"/>
      <c r="E303" s="120"/>
      <c r="F303" s="120"/>
      <c r="G303" s="120"/>
      <c r="H303" s="120"/>
      <c r="I303" s="120"/>
      <c r="J303" s="120"/>
      <c r="K303" s="120"/>
      <c r="L303" s="120"/>
      <c r="M303" s="120"/>
      <c r="N303" s="120"/>
      <c r="O303" s="120"/>
      <c r="P303" s="120"/>
      <c r="Q303" s="120"/>
      <c r="R303" s="120"/>
      <c r="S303" s="120"/>
      <c r="T303" s="120"/>
      <c r="U303" s="120"/>
      <c r="V303" s="120"/>
      <c r="W303" s="120"/>
      <c r="X303" s="120"/>
      <c r="Y303" s="120"/>
      <c r="Z303" s="120"/>
      <c r="AA303" s="120"/>
      <c r="AB303" s="120"/>
      <c r="AC303" s="120"/>
      <c r="AD303" s="120"/>
    </row>
    <row r="304">
      <c r="A304" s="120"/>
      <c r="B304" s="120"/>
      <c r="C304" s="120"/>
      <c r="D304" s="120"/>
      <c r="E304" s="120"/>
      <c r="F304" s="120"/>
      <c r="G304" s="120"/>
      <c r="H304" s="120"/>
      <c r="I304" s="120"/>
      <c r="J304" s="120"/>
      <c r="K304" s="120"/>
      <c r="L304" s="120"/>
      <c r="M304" s="120"/>
      <c r="N304" s="120"/>
      <c r="O304" s="120"/>
      <c r="P304" s="120"/>
      <c r="Q304" s="120"/>
      <c r="R304" s="120"/>
      <c r="S304" s="120"/>
      <c r="T304" s="120"/>
      <c r="U304" s="120"/>
      <c r="V304" s="120"/>
      <c r="W304" s="120"/>
      <c r="X304" s="120"/>
      <c r="Y304" s="120"/>
      <c r="Z304" s="120"/>
      <c r="AA304" s="120"/>
      <c r="AB304" s="120"/>
      <c r="AC304" s="120"/>
      <c r="AD304" s="120"/>
    </row>
    <row r="305">
      <c r="A305" s="120"/>
      <c r="B305" s="120"/>
      <c r="C305" s="120"/>
      <c r="D305" s="120"/>
      <c r="E305" s="120"/>
      <c r="F305" s="120"/>
      <c r="G305" s="120"/>
      <c r="H305" s="120"/>
      <c r="I305" s="120"/>
      <c r="J305" s="120"/>
      <c r="K305" s="120"/>
      <c r="L305" s="120"/>
      <c r="M305" s="120"/>
      <c r="N305" s="120"/>
      <c r="O305" s="120"/>
      <c r="P305" s="120"/>
      <c r="Q305" s="120"/>
      <c r="R305" s="120"/>
      <c r="S305" s="120"/>
      <c r="T305" s="120"/>
      <c r="U305" s="120"/>
      <c r="V305" s="120"/>
      <c r="W305" s="120"/>
      <c r="X305" s="120"/>
      <c r="Y305" s="120"/>
      <c r="Z305" s="120"/>
      <c r="AA305" s="120"/>
      <c r="AB305" s="120"/>
      <c r="AC305" s="120"/>
      <c r="AD305" s="120"/>
    </row>
    <row r="306">
      <c r="A306" s="120"/>
      <c r="B306" s="120"/>
      <c r="C306" s="120"/>
      <c r="D306" s="120"/>
      <c r="E306" s="120"/>
      <c r="F306" s="120"/>
      <c r="G306" s="120"/>
      <c r="H306" s="120"/>
      <c r="I306" s="120"/>
      <c r="J306" s="120"/>
      <c r="K306" s="120"/>
      <c r="L306" s="120"/>
      <c r="M306" s="120"/>
      <c r="N306" s="120"/>
      <c r="O306" s="120"/>
      <c r="P306" s="120"/>
      <c r="Q306" s="120"/>
      <c r="R306" s="120"/>
      <c r="S306" s="120"/>
      <c r="T306" s="120"/>
      <c r="U306" s="120"/>
      <c r="V306" s="120"/>
      <c r="W306" s="120"/>
      <c r="X306" s="120"/>
      <c r="Y306" s="120"/>
      <c r="Z306" s="120"/>
      <c r="AA306" s="120"/>
      <c r="AB306" s="120"/>
      <c r="AC306" s="120"/>
      <c r="AD306" s="120"/>
    </row>
    <row r="307">
      <c r="A307" s="120"/>
      <c r="B307" s="120"/>
      <c r="C307" s="120"/>
      <c r="D307" s="120"/>
      <c r="E307" s="120"/>
      <c r="F307" s="120"/>
      <c r="G307" s="120"/>
      <c r="H307" s="120"/>
      <c r="I307" s="120"/>
      <c r="J307" s="120"/>
      <c r="K307" s="120"/>
      <c r="L307" s="120"/>
      <c r="M307" s="120"/>
      <c r="N307" s="120"/>
      <c r="O307" s="120"/>
      <c r="P307" s="120"/>
      <c r="Q307" s="120"/>
      <c r="R307" s="120"/>
      <c r="S307" s="120"/>
      <c r="T307" s="120"/>
      <c r="U307" s="120"/>
      <c r="V307" s="120"/>
      <c r="W307" s="120"/>
      <c r="X307" s="120"/>
      <c r="Y307" s="120"/>
      <c r="Z307" s="120"/>
      <c r="AA307" s="120"/>
      <c r="AB307" s="120"/>
      <c r="AC307" s="120"/>
      <c r="AD307" s="120"/>
    </row>
    <row r="308">
      <c r="A308" s="120"/>
      <c r="B308" s="120"/>
      <c r="C308" s="120"/>
      <c r="D308" s="120"/>
      <c r="E308" s="120"/>
      <c r="F308" s="120"/>
      <c r="G308" s="120"/>
      <c r="H308" s="120"/>
      <c r="I308" s="120"/>
      <c r="J308" s="120"/>
      <c r="K308" s="120"/>
      <c r="L308" s="120"/>
      <c r="M308" s="120"/>
      <c r="N308" s="120"/>
      <c r="O308" s="120"/>
      <c r="P308" s="120"/>
      <c r="Q308" s="120"/>
      <c r="R308" s="120"/>
      <c r="S308" s="120"/>
      <c r="T308" s="120"/>
      <c r="U308" s="120"/>
      <c r="V308" s="120"/>
      <c r="W308" s="120"/>
      <c r="X308" s="120"/>
      <c r="Y308" s="120"/>
      <c r="Z308" s="120"/>
      <c r="AA308" s="120"/>
      <c r="AB308" s="120"/>
      <c r="AC308" s="120"/>
      <c r="AD308" s="120"/>
    </row>
    <row r="309">
      <c r="A309" s="120"/>
      <c r="B309" s="120"/>
      <c r="C309" s="120"/>
      <c r="D309" s="120"/>
      <c r="E309" s="120"/>
      <c r="F309" s="120"/>
      <c r="G309" s="120"/>
      <c r="H309" s="120"/>
      <c r="I309" s="120"/>
      <c r="J309" s="120"/>
      <c r="K309" s="120"/>
      <c r="L309" s="120"/>
      <c r="M309" s="120"/>
      <c r="N309" s="120"/>
      <c r="O309" s="120"/>
      <c r="P309" s="120"/>
      <c r="Q309" s="120"/>
      <c r="R309" s="120"/>
      <c r="S309" s="120"/>
      <c r="T309" s="120"/>
      <c r="U309" s="120"/>
      <c r="V309" s="120"/>
      <c r="W309" s="120"/>
      <c r="X309" s="120"/>
      <c r="Y309" s="120"/>
      <c r="Z309" s="120"/>
      <c r="AA309" s="120"/>
      <c r="AB309" s="120"/>
      <c r="AC309" s="120"/>
      <c r="AD309" s="120"/>
    </row>
    <row r="310">
      <c r="A310" s="120"/>
      <c r="B310" s="120"/>
      <c r="C310" s="120"/>
      <c r="D310" s="120"/>
      <c r="E310" s="120"/>
      <c r="F310" s="120"/>
      <c r="G310" s="120"/>
      <c r="H310" s="120"/>
      <c r="I310" s="120"/>
      <c r="J310" s="120"/>
      <c r="K310" s="120"/>
      <c r="L310" s="120"/>
      <c r="M310" s="120"/>
      <c r="N310" s="120"/>
      <c r="O310" s="120"/>
      <c r="P310" s="120"/>
      <c r="Q310" s="120"/>
      <c r="R310" s="120"/>
      <c r="S310" s="120"/>
      <c r="T310" s="120"/>
      <c r="U310" s="120"/>
      <c r="V310" s="120"/>
      <c r="W310" s="120"/>
      <c r="X310" s="120"/>
      <c r="Y310" s="120"/>
      <c r="Z310" s="120"/>
      <c r="AA310" s="120"/>
      <c r="AB310" s="120"/>
      <c r="AC310" s="120"/>
      <c r="AD310" s="120"/>
    </row>
    <row r="311">
      <c r="A311" s="120"/>
      <c r="B311" s="120"/>
      <c r="C311" s="120"/>
      <c r="D311" s="120"/>
      <c r="E311" s="120"/>
      <c r="F311" s="120"/>
      <c r="G311" s="120"/>
      <c r="H311" s="120"/>
      <c r="I311" s="120"/>
      <c r="J311" s="120"/>
      <c r="K311" s="120"/>
      <c r="L311" s="120"/>
      <c r="M311" s="120"/>
      <c r="N311" s="120"/>
      <c r="O311" s="120"/>
      <c r="P311" s="120"/>
      <c r="Q311" s="120"/>
      <c r="R311" s="120"/>
      <c r="S311" s="120"/>
      <c r="T311" s="120"/>
      <c r="U311" s="120"/>
      <c r="V311" s="120"/>
      <c r="W311" s="120"/>
      <c r="X311" s="120"/>
      <c r="Y311" s="120"/>
      <c r="Z311" s="120"/>
      <c r="AA311" s="120"/>
      <c r="AB311" s="120"/>
      <c r="AC311" s="120"/>
      <c r="AD311" s="120"/>
    </row>
    <row r="312">
      <c r="A312" s="120"/>
      <c r="B312" s="120"/>
      <c r="C312" s="120"/>
      <c r="D312" s="120"/>
      <c r="E312" s="120"/>
      <c r="F312" s="120"/>
      <c r="G312" s="120"/>
      <c r="H312" s="120"/>
      <c r="I312" s="120"/>
      <c r="J312" s="120"/>
      <c r="K312" s="120"/>
      <c r="L312" s="120"/>
      <c r="M312" s="120"/>
      <c r="N312" s="120"/>
      <c r="O312" s="120"/>
      <c r="P312" s="120"/>
      <c r="Q312" s="120"/>
      <c r="R312" s="120"/>
      <c r="S312" s="120"/>
      <c r="T312" s="120"/>
      <c r="U312" s="120"/>
      <c r="V312" s="120"/>
      <c r="W312" s="120"/>
      <c r="X312" s="120"/>
      <c r="Y312" s="120"/>
      <c r="Z312" s="120"/>
      <c r="AA312" s="120"/>
      <c r="AB312" s="120"/>
      <c r="AC312" s="120"/>
      <c r="AD312" s="120"/>
    </row>
    <row r="313">
      <c r="A313" s="120"/>
      <c r="B313" s="120"/>
      <c r="C313" s="120"/>
      <c r="D313" s="120"/>
      <c r="E313" s="120"/>
      <c r="F313" s="120"/>
      <c r="G313" s="120"/>
      <c r="H313" s="120"/>
      <c r="I313" s="120"/>
      <c r="J313" s="120"/>
      <c r="K313" s="120"/>
      <c r="L313" s="120"/>
      <c r="M313" s="120"/>
      <c r="N313" s="120"/>
      <c r="O313" s="120"/>
      <c r="P313" s="120"/>
      <c r="Q313" s="120"/>
      <c r="R313" s="120"/>
      <c r="S313" s="120"/>
      <c r="T313" s="120"/>
      <c r="U313" s="120"/>
      <c r="V313" s="120"/>
      <c r="W313" s="120"/>
      <c r="X313" s="120"/>
      <c r="Y313" s="120"/>
      <c r="Z313" s="120"/>
      <c r="AA313" s="120"/>
      <c r="AB313" s="120"/>
      <c r="AC313" s="120"/>
      <c r="AD313" s="120"/>
    </row>
    <row r="314">
      <c r="A314" s="120"/>
      <c r="B314" s="120"/>
      <c r="C314" s="120"/>
      <c r="D314" s="120"/>
      <c r="E314" s="120"/>
      <c r="F314" s="120"/>
      <c r="G314" s="120"/>
      <c r="H314" s="120"/>
      <c r="I314" s="120"/>
      <c r="J314" s="120"/>
      <c r="K314" s="120"/>
      <c r="L314" s="120"/>
      <c r="M314" s="120"/>
      <c r="N314" s="120"/>
      <c r="O314" s="120"/>
      <c r="P314" s="120"/>
      <c r="Q314" s="120"/>
      <c r="R314" s="120"/>
      <c r="S314" s="120"/>
      <c r="T314" s="120"/>
      <c r="U314" s="120"/>
      <c r="V314" s="120"/>
      <c r="W314" s="120"/>
      <c r="X314" s="120"/>
      <c r="Y314" s="120"/>
      <c r="Z314" s="120"/>
      <c r="AA314" s="120"/>
      <c r="AB314" s="120"/>
      <c r="AC314" s="120"/>
      <c r="AD314" s="120"/>
    </row>
    <row r="315">
      <c r="A315" s="120"/>
      <c r="B315" s="120"/>
      <c r="C315" s="120"/>
      <c r="D315" s="120"/>
      <c r="E315" s="120"/>
      <c r="F315" s="120"/>
      <c r="G315" s="120"/>
      <c r="H315" s="120"/>
      <c r="I315" s="120"/>
      <c r="J315" s="120"/>
      <c r="K315" s="120"/>
      <c r="L315" s="120"/>
      <c r="M315" s="120"/>
      <c r="N315" s="120"/>
      <c r="O315" s="120"/>
      <c r="P315" s="120"/>
      <c r="Q315" s="120"/>
      <c r="R315" s="120"/>
      <c r="S315" s="120"/>
      <c r="T315" s="120"/>
      <c r="U315" s="120"/>
      <c r="V315" s="120"/>
      <c r="W315" s="120"/>
      <c r="X315" s="120"/>
      <c r="Y315" s="120"/>
      <c r="Z315" s="120"/>
      <c r="AA315" s="120"/>
      <c r="AB315" s="120"/>
      <c r="AC315" s="120"/>
      <c r="AD315" s="120"/>
    </row>
    <row r="316">
      <c r="A316" s="120"/>
      <c r="B316" s="120"/>
      <c r="C316" s="120"/>
      <c r="D316" s="120"/>
      <c r="E316" s="120"/>
      <c r="F316" s="120"/>
      <c r="G316" s="120"/>
      <c r="H316" s="120"/>
      <c r="I316" s="120"/>
      <c r="J316" s="120"/>
      <c r="K316" s="120"/>
      <c r="L316" s="120"/>
      <c r="M316" s="120"/>
      <c r="N316" s="120"/>
      <c r="O316" s="120"/>
      <c r="P316" s="120"/>
      <c r="Q316" s="120"/>
      <c r="R316" s="120"/>
      <c r="S316" s="120"/>
      <c r="T316" s="120"/>
      <c r="U316" s="120"/>
      <c r="V316" s="120"/>
      <c r="W316" s="120"/>
      <c r="X316" s="120"/>
      <c r="Y316" s="120"/>
      <c r="Z316" s="120"/>
      <c r="AA316" s="120"/>
      <c r="AB316" s="120"/>
      <c r="AC316" s="120"/>
      <c r="AD316" s="120"/>
    </row>
    <row r="317">
      <c r="A317" s="120"/>
      <c r="B317" s="120"/>
      <c r="C317" s="120"/>
      <c r="D317" s="120"/>
      <c r="E317" s="120"/>
      <c r="F317" s="120"/>
      <c r="G317" s="120"/>
      <c r="H317" s="120"/>
      <c r="I317" s="120"/>
      <c r="J317" s="120"/>
      <c r="K317" s="120"/>
      <c r="L317" s="120"/>
      <c r="M317" s="120"/>
      <c r="N317" s="120"/>
      <c r="O317" s="120"/>
      <c r="P317" s="120"/>
      <c r="Q317" s="120"/>
      <c r="R317" s="120"/>
      <c r="S317" s="120"/>
      <c r="T317" s="120"/>
      <c r="U317" s="120"/>
      <c r="V317" s="120"/>
      <c r="W317" s="120"/>
      <c r="X317" s="120"/>
      <c r="Y317" s="120"/>
      <c r="Z317" s="120"/>
      <c r="AA317" s="120"/>
      <c r="AB317" s="120"/>
      <c r="AC317" s="120"/>
      <c r="AD317" s="120"/>
    </row>
    <row r="318">
      <c r="A318" s="120"/>
      <c r="B318" s="120"/>
      <c r="C318" s="120"/>
      <c r="D318" s="120"/>
      <c r="E318" s="120"/>
      <c r="F318" s="120"/>
      <c r="G318" s="120"/>
      <c r="H318" s="120"/>
      <c r="I318" s="120"/>
      <c r="J318" s="120"/>
      <c r="K318" s="120"/>
      <c r="L318" s="120"/>
      <c r="M318" s="120"/>
      <c r="N318" s="120"/>
      <c r="O318" s="120"/>
      <c r="P318" s="120"/>
      <c r="Q318" s="120"/>
      <c r="R318" s="120"/>
      <c r="S318" s="120"/>
      <c r="T318" s="120"/>
      <c r="U318" s="120"/>
      <c r="V318" s="120"/>
      <c r="W318" s="120"/>
      <c r="X318" s="120"/>
      <c r="Y318" s="120"/>
      <c r="Z318" s="120"/>
      <c r="AA318" s="120"/>
      <c r="AB318" s="120"/>
      <c r="AC318" s="120"/>
      <c r="AD318" s="120"/>
    </row>
    <row r="319">
      <c r="A319" s="120"/>
      <c r="B319" s="120"/>
      <c r="C319" s="120"/>
      <c r="D319" s="120"/>
      <c r="E319" s="120"/>
      <c r="F319" s="120"/>
      <c r="G319" s="120"/>
      <c r="H319" s="120"/>
      <c r="I319" s="120"/>
      <c r="J319" s="120"/>
      <c r="K319" s="120"/>
      <c r="L319" s="120"/>
      <c r="M319" s="120"/>
      <c r="N319" s="120"/>
      <c r="O319" s="120"/>
      <c r="P319" s="120"/>
      <c r="Q319" s="120"/>
      <c r="R319" s="120"/>
      <c r="S319" s="120"/>
      <c r="T319" s="120"/>
      <c r="U319" s="120"/>
      <c r="V319" s="120"/>
      <c r="W319" s="120"/>
      <c r="X319" s="120"/>
      <c r="Y319" s="120"/>
      <c r="Z319" s="120"/>
      <c r="AA319" s="120"/>
      <c r="AB319" s="120"/>
      <c r="AC319" s="120"/>
      <c r="AD319" s="120"/>
    </row>
    <row r="320">
      <c r="A320" s="120"/>
      <c r="B320" s="120"/>
      <c r="C320" s="120"/>
      <c r="D320" s="120"/>
      <c r="E320" s="120"/>
      <c r="F320" s="120"/>
      <c r="G320" s="120"/>
      <c r="H320" s="120"/>
      <c r="I320" s="120"/>
      <c r="J320" s="120"/>
      <c r="K320" s="120"/>
      <c r="L320" s="120"/>
      <c r="M320" s="120"/>
      <c r="N320" s="120"/>
      <c r="O320" s="120"/>
      <c r="P320" s="120"/>
      <c r="Q320" s="120"/>
      <c r="R320" s="120"/>
      <c r="S320" s="120"/>
      <c r="T320" s="120"/>
      <c r="U320" s="120"/>
      <c r="V320" s="120"/>
      <c r="W320" s="120"/>
      <c r="X320" s="120"/>
      <c r="Y320" s="120"/>
      <c r="Z320" s="120"/>
      <c r="AA320" s="120"/>
      <c r="AB320" s="120"/>
      <c r="AC320" s="120"/>
      <c r="AD320" s="120"/>
    </row>
    <row r="321">
      <c r="A321" s="120"/>
      <c r="B321" s="120"/>
      <c r="C321" s="120"/>
      <c r="D321" s="120"/>
      <c r="E321" s="120"/>
      <c r="F321" s="120"/>
      <c r="G321" s="120"/>
      <c r="H321" s="120"/>
      <c r="I321" s="120"/>
      <c r="J321" s="120"/>
      <c r="K321" s="120"/>
      <c r="L321" s="120"/>
      <c r="M321" s="120"/>
      <c r="N321" s="120"/>
      <c r="O321" s="120"/>
      <c r="P321" s="120"/>
      <c r="Q321" s="120"/>
      <c r="R321" s="120"/>
      <c r="S321" s="120"/>
      <c r="T321" s="120"/>
      <c r="U321" s="120"/>
      <c r="V321" s="120"/>
      <c r="W321" s="120"/>
      <c r="X321" s="120"/>
      <c r="Y321" s="120"/>
      <c r="Z321" s="120"/>
      <c r="AA321" s="120"/>
      <c r="AB321" s="120"/>
      <c r="AC321" s="120"/>
      <c r="AD321" s="120"/>
    </row>
    <row r="322">
      <c r="A322" s="120"/>
      <c r="B322" s="120"/>
      <c r="C322" s="120"/>
      <c r="D322" s="120"/>
      <c r="E322" s="120"/>
      <c r="F322" s="120"/>
      <c r="G322" s="120"/>
      <c r="H322" s="120"/>
      <c r="I322" s="120"/>
      <c r="J322" s="120"/>
      <c r="K322" s="120"/>
      <c r="L322" s="120"/>
      <c r="M322" s="120"/>
      <c r="N322" s="120"/>
      <c r="O322" s="120"/>
      <c r="P322" s="120"/>
      <c r="Q322" s="120"/>
      <c r="R322" s="120"/>
      <c r="S322" s="120"/>
      <c r="T322" s="120"/>
      <c r="U322" s="120"/>
      <c r="V322" s="120"/>
      <c r="W322" s="120"/>
      <c r="X322" s="120"/>
      <c r="Y322" s="120"/>
      <c r="Z322" s="120"/>
      <c r="AA322" s="120"/>
      <c r="AB322" s="120"/>
      <c r="AC322" s="120"/>
      <c r="AD322" s="120"/>
    </row>
    <row r="323">
      <c r="A323" s="120"/>
      <c r="B323" s="120"/>
      <c r="C323" s="120"/>
      <c r="D323" s="120"/>
      <c r="E323" s="120"/>
      <c r="F323" s="120"/>
      <c r="G323" s="120"/>
      <c r="H323" s="120"/>
      <c r="I323" s="120"/>
      <c r="J323" s="120"/>
      <c r="K323" s="120"/>
      <c r="L323" s="120"/>
      <c r="M323" s="120"/>
      <c r="N323" s="120"/>
      <c r="O323" s="120"/>
      <c r="P323" s="120"/>
      <c r="Q323" s="120"/>
      <c r="R323" s="120"/>
      <c r="S323" s="120"/>
      <c r="T323" s="120"/>
      <c r="U323" s="120"/>
      <c r="V323" s="120"/>
      <c r="W323" s="120"/>
      <c r="X323" s="120"/>
      <c r="Y323" s="120"/>
      <c r="Z323" s="120"/>
      <c r="AA323" s="120"/>
      <c r="AB323" s="120"/>
      <c r="AC323" s="120"/>
      <c r="AD323" s="120"/>
    </row>
    <row r="324">
      <c r="A324" s="120"/>
      <c r="B324" s="120"/>
      <c r="C324" s="120"/>
      <c r="D324" s="120"/>
      <c r="E324" s="120"/>
      <c r="F324" s="120"/>
      <c r="G324" s="120"/>
      <c r="H324" s="120"/>
      <c r="I324" s="120"/>
      <c r="J324" s="120"/>
      <c r="K324" s="120"/>
      <c r="L324" s="120"/>
      <c r="M324" s="120"/>
      <c r="N324" s="120"/>
      <c r="O324" s="120"/>
      <c r="P324" s="120"/>
      <c r="Q324" s="120"/>
      <c r="R324" s="120"/>
      <c r="S324" s="120"/>
      <c r="T324" s="120"/>
      <c r="U324" s="120"/>
      <c r="V324" s="120"/>
      <c r="W324" s="120"/>
      <c r="X324" s="120"/>
      <c r="Y324" s="120"/>
      <c r="Z324" s="120"/>
      <c r="AA324" s="120"/>
      <c r="AB324" s="120"/>
      <c r="AC324" s="120"/>
      <c r="AD324" s="120"/>
    </row>
    <row r="325">
      <c r="A325" s="120"/>
      <c r="B325" s="120"/>
      <c r="C325" s="120"/>
      <c r="D325" s="120"/>
      <c r="E325" s="120"/>
      <c r="F325" s="120"/>
      <c r="G325" s="120"/>
      <c r="H325" s="120"/>
      <c r="I325" s="120"/>
      <c r="J325" s="120"/>
      <c r="K325" s="120"/>
      <c r="L325" s="120"/>
      <c r="M325" s="120"/>
      <c r="N325" s="120"/>
      <c r="O325" s="120"/>
      <c r="P325" s="120"/>
      <c r="Q325" s="120"/>
      <c r="R325" s="120"/>
      <c r="S325" s="120"/>
      <c r="T325" s="120"/>
      <c r="U325" s="120"/>
      <c r="V325" s="120"/>
      <c r="W325" s="120"/>
      <c r="X325" s="120"/>
      <c r="Y325" s="120"/>
      <c r="Z325" s="120"/>
      <c r="AA325" s="120"/>
      <c r="AB325" s="120"/>
      <c r="AC325" s="120"/>
      <c r="AD325" s="120"/>
    </row>
    <row r="326">
      <c r="A326" s="120"/>
      <c r="B326" s="120"/>
      <c r="C326" s="120"/>
      <c r="D326" s="120"/>
      <c r="E326" s="120"/>
      <c r="F326" s="120"/>
      <c r="G326" s="120"/>
      <c r="H326" s="120"/>
      <c r="I326" s="120"/>
      <c r="J326" s="120"/>
      <c r="K326" s="120"/>
      <c r="L326" s="120"/>
      <c r="M326" s="120"/>
      <c r="N326" s="120"/>
      <c r="O326" s="120"/>
      <c r="P326" s="120"/>
      <c r="Q326" s="120"/>
      <c r="R326" s="120"/>
      <c r="S326" s="120"/>
      <c r="T326" s="120"/>
      <c r="U326" s="120"/>
      <c r="V326" s="120"/>
      <c r="W326" s="120"/>
      <c r="X326" s="120"/>
      <c r="Y326" s="120"/>
      <c r="Z326" s="120"/>
      <c r="AA326" s="120"/>
      <c r="AB326" s="120"/>
      <c r="AC326" s="120"/>
      <c r="AD326" s="120"/>
    </row>
    <row r="327">
      <c r="A327" s="120"/>
      <c r="B327" s="120"/>
      <c r="C327" s="120"/>
      <c r="D327" s="120"/>
      <c r="E327" s="120"/>
      <c r="F327" s="120"/>
      <c r="G327" s="120"/>
      <c r="H327" s="120"/>
      <c r="I327" s="120"/>
      <c r="J327" s="120"/>
      <c r="K327" s="120"/>
      <c r="L327" s="120"/>
      <c r="M327" s="120"/>
      <c r="N327" s="120"/>
      <c r="O327" s="120"/>
      <c r="P327" s="120"/>
      <c r="Q327" s="120"/>
      <c r="R327" s="120"/>
      <c r="S327" s="120"/>
      <c r="T327" s="120"/>
      <c r="U327" s="120"/>
      <c r="V327" s="120"/>
      <c r="W327" s="120"/>
      <c r="X327" s="120"/>
      <c r="Y327" s="120"/>
      <c r="Z327" s="120"/>
      <c r="AA327" s="120"/>
      <c r="AB327" s="120"/>
      <c r="AC327" s="120"/>
      <c r="AD327" s="120"/>
    </row>
    <row r="328">
      <c r="A328" s="120"/>
      <c r="B328" s="120"/>
      <c r="C328" s="120"/>
      <c r="D328" s="120"/>
      <c r="E328" s="120"/>
      <c r="F328" s="120"/>
      <c r="G328" s="120"/>
      <c r="H328" s="120"/>
      <c r="I328" s="120"/>
      <c r="J328" s="120"/>
      <c r="K328" s="120"/>
      <c r="L328" s="120"/>
      <c r="M328" s="120"/>
      <c r="N328" s="120"/>
      <c r="O328" s="120"/>
      <c r="P328" s="120"/>
      <c r="Q328" s="120"/>
      <c r="R328" s="120"/>
      <c r="S328" s="120"/>
      <c r="T328" s="120"/>
      <c r="U328" s="120"/>
      <c r="V328" s="120"/>
      <c r="W328" s="120"/>
      <c r="X328" s="120"/>
      <c r="Y328" s="120"/>
      <c r="Z328" s="120"/>
      <c r="AA328" s="120"/>
      <c r="AB328" s="120"/>
      <c r="AC328" s="120"/>
      <c r="AD328" s="120"/>
    </row>
    <row r="329">
      <c r="A329" s="120"/>
      <c r="B329" s="120"/>
      <c r="C329" s="120"/>
      <c r="D329" s="120"/>
      <c r="E329" s="120"/>
      <c r="F329" s="120"/>
      <c r="G329" s="120"/>
      <c r="H329" s="120"/>
      <c r="I329" s="120"/>
      <c r="J329" s="120"/>
      <c r="K329" s="120"/>
      <c r="L329" s="120"/>
      <c r="M329" s="120"/>
      <c r="N329" s="120"/>
      <c r="O329" s="120"/>
      <c r="P329" s="120"/>
      <c r="Q329" s="120"/>
      <c r="R329" s="120"/>
      <c r="S329" s="120"/>
      <c r="T329" s="120"/>
      <c r="U329" s="120"/>
      <c r="V329" s="120"/>
      <c r="W329" s="120"/>
      <c r="X329" s="120"/>
      <c r="Y329" s="120"/>
      <c r="Z329" s="120"/>
      <c r="AA329" s="120"/>
      <c r="AB329" s="120"/>
      <c r="AC329" s="120"/>
      <c r="AD329" s="120"/>
    </row>
    <row r="330">
      <c r="A330" s="120"/>
      <c r="B330" s="120"/>
      <c r="C330" s="120"/>
      <c r="D330" s="120"/>
      <c r="E330" s="120"/>
      <c r="F330" s="120"/>
      <c r="G330" s="120"/>
      <c r="H330" s="120"/>
      <c r="I330" s="120"/>
      <c r="J330" s="120"/>
      <c r="K330" s="120"/>
      <c r="L330" s="120"/>
      <c r="M330" s="120"/>
      <c r="N330" s="120"/>
      <c r="O330" s="120"/>
      <c r="P330" s="120"/>
      <c r="Q330" s="120"/>
      <c r="R330" s="120"/>
      <c r="S330" s="120"/>
      <c r="T330" s="120"/>
      <c r="U330" s="120"/>
      <c r="V330" s="120"/>
      <c r="W330" s="120"/>
      <c r="X330" s="120"/>
      <c r="Y330" s="120"/>
      <c r="Z330" s="120"/>
      <c r="AA330" s="120"/>
      <c r="AB330" s="120"/>
      <c r="AC330" s="120"/>
      <c r="AD330" s="120"/>
    </row>
    <row r="331">
      <c r="A331" s="120"/>
      <c r="B331" s="120"/>
      <c r="C331" s="120"/>
      <c r="D331" s="120"/>
      <c r="E331" s="120"/>
      <c r="F331" s="120"/>
      <c r="G331" s="120"/>
      <c r="H331" s="120"/>
      <c r="I331" s="120"/>
      <c r="J331" s="120"/>
      <c r="K331" s="120"/>
      <c r="L331" s="120"/>
      <c r="M331" s="120"/>
      <c r="N331" s="120"/>
      <c r="O331" s="120"/>
      <c r="P331" s="120"/>
      <c r="Q331" s="120"/>
      <c r="R331" s="120"/>
      <c r="S331" s="120"/>
      <c r="T331" s="120"/>
      <c r="U331" s="120"/>
      <c r="V331" s="120"/>
      <c r="W331" s="120"/>
      <c r="X331" s="120"/>
      <c r="Y331" s="120"/>
      <c r="Z331" s="120"/>
      <c r="AA331" s="120"/>
      <c r="AB331" s="120"/>
      <c r="AC331" s="120"/>
      <c r="AD331" s="120"/>
    </row>
    <row r="332">
      <c r="A332" s="120"/>
      <c r="B332" s="120"/>
      <c r="C332" s="120"/>
      <c r="D332" s="120"/>
      <c r="E332" s="120"/>
      <c r="F332" s="120"/>
      <c r="G332" s="120"/>
      <c r="H332" s="120"/>
      <c r="I332" s="120"/>
      <c r="J332" s="120"/>
      <c r="K332" s="120"/>
      <c r="L332" s="120"/>
      <c r="M332" s="120"/>
      <c r="N332" s="120"/>
      <c r="O332" s="120"/>
      <c r="P332" s="120"/>
      <c r="Q332" s="120"/>
      <c r="R332" s="120"/>
      <c r="S332" s="120"/>
      <c r="T332" s="120"/>
      <c r="U332" s="120"/>
      <c r="V332" s="120"/>
      <c r="W332" s="120"/>
      <c r="X332" s="120"/>
      <c r="Y332" s="120"/>
      <c r="Z332" s="120"/>
      <c r="AA332" s="120"/>
      <c r="AB332" s="120"/>
      <c r="AC332" s="120"/>
      <c r="AD332" s="120"/>
    </row>
    <row r="333">
      <c r="A333" s="120"/>
      <c r="B333" s="120"/>
      <c r="C333" s="120"/>
      <c r="D333" s="120"/>
      <c r="E333" s="120"/>
      <c r="F333" s="120"/>
      <c r="G333" s="120"/>
      <c r="H333" s="120"/>
      <c r="I333" s="120"/>
      <c r="J333" s="120"/>
      <c r="K333" s="120"/>
      <c r="L333" s="120"/>
      <c r="M333" s="120"/>
      <c r="N333" s="120"/>
      <c r="O333" s="120"/>
      <c r="P333" s="120"/>
      <c r="Q333" s="120"/>
      <c r="R333" s="120"/>
      <c r="S333" s="120"/>
      <c r="T333" s="120"/>
      <c r="U333" s="120"/>
      <c r="V333" s="120"/>
      <c r="W333" s="120"/>
      <c r="X333" s="120"/>
      <c r="Y333" s="120"/>
      <c r="Z333" s="120"/>
      <c r="AA333" s="120"/>
      <c r="AB333" s="120"/>
      <c r="AC333" s="120"/>
      <c r="AD333" s="120"/>
    </row>
    <row r="334">
      <c r="A334" s="120"/>
      <c r="B334" s="120"/>
      <c r="C334" s="120"/>
      <c r="D334" s="120"/>
      <c r="E334" s="120"/>
      <c r="F334" s="120"/>
      <c r="G334" s="120"/>
      <c r="H334" s="120"/>
      <c r="I334" s="120"/>
      <c r="J334" s="120"/>
      <c r="K334" s="120"/>
      <c r="L334" s="120"/>
      <c r="M334" s="120"/>
      <c r="N334" s="120"/>
      <c r="O334" s="120"/>
      <c r="P334" s="120"/>
      <c r="Q334" s="120"/>
      <c r="R334" s="120"/>
      <c r="S334" s="120"/>
      <c r="T334" s="120"/>
      <c r="U334" s="120"/>
      <c r="V334" s="120"/>
      <c r="W334" s="120"/>
      <c r="X334" s="120"/>
      <c r="Y334" s="120"/>
      <c r="Z334" s="120"/>
      <c r="AA334" s="120"/>
      <c r="AB334" s="120"/>
      <c r="AC334" s="120"/>
      <c r="AD334" s="120"/>
    </row>
    <row r="335">
      <c r="A335" s="120"/>
      <c r="B335" s="120"/>
      <c r="C335" s="120"/>
      <c r="D335" s="120"/>
      <c r="E335" s="120"/>
      <c r="F335" s="120"/>
      <c r="G335" s="120"/>
      <c r="H335" s="120"/>
      <c r="I335" s="120"/>
      <c r="J335" s="120"/>
      <c r="K335" s="120"/>
      <c r="L335" s="120"/>
      <c r="M335" s="120"/>
      <c r="N335" s="120"/>
      <c r="O335" s="120"/>
      <c r="P335" s="120"/>
      <c r="Q335" s="120"/>
      <c r="R335" s="120"/>
      <c r="S335" s="120"/>
      <c r="T335" s="120"/>
      <c r="U335" s="120"/>
      <c r="V335" s="120"/>
      <c r="W335" s="120"/>
      <c r="X335" s="120"/>
      <c r="Y335" s="120"/>
      <c r="Z335" s="120"/>
      <c r="AA335" s="120"/>
      <c r="AB335" s="120"/>
      <c r="AC335" s="120"/>
      <c r="AD335" s="120"/>
    </row>
    <row r="336">
      <c r="A336" s="120"/>
      <c r="B336" s="120"/>
      <c r="C336" s="120"/>
      <c r="D336" s="120"/>
      <c r="E336" s="120"/>
      <c r="F336" s="120"/>
      <c r="G336" s="120"/>
      <c r="H336" s="120"/>
      <c r="I336" s="120"/>
      <c r="J336" s="120"/>
      <c r="K336" s="120"/>
      <c r="L336" s="120"/>
      <c r="M336" s="120"/>
      <c r="N336" s="120"/>
      <c r="O336" s="120"/>
      <c r="P336" s="120"/>
      <c r="Q336" s="120"/>
      <c r="R336" s="120"/>
      <c r="S336" s="120"/>
      <c r="T336" s="120"/>
      <c r="U336" s="120"/>
      <c r="V336" s="120"/>
      <c r="W336" s="120"/>
      <c r="X336" s="120"/>
      <c r="Y336" s="120"/>
      <c r="Z336" s="120"/>
      <c r="AA336" s="120"/>
      <c r="AB336" s="120"/>
      <c r="AC336" s="120"/>
      <c r="AD336" s="120"/>
    </row>
    <row r="337">
      <c r="A337" s="120"/>
      <c r="B337" s="120"/>
      <c r="C337" s="120"/>
      <c r="D337" s="120"/>
      <c r="E337" s="120"/>
      <c r="F337" s="120"/>
      <c r="G337" s="120"/>
      <c r="H337" s="120"/>
      <c r="I337" s="120"/>
      <c r="J337" s="120"/>
      <c r="K337" s="120"/>
      <c r="L337" s="120"/>
      <c r="M337" s="120"/>
      <c r="N337" s="120"/>
      <c r="O337" s="120"/>
      <c r="P337" s="120"/>
      <c r="Q337" s="120"/>
      <c r="R337" s="120"/>
      <c r="S337" s="120"/>
      <c r="T337" s="120"/>
      <c r="U337" s="120"/>
      <c r="V337" s="120"/>
      <c r="W337" s="120"/>
      <c r="X337" s="120"/>
      <c r="Y337" s="120"/>
      <c r="Z337" s="120"/>
      <c r="AA337" s="120"/>
      <c r="AB337" s="120"/>
      <c r="AC337" s="120"/>
      <c r="AD337" s="120"/>
    </row>
    <row r="338">
      <c r="A338" s="120"/>
      <c r="B338" s="120"/>
      <c r="C338" s="120"/>
      <c r="D338" s="120"/>
      <c r="E338" s="120"/>
      <c r="F338" s="120"/>
      <c r="G338" s="120"/>
      <c r="H338" s="120"/>
      <c r="I338" s="120"/>
      <c r="J338" s="120"/>
      <c r="K338" s="120"/>
      <c r="L338" s="120"/>
      <c r="M338" s="120"/>
      <c r="N338" s="120"/>
      <c r="O338" s="120"/>
      <c r="P338" s="120"/>
      <c r="Q338" s="120"/>
      <c r="R338" s="120"/>
      <c r="S338" s="120"/>
      <c r="T338" s="120"/>
      <c r="U338" s="120"/>
      <c r="V338" s="120"/>
      <c r="W338" s="120"/>
      <c r="X338" s="120"/>
      <c r="Y338" s="120"/>
      <c r="Z338" s="120"/>
      <c r="AA338" s="120"/>
      <c r="AB338" s="120"/>
      <c r="AC338" s="120"/>
      <c r="AD338" s="120"/>
    </row>
    <row r="339">
      <c r="A339" s="120"/>
      <c r="B339" s="120"/>
      <c r="C339" s="120"/>
      <c r="D339" s="120"/>
      <c r="E339" s="120"/>
      <c r="F339" s="120"/>
      <c r="G339" s="120"/>
      <c r="H339" s="120"/>
      <c r="I339" s="120"/>
      <c r="J339" s="120"/>
      <c r="K339" s="120"/>
      <c r="L339" s="120"/>
      <c r="M339" s="120"/>
      <c r="N339" s="120"/>
      <c r="O339" s="120"/>
      <c r="P339" s="120"/>
      <c r="Q339" s="120"/>
      <c r="R339" s="120"/>
      <c r="S339" s="120"/>
      <c r="T339" s="120"/>
      <c r="U339" s="120"/>
      <c r="V339" s="120"/>
      <c r="W339" s="120"/>
      <c r="X339" s="120"/>
      <c r="Y339" s="120"/>
      <c r="Z339" s="120"/>
      <c r="AA339" s="120"/>
      <c r="AB339" s="120"/>
      <c r="AC339" s="120"/>
      <c r="AD339" s="120"/>
    </row>
    <row r="340">
      <c r="A340" s="120"/>
      <c r="B340" s="120"/>
      <c r="C340" s="120"/>
      <c r="D340" s="120"/>
      <c r="E340" s="120"/>
      <c r="F340" s="120"/>
      <c r="G340" s="120"/>
      <c r="H340" s="120"/>
      <c r="I340" s="120"/>
      <c r="J340" s="120"/>
      <c r="K340" s="120"/>
      <c r="L340" s="120"/>
      <c r="M340" s="120"/>
      <c r="N340" s="120"/>
      <c r="O340" s="120"/>
      <c r="P340" s="120"/>
      <c r="Q340" s="120"/>
      <c r="R340" s="120"/>
      <c r="S340" s="120"/>
      <c r="T340" s="120"/>
      <c r="U340" s="120"/>
      <c r="V340" s="120"/>
      <c r="W340" s="120"/>
      <c r="X340" s="120"/>
      <c r="Y340" s="120"/>
      <c r="Z340" s="120"/>
      <c r="AA340" s="120"/>
      <c r="AB340" s="120"/>
      <c r="AC340" s="120"/>
      <c r="AD340" s="120"/>
    </row>
    <row r="341">
      <c r="A341" s="120"/>
      <c r="B341" s="120"/>
      <c r="C341" s="120"/>
      <c r="D341" s="120"/>
      <c r="E341" s="120"/>
      <c r="F341" s="120"/>
      <c r="G341" s="120"/>
      <c r="H341" s="120"/>
      <c r="I341" s="120"/>
      <c r="J341" s="120"/>
      <c r="K341" s="120"/>
      <c r="L341" s="120"/>
      <c r="M341" s="120"/>
      <c r="N341" s="120"/>
      <c r="O341" s="120"/>
      <c r="P341" s="120"/>
      <c r="Q341" s="120"/>
      <c r="R341" s="120"/>
      <c r="S341" s="120"/>
      <c r="T341" s="120"/>
      <c r="U341" s="120"/>
      <c r="V341" s="120"/>
      <c r="W341" s="120"/>
      <c r="X341" s="120"/>
      <c r="Y341" s="120"/>
      <c r="Z341" s="120"/>
      <c r="AA341" s="120"/>
      <c r="AB341" s="120"/>
      <c r="AC341" s="120"/>
      <c r="AD341" s="120"/>
    </row>
    <row r="342">
      <c r="A342" s="120"/>
      <c r="B342" s="120"/>
      <c r="C342" s="120"/>
      <c r="D342" s="120"/>
      <c r="E342" s="120"/>
      <c r="F342" s="120"/>
      <c r="G342" s="120"/>
      <c r="H342" s="120"/>
      <c r="I342" s="120"/>
      <c r="J342" s="120"/>
      <c r="K342" s="120"/>
      <c r="L342" s="120"/>
      <c r="M342" s="120"/>
      <c r="N342" s="120"/>
      <c r="O342" s="120"/>
      <c r="P342" s="120"/>
      <c r="Q342" s="120"/>
      <c r="R342" s="120"/>
      <c r="S342" s="120"/>
      <c r="T342" s="120"/>
      <c r="U342" s="120"/>
      <c r="V342" s="120"/>
      <c r="W342" s="120"/>
      <c r="X342" s="120"/>
      <c r="Y342" s="120"/>
      <c r="Z342" s="120"/>
      <c r="AA342" s="120"/>
      <c r="AB342" s="120"/>
      <c r="AC342" s="120"/>
      <c r="AD342" s="120"/>
    </row>
    <row r="343">
      <c r="A343" s="120"/>
      <c r="B343" s="120"/>
      <c r="C343" s="120"/>
      <c r="D343" s="120"/>
      <c r="E343" s="120"/>
      <c r="F343" s="120"/>
      <c r="G343" s="120"/>
      <c r="H343" s="120"/>
      <c r="I343" s="120"/>
      <c r="J343" s="120"/>
      <c r="K343" s="120"/>
      <c r="L343" s="120"/>
      <c r="M343" s="120"/>
      <c r="N343" s="120"/>
      <c r="O343" s="120"/>
      <c r="P343" s="120"/>
      <c r="Q343" s="120"/>
      <c r="R343" s="120"/>
      <c r="S343" s="120"/>
      <c r="T343" s="120"/>
      <c r="U343" s="120"/>
      <c r="V343" s="120"/>
      <c r="W343" s="120"/>
      <c r="X343" s="120"/>
      <c r="Y343" s="120"/>
      <c r="Z343" s="120"/>
      <c r="AA343" s="120"/>
      <c r="AB343" s="120"/>
      <c r="AC343" s="120"/>
      <c r="AD343" s="120"/>
    </row>
    <row r="344">
      <c r="A344" s="120"/>
      <c r="B344" s="120"/>
      <c r="C344" s="120"/>
      <c r="D344" s="120"/>
      <c r="E344" s="120"/>
      <c r="F344" s="120"/>
      <c r="G344" s="120"/>
      <c r="H344" s="120"/>
      <c r="I344" s="120"/>
      <c r="J344" s="120"/>
      <c r="K344" s="120"/>
      <c r="L344" s="120"/>
      <c r="M344" s="120"/>
      <c r="N344" s="120"/>
      <c r="O344" s="120"/>
      <c r="P344" s="120"/>
      <c r="Q344" s="120"/>
      <c r="R344" s="120"/>
      <c r="S344" s="120"/>
      <c r="T344" s="120"/>
      <c r="U344" s="120"/>
      <c r="V344" s="120"/>
      <c r="W344" s="120"/>
      <c r="X344" s="120"/>
      <c r="Y344" s="120"/>
      <c r="Z344" s="120"/>
      <c r="AA344" s="120"/>
      <c r="AB344" s="120"/>
      <c r="AC344" s="120"/>
      <c r="AD344" s="120"/>
    </row>
    <row r="345">
      <c r="A345" s="120"/>
      <c r="B345" s="120"/>
      <c r="C345" s="120"/>
      <c r="D345" s="120"/>
      <c r="E345" s="120"/>
      <c r="F345" s="120"/>
      <c r="G345" s="120"/>
      <c r="H345" s="120"/>
      <c r="I345" s="120"/>
      <c r="J345" s="120"/>
      <c r="K345" s="120"/>
      <c r="L345" s="120"/>
      <c r="M345" s="120"/>
      <c r="N345" s="120"/>
      <c r="O345" s="120"/>
      <c r="P345" s="120"/>
      <c r="Q345" s="120"/>
      <c r="R345" s="120"/>
      <c r="S345" s="120"/>
      <c r="T345" s="120"/>
      <c r="U345" s="120"/>
      <c r="V345" s="120"/>
      <c r="W345" s="120"/>
      <c r="X345" s="120"/>
      <c r="Y345" s="120"/>
      <c r="Z345" s="120"/>
      <c r="AA345" s="120"/>
      <c r="AB345" s="120"/>
      <c r="AC345" s="120"/>
      <c r="AD345" s="120"/>
    </row>
    <row r="346">
      <c r="A346" s="120"/>
      <c r="B346" s="120"/>
      <c r="C346" s="120"/>
      <c r="D346" s="120"/>
      <c r="E346" s="120"/>
      <c r="F346" s="120"/>
      <c r="G346" s="120"/>
      <c r="H346" s="120"/>
      <c r="I346" s="120"/>
      <c r="J346" s="120"/>
      <c r="K346" s="120"/>
      <c r="L346" s="120"/>
      <c r="M346" s="120"/>
      <c r="N346" s="120"/>
      <c r="O346" s="120"/>
      <c r="P346" s="120"/>
      <c r="Q346" s="120"/>
      <c r="R346" s="120"/>
      <c r="S346" s="120"/>
      <c r="T346" s="120"/>
      <c r="U346" s="120"/>
      <c r="V346" s="120"/>
      <c r="W346" s="120"/>
      <c r="X346" s="120"/>
      <c r="Y346" s="120"/>
      <c r="Z346" s="120"/>
      <c r="AA346" s="120"/>
      <c r="AB346" s="120"/>
      <c r="AC346" s="120"/>
      <c r="AD346" s="120"/>
    </row>
    <row r="347">
      <c r="A347" s="120"/>
      <c r="B347" s="120"/>
      <c r="C347" s="120"/>
      <c r="D347" s="120"/>
      <c r="E347" s="120"/>
      <c r="F347" s="120"/>
      <c r="G347" s="120"/>
      <c r="H347" s="120"/>
      <c r="I347" s="120"/>
      <c r="J347" s="120"/>
      <c r="K347" s="120"/>
      <c r="L347" s="120"/>
      <c r="M347" s="120"/>
      <c r="N347" s="120"/>
      <c r="O347" s="120"/>
      <c r="P347" s="120"/>
      <c r="Q347" s="120"/>
      <c r="R347" s="120"/>
      <c r="S347" s="120"/>
      <c r="T347" s="120"/>
      <c r="U347" s="120"/>
      <c r="V347" s="120"/>
      <c r="W347" s="120"/>
      <c r="X347" s="120"/>
      <c r="Y347" s="120"/>
      <c r="Z347" s="120"/>
      <c r="AA347" s="120"/>
      <c r="AB347" s="120"/>
      <c r="AC347" s="120"/>
      <c r="AD347" s="120"/>
    </row>
    <row r="348">
      <c r="A348" s="120"/>
      <c r="B348" s="120"/>
      <c r="C348" s="120"/>
      <c r="D348" s="120"/>
      <c r="E348" s="120"/>
      <c r="F348" s="120"/>
      <c r="G348" s="120"/>
      <c r="H348" s="120"/>
      <c r="I348" s="120"/>
      <c r="J348" s="120"/>
      <c r="K348" s="120"/>
      <c r="L348" s="120"/>
      <c r="M348" s="120"/>
      <c r="N348" s="120"/>
      <c r="O348" s="120"/>
      <c r="P348" s="120"/>
      <c r="Q348" s="120"/>
      <c r="R348" s="120"/>
      <c r="S348" s="120"/>
      <c r="T348" s="120"/>
      <c r="U348" s="120"/>
      <c r="V348" s="120"/>
      <c r="W348" s="120"/>
      <c r="X348" s="120"/>
      <c r="Y348" s="120"/>
      <c r="Z348" s="120"/>
      <c r="AA348" s="120"/>
      <c r="AB348" s="120"/>
      <c r="AC348" s="120"/>
      <c r="AD348" s="120"/>
    </row>
    <row r="349">
      <c r="A349" s="120"/>
      <c r="B349" s="120"/>
      <c r="C349" s="120"/>
      <c r="D349" s="120"/>
      <c r="E349" s="120"/>
      <c r="F349" s="120"/>
      <c r="G349" s="120"/>
      <c r="H349" s="120"/>
      <c r="I349" s="120"/>
      <c r="J349" s="120"/>
      <c r="K349" s="120"/>
      <c r="L349" s="120"/>
      <c r="M349" s="120"/>
      <c r="N349" s="120"/>
      <c r="O349" s="120"/>
      <c r="P349" s="120"/>
      <c r="Q349" s="120"/>
      <c r="R349" s="120"/>
      <c r="S349" s="120"/>
      <c r="T349" s="120"/>
      <c r="U349" s="120"/>
      <c r="V349" s="120"/>
      <c r="W349" s="120"/>
      <c r="X349" s="120"/>
      <c r="Y349" s="120"/>
      <c r="Z349" s="120"/>
      <c r="AA349" s="120"/>
      <c r="AB349" s="120"/>
      <c r="AC349" s="120"/>
      <c r="AD349" s="120"/>
    </row>
    <row r="350">
      <c r="A350" s="120"/>
      <c r="B350" s="120"/>
      <c r="C350" s="120"/>
      <c r="D350" s="120"/>
      <c r="E350" s="120"/>
      <c r="F350" s="120"/>
      <c r="G350" s="120"/>
      <c r="H350" s="120"/>
      <c r="I350" s="120"/>
      <c r="J350" s="120"/>
      <c r="K350" s="120"/>
      <c r="L350" s="120"/>
      <c r="M350" s="120"/>
      <c r="N350" s="120"/>
      <c r="O350" s="120"/>
      <c r="P350" s="120"/>
      <c r="Q350" s="120"/>
      <c r="R350" s="120"/>
      <c r="S350" s="120"/>
      <c r="T350" s="120"/>
      <c r="U350" s="120"/>
      <c r="V350" s="120"/>
      <c r="W350" s="120"/>
      <c r="X350" s="120"/>
      <c r="Y350" s="120"/>
      <c r="Z350" s="120"/>
      <c r="AA350" s="120"/>
      <c r="AB350" s="120"/>
      <c r="AC350" s="120"/>
      <c r="AD350" s="120"/>
    </row>
    <row r="351">
      <c r="A351" s="120"/>
      <c r="B351" s="120"/>
      <c r="C351" s="120"/>
      <c r="D351" s="120"/>
      <c r="E351" s="120"/>
      <c r="F351" s="120"/>
      <c r="G351" s="120"/>
      <c r="H351" s="120"/>
      <c r="I351" s="120"/>
      <c r="J351" s="120"/>
      <c r="K351" s="120"/>
      <c r="L351" s="120"/>
      <c r="M351" s="120"/>
      <c r="N351" s="120"/>
      <c r="O351" s="120"/>
      <c r="P351" s="120"/>
      <c r="Q351" s="120"/>
      <c r="R351" s="120"/>
      <c r="S351" s="120"/>
      <c r="T351" s="120"/>
      <c r="U351" s="120"/>
      <c r="V351" s="120"/>
      <c r="W351" s="120"/>
      <c r="X351" s="120"/>
      <c r="Y351" s="120"/>
      <c r="Z351" s="120"/>
      <c r="AA351" s="120"/>
      <c r="AB351" s="120"/>
      <c r="AC351" s="120"/>
      <c r="AD351" s="120"/>
    </row>
    <row r="352">
      <c r="A352" s="120"/>
      <c r="B352" s="120"/>
      <c r="C352" s="120"/>
      <c r="D352" s="120"/>
      <c r="E352" s="120"/>
      <c r="F352" s="120"/>
      <c r="G352" s="120"/>
      <c r="H352" s="120"/>
      <c r="I352" s="120"/>
      <c r="J352" s="120"/>
      <c r="K352" s="120"/>
      <c r="L352" s="120"/>
      <c r="M352" s="120"/>
      <c r="N352" s="120"/>
      <c r="O352" s="120"/>
      <c r="P352" s="120"/>
      <c r="Q352" s="120"/>
      <c r="R352" s="120"/>
      <c r="S352" s="120"/>
      <c r="T352" s="120"/>
      <c r="U352" s="120"/>
      <c r="V352" s="120"/>
      <c r="W352" s="120"/>
      <c r="X352" s="120"/>
      <c r="Y352" s="120"/>
      <c r="Z352" s="120"/>
      <c r="AA352" s="120"/>
      <c r="AB352" s="120"/>
      <c r="AC352" s="120"/>
      <c r="AD352" s="120"/>
    </row>
    <row r="353">
      <c r="A353" s="120"/>
      <c r="B353" s="120"/>
      <c r="C353" s="120"/>
      <c r="D353" s="120"/>
      <c r="E353" s="120"/>
      <c r="F353" s="120"/>
      <c r="G353" s="120"/>
      <c r="H353" s="120"/>
      <c r="I353" s="120"/>
      <c r="J353" s="120"/>
      <c r="K353" s="120"/>
      <c r="L353" s="120"/>
      <c r="M353" s="120"/>
      <c r="N353" s="120"/>
      <c r="O353" s="120"/>
      <c r="P353" s="120"/>
      <c r="Q353" s="120"/>
      <c r="R353" s="120"/>
      <c r="S353" s="120"/>
      <c r="T353" s="120"/>
      <c r="U353" s="120"/>
      <c r="V353" s="120"/>
      <c r="W353" s="120"/>
      <c r="X353" s="120"/>
      <c r="Y353" s="120"/>
      <c r="Z353" s="120"/>
      <c r="AA353" s="120"/>
      <c r="AB353" s="120"/>
      <c r="AC353" s="120"/>
      <c r="AD353" s="120"/>
    </row>
    <row r="354">
      <c r="A354" s="120"/>
      <c r="B354" s="120"/>
      <c r="C354" s="120"/>
      <c r="D354" s="120"/>
      <c r="E354" s="120"/>
      <c r="F354" s="120"/>
      <c r="G354" s="120"/>
      <c r="H354" s="120"/>
      <c r="I354" s="120"/>
      <c r="J354" s="120"/>
      <c r="K354" s="120"/>
      <c r="L354" s="120"/>
      <c r="M354" s="120"/>
      <c r="N354" s="120"/>
      <c r="O354" s="120"/>
      <c r="P354" s="120"/>
      <c r="Q354" s="120"/>
      <c r="R354" s="120"/>
      <c r="S354" s="120"/>
      <c r="T354" s="120"/>
      <c r="U354" s="120"/>
      <c r="V354" s="120"/>
      <c r="W354" s="120"/>
      <c r="X354" s="120"/>
      <c r="Y354" s="120"/>
      <c r="Z354" s="120"/>
      <c r="AA354" s="120"/>
      <c r="AB354" s="120"/>
      <c r="AC354" s="120"/>
      <c r="AD354" s="120"/>
    </row>
    <row r="355">
      <c r="A355" s="120"/>
      <c r="B355" s="120"/>
      <c r="C355" s="120"/>
      <c r="D355" s="120"/>
      <c r="E355" s="120"/>
      <c r="F355" s="120"/>
      <c r="G355" s="120"/>
      <c r="H355" s="120"/>
      <c r="I355" s="120"/>
      <c r="J355" s="120"/>
      <c r="K355" s="120"/>
      <c r="L355" s="120"/>
      <c r="M355" s="120"/>
      <c r="N355" s="120"/>
      <c r="O355" s="120"/>
      <c r="P355" s="120"/>
      <c r="Q355" s="120"/>
      <c r="R355" s="120"/>
      <c r="S355" s="120"/>
      <c r="T355" s="120"/>
      <c r="U355" s="120"/>
      <c r="V355" s="120"/>
      <c r="W355" s="120"/>
      <c r="X355" s="120"/>
      <c r="Y355" s="120"/>
      <c r="Z355" s="120"/>
      <c r="AA355" s="120"/>
      <c r="AB355" s="120"/>
      <c r="AC355" s="120"/>
      <c r="AD355" s="120"/>
    </row>
    <row r="356">
      <c r="A356" s="120"/>
      <c r="B356" s="120"/>
      <c r="C356" s="120"/>
      <c r="D356" s="120"/>
      <c r="E356" s="120"/>
      <c r="F356" s="120"/>
      <c r="G356" s="120"/>
      <c r="H356" s="120"/>
      <c r="I356" s="120"/>
      <c r="J356" s="120"/>
      <c r="K356" s="120"/>
      <c r="L356" s="120"/>
      <c r="M356" s="120"/>
      <c r="N356" s="120"/>
      <c r="O356" s="120"/>
      <c r="P356" s="120"/>
      <c r="Q356" s="120"/>
      <c r="R356" s="120"/>
      <c r="S356" s="120"/>
      <c r="T356" s="120"/>
      <c r="U356" s="120"/>
      <c r="V356" s="120"/>
      <c r="W356" s="120"/>
      <c r="X356" s="120"/>
      <c r="Y356" s="120"/>
      <c r="Z356" s="120"/>
      <c r="AA356" s="120"/>
      <c r="AB356" s="120"/>
      <c r="AC356" s="120"/>
      <c r="AD356" s="120"/>
    </row>
    <row r="357">
      <c r="A357" s="120"/>
      <c r="B357" s="120"/>
      <c r="C357" s="120"/>
      <c r="D357" s="120"/>
      <c r="E357" s="120"/>
      <c r="F357" s="120"/>
      <c r="G357" s="120"/>
      <c r="H357" s="120"/>
      <c r="I357" s="120"/>
      <c r="J357" s="120"/>
      <c r="K357" s="120"/>
      <c r="L357" s="120"/>
      <c r="M357" s="120"/>
      <c r="N357" s="120"/>
      <c r="O357" s="120"/>
      <c r="P357" s="120"/>
      <c r="Q357" s="120"/>
      <c r="R357" s="120"/>
      <c r="S357" s="120"/>
      <c r="T357" s="120"/>
      <c r="U357" s="120"/>
      <c r="V357" s="120"/>
      <c r="W357" s="120"/>
      <c r="X357" s="120"/>
      <c r="Y357" s="120"/>
      <c r="Z357" s="120"/>
      <c r="AA357" s="120"/>
      <c r="AB357" s="120"/>
      <c r="AC357" s="120"/>
      <c r="AD357" s="120"/>
    </row>
    <row r="358">
      <c r="A358" s="120"/>
      <c r="B358" s="120"/>
      <c r="C358" s="120"/>
      <c r="D358" s="120"/>
      <c r="E358" s="120"/>
      <c r="F358" s="120"/>
      <c r="G358" s="120"/>
      <c r="H358" s="120"/>
      <c r="I358" s="120"/>
      <c r="J358" s="120"/>
      <c r="K358" s="120"/>
      <c r="L358" s="120"/>
      <c r="M358" s="120"/>
      <c r="N358" s="120"/>
      <c r="O358" s="120"/>
      <c r="P358" s="120"/>
      <c r="Q358" s="120"/>
      <c r="R358" s="120"/>
      <c r="S358" s="120"/>
      <c r="T358" s="120"/>
      <c r="U358" s="120"/>
      <c r="V358" s="120"/>
      <c r="W358" s="120"/>
      <c r="X358" s="120"/>
      <c r="Y358" s="120"/>
      <c r="Z358" s="120"/>
      <c r="AA358" s="120"/>
      <c r="AB358" s="120"/>
      <c r="AC358" s="120"/>
      <c r="AD358" s="120"/>
    </row>
    <row r="359">
      <c r="A359" s="120"/>
      <c r="B359" s="120"/>
      <c r="C359" s="120"/>
      <c r="D359" s="120"/>
      <c r="E359" s="120"/>
      <c r="F359" s="120"/>
      <c r="G359" s="120"/>
      <c r="H359" s="120"/>
      <c r="I359" s="120"/>
      <c r="J359" s="120"/>
      <c r="K359" s="120"/>
      <c r="L359" s="120"/>
      <c r="M359" s="120"/>
      <c r="N359" s="120"/>
      <c r="O359" s="120"/>
      <c r="P359" s="120"/>
      <c r="Q359" s="120"/>
      <c r="R359" s="120"/>
      <c r="S359" s="120"/>
      <c r="T359" s="120"/>
      <c r="U359" s="120"/>
      <c r="V359" s="120"/>
      <c r="W359" s="120"/>
      <c r="X359" s="120"/>
      <c r="Y359" s="120"/>
      <c r="Z359" s="120"/>
      <c r="AA359" s="120"/>
      <c r="AB359" s="120"/>
      <c r="AC359" s="120"/>
      <c r="AD359" s="120"/>
    </row>
    <row r="360">
      <c r="A360" s="120"/>
      <c r="B360" s="120"/>
      <c r="C360" s="120"/>
      <c r="D360" s="120"/>
      <c r="E360" s="120"/>
      <c r="F360" s="120"/>
      <c r="G360" s="120"/>
      <c r="H360" s="120"/>
      <c r="I360" s="120"/>
      <c r="J360" s="120"/>
      <c r="K360" s="120"/>
      <c r="L360" s="120"/>
      <c r="M360" s="120"/>
      <c r="N360" s="120"/>
      <c r="O360" s="120"/>
      <c r="P360" s="120"/>
      <c r="Q360" s="120"/>
      <c r="R360" s="120"/>
      <c r="S360" s="120"/>
      <c r="T360" s="120"/>
      <c r="U360" s="120"/>
      <c r="V360" s="120"/>
      <c r="W360" s="120"/>
      <c r="X360" s="120"/>
      <c r="Y360" s="120"/>
      <c r="Z360" s="120"/>
      <c r="AA360" s="120"/>
      <c r="AB360" s="120"/>
      <c r="AC360" s="120"/>
      <c r="AD360" s="120"/>
    </row>
    <row r="361">
      <c r="A361" s="120"/>
      <c r="B361" s="120"/>
      <c r="C361" s="120"/>
      <c r="D361" s="120"/>
      <c r="E361" s="120"/>
      <c r="F361" s="120"/>
      <c r="G361" s="120"/>
      <c r="H361" s="120"/>
      <c r="I361" s="120"/>
      <c r="J361" s="120"/>
      <c r="K361" s="120"/>
      <c r="L361" s="120"/>
      <c r="M361" s="120"/>
      <c r="N361" s="120"/>
      <c r="O361" s="120"/>
      <c r="P361" s="120"/>
      <c r="Q361" s="120"/>
      <c r="R361" s="120"/>
      <c r="S361" s="120"/>
      <c r="T361" s="120"/>
      <c r="U361" s="120"/>
      <c r="V361" s="120"/>
      <c r="W361" s="120"/>
      <c r="X361" s="120"/>
      <c r="Y361" s="120"/>
      <c r="Z361" s="120"/>
      <c r="AA361" s="120"/>
      <c r="AB361" s="120"/>
      <c r="AC361" s="120"/>
      <c r="AD361" s="120"/>
    </row>
    <row r="362">
      <c r="A362" s="120"/>
      <c r="B362" s="120"/>
      <c r="C362" s="120"/>
      <c r="D362" s="120"/>
      <c r="E362" s="120"/>
      <c r="F362" s="120"/>
      <c r="G362" s="120"/>
      <c r="H362" s="120"/>
      <c r="I362" s="120"/>
      <c r="J362" s="120"/>
      <c r="K362" s="120"/>
      <c r="L362" s="120"/>
      <c r="M362" s="120"/>
      <c r="N362" s="120"/>
      <c r="O362" s="120"/>
      <c r="P362" s="120"/>
      <c r="Q362" s="120"/>
      <c r="R362" s="120"/>
      <c r="S362" s="120"/>
      <c r="T362" s="120"/>
      <c r="U362" s="120"/>
      <c r="V362" s="120"/>
      <c r="W362" s="120"/>
      <c r="X362" s="120"/>
      <c r="Y362" s="120"/>
      <c r="Z362" s="120"/>
      <c r="AA362" s="120"/>
      <c r="AB362" s="120"/>
      <c r="AC362" s="120"/>
      <c r="AD362" s="120"/>
    </row>
    <row r="363">
      <c r="A363" s="120"/>
      <c r="B363" s="120"/>
      <c r="C363" s="120"/>
      <c r="D363" s="120"/>
      <c r="E363" s="120"/>
      <c r="F363" s="120"/>
      <c r="G363" s="120"/>
      <c r="H363" s="120"/>
      <c r="I363" s="120"/>
      <c r="J363" s="120"/>
      <c r="K363" s="120"/>
      <c r="L363" s="120"/>
      <c r="M363" s="120"/>
      <c r="N363" s="120"/>
      <c r="O363" s="120"/>
      <c r="P363" s="120"/>
      <c r="Q363" s="120"/>
      <c r="R363" s="120"/>
      <c r="S363" s="120"/>
      <c r="T363" s="120"/>
      <c r="U363" s="120"/>
      <c r="V363" s="120"/>
      <c r="W363" s="120"/>
      <c r="X363" s="120"/>
      <c r="Y363" s="120"/>
      <c r="Z363" s="120"/>
      <c r="AA363" s="120"/>
      <c r="AB363" s="120"/>
      <c r="AC363" s="120"/>
      <c r="AD363" s="120"/>
    </row>
    <row r="364">
      <c r="A364" s="120"/>
      <c r="B364" s="120"/>
      <c r="C364" s="120"/>
      <c r="D364" s="120"/>
      <c r="E364" s="120"/>
      <c r="F364" s="120"/>
      <c r="G364" s="120"/>
      <c r="H364" s="120"/>
      <c r="I364" s="120"/>
      <c r="J364" s="120"/>
      <c r="K364" s="120"/>
      <c r="L364" s="120"/>
      <c r="M364" s="120"/>
      <c r="N364" s="120"/>
      <c r="O364" s="120"/>
      <c r="P364" s="120"/>
      <c r="Q364" s="120"/>
      <c r="R364" s="120"/>
      <c r="S364" s="120"/>
      <c r="T364" s="120"/>
      <c r="U364" s="120"/>
      <c r="V364" s="120"/>
      <c r="W364" s="120"/>
      <c r="X364" s="120"/>
      <c r="Y364" s="120"/>
      <c r="Z364" s="120"/>
      <c r="AA364" s="120"/>
      <c r="AB364" s="120"/>
      <c r="AC364" s="120"/>
      <c r="AD364" s="120"/>
    </row>
    <row r="365">
      <c r="A365" s="120"/>
      <c r="B365" s="120"/>
      <c r="C365" s="120"/>
      <c r="D365" s="120"/>
      <c r="E365" s="120"/>
      <c r="F365" s="120"/>
      <c r="G365" s="120"/>
      <c r="H365" s="120"/>
      <c r="I365" s="120"/>
      <c r="J365" s="120"/>
      <c r="K365" s="120"/>
      <c r="L365" s="120"/>
      <c r="M365" s="120"/>
      <c r="N365" s="120"/>
      <c r="O365" s="120"/>
      <c r="P365" s="120"/>
      <c r="Q365" s="120"/>
      <c r="R365" s="120"/>
      <c r="S365" s="120"/>
      <c r="T365" s="120"/>
      <c r="U365" s="120"/>
      <c r="V365" s="120"/>
      <c r="W365" s="120"/>
      <c r="X365" s="120"/>
      <c r="Y365" s="120"/>
      <c r="Z365" s="120"/>
      <c r="AA365" s="120"/>
      <c r="AB365" s="120"/>
      <c r="AC365" s="120"/>
      <c r="AD365" s="120"/>
    </row>
    <row r="366">
      <c r="A366" s="120"/>
      <c r="B366" s="120"/>
      <c r="C366" s="120"/>
      <c r="D366" s="120"/>
      <c r="E366" s="120"/>
      <c r="F366" s="120"/>
      <c r="G366" s="120"/>
      <c r="H366" s="120"/>
      <c r="I366" s="120"/>
      <c r="J366" s="120"/>
      <c r="K366" s="120"/>
      <c r="L366" s="120"/>
      <c r="M366" s="120"/>
      <c r="N366" s="120"/>
      <c r="O366" s="120"/>
      <c r="P366" s="120"/>
      <c r="Q366" s="120"/>
      <c r="R366" s="120"/>
      <c r="S366" s="120"/>
      <c r="T366" s="120"/>
      <c r="U366" s="120"/>
      <c r="V366" s="120"/>
      <c r="W366" s="120"/>
      <c r="X366" s="120"/>
      <c r="Y366" s="120"/>
      <c r="Z366" s="120"/>
      <c r="AA366" s="120"/>
      <c r="AB366" s="120"/>
      <c r="AC366" s="120"/>
      <c r="AD366" s="120"/>
    </row>
    <row r="367">
      <c r="A367" s="120"/>
      <c r="B367" s="120"/>
      <c r="C367" s="120"/>
      <c r="D367" s="120"/>
      <c r="E367" s="120"/>
      <c r="F367" s="120"/>
      <c r="G367" s="120"/>
      <c r="H367" s="120"/>
      <c r="I367" s="120"/>
      <c r="J367" s="120"/>
      <c r="K367" s="120"/>
      <c r="L367" s="120"/>
      <c r="M367" s="120"/>
      <c r="N367" s="120"/>
      <c r="O367" s="120"/>
      <c r="P367" s="120"/>
      <c r="Q367" s="120"/>
      <c r="R367" s="120"/>
      <c r="S367" s="120"/>
      <c r="T367" s="120"/>
      <c r="U367" s="120"/>
      <c r="V367" s="120"/>
      <c r="W367" s="120"/>
      <c r="X367" s="120"/>
      <c r="Y367" s="120"/>
      <c r="Z367" s="120"/>
      <c r="AA367" s="120"/>
      <c r="AB367" s="120"/>
      <c r="AC367" s="120"/>
      <c r="AD367" s="120"/>
    </row>
    <row r="368">
      <c r="A368" s="120"/>
      <c r="B368" s="120"/>
      <c r="C368" s="120"/>
      <c r="D368" s="120"/>
      <c r="E368" s="120"/>
      <c r="F368" s="120"/>
      <c r="G368" s="120"/>
      <c r="H368" s="120"/>
      <c r="I368" s="120"/>
      <c r="J368" s="120"/>
      <c r="K368" s="120"/>
      <c r="L368" s="120"/>
      <c r="M368" s="120"/>
      <c r="N368" s="120"/>
      <c r="O368" s="120"/>
      <c r="P368" s="120"/>
      <c r="Q368" s="120"/>
      <c r="R368" s="120"/>
      <c r="S368" s="120"/>
      <c r="T368" s="120"/>
      <c r="U368" s="120"/>
      <c r="V368" s="120"/>
      <c r="W368" s="120"/>
      <c r="X368" s="120"/>
      <c r="Y368" s="120"/>
      <c r="Z368" s="120"/>
      <c r="AA368" s="120"/>
      <c r="AB368" s="120"/>
      <c r="AC368" s="120"/>
      <c r="AD368" s="120"/>
    </row>
    <row r="369">
      <c r="A369" s="120"/>
      <c r="B369" s="120"/>
      <c r="C369" s="120"/>
      <c r="D369" s="120"/>
      <c r="E369" s="120"/>
      <c r="F369" s="120"/>
      <c r="G369" s="120"/>
      <c r="H369" s="120"/>
      <c r="I369" s="120"/>
      <c r="J369" s="120"/>
      <c r="K369" s="120"/>
      <c r="L369" s="120"/>
      <c r="M369" s="120"/>
      <c r="N369" s="120"/>
      <c r="O369" s="120"/>
      <c r="P369" s="120"/>
      <c r="Q369" s="120"/>
      <c r="R369" s="120"/>
      <c r="S369" s="120"/>
      <c r="T369" s="120"/>
      <c r="U369" s="120"/>
      <c r="V369" s="120"/>
      <c r="W369" s="120"/>
      <c r="X369" s="120"/>
      <c r="Y369" s="120"/>
      <c r="Z369" s="120"/>
      <c r="AA369" s="120"/>
      <c r="AB369" s="120"/>
      <c r="AC369" s="120"/>
      <c r="AD369" s="120"/>
    </row>
    <row r="370">
      <c r="A370" s="120"/>
      <c r="B370" s="120"/>
      <c r="C370" s="120"/>
      <c r="D370" s="120"/>
      <c r="E370" s="120"/>
      <c r="F370" s="120"/>
      <c r="G370" s="120"/>
      <c r="H370" s="120"/>
      <c r="I370" s="120"/>
      <c r="J370" s="120"/>
      <c r="K370" s="120"/>
      <c r="L370" s="120"/>
      <c r="M370" s="120"/>
      <c r="N370" s="120"/>
      <c r="O370" s="120"/>
      <c r="P370" s="120"/>
      <c r="Q370" s="120"/>
      <c r="R370" s="120"/>
      <c r="S370" s="120"/>
      <c r="T370" s="120"/>
      <c r="U370" s="120"/>
      <c r="V370" s="120"/>
      <c r="W370" s="120"/>
      <c r="X370" s="120"/>
      <c r="Y370" s="120"/>
      <c r="Z370" s="120"/>
      <c r="AA370" s="120"/>
      <c r="AB370" s="120"/>
      <c r="AC370" s="120"/>
      <c r="AD370" s="120"/>
    </row>
    <row r="371">
      <c r="A371" s="120"/>
      <c r="B371" s="120"/>
      <c r="C371" s="120"/>
      <c r="D371" s="120"/>
      <c r="E371" s="120"/>
      <c r="F371" s="120"/>
      <c r="G371" s="120"/>
      <c r="H371" s="120"/>
      <c r="I371" s="120"/>
      <c r="J371" s="120"/>
      <c r="K371" s="120"/>
      <c r="L371" s="120"/>
      <c r="M371" s="120"/>
      <c r="N371" s="120"/>
      <c r="O371" s="120"/>
      <c r="P371" s="120"/>
      <c r="Q371" s="120"/>
      <c r="R371" s="120"/>
      <c r="S371" s="120"/>
      <c r="T371" s="120"/>
      <c r="U371" s="120"/>
      <c r="V371" s="120"/>
      <c r="W371" s="120"/>
      <c r="X371" s="120"/>
      <c r="Y371" s="120"/>
      <c r="Z371" s="120"/>
      <c r="AA371" s="120"/>
      <c r="AB371" s="120"/>
      <c r="AC371" s="120"/>
      <c r="AD371" s="120"/>
    </row>
    <row r="372">
      <c r="A372" s="120"/>
      <c r="B372" s="120"/>
      <c r="C372" s="120"/>
      <c r="D372" s="120"/>
      <c r="E372" s="120"/>
      <c r="F372" s="120"/>
      <c r="G372" s="120"/>
      <c r="H372" s="120"/>
      <c r="I372" s="120"/>
      <c r="J372" s="120"/>
      <c r="K372" s="120"/>
      <c r="L372" s="120"/>
      <c r="M372" s="120"/>
      <c r="N372" s="120"/>
      <c r="O372" s="120"/>
      <c r="P372" s="120"/>
      <c r="Q372" s="120"/>
      <c r="R372" s="120"/>
      <c r="S372" s="120"/>
      <c r="T372" s="120"/>
      <c r="U372" s="120"/>
      <c r="V372" s="120"/>
      <c r="W372" s="120"/>
      <c r="X372" s="120"/>
      <c r="Y372" s="120"/>
      <c r="Z372" s="120"/>
      <c r="AA372" s="120"/>
      <c r="AB372" s="120"/>
      <c r="AC372" s="120"/>
      <c r="AD372" s="120"/>
    </row>
    <row r="373">
      <c r="A373" s="120"/>
      <c r="B373" s="120"/>
      <c r="C373" s="120"/>
      <c r="D373" s="120"/>
      <c r="E373" s="120"/>
      <c r="F373" s="120"/>
      <c r="G373" s="120"/>
      <c r="H373" s="120"/>
      <c r="I373" s="120"/>
      <c r="J373" s="120"/>
      <c r="K373" s="120"/>
      <c r="L373" s="120"/>
      <c r="M373" s="120"/>
      <c r="N373" s="120"/>
      <c r="O373" s="120"/>
      <c r="P373" s="120"/>
      <c r="Q373" s="120"/>
      <c r="R373" s="120"/>
      <c r="S373" s="120"/>
      <c r="T373" s="120"/>
      <c r="U373" s="120"/>
      <c r="V373" s="120"/>
      <c r="W373" s="120"/>
      <c r="X373" s="120"/>
      <c r="Y373" s="120"/>
      <c r="Z373" s="120"/>
      <c r="AA373" s="120"/>
      <c r="AB373" s="120"/>
      <c r="AC373" s="120"/>
      <c r="AD373" s="120"/>
    </row>
    <row r="374">
      <c r="A374" s="120"/>
      <c r="B374" s="120"/>
      <c r="C374" s="120"/>
      <c r="D374" s="120"/>
      <c r="E374" s="120"/>
      <c r="F374" s="120"/>
      <c r="G374" s="120"/>
      <c r="H374" s="120"/>
      <c r="I374" s="120"/>
      <c r="J374" s="120"/>
      <c r="K374" s="120"/>
      <c r="L374" s="120"/>
      <c r="M374" s="120"/>
      <c r="N374" s="120"/>
      <c r="O374" s="120"/>
      <c r="P374" s="120"/>
      <c r="Q374" s="120"/>
      <c r="R374" s="120"/>
      <c r="S374" s="120"/>
      <c r="T374" s="120"/>
      <c r="U374" s="120"/>
      <c r="V374" s="120"/>
      <c r="W374" s="120"/>
      <c r="X374" s="120"/>
      <c r="Y374" s="120"/>
      <c r="Z374" s="120"/>
      <c r="AA374" s="120"/>
      <c r="AB374" s="120"/>
      <c r="AC374" s="120"/>
      <c r="AD374" s="120"/>
    </row>
    <row r="375">
      <c r="A375" s="120"/>
      <c r="B375" s="120"/>
      <c r="C375" s="120"/>
      <c r="D375" s="120"/>
      <c r="E375" s="120"/>
      <c r="F375" s="120"/>
      <c r="G375" s="120"/>
      <c r="H375" s="120"/>
      <c r="I375" s="120"/>
      <c r="J375" s="120"/>
      <c r="K375" s="120"/>
      <c r="L375" s="120"/>
      <c r="M375" s="120"/>
      <c r="N375" s="120"/>
      <c r="O375" s="120"/>
      <c r="P375" s="120"/>
      <c r="Q375" s="120"/>
      <c r="R375" s="120"/>
      <c r="S375" s="120"/>
      <c r="T375" s="120"/>
      <c r="U375" s="120"/>
      <c r="V375" s="120"/>
      <c r="W375" s="120"/>
      <c r="X375" s="120"/>
      <c r="Y375" s="120"/>
      <c r="Z375" s="120"/>
      <c r="AA375" s="120"/>
      <c r="AB375" s="120"/>
      <c r="AC375" s="120"/>
      <c r="AD375" s="120"/>
    </row>
    <row r="376">
      <c r="A376" s="120"/>
      <c r="B376" s="120"/>
      <c r="C376" s="120"/>
      <c r="D376" s="120"/>
      <c r="E376" s="120"/>
      <c r="F376" s="120"/>
      <c r="G376" s="120"/>
      <c r="H376" s="120"/>
      <c r="I376" s="120"/>
      <c r="J376" s="120"/>
      <c r="K376" s="120"/>
      <c r="L376" s="120"/>
      <c r="M376" s="120"/>
      <c r="N376" s="120"/>
      <c r="O376" s="120"/>
      <c r="P376" s="120"/>
      <c r="Q376" s="120"/>
      <c r="R376" s="120"/>
      <c r="S376" s="120"/>
      <c r="T376" s="120"/>
      <c r="U376" s="120"/>
      <c r="V376" s="120"/>
      <c r="W376" s="120"/>
      <c r="X376" s="120"/>
      <c r="Y376" s="120"/>
      <c r="Z376" s="120"/>
      <c r="AA376" s="120"/>
      <c r="AB376" s="120"/>
      <c r="AC376" s="120"/>
      <c r="AD376" s="120"/>
    </row>
    <row r="377">
      <c r="A377" s="120"/>
      <c r="B377" s="120"/>
      <c r="C377" s="120"/>
      <c r="D377" s="120"/>
      <c r="E377" s="120"/>
      <c r="F377" s="120"/>
      <c r="G377" s="120"/>
      <c r="H377" s="120"/>
      <c r="I377" s="120"/>
      <c r="J377" s="120"/>
      <c r="K377" s="120"/>
      <c r="L377" s="120"/>
      <c r="M377" s="120"/>
      <c r="N377" s="120"/>
      <c r="O377" s="120"/>
      <c r="P377" s="120"/>
      <c r="Q377" s="120"/>
      <c r="R377" s="120"/>
      <c r="S377" s="120"/>
      <c r="T377" s="120"/>
      <c r="U377" s="120"/>
      <c r="V377" s="120"/>
      <c r="W377" s="120"/>
      <c r="X377" s="120"/>
      <c r="Y377" s="120"/>
      <c r="Z377" s="120"/>
      <c r="AA377" s="120"/>
      <c r="AB377" s="120"/>
      <c r="AC377" s="120"/>
      <c r="AD377" s="120"/>
    </row>
    <row r="378">
      <c r="A378" s="120"/>
      <c r="B378" s="120"/>
      <c r="C378" s="120"/>
      <c r="D378" s="120"/>
      <c r="E378" s="120"/>
      <c r="F378" s="120"/>
      <c r="G378" s="120"/>
      <c r="H378" s="120"/>
      <c r="I378" s="120"/>
      <c r="J378" s="120"/>
      <c r="K378" s="120"/>
      <c r="L378" s="120"/>
      <c r="M378" s="120"/>
      <c r="N378" s="120"/>
      <c r="O378" s="120"/>
      <c r="P378" s="120"/>
      <c r="Q378" s="120"/>
      <c r="R378" s="120"/>
      <c r="S378" s="120"/>
      <c r="T378" s="120"/>
      <c r="U378" s="120"/>
      <c r="V378" s="120"/>
      <c r="W378" s="120"/>
      <c r="X378" s="120"/>
      <c r="Y378" s="120"/>
      <c r="Z378" s="120"/>
      <c r="AA378" s="120"/>
      <c r="AB378" s="120"/>
      <c r="AC378" s="120"/>
      <c r="AD378" s="120"/>
    </row>
    <row r="379">
      <c r="A379" s="120"/>
      <c r="B379" s="120"/>
      <c r="C379" s="120"/>
      <c r="D379" s="120"/>
      <c r="E379" s="120"/>
      <c r="F379" s="120"/>
      <c r="G379" s="120"/>
      <c r="H379" s="120"/>
      <c r="I379" s="120"/>
      <c r="J379" s="120"/>
      <c r="K379" s="120"/>
      <c r="L379" s="120"/>
      <c r="M379" s="120"/>
      <c r="N379" s="120"/>
      <c r="O379" s="120"/>
      <c r="P379" s="120"/>
      <c r="Q379" s="120"/>
      <c r="R379" s="120"/>
      <c r="S379" s="120"/>
      <c r="T379" s="120"/>
      <c r="U379" s="120"/>
      <c r="V379" s="120"/>
      <c r="W379" s="120"/>
      <c r="X379" s="120"/>
      <c r="Y379" s="120"/>
      <c r="Z379" s="120"/>
      <c r="AA379" s="120"/>
      <c r="AB379" s="120"/>
      <c r="AC379" s="120"/>
      <c r="AD379" s="120"/>
    </row>
    <row r="380">
      <c r="A380" s="120"/>
      <c r="B380" s="120"/>
      <c r="C380" s="120"/>
      <c r="D380" s="120"/>
      <c r="E380" s="120"/>
      <c r="F380" s="120"/>
      <c r="G380" s="120"/>
      <c r="H380" s="120"/>
      <c r="I380" s="120"/>
      <c r="J380" s="120"/>
      <c r="K380" s="120"/>
      <c r="L380" s="120"/>
      <c r="M380" s="120"/>
      <c r="N380" s="120"/>
      <c r="O380" s="120"/>
      <c r="P380" s="120"/>
      <c r="Q380" s="120"/>
      <c r="R380" s="120"/>
      <c r="S380" s="120"/>
      <c r="T380" s="120"/>
      <c r="U380" s="120"/>
      <c r="V380" s="120"/>
      <c r="W380" s="120"/>
      <c r="X380" s="120"/>
      <c r="Y380" s="120"/>
      <c r="Z380" s="120"/>
      <c r="AA380" s="120"/>
      <c r="AB380" s="120"/>
      <c r="AC380" s="120"/>
      <c r="AD380" s="120"/>
    </row>
    <row r="381">
      <c r="A381" s="120"/>
      <c r="B381" s="120"/>
      <c r="C381" s="120"/>
      <c r="D381" s="120"/>
      <c r="E381" s="120"/>
      <c r="F381" s="120"/>
      <c r="G381" s="120"/>
      <c r="H381" s="120"/>
      <c r="I381" s="120"/>
      <c r="J381" s="120"/>
      <c r="K381" s="120"/>
      <c r="L381" s="120"/>
      <c r="M381" s="120"/>
      <c r="N381" s="120"/>
      <c r="O381" s="120"/>
      <c r="P381" s="120"/>
      <c r="Q381" s="120"/>
      <c r="R381" s="120"/>
      <c r="S381" s="120"/>
      <c r="T381" s="120"/>
      <c r="U381" s="120"/>
      <c r="V381" s="120"/>
      <c r="W381" s="120"/>
      <c r="X381" s="120"/>
      <c r="Y381" s="120"/>
      <c r="Z381" s="120"/>
      <c r="AA381" s="120"/>
      <c r="AB381" s="120"/>
      <c r="AC381" s="120"/>
      <c r="AD381" s="120"/>
    </row>
    <row r="382">
      <c r="A382" s="120"/>
      <c r="B382" s="120"/>
      <c r="C382" s="120"/>
      <c r="D382" s="120"/>
      <c r="E382" s="120"/>
      <c r="F382" s="120"/>
      <c r="G382" s="120"/>
      <c r="H382" s="120"/>
      <c r="I382" s="120"/>
      <c r="J382" s="120"/>
      <c r="K382" s="120"/>
      <c r="L382" s="120"/>
      <c r="M382" s="120"/>
      <c r="N382" s="120"/>
      <c r="O382" s="120"/>
      <c r="P382" s="120"/>
      <c r="Q382" s="120"/>
      <c r="R382" s="120"/>
      <c r="S382" s="120"/>
      <c r="T382" s="120"/>
      <c r="U382" s="120"/>
      <c r="V382" s="120"/>
      <c r="W382" s="120"/>
      <c r="X382" s="120"/>
      <c r="Y382" s="120"/>
      <c r="Z382" s="120"/>
      <c r="AA382" s="120"/>
      <c r="AB382" s="120"/>
      <c r="AC382" s="120"/>
      <c r="AD382" s="120"/>
    </row>
    <row r="383">
      <c r="A383" s="120"/>
      <c r="B383" s="120"/>
      <c r="C383" s="120"/>
      <c r="D383" s="120"/>
      <c r="E383" s="120"/>
      <c r="F383" s="120"/>
      <c r="G383" s="120"/>
      <c r="H383" s="120"/>
      <c r="I383" s="120"/>
      <c r="J383" s="120"/>
      <c r="K383" s="120"/>
      <c r="L383" s="120"/>
      <c r="M383" s="120"/>
      <c r="N383" s="120"/>
      <c r="O383" s="120"/>
      <c r="P383" s="120"/>
      <c r="Q383" s="120"/>
      <c r="R383" s="120"/>
      <c r="S383" s="120"/>
      <c r="T383" s="120"/>
      <c r="U383" s="120"/>
      <c r="V383" s="120"/>
      <c r="W383" s="120"/>
      <c r="X383" s="120"/>
      <c r="Y383" s="120"/>
      <c r="Z383" s="120"/>
      <c r="AA383" s="120"/>
      <c r="AB383" s="120"/>
      <c r="AC383" s="120"/>
      <c r="AD383" s="120"/>
    </row>
    <row r="384">
      <c r="A384" s="120"/>
      <c r="B384" s="120"/>
      <c r="C384" s="120"/>
      <c r="D384" s="120"/>
      <c r="E384" s="120"/>
      <c r="F384" s="120"/>
      <c r="G384" s="120"/>
      <c r="H384" s="120"/>
      <c r="I384" s="120"/>
      <c r="J384" s="120"/>
      <c r="K384" s="120"/>
      <c r="L384" s="120"/>
      <c r="M384" s="120"/>
      <c r="N384" s="120"/>
      <c r="O384" s="120"/>
      <c r="P384" s="120"/>
      <c r="Q384" s="120"/>
      <c r="R384" s="120"/>
      <c r="S384" s="120"/>
      <c r="T384" s="120"/>
      <c r="U384" s="120"/>
      <c r="V384" s="120"/>
      <c r="W384" s="120"/>
      <c r="X384" s="120"/>
      <c r="Y384" s="120"/>
      <c r="Z384" s="120"/>
      <c r="AA384" s="120"/>
      <c r="AB384" s="120"/>
      <c r="AC384" s="120"/>
      <c r="AD384" s="120"/>
    </row>
    <row r="385">
      <c r="A385" s="120"/>
      <c r="B385" s="120"/>
      <c r="C385" s="120"/>
      <c r="D385" s="120"/>
      <c r="E385" s="120"/>
      <c r="F385" s="120"/>
      <c r="G385" s="120"/>
      <c r="H385" s="120"/>
      <c r="I385" s="120"/>
      <c r="J385" s="120"/>
      <c r="K385" s="120"/>
      <c r="L385" s="120"/>
      <c r="M385" s="120"/>
      <c r="N385" s="120"/>
      <c r="O385" s="120"/>
      <c r="P385" s="120"/>
      <c r="Q385" s="120"/>
      <c r="R385" s="120"/>
      <c r="S385" s="120"/>
      <c r="T385" s="120"/>
      <c r="U385" s="120"/>
      <c r="V385" s="120"/>
      <c r="W385" s="120"/>
      <c r="X385" s="120"/>
      <c r="Y385" s="120"/>
      <c r="Z385" s="120"/>
      <c r="AA385" s="120"/>
      <c r="AB385" s="120"/>
      <c r="AC385" s="120"/>
      <c r="AD385" s="120"/>
    </row>
    <row r="386">
      <c r="A386" s="120"/>
      <c r="B386" s="120"/>
      <c r="C386" s="120"/>
      <c r="D386" s="120"/>
      <c r="E386" s="120"/>
      <c r="F386" s="120"/>
      <c r="G386" s="120"/>
      <c r="H386" s="120"/>
      <c r="I386" s="120"/>
      <c r="J386" s="120"/>
      <c r="K386" s="120"/>
      <c r="L386" s="120"/>
      <c r="M386" s="120"/>
      <c r="N386" s="120"/>
      <c r="O386" s="120"/>
      <c r="P386" s="120"/>
      <c r="Q386" s="120"/>
      <c r="R386" s="120"/>
      <c r="S386" s="120"/>
      <c r="T386" s="120"/>
      <c r="U386" s="120"/>
      <c r="V386" s="120"/>
      <c r="W386" s="120"/>
      <c r="X386" s="120"/>
      <c r="Y386" s="120"/>
      <c r="Z386" s="120"/>
      <c r="AA386" s="120"/>
      <c r="AB386" s="120"/>
      <c r="AC386" s="120"/>
      <c r="AD386" s="120"/>
    </row>
    <row r="387">
      <c r="A387" s="120"/>
      <c r="B387" s="120"/>
      <c r="C387" s="120"/>
      <c r="D387" s="120"/>
      <c r="E387" s="120"/>
      <c r="F387" s="120"/>
      <c r="G387" s="120"/>
      <c r="H387" s="120"/>
      <c r="I387" s="120"/>
      <c r="J387" s="120"/>
      <c r="K387" s="120"/>
      <c r="L387" s="120"/>
      <c r="M387" s="120"/>
      <c r="N387" s="120"/>
      <c r="O387" s="120"/>
      <c r="P387" s="120"/>
      <c r="Q387" s="120"/>
      <c r="R387" s="120"/>
      <c r="S387" s="120"/>
      <c r="T387" s="120"/>
      <c r="U387" s="120"/>
      <c r="V387" s="120"/>
      <c r="W387" s="120"/>
      <c r="X387" s="120"/>
      <c r="Y387" s="120"/>
      <c r="Z387" s="120"/>
      <c r="AA387" s="120"/>
      <c r="AB387" s="120"/>
      <c r="AC387" s="120"/>
      <c r="AD387" s="120"/>
    </row>
    <row r="388">
      <c r="A388" s="120"/>
      <c r="B388" s="120"/>
      <c r="C388" s="120"/>
      <c r="D388" s="120"/>
      <c r="E388" s="120"/>
      <c r="F388" s="120"/>
      <c r="G388" s="120"/>
      <c r="H388" s="120"/>
      <c r="I388" s="120"/>
      <c r="J388" s="120"/>
      <c r="K388" s="120"/>
      <c r="L388" s="120"/>
      <c r="M388" s="120"/>
      <c r="N388" s="120"/>
      <c r="O388" s="120"/>
      <c r="P388" s="120"/>
      <c r="Q388" s="120"/>
      <c r="R388" s="120"/>
      <c r="S388" s="120"/>
      <c r="T388" s="120"/>
      <c r="U388" s="120"/>
      <c r="V388" s="120"/>
      <c r="W388" s="120"/>
      <c r="X388" s="120"/>
      <c r="Y388" s="120"/>
      <c r="Z388" s="120"/>
      <c r="AA388" s="120"/>
      <c r="AB388" s="120"/>
      <c r="AC388" s="120"/>
      <c r="AD388" s="120"/>
    </row>
    <row r="389">
      <c r="A389" s="120"/>
      <c r="B389" s="120"/>
      <c r="C389" s="120"/>
      <c r="D389" s="120"/>
      <c r="E389" s="120"/>
      <c r="F389" s="120"/>
      <c r="G389" s="120"/>
      <c r="H389" s="120"/>
      <c r="I389" s="120"/>
      <c r="J389" s="120"/>
      <c r="K389" s="120"/>
      <c r="L389" s="120"/>
      <c r="M389" s="120"/>
      <c r="N389" s="120"/>
      <c r="O389" s="120"/>
      <c r="P389" s="120"/>
      <c r="Q389" s="120"/>
      <c r="R389" s="120"/>
      <c r="S389" s="120"/>
      <c r="T389" s="120"/>
      <c r="U389" s="120"/>
      <c r="V389" s="120"/>
      <c r="W389" s="120"/>
      <c r="X389" s="120"/>
      <c r="Y389" s="120"/>
      <c r="Z389" s="120"/>
      <c r="AA389" s="120"/>
      <c r="AB389" s="120"/>
      <c r="AC389" s="120"/>
      <c r="AD389" s="120"/>
    </row>
    <row r="390">
      <c r="A390" s="120"/>
      <c r="B390" s="120"/>
      <c r="C390" s="120"/>
      <c r="D390" s="120"/>
      <c r="E390" s="120"/>
      <c r="F390" s="120"/>
      <c r="G390" s="120"/>
      <c r="H390" s="120"/>
      <c r="I390" s="120"/>
      <c r="J390" s="120"/>
      <c r="K390" s="120"/>
      <c r="L390" s="120"/>
      <c r="M390" s="120"/>
      <c r="N390" s="120"/>
      <c r="O390" s="120"/>
      <c r="P390" s="120"/>
      <c r="Q390" s="120"/>
      <c r="R390" s="120"/>
      <c r="S390" s="120"/>
      <c r="T390" s="120"/>
      <c r="U390" s="120"/>
      <c r="V390" s="120"/>
      <c r="W390" s="120"/>
      <c r="X390" s="120"/>
      <c r="Y390" s="120"/>
      <c r="Z390" s="120"/>
      <c r="AA390" s="120"/>
      <c r="AB390" s="120"/>
      <c r="AC390" s="120"/>
      <c r="AD390" s="120"/>
    </row>
    <row r="391">
      <c r="A391" s="120"/>
      <c r="B391" s="120"/>
      <c r="C391" s="120"/>
      <c r="D391" s="120"/>
      <c r="E391" s="120"/>
      <c r="F391" s="120"/>
      <c r="G391" s="120"/>
      <c r="H391" s="120"/>
      <c r="I391" s="120"/>
      <c r="J391" s="120"/>
      <c r="K391" s="120"/>
      <c r="L391" s="120"/>
      <c r="M391" s="120"/>
      <c r="N391" s="120"/>
      <c r="O391" s="120"/>
      <c r="P391" s="120"/>
      <c r="Q391" s="120"/>
      <c r="R391" s="120"/>
      <c r="S391" s="120"/>
      <c r="T391" s="120"/>
      <c r="U391" s="120"/>
      <c r="V391" s="120"/>
      <c r="W391" s="120"/>
      <c r="X391" s="120"/>
      <c r="Y391" s="120"/>
      <c r="Z391" s="120"/>
      <c r="AA391" s="120"/>
      <c r="AB391" s="120"/>
      <c r="AC391" s="120"/>
      <c r="AD391" s="120"/>
    </row>
    <row r="392">
      <c r="A392" s="120"/>
      <c r="B392" s="120"/>
      <c r="C392" s="120"/>
      <c r="D392" s="120"/>
      <c r="E392" s="120"/>
      <c r="F392" s="120"/>
      <c r="G392" s="120"/>
      <c r="H392" s="120"/>
      <c r="I392" s="120"/>
      <c r="J392" s="120"/>
      <c r="K392" s="120"/>
      <c r="L392" s="120"/>
      <c r="M392" s="120"/>
      <c r="N392" s="120"/>
      <c r="O392" s="120"/>
      <c r="P392" s="120"/>
      <c r="Q392" s="120"/>
      <c r="R392" s="120"/>
      <c r="S392" s="120"/>
      <c r="T392" s="120"/>
      <c r="U392" s="120"/>
      <c r="V392" s="120"/>
      <c r="W392" s="120"/>
      <c r="X392" s="120"/>
      <c r="Y392" s="120"/>
      <c r="Z392" s="120"/>
      <c r="AA392" s="120"/>
      <c r="AB392" s="120"/>
      <c r="AC392" s="120"/>
      <c r="AD392" s="120"/>
    </row>
    <row r="393">
      <c r="A393" s="120"/>
      <c r="B393" s="120"/>
      <c r="C393" s="120"/>
      <c r="D393" s="120"/>
      <c r="E393" s="120"/>
      <c r="F393" s="120"/>
      <c r="G393" s="120"/>
      <c r="H393" s="120"/>
      <c r="I393" s="120"/>
      <c r="J393" s="120"/>
      <c r="K393" s="120"/>
      <c r="L393" s="120"/>
      <c r="M393" s="120"/>
      <c r="N393" s="120"/>
      <c r="O393" s="120"/>
      <c r="P393" s="120"/>
      <c r="Q393" s="120"/>
      <c r="R393" s="120"/>
      <c r="S393" s="120"/>
      <c r="T393" s="120"/>
      <c r="U393" s="120"/>
      <c r="V393" s="120"/>
      <c r="W393" s="120"/>
      <c r="X393" s="120"/>
      <c r="Y393" s="120"/>
      <c r="Z393" s="120"/>
      <c r="AA393" s="120"/>
      <c r="AB393" s="120"/>
      <c r="AC393" s="120"/>
      <c r="AD393" s="120"/>
    </row>
    <row r="394">
      <c r="A394" s="120"/>
      <c r="B394" s="120"/>
      <c r="C394" s="120"/>
      <c r="D394" s="120"/>
      <c r="E394" s="120"/>
      <c r="F394" s="120"/>
      <c r="G394" s="120"/>
      <c r="H394" s="120"/>
      <c r="I394" s="120"/>
      <c r="J394" s="120"/>
      <c r="K394" s="120"/>
      <c r="L394" s="120"/>
      <c r="M394" s="120"/>
      <c r="N394" s="120"/>
      <c r="O394" s="120"/>
      <c r="P394" s="120"/>
      <c r="Q394" s="120"/>
      <c r="R394" s="120"/>
      <c r="S394" s="120"/>
      <c r="T394" s="120"/>
      <c r="U394" s="120"/>
      <c r="V394" s="120"/>
      <c r="W394" s="120"/>
      <c r="X394" s="120"/>
      <c r="Y394" s="120"/>
      <c r="Z394" s="120"/>
      <c r="AA394" s="120"/>
      <c r="AB394" s="120"/>
      <c r="AC394" s="120"/>
      <c r="AD394" s="120"/>
    </row>
    <row r="395">
      <c r="A395" s="120"/>
      <c r="B395" s="120"/>
      <c r="C395" s="120"/>
      <c r="D395" s="120"/>
      <c r="E395" s="120"/>
      <c r="F395" s="120"/>
      <c r="G395" s="120"/>
      <c r="H395" s="120"/>
      <c r="I395" s="120"/>
      <c r="J395" s="120"/>
      <c r="K395" s="120"/>
      <c r="L395" s="120"/>
      <c r="M395" s="120"/>
      <c r="N395" s="120"/>
      <c r="O395" s="120"/>
      <c r="P395" s="120"/>
      <c r="Q395" s="120"/>
      <c r="R395" s="120"/>
      <c r="S395" s="120"/>
      <c r="T395" s="120"/>
      <c r="U395" s="120"/>
      <c r="V395" s="120"/>
      <c r="W395" s="120"/>
      <c r="X395" s="120"/>
      <c r="Y395" s="120"/>
      <c r="Z395" s="120"/>
      <c r="AA395" s="120"/>
      <c r="AB395" s="120"/>
      <c r="AC395" s="120"/>
      <c r="AD395" s="120"/>
    </row>
    <row r="396">
      <c r="A396" s="120"/>
      <c r="B396" s="120"/>
      <c r="C396" s="120"/>
      <c r="D396" s="120"/>
      <c r="E396" s="120"/>
      <c r="F396" s="120"/>
      <c r="G396" s="120"/>
      <c r="H396" s="120"/>
      <c r="I396" s="120"/>
      <c r="J396" s="120"/>
      <c r="K396" s="120"/>
      <c r="L396" s="120"/>
      <c r="M396" s="120"/>
      <c r="N396" s="120"/>
      <c r="O396" s="120"/>
      <c r="P396" s="120"/>
      <c r="Q396" s="120"/>
      <c r="R396" s="120"/>
      <c r="S396" s="120"/>
      <c r="T396" s="120"/>
      <c r="U396" s="120"/>
      <c r="V396" s="120"/>
      <c r="W396" s="120"/>
      <c r="X396" s="120"/>
      <c r="Y396" s="120"/>
      <c r="Z396" s="120"/>
      <c r="AA396" s="120"/>
      <c r="AB396" s="120"/>
      <c r="AC396" s="120"/>
      <c r="AD396" s="120"/>
    </row>
    <row r="397">
      <c r="A397" s="120"/>
      <c r="B397" s="120"/>
      <c r="C397" s="120"/>
      <c r="D397" s="120"/>
      <c r="E397" s="120"/>
      <c r="F397" s="120"/>
      <c r="G397" s="120"/>
      <c r="H397" s="120"/>
      <c r="I397" s="120"/>
      <c r="J397" s="120"/>
      <c r="K397" s="120"/>
      <c r="L397" s="120"/>
      <c r="M397" s="120"/>
      <c r="N397" s="120"/>
      <c r="O397" s="120"/>
      <c r="P397" s="120"/>
      <c r="Q397" s="120"/>
      <c r="R397" s="120"/>
      <c r="S397" s="120"/>
      <c r="T397" s="120"/>
      <c r="U397" s="120"/>
      <c r="V397" s="120"/>
      <c r="W397" s="120"/>
      <c r="X397" s="120"/>
      <c r="Y397" s="120"/>
      <c r="Z397" s="120"/>
      <c r="AA397" s="120"/>
      <c r="AB397" s="120"/>
      <c r="AC397" s="120"/>
      <c r="AD397" s="120"/>
    </row>
    <row r="398">
      <c r="A398" s="120"/>
      <c r="B398" s="120"/>
      <c r="C398" s="120"/>
      <c r="D398" s="120"/>
      <c r="E398" s="120"/>
      <c r="F398" s="120"/>
      <c r="G398" s="120"/>
      <c r="H398" s="120"/>
      <c r="I398" s="120"/>
      <c r="J398" s="120"/>
      <c r="K398" s="120"/>
      <c r="L398" s="120"/>
      <c r="M398" s="120"/>
      <c r="N398" s="120"/>
      <c r="O398" s="120"/>
      <c r="P398" s="120"/>
      <c r="Q398" s="120"/>
      <c r="R398" s="120"/>
      <c r="S398" s="120"/>
      <c r="T398" s="120"/>
      <c r="U398" s="120"/>
      <c r="V398" s="120"/>
      <c r="W398" s="120"/>
      <c r="X398" s="120"/>
      <c r="Y398" s="120"/>
      <c r="Z398" s="120"/>
      <c r="AA398" s="120"/>
      <c r="AB398" s="120"/>
      <c r="AC398" s="120"/>
      <c r="AD398" s="120"/>
    </row>
    <row r="399">
      <c r="A399" s="120"/>
      <c r="B399" s="120"/>
      <c r="C399" s="120"/>
      <c r="D399" s="120"/>
      <c r="E399" s="120"/>
      <c r="F399" s="120"/>
      <c r="G399" s="120"/>
      <c r="H399" s="120"/>
      <c r="I399" s="120"/>
      <c r="J399" s="120"/>
      <c r="K399" s="120"/>
      <c r="L399" s="120"/>
      <c r="M399" s="120"/>
      <c r="N399" s="120"/>
      <c r="O399" s="120"/>
      <c r="P399" s="120"/>
      <c r="Q399" s="120"/>
      <c r="R399" s="120"/>
      <c r="S399" s="120"/>
      <c r="T399" s="120"/>
      <c r="U399" s="120"/>
      <c r="V399" s="120"/>
      <c r="W399" s="120"/>
      <c r="X399" s="120"/>
      <c r="Y399" s="120"/>
      <c r="Z399" s="120"/>
      <c r="AA399" s="120"/>
      <c r="AB399" s="120"/>
      <c r="AC399" s="120"/>
      <c r="AD399" s="120"/>
    </row>
    <row r="400">
      <c r="A400" s="120"/>
      <c r="B400" s="120"/>
      <c r="C400" s="120"/>
      <c r="D400" s="120"/>
      <c r="E400" s="120"/>
      <c r="F400" s="120"/>
      <c r="G400" s="120"/>
      <c r="H400" s="120"/>
      <c r="I400" s="120"/>
      <c r="J400" s="120"/>
      <c r="K400" s="120"/>
      <c r="L400" s="120"/>
      <c r="M400" s="120"/>
      <c r="N400" s="120"/>
      <c r="O400" s="120"/>
      <c r="P400" s="120"/>
      <c r="Q400" s="120"/>
      <c r="R400" s="120"/>
      <c r="S400" s="120"/>
      <c r="T400" s="120"/>
      <c r="U400" s="120"/>
      <c r="V400" s="120"/>
      <c r="W400" s="120"/>
      <c r="X400" s="120"/>
      <c r="Y400" s="120"/>
      <c r="Z400" s="120"/>
      <c r="AA400" s="120"/>
      <c r="AB400" s="120"/>
      <c r="AC400" s="120"/>
      <c r="AD400" s="120"/>
    </row>
    <row r="401">
      <c r="A401" s="120"/>
      <c r="B401" s="120"/>
      <c r="C401" s="120"/>
      <c r="D401" s="120"/>
      <c r="E401" s="120"/>
      <c r="F401" s="120"/>
      <c r="G401" s="120"/>
      <c r="H401" s="120"/>
      <c r="I401" s="120"/>
      <c r="J401" s="120"/>
      <c r="K401" s="120"/>
      <c r="L401" s="120"/>
      <c r="M401" s="120"/>
      <c r="N401" s="120"/>
      <c r="O401" s="120"/>
      <c r="P401" s="120"/>
      <c r="Q401" s="120"/>
      <c r="R401" s="120"/>
      <c r="S401" s="120"/>
      <c r="T401" s="120"/>
      <c r="U401" s="120"/>
      <c r="V401" s="120"/>
      <c r="W401" s="120"/>
      <c r="X401" s="120"/>
      <c r="Y401" s="120"/>
      <c r="Z401" s="120"/>
      <c r="AA401" s="120"/>
      <c r="AB401" s="120"/>
      <c r="AC401" s="120"/>
      <c r="AD401" s="120"/>
    </row>
    <row r="402">
      <c r="A402" s="120"/>
      <c r="B402" s="120"/>
      <c r="C402" s="120"/>
      <c r="D402" s="120"/>
      <c r="E402" s="120"/>
      <c r="F402" s="120"/>
      <c r="G402" s="120"/>
      <c r="H402" s="120"/>
      <c r="I402" s="120"/>
      <c r="J402" s="120"/>
      <c r="K402" s="120"/>
      <c r="L402" s="120"/>
      <c r="M402" s="120"/>
      <c r="N402" s="120"/>
      <c r="O402" s="120"/>
      <c r="P402" s="120"/>
      <c r="Q402" s="120"/>
      <c r="R402" s="120"/>
      <c r="S402" s="120"/>
      <c r="T402" s="120"/>
      <c r="U402" s="120"/>
      <c r="V402" s="120"/>
      <c r="W402" s="120"/>
      <c r="X402" s="120"/>
      <c r="Y402" s="120"/>
      <c r="Z402" s="120"/>
      <c r="AA402" s="120"/>
      <c r="AB402" s="120"/>
      <c r="AC402" s="120"/>
      <c r="AD402" s="120"/>
    </row>
    <row r="403">
      <c r="A403" s="120"/>
      <c r="B403" s="120"/>
      <c r="C403" s="120"/>
      <c r="D403" s="120"/>
      <c r="E403" s="120"/>
      <c r="F403" s="120"/>
      <c r="G403" s="120"/>
      <c r="H403" s="120"/>
      <c r="I403" s="120"/>
      <c r="J403" s="120"/>
      <c r="K403" s="120"/>
      <c r="L403" s="120"/>
      <c r="M403" s="120"/>
      <c r="N403" s="120"/>
      <c r="O403" s="120"/>
      <c r="P403" s="120"/>
      <c r="Q403" s="120"/>
      <c r="R403" s="120"/>
      <c r="S403" s="120"/>
      <c r="T403" s="120"/>
      <c r="U403" s="120"/>
      <c r="V403" s="120"/>
      <c r="W403" s="120"/>
      <c r="X403" s="120"/>
      <c r="Y403" s="120"/>
      <c r="Z403" s="120"/>
      <c r="AA403" s="120"/>
      <c r="AB403" s="120"/>
      <c r="AC403" s="120"/>
      <c r="AD403" s="120"/>
    </row>
    <row r="404">
      <c r="A404" s="120"/>
      <c r="B404" s="120"/>
      <c r="C404" s="120"/>
      <c r="D404" s="120"/>
      <c r="E404" s="120"/>
      <c r="F404" s="120"/>
      <c r="G404" s="120"/>
      <c r="H404" s="120"/>
      <c r="I404" s="120"/>
      <c r="J404" s="120"/>
      <c r="K404" s="120"/>
      <c r="L404" s="120"/>
      <c r="M404" s="120"/>
      <c r="N404" s="120"/>
      <c r="O404" s="120"/>
      <c r="P404" s="120"/>
      <c r="Q404" s="120"/>
      <c r="R404" s="120"/>
      <c r="S404" s="120"/>
      <c r="T404" s="120"/>
      <c r="U404" s="120"/>
      <c r="V404" s="120"/>
      <c r="W404" s="120"/>
      <c r="X404" s="120"/>
      <c r="Y404" s="120"/>
      <c r="Z404" s="120"/>
      <c r="AA404" s="120"/>
      <c r="AB404" s="120"/>
      <c r="AC404" s="120"/>
      <c r="AD404" s="120"/>
    </row>
    <row r="405">
      <c r="A405" s="120"/>
      <c r="B405" s="120"/>
      <c r="C405" s="120"/>
      <c r="D405" s="120"/>
      <c r="E405" s="120"/>
      <c r="F405" s="120"/>
      <c r="G405" s="120"/>
      <c r="H405" s="120"/>
      <c r="I405" s="120"/>
      <c r="J405" s="120"/>
      <c r="K405" s="120"/>
      <c r="L405" s="120"/>
      <c r="M405" s="120"/>
      <c r="N405" s="120"/>
      <c r="O405" s="120"/>
      <c r="P405" s="120"/>
      <c r="Q405" s="120"/>
      <c r="R405" s="120"/>
      <c r="S405" s="120"/>
      <c r="T405" s="120"/>
      <c r="U405" s="120"/>
      <c r="V405" s="120"/>
      <c r="W405" s="120"/>
      <c r="X405" s="120"/>
      <c r="Y405" s="120"/>
      <c r="Z405" s="120"/>
      <c r="AA405" s="120"/>
      <c r="AB405" s="120"/>
      <c r="AC405" s="120"/>
      <c r="AD405" s="120"/>
    </row>
    <row r="406">
      <c r="A406" s="120"/>
      <c r="B406" s="120"/>
      <c r="C406" s="120"/>
      <c r="D406" s="120"/>
      <c r="E406" s="120"/>
      <c r="F406" s="120"/>
      <c r="G406" s="120"/>
      <c r="H406" s="120"/>
      <c r="I406" s="120"/>
      <c r="J406" s="120"/>
      <c r="K406" s="120"/>
      <c r="L406" s="120"/>
      <c r="M406" s="120"/>
      <c r="N406" s="120"/>
      <c r="O406" s="120"/>
      <c r="P406" s="120"/>
      <c r="Q406" s="120"/>
      <c r="R406" s="120"/>
      <c r="S406" s="120"/>
      <c r="T406" s="120"/>
      <c r="U406" s="120"/>
      <c r="V406" s="120"/>
      <c r="W406" s="120"/>
      <c r="X406" s="120"/>
      <c r="Y406" s="120"/>
      <c r="Z406" s="120"/>
      <c r="AA406" s="120"/>
      <c r="AB406" s="120"/>
      <c r="AC406" s="120"/>
      <c r="AD406" s="120"/>
    </row>
    <row r="407">
      <c r="A407" s="120"/>
      <c r="B407" s="120"/>
      <c r="C407" s="120"/>
      <c r="D407" s="120"/>
      <c r="E407" s="120"/>
      <c r="F407" s="120"/>
      <c r="G407" s="120"/>
      <c r="H407" s="120"/>
      <c r="I407" s="120"/>
      <c r="J407" s="120"/>
      <c r="K407" s="120"/>
      <c r="L407" s="120"/>
      <c r="M407" s="120"/>
      <c r="N407" s="120"/>
      <c r="O407" s="120"/>
      <c r="P407" s="120"/>
      <c r="Q407" s="120"/>
      <c r="R407" s="120"/>
      <c r="S407" s="120"/>
      <c r="T407" s="120"/>
      <c r="U407" s="120"/>
      <c r="V407" s="120"/>
      <c r="W407" s="120"/>
      <c r="X407" s="120"/>
      <c r="Y407" s="120"/>
      <c r="Z407" s="120"/>
      <c r="AA407" s="120"/>
      <c r="AB407" s="120"/>
      <c r="AC407" s="120"/>
      <c r="AD407" s="120"/>
    </row>
    <row r="408">
      <c r="A408" s="120"/>
      <c r="B408" s="120"/>
      <c r="C408" s="120"/>
      <c r="D408" s="120"/>
      <c r="E408" s="120"/>
      <c r="F408" s="120"/>
      <c r="G408" s="120"/>
      <c r="H408" s="120"/>
      <c r="I408" s="120"/>
      <c r="J408" s="120"/>
      <c r="K408" s="120"/>
      <c r="L408" s="120"/>
      <c r="M408" s="120"/>
      <c r="N408" s="120"/>
      <c r="O408" s="120"/>
      <c r="P408" s="120"/>
      <c r="Q408" s="120"/>
      <c r="R408" s="120"/>
      <c r="S408" s="120"/>
      <c r="T408" s="120"/>
      <c r="U408" s="120"/>
      <c r="V408" s="120"/>
      <c r="W408" s="120"/>
      <c r="X408" s="120"/>
      <c r="Y408" s="120"/>
      <c r="Z408" s="120"/>
      <c r="AA408" s="120"/>
      <c r="AB408" s="120"/>
      <c r="AC408" s="120"/>
      <c r="AD408" s="120"/>
    </row>
    <row r="409">
      <c r="A409" s="120"/>
      <c r="B409" s="120"/>
      <c r="C409" s="120"/>
      <c r="D409" s="120"/>
      <c r="E409" s="120"/>
      <c r="F409" s="120"/>
      <c r="G409" s="120"/>
      <c r="H409" s="120"/>
      <c r="I409" s="120"/>
      <c r="J409" s="120"/>
      <c r="K409" s="120"/>
      <c r="L409" s="120"/>
      <c r="M409" s="120"/>
      <c r="N409" s="120"/>
      <c r="O409" s="120"/>
      <c r="P409" s="120"/>
      <c r="Q409" s="120"/>
      <c r="R409" s="120"/>
      <c r="S409" s="120"/>
      <c r="T409" s="120"/>
      <c r="U409" s="120"/>
      <c r="V409" s="120"/>
      <c r="W409" s="120"/>
      <c r="X409" s="120"/>
      <c r="Y409" s="120"/>
      <c r="Z409" s="120"/>
      <c r="AA409" s="120"/>
      <c r="AB409" s="120"/>
      <c r="AC409" s="120"/>
      <c r="AD409" s="120"/>
    </row>
    <row r="410">
      <c r="A410" s="120"/>
      <c r="B410" s="120"/>
      <c r="C410" s="120"/>
      <c r="D410" s="120"/>
      <c r="E410" s="120"/>
      <c r="F410" s="120"/>
      <c r="G410" s="120"/>
      <c r="H410" s="120"/>
      <c r="I410" s="120"/>
      <c r="J410" s="120"/>
      <c r="K410" s="120"/>
      <c r="L410" s="120"/>
      <c r="M410" s="120"/>
      <c r="N410" s="120"/>
      <c r="O410" s="120"/>
      <c r="P410" s="120"/>
      <c r="Q410" s="120"/>
      <c r="R410" s="120"/>
      <c r="S410" s="120"/>
      <c r="T410" s="120"/>
      <c r="U410" s="120"/>
      <c r="V410" s="120"/>
      <c r="W410" s="120"/>
      <c r="X410" s="120"/>
      <c r="Y410" s="120"/>
      <c r="Z410" s="120"/>
      <c r="AA410" s="120"/>
      <c r="AB410" s="120"/>
      <c r="AC410" s="120"/>
      <c r="AD410" s="120"/>
    </row>
    <row r="411">
      <c r="A411" s="120"/>
      <c r="B411" s="120"/>
      <c r="C411" s="120"/>
      <c r="D411" s="120"/>
      <c r="E411" s="120"/>
      <c r="F411" s="120"/>
      <c r="G411" s="120"/>
      <c r="H411" s="120"/>
      <c r="I411" s="120"/>
      <c r="J411" s="120"/>
      <c r="K411" s="120"/>
      <c r="L411" s="120"/>
      <c r="M411" s="120"/>
      <c r="N411" s="120"/>
      <c r="O411" s="120"/>
      <c r="P411" s="120"/>
      <c r="Q411" s="120"/>
      <c r="R411" s="120"/>
      <c r="S411" s="120"/>
      <c r="T411" s="120"/>
      <c r="U411" s="120"/>
      <c r="V411" s="120"/>
      <c r="W411" s="120"/>
      <c r="X411" s="120"/>
      <c r="Y411" s="120"/>
      <c r="Z411" s="120"/>
      <c r="AA411" s="120"/>
      <c r="AB411" s="120"/>
      <c r="AC411" s="120"/>
      <c r="AD411" s="120"/>
    </row>
    <row r="412">
      <c r="A412" s="120"/>
      <c r="B412" s="120"/>
      <c r="C412" s="120"/>
      <c r="D412" s="120"/>
      <c r="E412" s="120"/>
      <c r="F412" s="120"/>
      <c r="G412" s="120"/>
      <c r="H412" s="120"/>
      <c r="I412" s="120"/>
      <c r="J412" s="120"/>
      <c r="K412" s="120"/>
      <c r="L412" s="120"/>
      <c r="M412" s="120"/>
      <c r="N412" s="120"/>
      <c r="O412" s="120"/>
      <c r="P412" s="120"/>
      <c r="Q412" s="120"/>
      <c r="R412" s="120"/>
      <c r="S412" s="120"/>
      <c r="T412" s="120"/>
      <c r="U412" s="120"/>
      <c r="V412" s="120"/>
      <c r="W412" s="120"/>
      <c r="X412" s="120"/>
      <c r="Y412" s="120"/>
      <c r="Z412" s="120"/>
      <c r="AA412" s="120"/>
      <c r="AB412" s="120"/>
      <c r="AC412" s="120"/>
      <c r="AD412" s="120"/>
    </row>
    <row r="413">
      <c r="A413" s="120"/>
      <c r="B413" s="120"/>
      <c r="C413" s="120"/>
      <c r="D413" s="120"/>
      <c r="E413" s="120"/>
      <c r="F413" s="120"/>
      <c r="G413" s="120"/>
      <c r="H413" s="120"/>
      <c r="I413" s="120"/>
      <c r="J413" s="120"/>
      <c r="K413" s="120"/>
      <c r="L413" s="120"/>
      <c r="M413" s="120"/>
      <c r="N413" s="120"/>
      <c r="O413" s="120"/>
      <c r="P413" s="120"/>
      <c r="Q413" s="120"/>
      <c r="R413" s="120"/>
      <c r="S413" s="120"/>
      <c r="T413" s="120"/>
      <c r="U413" s="120"/>
      <c r="V413" s="120"/>
      <c r="W413" s="120"/>
      <c r="X413" s="120"/>
      <c r="Y413" s="120"/>
      <c r="Z413" s="120"/>
      <c r="AA413" s="120"/>
      <c r="AB413" s="120"/>
      <c r="AC413" s="120"/>
      <c r="AD413" s="120"/>
    </row>
    <row r="414">
      <c r="A414" s="120"/>
      <c r="B414" s="120"/>
      <c r="C414" s="120"/>
      <c r="D414" s="120"/>
      <c r="E414" s="120"/>
      <c r="F414" s="120"/>
      <c r="G414" s="120"/>
      <c r="H414" s="120"/>
      <c r="I414" s="120"/>
      <c r="J414" s="120"/>
      <c r="K414" s="120"/>
      <c r="L414" s="120"/>
      <c r="M414" s="120"/>
      <c r="N414" s="120"/>
      <c r="O414" s="120"/>
      <c r="P414" s="120"/>
      <c r="Q414" s="120"/>
      <c r="R414" s="120"/>
      <c r="S414" s="120"/>
      <c r="T414" s="120"/>
      <c r="U414" s="120"/>
      <c r="V414" s="120"/>
      <c r="W414" s="120"/>
      <c r="X414" s="120"/>
      <c r="Y414" s="120"/>
      <c r="Z414" s="120"/>
      <c r="AA414" s="120"/>
      <c r="AB414" s="120"/>
      <c r="AC414" s="120"/>
      <c r="AD414" s="120"/>
    </row>
    <row r="415">
      <c r="A415" s="120"/>
      <c r="B415" s="120"/>
      <c r="C415" s="120"/>
      <c r="D415" s="120"/>
      <c r="E415" s="120"/>
      <c r="F415" s="120"/>
      <c r="G415" s="120"/>
      <c r="H415" s="120"/>
      <c r="I415" s="120"/>
      <c r="J415" s="120"/>
      <c r="K415" s="120"/>
      <c r="L415" s="120"/>
      <c r="M415" s="120"/>
      <c r="N415" s="120"/>
      <c r="O415" s="120"/>
      <c r="P415" s="120"/>
      <c r="Q415" s="120"/>
      <c r="R415" s="120"/>
      <c r="S415" s="120"/>
      <c r="T415" s="120"/>
      <c r="U415" s="120"/>
      <c r="V415" s="120"/>
      <c r="W415" s="120"/>
      <c r="X415" s="120"/>
      <c r="Y415" s="120"/>
      <c r="Z415" s="120"/>
      <c r="AA415" s="120"/>
      <c r="AB415" s="120"/>
      <c r="AC415" s="120"/>
      <c r="AD415" s="120"/>
    </row>
    <row r="416">
      <c r="A416" s="120"/>
      <c r="B416" s="120"/>
      <c r="C416" s="120"/>
      <c r="D416" s="120"/>
      <c r="E416" s="120"/>
      <c r="F416" s="120"/>
      <c r="G416" s="120"/>
      <c r="H416" s="120"/>
      <c r="I416" s="120"/>
      <c r="J416" s="120"/>
      <c r="K416" s="120"/>
      <c r="L416" s="120"/>
      <c r="M416" s="120"/>
      <c r="N416" s="120"/>
      <c r="O416" s="120"/>
      <c r="P416" s="120"/>
      <c r="Q416" s="120"/>
      <c r="R416" s="120"/>
      <c r="S416" s="120"/>
      <c r="T416" s="120"/>
      <c r="U416" s="120"/>
      <c r="V416" s="120"/>
      <c r="W416" s="120"/>
      <c r="X416" s="120"/>
      <c r="Y416" s="120"/>
      <c r="Z416" s="120"/>
      <c r="AA416" s="120"/>
      <c r="AB416" s="120"/>
      <c r="AC416" s="120"/>
      <c r="AD416" s="120"/>
    </row>
    <row r="417">
      <c r="A417" s="120"/>
      <c r="B417" s="120"/>
      <c r="C417" s="120"/>
      <c r="D417" s="120"/>
      <c r="E417" s="120"/>
      <c r="F417" s="120"/>
      <c r="G417" s="120"/>
      <c r="H417" s="120"/>
      <c r="I417" s="120"/>
      <c r="J417" s="120"/>
      <c r="K417" s="120"/>
      <c r="L417" s="120"/>
      <c r="M417" s="120"/>
      <c r="N417" s="120"/>
      <c r="O417" s="120"/>
      <c r="P417" s="120"/>
      <c r="Q417" s="120"/>
      <c r="R417" s="120"/>
      <c r="S417" s="120"/>
      <c r="T417" s="120"/>
      <c r="U417" s="120"/>
      <c r="V417" s="120"/>
      <c r="W417" s="120"/>
      <c r="X417" s="120"/>
      <c r="Y417" s="120"/>
      <c r="Z417" s="120"/>
      <c r="AA417" s="120"/>
      <c r="AB417" s="120"/>
      <c r="AC417" s="120"/>
      <c r="AD417" s="120"/>
    </row>
    <row r="418">
      <c r="A418" s="120"/>
      <c r="B418" s="120"/>
      <c r="C418" s="120"/>
      <c r="D418" s="120"/>
      <c r="E418" s="120"/>
      <c r="F418" s="120"/>
      <c r="G418" s="120"/>
      <c r="H418" s="120"/>
      <c r="I418" s="120"/>
      <c r="J418" s="120"/>
      <c r="K418" s="120"/>
      <c r="L418" s="120"/>
      <c r="M418" s="120"/>
      <c r="N418" s="120"/>
      <c r="O418" s="120"/>
      <c r="P418" s="120"/>
      <c r="Q418" s="120"/>
      <c r="R418" s="120"/>
      <c r="S418" s="120"/>
      <c r="T418" s="120"/>
      <c r="U418" s="120"/>
      <c r="V418" s="120"/>
      <c r="W418" s="120"/>
      <c r="X418" s="120"/>
      <c r="Y418" s="120"/>
      <c r="Z418" s="120"/>
      <c r="AA418" s="120"/>
      <c r="AB418" s="120"/>
      <c r="AC418" s="120"/>
      <c r="AD418" s="120"/>
    </row>
    <row r="419">
      <c r="A419" s="120"/>
      <c r="B419" s="120"/>
      <c r="C419" s="120"/>
      <c r="D419" s="120"/>
      <c r="E419" s="120"/>
      <c r="F419" s="120"/>
      <c r="G419" s="120"/>
      <c r="H419" s="120"/>
      <c r="I419" s="120"/>
      <c r="J419" s="120"/>
      <c r="K419" s="120"/>
      <c r="L419" s="120"/>
      <c r="M419" s="120"/>
      <c r="N419" s="120"/>
      <c r="O419" s="120"/>
      <c r="P419" s="120"/>
      <c r="Q419" s="120"/>
      <c r="R419" s="120"/>
      <c r="S419" s="120"/>
      <c r="T419" s="120"/>
      <c r="U419" s="120"/>
      <c r="V419" s="120"/>
      <c r="W419" s="120"/>
      <c r="X419" s="120"/>
      <c r="Y419" s="120"/>
      <c r="Z419" s="120"/>
      <c r="AA419" s="120"/>
      <c r="AB419" s="120"/>
      <c r="AC419" s="120"/>
      <c r="AD419" s="120"/>
    </row>
    <row r="420">
      <c r="A420" s="120"/>
      <c r="B420" s="120"/>
      <c r="C420" s="120"/>
      <c r="D420" s="120"/>
      <c r="E420" s="120"/>
      <c r="F420" s="120"/>
      <c r="G420" s="120"/>
      <c r="H420" s="120"/>
      <c r="I420" s="120"/>
      <c r="J420" s="120"/>
      <c r="K420" s="120"/>
      <c r="L420" s="120"/>
      <c r="M420" s="120"/>
      <c r="N420" s="120"/>
      <c r="O420" s="120"/>
      <c r="P420" s="120"/>
      <c r="Q420" s="120"/>
      <c r="R420" s="120"/>
      <c r="S420" s="120"/>
      <c r="T420" s="120"/>
      <c r="U420" s="120"/>
      <c r="V420" s="120"/>
      <c r="W420" s="120"/>
      <c r="X420" s="120"/>
      <c r="Y420" s="120"/>
      <c r="Z420" s="120"/>
      <c r="AA420" s="120"/>
      <c r="AB420" s="120"/>
      <c r="AC420" s="120"/>
      <c r="AD420" s="120"/>
    </row>
    <row r="421">
      <c r="A421" s="120"/>
      <c r="B421" s="120"/>
      <c r="C421" s="120"/>
      <c r="D421" s="120"/>
      <c r="E421" s="120"/>
      <c r="F421" s="120"/>
      <c r="G421" s="120"/>
      <c r="H421" s="120"/>
      <c r="I421" s="120"/>
      <c r="J421" s="120"/>
      <c r="K421" s="120"/>
      <c r="L421" s="120"/>
      <c r="M421" s="120"/>
      <c r="N421" s="120"/>
      <c r="O421" s="120"/>
      <c r="P421" s="120"/>
      <c r="Q421" s="120"/>
      <c r="R421" s="120"/>
      <c r="S421" s="120"/>
      <c r="T421" s="120"/>
      <c r="U421" s="120"/>
      <c r="V421" s="120"/>
      <c r="W421" s="120"/>
      <c r="X421" s="120"/>
      <c r="Y421" s="120"/>
      <c r="Z421" s="120"/>
      <c r="AA421" s="120"/>
      <c r="AB421" s="120"/>
      <c r="AC421" s="120"/>
      <c r="AD421" s="120"/>
    </row>
    <row r="422">
      <c r="A422" s="120"/>
      <c r="B422" s="120"/>
      <c r="C422" s="120"/>
      <c r="D422" s="120"/>
      <c r="E422" s="120"/>
      <c r="F422" s="120"/>
      <c r="G422" s="120"/>
      <c r="H422" s="120"/>
      <c r="I422" s="120"/>
      <c r="J422" s="120"/>
      <c r="K422" s="120"/>
      <c r="L422" s="120"/>
      <c r="M422" s="120"/>
      <c r="N422" s="120"/>
      <c r="O422" s="120"/>
      <c r="P422" s="120"/>
      <c r="Q422" s="120"/>
      <c r="R422" s="120"/>
      <c r="S422" s="120"/>
      <c r="T422" s="120"/>
      <c r="U422" s="120"/>
      <c r="V422" s="120"/>
      <c r="W422" s="120"/>
      <c r="X422" s="120"/>
      <c r="Y422" s="120"/>
      <c r="Z422" s="120"/>
      <c r="AA422" s="120"/>
      <c r="AB422" s="120"/>
      <c r="AC422" s="120"/>
      <c r="AD422" s="120"/>
    </row>
    <row r="423">
      <c r="A423" s="120"/>
      <c r="B423" s="120"/>
      <c r="C423" s="120"/>
      <c r="D423" s="120"/>
      <c r="E423" s="120"/>
      <c r="F423" s="120"/>
      <c r="G423" s="120"/>
      <c r="H423" s="120"/>
      <c r="I423" s="120"/>
      <c r="J423" s="120"/>
      <c r="K423" s="120"/>
      <c r="L423" s="120"/>
      <c r="M423" s="120"/>
      <c r="N423" s="120"/>
      <c r="O423" s="120"/>
      <c r="P423" s="120"/>
      <c r="Q423" s="120"/>
      <c r="R423" s="120"/>
      <c r="S423" s="120"/>
      <c r="T423" s="120"/>
      <c r="U423" s="120"/>
      <c r="V423" s="120"/>
      <c r="W423" s="120"/>
      <c r="X423" s="120"/>
      <c r="Y423" s="120"/>
      <c r="Z423" s="120"/>
      <c r="AA423" s="120"/>
      <c r="AB423" s="120"/>
      <c r="AC423" s="120"/>
      <c r="AD423" s="120"/>
    </row>
    <row r="424">
      <c r="A424" s="120"/>
      <c r="B424" s="120"/>
      <c r="C424" s="120"/>
      <c r="D424" s="120"/>
      <c r="E424" s="120"/>
      <c r="F424" s="120"/>
      <c r="G424" s="120"/>
      <c r="H424" s="120"/>
      <c r="I424" s="120"/>
      <c r="J424" s="120"/>
      <c r="K424" s="120"/>
      <c r="L424" s="120"/>
      <c r="M424" s="120"/>
      <c r="N424" s="120"/>
      <c r="O424" s="120"/>
      <c r="P424" s="120"/>
      <c r="Q424" s="120"/>
      <c r="R424" s="120"/>
      <c r="S424" s="120"/>
      <c r="T424" s="120"/>
      <c r="U424" s="120"/>
      <c r="V424" s="120"/>
      <c r="W424" s="120"/>
      <c r="X424" s="120"/>
      <c r="Y424" s="120"/>
      <c r="Z424" s="120"/>
      <c r="AA424" s="120"/>
      <c r="AB424" s="120"/>
      <c r="AC424" s="120"/>
      <c r="AD424" s="120"/>
    </row>
    <row r="425">
      <c r="A425" s="120"/>
      <c r="B425" s="120"/>
      <c r="C425" s="120"/>
      <c r="D425" s="120"/>
      <c r="E425" s="120"/>
      <c r="F425" s="120"/>
      <c r="G425" s="120"/>
      <c r="H425" s="120"/>
      <c r="I425" s="120"/>
      <c r="J425" s="120"/>
      <c r="K425" s="120"/>
      <c r="L425" s="120"/>
      <c r="M425" s="120"/>
      <c r="N425" s="120"/>
      <c r="O425" s="120"/>
      <c r="P425" s="120"/>
      <c r="Q425" s="120"/>
      <c r="R425" s="120"/>
      <c r="S425" s="120"/>
      <c r="T425" s="120"/>
      <c r="U425" s="120"/>
      <c r="V425" s="120"/>
      <c r="W425" s="120"/>
      <c r="X425" s="120"/>
      <c r="Y425" s="120"/>
      <c r="Z425" s="120"/>
      <c r="AA425" s="120"/>
      <c r="AB425" s="120"/>
      <c r="AC425" s="120"/>
      <c r="AD425" s="120"/>
    </row>
    <row r="426">
      <c r="A426" s="120"/>
      <c r="B426" s="120"/>
      <c r="C426" s="120"/>
      <c r="D426" s="120"/>
      <c r="E426" s="120"/>
      <c r="F426" s="120"/>
      <c r="G426" s="120"/>
      <c r="H426" s="120"/>
      <c r="I426" s="120"/>
      <c r="J426" s="120"/>
      <c r="K426" s="120"/>
      <c r="L426" s="120"/>
      <c r="M426" s="120"/>
      <c r="N426" s="120"/>
      <c r="O426" s="120"/>
      <c r="P426" s="120"/>
      <c r="Q426" s="120"/>
      <c r="R426" s="120"/>
      <c r="S426" s="120"/>
      <c r="T426" s="120"/>
      <c r="U426" s="120"/>
      <c r="V426" s="120"/>
      <c r="W426" s="120"/>
      <c r="X426" s="120"/>
      <c r="Y426" s="120"/>
      <c r="Z426" s="120"/>
      <c r="AA426" s="120"/>
      <c r="AB426" s="120"/>
      <c r="AC426" s="120"/>
      <c r="AD426" s="120"/>
    </row>
    <row r="427">
      <c r="A427" s="120"/>
      <c r="B427" s="120"/>
      <c r="C427" s="120"/>
      <c r="D427" s="120"/>
      <c r="E427" s="120"/>
      <c r="F427" s="120"/>
      <c r="G427" s="120"/>
      <c r="H427" s="120"/>
      <c r="I427" s="120"/>
      <c r="J427" s="120"/>
      <c r="K427" s="120"/>
      <c r="L427" s="120"/>
      <c r="M427" s="120"/>
      <c r="N427" s="120"/>
      <c r="O427" s="120"/>
      <c r="P427" s="120"/>
      <c r="Q427" s="120"/>
      <c r="R427" s="120"/>
      <c r="S427" s="120"/>
      <c r="T427" s="120"/>
      <c r="U427" s="120"/>
      <c r="V427" s="120"/>
      <c r="W427" s="120"/>
      <c r="X427" s="120"/>
      <c r="Y427" s="120"/>
      <c r="Z427" s="120"/>
      <c r="AA427" s="120"/>
      <c r="AB427" s="120"/>
      <c r="AC427" s="120"/>
      <c r="AD427" s="120"/>
    </row>
    <row r="428">
      <c r="A428" s="120"/>
      <c r="B428" s="120"/>
      <c r="C428" s="120"/>
      <c r="D428" s="120"/>
      <c r="E428" s="120"/>
      <c r="F428" s="120"/>
      <c r="G428" s="120"/>
      <c r="H428" s="120"/>
      <c r="I428" s="120"/>
      <c r="J428" s="120"/>
      <c r="K428" s="120"/>
      <c r="L428" s="120"/>
      <c r="M428" s="120"/>
      <c r="N428" s="120"/>
      <c r="O428" s="120"/>
      <c r="P428" s="120"/>
      <c r="Q428" s="120"/>
      <c r="R428" s="120"/>
      <c r="S428" s="120"/>
      <c r="T428" s="120"/>
      <c r="U428" s="120"/>
      <c r="V428" s="120"/>
      <c r="W428" s="120"/>
      <c r="X428" s="120"/>
      <c r="Y428" s="120"/>
      <c r="Z428" s="120"/>
      <c r="AA428" s="120"/>
      <c r="AB428" s="120"/>
      <c r="AC428" s="120"/>
      <c r="AD428" s="120"/>
    </row>
    <row r="429">
      <c r="A429" s="120"/>
      <c r="B429" s="120"/>
      <c r="C429" s="120"/>
      <c r="D429" s="120"/>
      <c r="E429" s="120"/>
      <c r="F429" s="120"/>
      <c r="G429" s="120"/>
      <c r="H429" s="120"/>
      <c r="I429" s="120"/>
      <c r="J429" s="120"/>
      <c r="K429" s="120"/>
      <c r="L429" s="120"/>
      <c r="M429" s="120"/>
      <c r="N429" s="120"/>
      <c r="O429" s="120"/>
      <c r="P429" s="120"/>
      <c r="Q429" s="120"/>
      <c r="R429" s="120"/>
      <c r="S429" s="120"/>
      <c r="T429" s="120"/>
      <c r="U429" s="120"/>
      <c r="V429" s="120"/>
      <c r="W429" s="120"/>
      <c r="X429" s="120"/>
      <c r="Y429" s="120"/>
      <c r="Z429" s="120"/>
      <c r="AA429" s="120"/>
      <c r="AB429" s="120"/>
      <c r="AC429" s="120"/>
      <c r="AD429" s="120"/>
    </row>
    <row r="430">
      <c r="A430" s="120"/>
      <c r="B430" s="120"/>
      <c r="C430" s="120"/>
      <c r="D430" s="120"/>
      <c r="E430" s="120"/>
      <c r="F430" s="120"/>
      <c r="G430" s="120"/>
      <c r="H430" s="120"/>
      <c r="I430" s="120"/>
      <c r="J430" s="120"/>
      <c r="K430" s="120"/>
      <c r="L430" s="120"/>
      <c r="M430" s="120"/>
      <c r="N430" s="120"/>
      <c r="O430" s="120"/>
      <c r="P430" s="120"/>
      <c r="Q430" s="120"/>
      <c r="R430" s="120"/>
      <c r="S430" s="120"/>
      <c r="T430" s="120"/>
      <c r="U430" s="120"/>
      <c r="V430" s="120"/>
      <c r="W430" s="120"/>
      <c r="X430" s="120"/>
      <c r="Y430" s="120"/>
      <c r="Z430" s="120"/>
      <c r="AA430" s="120"/>
      <c r="AB430" s="120"/>
      <c r="AC430" s="120"/>
      <c r="AD430" s="120"/>
    </row>
    <row r="431">
      <c r="A431" s="120"/>
      <c r="B431" s="120"/>
      <c r="C431" s="120"/>
      <c r="D431" s="120"/>
      <c r="E431" s="120"/>
      <c r="F431" s="120"/>
      <c r="G431" s="120"/>
      <c r="H431" s="120"/>
      <c r="I431" s="120"/>
      <c r="J431" s="120"/>
      <c r="K431" s="120"/>
      <c r="L431" s="120"/>
      <c r="M431" s="120"/>
      <c r="N431" s="120"/>
      <c r="O431" s="120"/>
      <c r="P431" s="120"/>
      <c r="Q431" s="120"/>
      <c r="R431" s="120"/>
      <c r="S431" s="120"/>
      <c r="T431" s="120"/>
      <c r="U431" s="120"/>
      <c r="V431" s="120"/>
      <c r="W431" s="120"/>
      <c r="X431" s="120"/>
      <c r="Y431" s="120"/>
      <c r="Z431" s="120"/>
      <c r="AA431" s="120"/>
      <c r="AB431" s="120"/>
      <c r="AC431" s="120"/>
      <c r="AD431" s="120"/>
    </row>
    <row r="432">
      <c r="A432" s="120"/>
      <c r="B432" s="120"/>
      <c r="C432" s="120"/>
      <c r="D432" s="120"/>
      <c r="E432" s="120"/>
      <c r="F432" s="120"/>
      <c r="G432" s="120"/>
      <c r="H432" s="120"/>
      <c r="I432" s="120"/>
      <c r="J432" s="120"/>
      <c r="K432" s="120"/>
      <c r="L432" s="120"/>
      <c r="M432" s="120"/>
      <c r="N432" s="120"/>
      <c r="O432" s="120"/>
      <c r="P432" s="120"/>
      <c r="Q432" s="120"/>
      <c r="R432" s="120"/>
      <c r="S432" s="120"/>
      <c r="T432" s="120"/>
      <c r="U432" s="120"/>
      <c r="V432" s="120"/>
      <c r="W432" s="120"/>
      <c r="X432" s="120"/>
      <c r="Y432" s="120"/>
      <c r="Z432" s="120"/>
      <c r="AA432" s="120"/>
      <c r="AB432" s="120"/>
      <c r="AC432" s="120"/>
      <c r="AD432" s="120"/>
    </row>
    <row r="433">
      <c r="A433" s="120"/>
      <c r="B433" s="120"/>
      <c r="C433" s="120"/>
      <c r="D433" s="120"/>
      <c r="E433" s="120"/>
      <c r="F433" s="120"/>
      <c r="G433" s="120"/>
      <c r="H433" s="120"/>
      <c r="I433" s="120"/>
      <c r="J433" s="120"/>
      <c r="K433" s="120"/>
      <c r="L433" s="120"/>
      <c r="M433" s="120"/>
      <c r="N433" s="120"/>
      <c r="O433" s="120"/>
      <c r="P433" s="120"/>
      <c r="Q433" s="120"/>
      <c r="R433" s="120"/>
      <c r="S433" s="120"/>
      <c r="T433" s="120"/>
      <c r="U433" s="120"/>
      <c r="V433" s="120"/>
      <c r="W433" s="120"/>
      <c r="X433" s="120"/>
      <c r="Y433" s="120"/>
      <c r="Z433" s="120"/>
      <c r="AA433" s="120"/>
      <c r="AB433" s="120"/>
      <c r="AC433" s="120"/>
      <c r="AD433" s="120"/>
    </row>
    <row r="434">
      <c r="A434" s="120"/>
      <c r="B434" s="120"/>
      <c r="C434" s="120"/>
      <c r="D434" s="120"/>
      <c r="E434" s="120"/>
      <c r="F434" s="120"/>
      <c r="G434" s="120"/>
      <c r="H434" s="120"/>
      <c r="I434" s="120"/>
      <c r="J434" s="120"/>
      <c r="K434" s="120"/>
      <c r="L434" s="120"/>
      <c r="M434" s="120"/>
      <c r="N434" s="120"/>
      <c r="O434" s="120"/>
      <c r="P434" s="120"/>
      <c r="Q434" s="120"/>
      <c r="R434" s="120"/>
      <c r="S434" s="120"/>
      <c r="T434" s="120"/>
      <c r="U434" s="120"/>
      <c r="V434" s="120"/>
      <c r="W434" s="120"/>
      <c r="X434" s="120"/>
      <c r="Y434" s="120"/>
      <c r="Z434" s="120"/>
      <c r="AA434" s="120"/>
      <c r="AB434" s="120"/>
      <c r="AC434" s="120"/>
      <c r="AD434" s="120"/>
    </row>
    <row r="435">
      <c r="A435" s="120"/>
      <c r="B435" s="120"/>
      <c r="C435" s="120"/>
      <c r="D435" s="120"/>
      <c r="E435" s="120"/>
      <c r="F435" s="120"/>
      <c r="G435" s="120"/>
      <c r="H435" s="120"/>
      <c r="I435" s="120"/>
      <c r="J435" s="120"/>
      <c r="K435" s="120"/>
      <c r="L435" s="120"/>
      <c r="M435" s="120"/>
      <c r="N435" s="120"/>
      <c r="O435" s="120"/>
      <c r="P435" s="120"/>
      <c r="Q435" s="120"/>
      <c r="R435" s="120"/>
      <c r="S435" s="120"/>
      <c r="T435" s="120"/>
      <c r="U435" s="120"/>
      <c r="V435" s="120"/>
      <c r="W435" s="120"/>
      <c r="X435" s="120"/>
      <c r="Y435" s="120"/>
      <c r="Z435" s="120"/>
      <c r="AA435" s="120"/>
      <c r="AB435" s="120"/>
      <c r="AC435" s="120"/>
      <c r="AD435" s="120"/>
    </row>
    <row r="436">
      <c r="A436" s="120"/>
      <c r="B436" s="120"/>
      <c r="C436" s="120"/>
      <c r="D436" s="120"/>
      <c r="E436" s="120"/>
      <c r="F436" s="120"/>
      <c r="G436" s="120"/>
      <c r="H436" s="120"/>
      <c r="I436" s="120"/>
      <c r="J436" s="120"/>
      <c r="K436" s="120"/>
      <c r="L436" s="120"/>
      <c r="M436" s="120"/>
      <c r="N436" s="120"/>
      <c r="O436" s="120"/>
      <c r="P436" s="120"/>
      <c r="Q436" s="120"/>
      <c r="R436" s="120"/>
      <c r="S436" s="120"/>
      <c r="T436" s="120"/>
      <c r="U436" s="120"/>
      <c r="V436" s="120"/>
      <c r="W436" s="120"/>
      <c r="X436" s="120"/>
      <c r="Y436" s="120"/>
      <c r="Z436" s="120"/>
      <c r="AA436" s="120"/>
      <c r="AB436" s="120"/>
      <c r="AC436" s="120"/>
      <c r="AD436" s="120"/>
    </row>
    <row r="437">
      <c r="A437" s="120"/>
      <c r="B437" s="120"/>
      <c r="C437" s="120"/>
      <c r="D437" s="120"/>
      <c r="E437" s="120"/>
      <c r="F437" s="120"/>
      <c r="G437" s="120"/>
      <c r="H437" s="120"/>
      <c r="I437" s="120"/>
      <c r="J437" s="120"/>
      <c r="K437" s="120"/>
      <c r="L437" s="120"/>
      <c r="M437" s="120"/>
      <c r="N437" s="120"/>
      <c r="O437" s="120"/>
      <c r="P437" s="120"/>
      <c r="Q437" s="120"/>
      <c r="R437" s="120"/>
      <c r="S437" s="120"/>
      <c r="T437" s="120"/>
      <c r="U437" s="120"/>
      <c r="V437" s="120"/>
      <c r="W437" s="120"/>
      <c r="X437" s="120"/>
      <c r="Y437" s="120"/>
      <c r="Z437" s="120"/>
      <c r="AA437" s="120"/>
      <c r="AB437" s="120"/>
      <c r="AC437" s="120"/>
      <c r="AD437" s="120"/>
    </row>
    <row r="438">
      <c r="A438" s="120"/>
      <c r="B438" s="120"/>
      <c r="C438" s="120"/>
      <c r="D438" s="120"/>
      <c r="E438" s="120"/>
      <c r="F438" s="120"/>
      <c r="G438" s="120"/>
      <c r="H438" s="120"/>
      <c r="I438" s="120"/>
      <c r="J438" s="120"/>
      <c r="K438" s="120"/>
      <c r="L438" s="120"/>
      <c r="M438" s="120"/>
      <c r="N438" s="120"/>
      <c r="O438" s="120"/>
      <c r="P438" s="120"/>
      <c r="Q438" s="120"/>
      <c r="R438" s="120"/>
      <c r="S438" s="120"/>
      <c r="T438" s="120"/>
      <c r="U438" s="120"/>
      <c r="V438" s="120"/>
      <c r="W438" s="120"/>
      <c r="X438" s="120"/>
      <c r="Y438" s="120"/>
      <c r="Z438" s="120"/>
      <c r="AA438" s="120"/>
      <c r="AB438" s="120"/>
      <c r="AC438" s="120"/>
      <c r="AD438" s="120"/>
    </row>
    <row r="439">
      <c r="A439" s="120"/>
      <c r="B439" s="120"/>
      <c r="C439" s="120"/>
      <c r="D439" s="120"/>
      <c r="E439" s="120"/>
      <c r="F439" s="120"/>
      <c r="G439" s="120"/>
      <c r="H439" s="120"/>
      <c r="I439" s="120"/>
      <c r="J439" s="120"/>
      <c r="K439" s="120"/>
      <c r="L439" s="120"/>
      <c r="M439" s="120"/>
      <c r="N439" s="120"/>
      <c r="O439" s="120"/>
      <c r="P439" s="120"/>
      <c r="Q439" s="120"/>
      <c r="R439" s="120"/>
      <c r="S439" s="120"/>
      <c r="T439" s="120"/>
      <c r="U439" s="120"/>
      <c r="V439" s="120"/>
      <c r="W439" s="120"/>
      <c r="X439" s="120"/>
      <c r="Y439" s="120"/>
      <c r="Z439" s="120"/>
      <c r="AA439" s="120"/>
      <c r="AB439" s="120"/>
      <c r="AC439" s="120"/>
      <c r="AD439" s="120"/>
    </row>
    <row r="440">
      <c r="A440" s="120"/>
      <c r="B440" s="120"/>
      <c r="C440" s="120"/>
      <c r="D440" s="120"/>
      <c r="E440" s="120"/>
      <c r="F440" s="120"/>
      <c r="G440" s="120"/>
      <c r="H440" s="120"/>
      <c r="I440" s="120"/>
      <c r="J440" s="120"/>
      <c r="K440" s="120"/>
      <c r="L440" s="120"/>
      <c r="M440" s="120"/>
      <c r="N440" s="120"/>
      <c r="O440" s="120"/>
      <c r="P440" s="120"/>
      <c r="Q440" s="120"/>
      <c r="R440" s="120"/>
      <c r="S440" s="120"/>
      <c r="T440" s="120"/>
      <c r="U440" s="120"/>
      <c r="V440" s="120"/>
      <c r="W440" s="120"/>
      <c r="X440" s="120"/>
      <c r="Y440" s="120"/>
      <c r="Z440" s="120"/>
      <c r="AA440" s="120"/>
      <c r="AB440" s="120"/>
      <c r="AC440" s="120"/>
      <c r="AD440" s="120"/>
    </row>
    <row r="441">
      <c r="A441" s="120"/>
      <c r="B441" s="120"/>
      <c r="C441" s="120"/>
      <c r="D441" s="120"/>
      <c r="E441" s="120"/>
      <c r="F441" s="120"/>
      <c r="G441" s="120"/>
      <c r="H441" s="120"/>
      <c r="I441" s="120"/>
      <c r="J441" s="120"/>
      <c r="K441" s="120"/>
      <c r="L441" s="120"/>
      <c r="M441" s="120"/>
      <c r="N441" s="120"/>
      <c r="O441" s="120"/>
      <c r="P441" s="120"/>
      <c r="Q441" s="120"/>
      <c r="R441" s="120"/>
      <c r="S441" s="120"/>
      <c r="T441" s="120"/>
      <c r="U441" s="120"/>
      <c r="V441" s="120"/>
      <c r="W441" s="120"/>
      <c r="X441" s="120"/>
      <c r="Y441" s="120"/>
      <c r="Z441" s="120"/>
      <c r="AA441" s="120"/>
      <c r="AB441" s="120"/>
      <c r="AC441" s="120"/>
      <c r="AD441" s="120"/>
    </row>
    <row r="442">
      <c r="A442" s="120"/>
      <c r="B442" s="120"/>
      <c r="C442" s="120"/>
      <c r="D442" s="120"/>
      <c r="E442" s="120"/>
      <c r="F442" s="120"/>
      <c r="G442" s="120"/>
      <c r="H442" s="120"/>
      <c r="I442" s="120"/>
      <c r="J442" s="120"/>
      <c r="K442" s="120"/>
      <c r="L442" s="120"/>
      <c r="M442" s="120"/>
      <c r="N442" s="120"/>
      <c r="O442" s="120"/>
      <c r="P442" s="120"/>
      <c r="Q442" s="120"/>
      <c r="R442" s="120"/>
      <c r="S442" s="120"/>
      <c r="T442" s="120"/>
      <c r="U442" s="120"/>
      <c r="V442" s="120"/>
      <c r="W442" s="120"/>
      <c r="X442" s="120"/>
      <c r="Y442" s="120"/>
      <c r="Z442" s="120"/>
      <c r="AA442" s="120"/>
      <c r="AB442" s="120"/>
      <c r="AC442" s="120"/>
      <c r="AD442" s="120"/>
    </row>
    <row r="443">
      <c r="A443" s="120"/>
      <c r="B443" s="120"/>
      <c r="C443" s="120"/>
      <c r="D443" s="120"/>
      <c r="E443" s="120"/>
      <c r="F443" s="120"/>
      <c r="G443" s="120"/>
      <c r="H443" s="120"/>
      <c r="I443" s="120"/>
      <c r="J443" s="120"/>
      <c r="K443" s="120"/>
      <c r="L443" s="120"/>
      <c r="M443" s="120"/>
      <c r="N443" s="120"/>
      <c r="O443" s="120"/>
      <c r="P443" s="120"/>
      <c r="Q443" s="120"/>
      <c r="R443" s="120"/>
      <c r="S443" s="120"/>
      <c r="T443" s="120"/>
      <c r="U443" s="120"/>
      <c r="V443" s="120"/>
      <c r="W443" s="120"/>
      <c r="X443" s="120"/>
      <c r="Y443" s="120"/>
      <c r="Z443" s="120"/>
      <c r="AA443" s="120"/>
      <c r="AB443" s="120"/>
      <c r="AC443" s="120"/>
      <c r="AD443" s="120"/>
    </row>
    <row r="444">
      <c r="A444" s="120"/>
      <c r="B444" s="120"/>
      <c r="C444" s="120"/>
      <c r="D444" s="120"/>
      <c r="E444" s="120"/>
      <c r="F444" s="120"/>
      <c r="G444" s="120"/>
      <c r="H444" s="120"/>
      <c r="I444" s="120"/>
      <c r="J444" s="120"/>
      <c r="K444" s="120"/>
      <c r="L444" s="120"/>
      <c r="M444" s="120"/>
      <c r="N444" s="120"/>
      <c r="O444" s="120"/>
      <c r="P444" s="120"/>
      <c r="Q444" s="120"/>
      <c r="R444" s="120"/>
      <c r="S444" s="120"/>
      <c r="T444" s="120"/>
      <c r="U444" s="120"/>
      <c r="V444" s="120"/>
      <c r="W444" s="120"/>
      <c r="X444" s="120"/>
      <c r="Y444" s="120"/>
      <c r="Z444" s="120"/>
      <c r="AA444" s="120"/>
      <c r="AB444" s="120"/>
      <c r="AC444" s="120"/>
      <c r="AD444" s="120"/>
    </row>
    <row r="445">
      <c r="A445" s="120"/>
      <c r="B445" s="120"/>
      <c r="C445" s="120"/>
      <c r="D445" s="120"/>
      <c r="E445" s="120"/>
      <c r="F445" s="120"/>
      <c r="G445" s="120"/>
      <c r="H445" s="120"/>
      <c r="I445" s="120"/>
      <c r="J445" s="120"/>
      <c r="K445" s="120"/>
      <c r="L445" s="120"/>
      <c r="M445" s="120"/>
      <c r="N445" s="120"/>
      <c r="O445" s="120"/>
      <c r="P445" s="120"/>
      <c r="Q445" s="120"/>
      <c r="R445" s="120"/>
      <c r="S445" s="120"/>
      <c r="T445" s="120"/>
      <c r="U445" s="120"/>
      <c r="V445" s="120"/>
      <c r="W445" s="120"/>
      <c r="X445" s="120"/>
      <c r="Y445" s="120"/>
      <c r="Z445" s="120"/>
      <c r="AA445" s="120"/>
      <c r="AB445" s="120"/>
      <c r="AC445" s="120"/>
      <c r="AD445" s="120"/>
    </row>
    <row r="446">
      <c r="A446" s="120"/>
      <c r="B446" s="120"/>
      <c r="C446" s="120"/>
      <c r="D446" s="120"/>
      <c r="E446" s="120"/>
      <c r="F446" s="120"/>
      <c r="G446" s="120"/>
      <c r="H446" s="120"/>
      <c r="I446" s="120"/>
      <c r="J446" s="120"/>
      <c r="K446" s="120"/>
      <c r="L446" s="120"/>
      <c r="M446" s="120"/>
      <c r="N446" s="120"/>
      <c r="O446" s="120"/>
      <c r="P446" s="120"/>
      <c r="Q446" s="120"/>
      <c r="R446" s="120"/>
      <c r="S446" s="120"/>
      <c r="T446" s="120"/>
      <c r="U446" s="120"/>
      <c r="V446" s="120"/>
      <c r="W446" s="120"/>
      <c r="X446" s="120"/>
      <c r="Y446" s="120"/>
      <c r="Z446" s="120"/>
      <c r="AA446" s="120"/>
      <c r="AB446" s="120"/>
      <c r="AC446" s="120"/>
      <c r="AD446" s="120"/>
    </row>
    <row r="447">
      <c r="A447" s="120"/>
      <c r="B447" s="120"/>
      <c r="C447" s="120"/>
      <c r="D447" s="120"/>
      <c r="E447" s="120"/>
      <c r="F447" s="120"/>
      <c r="G447" s="120"/>
      <c r="H447" s="120"/>
      <c r="I447" s="120"/>
      <c r="J447" s="120"/>
      <c r="K447" s="120"/>
      <c r="L447" s="120"/>
      <c r="M447" s="120"/>
      <c r="N447" s="120"/>
      <c r="O447" s="120"/>
      <c r="P447" s="120"/>
      <c r="Q447" s="120"/>
      <c r="R447" s="120"/>
      <c r="S447" s="120"/>
      <c r="T447" s="120"/>
      <c r="U447" s="120"/>
      <c r="V447" s="120"/>
      <c r="W447" s="120"/>
      <c r="X447" s="120"/>
      <c r="Y447" s="120"/>
      <c r="Z447" s="120"/>
      <c r="AA447" s="120"/>
      <c r="AB447" s="120"/>
      <c r="AC447" s="120"/>
      <c r="AD447" s="120"/>
    </row>
    <row r="448">
      <c r="A448" s="120"/>
      <c r="B448" s="120"/>
      <c r="C448" s="120"/>
      <c r="D448" s="120"/>
      <c r="E448" s="120"/>
      <c r="F448" s="120"/>
      <c r="G448" s="120"/>
      <c r="H448" s="120"/>
      <c r="I448" s="120"/>
      <c r="J448" s="120"/>
      <c r="K448" s="120"/>
      <c r="L448" s="120"/>
      <c r="M448" s="120"/>
      <c r="N448" s="120"/>
      <c r="O448" s="120"/>
      <c r="P448" s="120"/>
      <c r="Q448" s="120"/>
      <c r="R448" s="120"/>
      <c r="S448" s="120"/>
      <c r="T448" s="120"/>
      <c r="U448" s="120"/>
      <c r="V448" s="120"/>
      <c r="W448" s="120"/>
      <c r="X448" s="120"/>
      <c r="Y448" s="120"/>
      <c r="Z448" s="120"/>
      <c r="AA448" s="120"/>
      <c r="AB448" s="120"/>
      <c r="AC448" s="120"/>
      <c r="AD448" s="120"/>
    </row>
    <row r="449">
      <c r="A449" s="120"/>
      <c r="B449" s="120"/>
      <c r="C449" s="120"/>
      <c r="D449" s="120"/>
      <c r="E449" s="120"/>
      <c r="F449" s="120"/>
      <c r="G449" s="120"/>
      <c r="H449" s="120"/>
      <c r="I449" s="120"/>
      <c r="J449" s="120"/>
      <c r="K449" s="120"/>
      <c r="L449" s="120"/>
      <c r="M449" s="120"/>
      <c r="N449" s="120"/>
      <c r="O449" s="120"/>
      <c r="P449" s="120"/>
      <c r="Q449" s="120"/>
      <c r="R449" s="120"/>
      <c r="S449" s="120"/>
      <c r="T449" s="120"/>
      <c r="U449" s="120"/>
      <c r="V449" s="120"/>
      <c r="W449" s="120"/>
      <c r="X449" s="120"/>
      <c r="Y449" s="120"/>
      <c r="Z449" s="120"/>
      <c r="AA449" s="120"/>
      <c r="AB449" s="120"/>
      <c r="AC449" s="120"/>
      <c r="AD449" s="120"/>
    </row>
    <row r="450">
      <c r="A450" s="120"/>
      <c r="B450" s="120"/>
      <c r="C450" s="120"/>
      <c r="D450" s="120"/>
      <c r="E450" s="120"/>
      <c r="F450" s="120"/>
      <c r="G450" s="120"/>
      <c r="H450" s="120"/>
      <c r="I450" s="120"/>
      <c r="J450" s="120"/>
      <c r="K450" s="120"/>
      <c r="L450" s="120"/>
      <c r="M450" s="120"/>
      <c r="N450" s="120"/>
      <c r="O450" s="120"/>
      <c r="P450" s="120"/>
      <c r="Q450" s="120"/>
      <c r="R450" s="120"/>
      <c r="S450" s="120"/>
      <c r="T450" s="120"/>
      <c r="U450" s="120"/>
      <c r="V450" s="120"/>
      <c r="W450" s="120"/>
      <c r="X450" s="120"/>
      <c r="Y450" s="120"/>
      <c r="Z450" s="120"/>
      <c r="AA450" s="120"/>
      <c r="AB450" s="120"/>
      <c r="AC450" s="120"/>
      <c r="AD450" s="120"/>
    </row>
    <row r="451">
      <c r="A451" s="120"/>
      <c r="B451" s="120"/>
      <c r="C451" s="120"/>
      <c r="D451" s="120"/>
      <c r="E451" s="120"/>
      <c r="F451" s="120"/>
      <c r="G451" s="120"/>
      <c r="H451" s="120"/>
      <c r="I451" s="120"/>
      <c r="J451" s="120"/>
      <c r="K451" s="120"/>
      <c r="L451" s="120"/>
      <c r="M451" s="120"/>
      <c r="N451" s="120"/>
      <c r="O451" s="120"/>
      <c r="P451" s="120"/>
      <c r="Q451" s="120"/>
      <c r="R451" s="120"/>
      <c r="S451" s="120"/>
      <c r="T451" s="120"/>
      <c r="U451" s="120"/>
      <c r="V451" s="120"/>
      <c r="W451" s="120"/>
      <c r="X451" s="120"/>
      <c r="Y451" s="120"/>
      <c r="Z451" s="120"/>
      <c r="AA451" s="120"/>
      <c r="AB451" s="120"/>
      <c r="AC451" s="120"/>
      <c r="AD451" s="120"/>
    </row>
    <row r="452">
      <c r="A452" s="120"/>
      <c r="B452" s="120"/>
      <c r="C452" s="120"/>
      <c r="D452" s="120"/>
      <c r="E452" s="120"/>
      <c r="F452" s="120"/>
      <c r="G452" s="120"/>
      <c r="H452" s="120"/>
      <c r="I452" s="120"/>
      <c r="J452" s="120"/>
      <c r="K452" s="120"/>
      <c r="L452" s="120"/>
      <c r="M452" s="120"/>
      <c r="N452" s="120"/>
      <c r="O452" s="120"/>
      <c r="P452" s="120"/>
      <c r="Q452" s="120"/>
      <c r="R452" s="120"/>
      <c r="S452" s="120"/>
      <c r="T452" s="120"/>
      <c r="U452" s="120"/>
      <c r="V452" s="120"/>
      <c r="W452" s="120"/>
      <c r="X452" s="120"/>
      <c r="Y452" s="120"/>
      <c r="Z452" s="120"/>
      <c r="AA452" s="120"/>
      <c r="AB452" s="120"/>
      <c r="AC452" s="120"/>
      <c r="AD452" s="120"/>
    </row>
    <row r="453">
      <c r="A453" s="120"/>
      <c r="B453" s="120"/>
      <c r="C453" s="120"/>
      <c r="D453" s="120"/>
      <c r="E453" s="120"/>
      <c r="F453" s="120"/>
      <c r="G453" s="120"/>
      <c r="H453" s="120"/>
      <c r="I453" s="120"/>
      <c r="J453" s="120"/>
      <c r="K453" s="120"/>
      <c r="L453" s="120"/>
      <c r="M453" s="120"/>
      <c r="N453" s="120"/>
      <c r="O453" s="120"/>
      <c r="P453" s="120"/>
      <c r="Q453" s="120"/>
      <c r="R453" s="120"/>
      <c r="S453" s="120"/>
      <c r="T453" s="120"/>
      <c r="U453" s="120"/>
      <c r="V453" s="120"/>
      <c r="W453" s="120"/>
      <c r="X453" s="120"/>
      <c r="Y453" s="120"/>
      <c r="Z453" s="120"/>
      <c r="AA453" s="120"/>
      <c r="AB453" s="120"/>
      <c r="AC453" s="120"/>
      <c r="AD453" s="120"/>
    </row>
    <row r="454">
      <c r="A454" s="120"/>
      <c r="B454" s="120"/>
      <c r="C454" s="120"/>
      <c r="D454" s="120"/>
      <c r="E454" s="120"/>
      <c r="F454" s="120"/>
      <c r="G454" s="120"/>
      <c r="H454" s="120"/>
      <c r="I454" s="120"/>
      <c r="J454" s="120"/>
      <c r="K454" s="120"/>
      <c r="L454" s="120"/>
      <c r="M454" s="120"/>
      <c r="N454" s="120"/>
      <c r="O454" s="120"/>
      <c r="P454" s="120"/>
      <c r="Q454" s="120"/>
      <c r="R454" s="120"/>
      <c r="S454" s="120"/>
      <c r="T454" s="120"/>
      <c r="U454" s="120"/>
      <c r="V454" s="120"/>
      <c r="W454" s="120"/>
      <c r="X454" s="120"/>
      <c r="Y454" s="120"/>
      <c r="Z454" s="120"/>
      <c r="AA454" s="120"/>
      <c r="AB454" s="120"/>
      <c r="AC454" s="120"/>
      <c r="AD454" s="120"/>
    </row>
    <row r="455">
      <c r="A455" s="120"/>
      <c r="B455" s="120"/>
      <c r="C455" s="120"/>
      <c r="D455" s="120"/>
      <c r="E455" s="120"/>
      <c r="F455" s="120"/>
      <c r="G455" s="120"/>
      <c r="H455" s="120"/>
      <c r="I455" s="120"/>
      <c r="J455" s="120"/>
      <c r="K455" s="120"/>
      <c r="L455" s="120"/>
      <c r="M455" s="120"/>
      <c r="N455" s="120"/>
      <c r="O455" s="120"/>
      <c r="P455" s="120"/>
      <c r="Q455" s="120"/>
      <c r="R455" s="120"/>
      <c r="S455" s="120"/>
      <c r="T455" s="120"/>
      <c r="U455" s="120"/>
      <c r="V455" s="120"/>
      <c r="W455" s="120"/>
      <c r="X455" s="120"/>
      <c r="Y455" s="120"/>
      <c r="Z455" s="120"/>
      <c r="AA455" s="120"/>
      <c r="AB455" s="120"/>
      <c r="AC455" s="120"/>
      <c r="AD455" s="120"/>
    </row>
    <row r="456">
      <c r="A456" s="120"/>
      <c r="B456" s="120"/>
      <c r="C456" s="120"/>
      <c r="D456" s="120"/>
      <c r="E456" s="120"/>
      <c r="F456" s="120"/>
      <c r="G456" s="120"/>
      <c r="H456" s="120"/>
      <c r="I456" s="120"/>
      <c r="J456" s="120"/>
      <c r="K456" s="120"/>
      <c r="L456" s="120"/>
      <c r="M456" s="120"/>
      <c r="N456" s="120"/>
      <c r="O456" s="120"/>
      <c r="P456" s="120"/>
      <c r="Q456" s="120"/>
      <c r="R456" s="120"/>
      <c r="S456" s="120"/>
      <c r="T456" s="120"/>
      <c r="U456" s="120"/>
      <c r="V456" s="120"/>
      <c r="W456" s="120"/>
      <c r="X456" s="120"/>
      <c r="Y456" s="120"/>
      <c r="Z456" s="120"/>
      <c r="AA456" s="120"/>
      <c r="AB456" s="120"/>
      <c r="AC456" s="120"/>
      <c r="AD456" s="120"/>
    </row>
    <row r="457">
      <c r="A457" s="120"/>
      <c r="B457" s="120"/>
      <c r="C457" s="120"/>
      <c r="D457" s="120"/>
      <c r="E457" s="120"/>
      <c r="F457" s="120"/>
      <c r="G457" s="120"/>
      <c r="H457" s="120"/>
      <c r="I457" s="120"/>
      <c r="J457" s="120"/>
      <c r="K457" s="120"/>
      <c r="L457" s="120"/>
      <c r="M457" s="120"/>
      <c r="N457" s="120"/>
      <c r="O457" s="120"/>
      <c r="P457" s="120"/>
      <c r="Q457" s="120"/>
      <c r="R457" s="120"/>
      <c r="S457" s="120"/>
      <c r="T457" s="120"/>
      <c r="U457" s="120"/>
      <c r="V457" s="120"/>
      <c r="W457" s="120"/>
      <c r="X457" s="120"/>
      <c r="Y457" s="120"/>
      <c r="Z457" s="120"/>
      <c r="AA457" s="120"/>
      <c r="AB457" s="120"/>
      <c r="AC457" s="120"/>
      <c r="AD457" s="120"/>
    </row>
    <row r="458">
      <c r="A458" s="120"/>
      <c r="B458" s="120"/>
      <c r="C458" s="120"/>
      <c r="D458" s="120"/>
      <c r="E458" s="120"/>
      <c r="F458" s="120"/>
      <c r="G458" s="120"/>
      <c r="H458" s="120"/>
      <c r="I458" s="120"/>
      <c r="J458" s="120"/>
      <c r="K458" s="120"/>
      <c r="L458" s="120"/>
      <c r="M458" s="120"/>
      <c r="N458" s="120"/>
      <c r="O458" s="120"/>
      <c r="P458" s="120"/>
      <c r="Q458" s="120"/>
      <c r="R458" s="120"/>
      <c r="S458" s="120"/>
      <c r="T458" s="120"/>
      <c r="U458" s="120"/>
      <c r="V458" s="120"/>
      <c r="W458" s="120"/>
      <c r="X458" s="120"/>
      <c r="Y458" s="120"/>
      <c r="Z458" s="120"/>
      <c r="AA458" s="120"/>
      <c r="AB458" s="120"/>
      <c r="AC458" s="120"/>
      <c r="AD458" s="120"/>
    </row>
    <row r="459">
      <c r="A459" s="120"/>
      <c r="B459" s="120"/>
      <c r="C459" s="120"/>
      <c r="D459" s="120"/>
      <c r="E459" s="120"/>
      <c r="F459" s="120"/>
      <c r="G459" s="120"/>
      <c r="H459" s="120"/>
      <c r="I459" s="120"/>
      <c r="J459" s="120"/>
      <c r="K459" s="120"/>
      <c r="L459" s="120"/>
      <c r="M459" s="120"/>
      <c r="N459" s="120"/>
      <c r="O459" s="120"/>
      <c r="P459" s="120"/>
      <c r="Q459" s="120"/>
      <c r="R459" s="120"/>
      <c r="S459" s="120"/>
      <c r="T459" s="120"/>
      <c r="U459" s="120"/>
      <c r="V459" s="120"/>
      <c r="W459" s="120"/>
      <c r="X459" s="120"/>
      <c r="Y459" s="120"/>
      <c r="Z459" s="120"/>
      <c r="AA459" s="120"/>
      <c r="AB459" s="120"/>
      <c r="AC459" s="120"/>
      <c r="AD459" s="120"/>
    </row>
    <row r="460">
      <c r="A460" s="120"/>
      <c r="B460" s="120"/>
      <c r="C460" s="120"/>
      <c r="D460" s="120"/>
      <c r="E460" s="120"/>
      <c r="F460" s="120"/>
      <c r="G460" s="120"/>
      <c r="H460" s="120"/>
      <c r="I460" s="120"/>
      <c r="J460" s="120"/>
      <c r="K460" s="120"/>
      <c r="L460" s="120"/>
      <c r="M460" s="120"/>
      <c r="N460" s="120"/>
      <c r="O460" s="120"/>
      <c r="P460" s="120"/>
      <c r="Q460" s="120"/>
      <c r="R460" s="120"/>
      <c r="S460" s="120"/>
      <c r="T460" s="120"/>
      <c r="U460" s="120"/>
      <c r="V460" s="120"/>
      <c r="W460" s="120"/>
      <c r="X460" s="120"/>
      <c r="Y460" s="120"/>
      <c r="Z460" s="120"/>
      <c r="AA460" s="120"/>
      <c r="AB460" s="120"/>
      <c r="AC460" s="120"/>
      <c r="AD460" s="120"/>
    </row>
    <row r="461">
      <c r="A461" s="120"/>
      <c r="B461" s="120"/>
      <c r="C461" s="120"/>
      <c r="D461" s="120"/>
      <c r="E461" s="120"/>
      <c r="F461" s="120"/>
      <c r="G461" s="120"/>
      <c r="H461" s="120"/>
      <c r="I461" s="120"/>
      <c r="J461" s="120"/>
      <c r="K461" s="120"/>
      <c r="L461" s="120"/>
      <c r="M461" s="120"/>
      <c r="N461" s="120"/>
      <c r="O461" s="120"/>
      <c r="P461" s="120"/>
      <c r="Q461" s="120"/>
      <c r="R461" s="120"/>
      <c r="S461" s="120"/>
      <c r="T461" s="120"/>
      <c r="U461" s="120"/>
      <c r="V461" s="120"/>
      <c r="W461" s="120"/>
      <c r="X461" s="120"/>
      <c r="Y461" s="120"/>
      <c r="Z461" s="120"/>
      <c r="AA461" s="120"/>
      <c r="AB461" s="120"/>
      <c r="AC461" s="120"/>
      <c r="AD461" s="120"/>
    </row>
    <row r="462">
      <c r="A462" s="120"/>
      <c r="B462" s="120"/>
      <c r="C462" s="120"/>
      <c r="D462" s="120"/>
      <c r="E462" s="120"/>
      <c r="F462" s="120"/>
      <c r="G462" s="120"/>
      <c r="H462" s="120"/>
      <c r="I462" s="120"/>
      <c r="J462" s="120"/>
      <c r="K462" s="120"/>
      <c r="L462" s="120"/>
      <c r="M462" s="120"/>
      <c r="N462" s="120"/>
      <c r="O462" s="120"/>
      <c r="P462" s="120"/>
      <c r="Q462" s="120"/>
      <c r="R462" s="120"/>
      <c r="S462" s="120"/>
      <c r="T462" s="120"/>
      <c r="U462" s="120"/>
      <c r="V462" s="120"/>
      <c r="W462" s="120"/>
      <c r="X462" s="120"/>
      <c r="Y462" s="120"/>
      <c r="Z462" s="120"/>
      <c r="AA462" s="120"/>
      <c r="AB462" s="120"/>
      <c r="AC462" s="120"/>
      <c r="AD462" s="120"/>
    </row>
    <row r="463">
      <c r="A463" s="120"/>
      <c r="B463" s="120"/>
      <c r="C463" s="120"/>
      <c r="D463" s="120"/>
      <c r="E463" s="120"/>
      <c r="F463" s="120"/>
      <c r="G463" s="120"/>
      <c r="H463" s="120"/>
      <c r="I463" s="120"/>
      <c r="J463" s="120"/>
      <c r="K463" s="120"/>
      <c r="L463" s="120"/>
      <c r="M463" s="120"/>
      <c r="N463" s="120"/>
      <c r="O463" s="120"/>
      <c r="P463" s="120"/>
      <c r="Q463" s="120"/>
      <c r="R463" s="120"/>
      <c r="S463" s="120"/>
      <c r="T463" s="120"/>
      <c r="U463" s="120"/>
      <c r="V463" s="120"/>
      <c r="W463" s="120"/>
      <c r="X463" s="120"/>
      <c r="Y463" s="120"/>
      <c r="Z463" s="120"/>
      <c r="AA463" s="120"/>
      <c r="AB463" s="120"/>
      <c r="AC463" s="120"/>
      <c r="AD463" s="120"/>
    </row>
    <row r="464">
      <c r="A464" s="120"/>
      <c r="B464" s="120"/>
      <c r="C464" s="120"/>
      <c r="D464" s="120"/>
      <c r="E464" s="120"/>
      <c r="F464" s="120"/>
      <c r="G464" s="120"/>
      <c r="H464" s="120"/>
      <c r="I464" s="120"/>
      <c r="J464" s="120"/>
      <c r="K464" s="120"/>
      <c r="L464" s="120"/>
      <c r="M464" s="120"/>
      <c r="N464" s="120"/>
      <c r="O464" s="120"/>
      <c r="P464" s="120"/>
      <c r="Q464" s="120"/>
      <c r="R464" s="120"/>
      <c r="S464" s="120"/>
      <c r="T464" s="120"/>
      <c r="U464" s="120"/>
      <c r="V464" s="120"/>
      <c r="W464" s="120"/>
      <c r="X464" s="120"/>
      <c r="Y464" s="120"/>
      <c r="Z464" s="120"/>
      <c r="AA464" s="120"/>
      <c r="AB464" s="120"/>
      <c r="AC464" s="120"/>
      <c r="AD464" s="120"/>
    </row>
    <row r="465">
      <c r="A465" s="120"/>
      <c r="B465" s="120"/>
      <c r="C465" s="120"/>
      <c r="D465" s="120"/>
      <c r="E465" s="120"/>
      <c r="F465" s="120"/>
      <c r="G465" s="120"/>
      <c r="H465" s="120"/>
      <c r="I465" s="120"/>
      <c r="J465" s="120"/>
      <c r="K465" s="120"/>
      <c r="L465" s="120"/>
      <c r="M465" s="120"/>
      <c r="N465" s="120"/>
      <c r="O465" s="120"/>
      <c r="P465" s="120"/>
      <c r="Q465" s="120"/>
      <c r="R465" s="120"/>
      <c r="S465" s="120"/>
      <c r="T465" s="120"/>
      <c r="U465" s="120"/>
      <c r="V465" s="120"/>
      <c r="W465" s="120"/>
      <c r="X465" s="120"/>
      <c r="Y465" s="120"/>
      <c r="Z465" s="120"/>
      <c r="AA465" s="120"/>
      <c r="AB465" s="120"/>
      <c r="AC465" s="120"/>
      <c r="AD465" s="120"/>
    </row>
    <row r="466">
      <c r="A466" s="120"/>
      <c r="B466" s="120"/>
      <c r="C466" s="120"/>
      <c r="D466" s="120"/>
      <c r="E466" s="120"/>
      <c r="F466" s="120"/>
      <c r="G466" s="120"/>
      <c r="H466" s="120"/>
      <c r="I466" s="120"/>
      <c r="J466" s="120"/>
      <c r="K466" s="120"/>
      <c r="L466" s="120"/>
      <c r="M466" s="120"/>
      <c r="N466" s="120"/>
      <c r="O466" s="120"/>
      <c r="P466" s="120"/>
      <c r="Q466" s="120"/>
      <c r="R466" s="120"/>
      <c r="S466" s="120"/>
      <c r="T466" s="120"/>
      <c r="U466" s="120"/>
      <c r="V466" s="120"/>
      <c r="W466" s="120"/>
      <c r="X466" s="120"/>
      <c r="Y466" s="120"/>
      <c r="Z466" s="120"/>
      <c r="AA466" s="120"/>
      <c r="AB466" s="120"/>
      <c r="AC466" s="120"/>
      <c r="AD466" s="120"/>
    </row>
    <row r="467">
      <c r="A467" s="120"/>
      <c r="B467" s="120"/>
      <c r="C467" s="120"/>
      <c r="D467" s="120"/>
      <c r="E467" s="120"/>
      <c r="F467" s="120"/>
      <c r="G467" s="120"/>
      <c r="H467" s="120"/>
      <c r="I467" s="120"/>
      <c r="J467" s="120"/>
      <c r="K467" s="120"/>
      <c r="L467" s="120"/>
      <c r="M467" s="120"/>
      <c r="N467" s="120"/>
      <c r="O467" s="120"/>
      <c r="P467" s="120"/>
      <c r="Q467" s="120"/>
      <c r="R467" s="120"/>
      <c r="S467" s="120"/>
      <c r="T467" s="120"/>
      <c r="U467" s="120"/>
      <c r="V467" s="120"/>
      <c r="W467" s="120"/>
      <c r="X467" s="120"/>
      <c r="Y467" s="120"/>
      <c r="Z467" s="120"/>
      <c r="AA467" s="120"/>
      <c r="AB467" s="120"/>
      <c r="AC467" s="120"/>
      <c r="AD467" s="120"/>
    </row>
    <row r="468">
      <c r="A468" s="120"/>
      <c r="B468" s="120"/>
      <c r="C468" s="120"/>
      <c r="D468" s="120"/>
      <c r="E468" s="120"/>
      <c r="F468" s="120"/>
      <c r="G468" s="120"/>
      <c r="H468" s="120"/>
      <c r="I468" s="120"/>
      <c r="J468" s="120"/>
      <c r="K468" s="120"/>
      <c r="L468" s="120"/>
      <c r="M468" s="120"/>
      <c r="N468" s="120"/>
      <c r="O468" s="120"/>
      <c r="P468" s="120"/>
      <c r="Q468" s="120"/>
      <c r="R468" s="120"/>
      <c r="S468" s="120"/>
      <c r="T468" s="120"/>
      <c r="U468" s="120"/>
      <c r="V468" s="120"/>
      <c r="W468" s="120"/>
      <c r="X468" s="120"/>
      <c r="Y468" s="120"/>
      <c r="Z468" s="120"/>
      <c r="AA468" s="120"/>
      <c r="AB468" s="120"/>
      <c r="AC468" s="120"/>
      <c r="AD468" s="120"/>
    </row>
    <row r="469">
      <c r="A469" s="120"/>
      <c r="B469" s="120"/>
      <c r="C469" s="120"/>
      <c r="D469" s="120"/>
      <c r="E469" s="120"/>
      <c r="F469" s="120"/>
      <c r="G469" s="120"/>
      <c r="H469" s="120"/>
      <c r="I469" s="120"/>
      <c r="J469" s="120"/>
      <c r="K469" s="120"/>
      <c r="L469" s="120"/>
      <c r="M469" s="120"/>
      <c r="N469" s="120"/>
      <c r="O469" s="120"/>
      <c r="P469" s="120"/>
      <c r="Q469" s="120"/>
      <c r="R469" s="120"/>
      <c r="S469" s="120"/>
      <c r="T469" s="120"/>
      <c r="U469" s="120"/>
      <c r="V469" s="120"/>
      <c r="W469" s="120"/>
      <c r="X469" s="120"/>
      <c r="Y469" s="120"/>
      <c r="Z469" s="120"/>
      <c r="AA469" s="120"/>
      <c r="AB469" s="120"/>
      <c r="AC469" s="120"/>
      <c r="AD469" s="120"/>
    </row>
    <row r="470">
      <c r="A470" s="120"/>
      <c r="B470" s="120"/>
      <c r="C470" s="120"/>
      <c r="D470" s="120"/>
      <c r="E470" s="120"/>
      <c r="F470" s="120"/>
      <c r="G470" s="120"/>
      <c r="H470" s="120"/>
      <c r="I470" s="120"/>
      <c r="J470" s="120"/>
      <c r="K470" s="120"/>
      <c r="L470" s="120"/>
      <c r="M470" s="120"/>
      <c r="N470" s="120"/>
      <c r="O470" s="120"/>
      <c r="P470" s="120"/>
      <c r="Q470" s="120"/>
      <c r="R470" s="120"/>
      <c r="S470" s="120"/>
      <c r="T470" s="120"/>
      <c r="U470" s="120"/>
      <c r="V470" s="120"/>
      <c r="W470" s="120"/>
      <c r="X470" s="120"/>
      <c r="Y470" s="120"/>
      <c r="Z470" s="120"/>
      <c r="AA470" s="120"/>
      <c r="AB470" s="120"/>
      <c r="AC470" s="120"/>
      <c r="AD470" s="120"/>
    </row>
    <row r="471">
      <c r="A471" s="120"/>
      <c r="B471" s="120"/>
      <c r="C471" s="120"/>
      <c r="D471" s="120"/>
      <c r="E471" s="120"/>
      <c r="F471" s="120"/>
      <c r="G471" s="120"/>
      <c r="H471" s="120"/>
      <c r="I471" s="120"/>
      <c r="J471" s="120"/>
      <c r="K471" s="120"/>
      <c r="L471" s="120"/>
      <c r="M471" s="120"/>
      <c r="N471" s="120"/>
      <c r="O471" s="120"/>
      <c r="P471" s="120"/>
      <c r="Q471" s="120"/>
      <c r="R471" s="120"/>
      <c r="S471" s="120"/>
      <c r="T471" s="120"/>
      <c r="U471" s="120"/>
      <c r="V471" s="120"/>
      <c r="W471" s="120"/>
      <c r="X471" s="120"/>
      <c r="Y471" s="120"/>
      <c r="Z471" s="120"/>
      <c r="AA471" s="120"/>
      <c r="AB471" s="120"/>
      <c r="AC471" s="120"/>
      <c r="AD471" s="120"/>
    </row>
    <row r="472">
      <c r="A472" s="120"/>
      <c r="B472" s="120"/>
      <c r="C472" s="120"/>
      <c r="D472" s="120"/>
      <c r="E472" s="120"/>
      <c r="F472" s="120"/>
      <c r="G472" s="120"/>
      <c r="H472" s="120"/>
      <c r="I472" s="120"/>
      <c r="J472" s="120"/>
      <c r="K472" s="120"/>
      <c r="L472" s="120"/>
      <c r="M472" s="120"/>
      <c r="N472" s="120"/>
      <c r="O472" s="120"/>
      <c r="P472" s="120"/>
      <c r="Q472" s="120"/>
      <c r="R472" s="120"/>
      <c r="S472" s="120"/>
      <c r="T472" s="120"/>
      <c r="U472" s="120"/>
      <c r="V472" s="120"/>
      <c r="W472" s="120"/>
      <c r="X472" s="120"/>
      <c r="Y472" s="120"/>
      <c r="Z472" s="120"/>
      <c r="AA472" s="120"/>
      <c r="AB472" s="120"/>
      <c r="AC472" s="120"/>
      <c r="AD472" s="120"/>
    </row>
    <row r="473">
      <c r="A473" s="120"/>
      <c r="B473" s="120"/>
      <c r="C473" s="120"/>
      <c r="D473" s="120"/>
      <c r="E473" s="120"/>
      <c r="F473" s="120"/>
      <c r="G473" s="120"/>
      <c r="H473" s="120"/>
      <c r="I473" s="120"/>
      <c r="J473" s="120"/>
      <c r="K473" s="120"/>
      <c r="L473" s="120"/>
      <c r="M473" s="120"/>
      <c r="N473" s="120"/>
      <c r="O473" s="120"/>
      <c r="P473" s="120"/>
      <c r="Q473" s="120"/>
      <c r="R473" s="120"/>
      <c r="S473" s="120"/>
      <c r="T473" s="120"/>
      <c r="U473" s="120"/>
      <c r="V473" s="120"/>
      <c r="W473" s="120"/>
      <c r="X473" s="120"/>
      <c r="Y473" s="120"/>
      <c r="Z473" s="120"/>
      <c r="AA473" s="120"/>
      <c r="AB473" s="120"/>
      <c r="AC473" s="120"/>
      <c r="AD473" s="120"/>
    </row>
    <row r="474">
      <c r="A474" s="120"/>
      <c r="B474" s="120"/>
      <c r="C474" s="120"/>
      <c r="D474" s="120"/>
      <c r="E474" s="120"/>
      <c r="F474" s="120"/>
      <c r="G474" s="120"/>
      <c r="H474" s="120"/>
      <c r="I474" s="120"/>
      <c r="J474" s="120"/>
      <c r="K474" s="120"/>
      <c r="L474" s="120"/>
      <c r="M474" s="120"/>
      <c r="N474" s="120"/>
      <c r="O474" s="120"/>
      <c r="P474" s="120"/>
      <c r="Q474" s="120"/>
      <c r="R474" s="120"/>
      <c r="S474" s="120"/>
      <c r="T474" s="120"/>
      <c r="U474" s="120"/>
      <c r="V474" s="120"/>
      <c r="W474" s="120"/>
      <c r="X474" s="120"/>
      <c r="Y474" s="120"/>
      <c r="Z474" s="120"/>
      <c r="AA474" s="120"/>
      <c r="AB474" s="120"/>
      <c r="AC474" s="120"/>
      <c r="AD474" s="120"/>
    </row>
    <row r="475">
      <c r="A475" s="120"/>
      <c r="B475" s="120"/>
      <c r="C475" s="120"/>
      <c r="D475" s="120"/>
      <c r="E475" s="120"/>
      <c r="F475" s="120"/>
      <c r="G475" s="120"/>
      <c r="H475" s="120"/>
      <c r="I475" s="120"/>
      <c r="J475" s="120"/>
      <c r="K475" s="120"/>
      <c r="L475" s="120"/>
      <c r="M475" s="120"/>
      <c r="N475" s="120"/>
      <c r="O475" s="120"/>
      <c r="P475" s="120"/>
      <c r="Q475" s="120"/>
      <c r="R475" s="120"/>
      <c r="S475" s="120"/>
      <c r="T475" s="120"/>
      <c r="U475" s="120"/>
      <c r="V475" s="120"/>
      <c r="W475" s="120"/>
      <c r="X475" s="120"/>
      <c r="Y475" s="120"/>
      <c r="Z475" s="120"/>
      <c r="AA475" s="120"/>
      <c r="AB475" s="120"/>
      <c r="AC475" s="120"/>
      <c r="AD475" s="120"/>
    </row>
    <row r="476">
      <c r="A476" s="120"/>
      <c r="B476" s="120"/>
      <c r="C476" s="120"/>
      <c r="D476" s="120"/>
      <c r="E476" s="120"/>
      <c r="F476" s="120"/>
      <c r="G476" s="120"/>
      <c r="H476" s="120"/>
      <c r="I476" s="120"/>
      <c r="J476" s="120"/>
      <c r="K476" s="120"/>
      <c r="L476" s="120"/>
      <c r="M476" s="120"/>
      <c r="N476" s="120"/>
      <c r="O476" s="120"/>
      <c r="P476" s="120"/>
      <c r="Q476" s="120"/>
      <c r="R476" s="120"/>
      <c r="S476" s="120"/>
      <c r="T476" s="120"/>
      <c r="U476" s="120"/>
      <c r="V476" s="120"/>
      <c r="W476" s="120"/>
      <c r="X476" s="120"/>
      <c r="Y476" s="120"/>
      <c r="Z476" s="120"/>
      <c r="AA476" s="120"/>
      <c r="AB476" s="120"/>
      <c r="AC476" s="120"/>
      <c r="AD476" s="120"/>
    </row>
    <row r="477">
      <c r="A477" s="120"/>
      <c r="B477" s="120"/>
      <c r="C477" s="120"/>
      <c r="D477" s="120"/>
      <c r="E477" s="120"/>
      <c r="F477" s="120"/>
      <c r="G477" s="120"/>
      <c r="H477" s="120"/>
      <c r="I477" s="120"/>
      <c r="J477" s="120"/>
      <c r="K477" s="120"/>
      <c r="L477" s="120"/>
      <c r="M477" s="120"/>
      <c r="N477" s="120"/>
      <c r="O477" s="120"/>
      <c r="P477" s="120"/>
      <c r="Q477" s="120"/>
      <c r="R477" s="120"/>
      <c r="S477" s="120"/>
      <c r="T477" s="120"/>
      <c r="U477" s="120"/>
      <c r="V477" s="120"/>
      <c r="W477" s="120"/>
      <c r="X477" s="120"/>
      <c r="Y477" s="120"/>
      <c r="Z477" s="120"/>
      <c r="AA477" s="120"/>
      <c r="AB477" s="120"/>
      <c r="AC477" s="120"/>
      <c r="AD477" s="120"/>
    </row>
    <row r="478">
      <c r="A478" s="120"/>
      <c r="B478" s="120"/>
      <c r="C478" s="120"/>
      <c r="D478" s="120"/>
      <c r="E478" s="120"/>
      <c r="F478" s="120"/>
      <c r="G478" s="120"/>
      <c r="H478" s="120"/>
      <c r="I478" s="120"/>
      <c r="J478" s="120"/>
      <c r="K478" s="120"/>
      <c r="L478" s="120"/>
      <c r="M478" s="120"/>
      <c r="N478" s="120"/>
      <c r="O478" s="120"/>
      <c r="P478" s="120"/>
      <c r="Q478" s="120"/>
      <c r="R478" s="120"/>
      <c r="S478" s="120"/>
      <c r="T478" s="120"/>
      <c r="U478" s="120"/>
      <c r="V478" s="120"/>
      <c r="W478" s="120"/>
      <c r="X478" s="120"/>
      <c r="Y478" s="120"/>
      <c r="Z478" s="120"/>
      <c r="AA478" s="120"/>
      <c r="AB478" s="120"/>
      <c r="AC478" s="120"/>
      <c r="AD478" s="120"/>
    </row>
    <row r="479">
      <c r="A479" s="120"/>
      <c r="B479" s="120"/>
      <c r="C479" s="120"/>
      <c r="D479" s="120"/>
      <c r="E479" s="120"/>
      <c r="F479" s="120"/>
      <c r="G479" s="120"/>
      <c r="H479" s="120"/>
      <c r="I479" s="120"/>
      <c r="J479" s="120"/>
      <c r="K479" s="120"/>
      <c r="L479" s="120"/>
      <c r="M479" s="120"/>
      <c r="N479" s="120"/>
      <c r="O479" s="120"/>
      <c r="P479" s="120"/>
      <c r="Q479" s="120"/>
      <c r="R479" s="120"/>
      <c r="S479" s="120"/>
      <c r="T479" s="120"/>
      <c r="U479" s="120"/>
      <c r="V479" s="120"/>
      <c r="W479" s="120"/>
      <c r="X479" s="120"/>
      <c r="Y479" s="120"/>
      <c r="Z479" s="120"/>
      <c r="AA479" s="120"/>
      <c r="AB479" s="120"/>
      <c r="AC479" s="120"/>
      <c r="AD479" s="120"/>
    </row>
    <row r="480">
      <c r="A480" s="120"/>
      <c r="B480" s="120"/>
      <c r="C480" s="120"/>
      <c r="D480" s="120"/>
      <c r="E480" s="120"/>
      <c r="F480" s="120"/>
      <c r="G480" s="120"/>
      <c r="H480" s="120"/>
      <c r="I480" s="120"/>
      <c r="J480" s="120"/>
      <c r="K480" s="120"/>
      <c r="L480" s="120"/>
      <c r="M480" s="120"/>
      <c r="N480" s="120"/>
      <c r="O480" s="120"/>
      <c r="P480" s="120"/>
      <c r="Q480" s="120"/>
      <c r="R480" s="120"/>
      <c r="S480" s="120"/>
      <c r="T480" s="120"/>
      <c r="U480" s="120"/>
      <c r="V480" s="120"/>
      <c r="W480" s="120"/>
      <c r="X480" s="120"/>
      <c r="Y480" s="120"/>
      <c r="Z480" s="120"/>
      <c r="AA480" s="120"/>
      <c r="AB480" s="120"/>
      <c r="AC480" s="120"/>
      <c r="AD480" s="120"/>
    </row>
    <row r="481">
      <c r="A481" s="120"/>
      <c r="B481" s="120"/>
      <c r="C481" s="120"/>
      <c r="D481" s="120"/>
      <c r="E481" s="120"/>
      <c r="F481" s="120"/>
      <c r="G481" s="120"/>
      <c r="H481" s="120"/>
      <c r="I481" s="120"/>
      <c r="J481" s="120"/>
      <c r="K481" s="120"/>
      <c r="L481" s="120"/>
      <c r="M481" s="120"/>
      <c r="N481" s="120"/>
      <c r="O481" s="120"/>
      <c r="P481" s="120"/>
      <c r="Q481" s="120"/>
      <c r="R481" s="120"/>
      <c r="S481" s="120"/>
      <c r="T481" s="120"/>
      <c r="U481" s="120"/>
      <c r="V481" s="120"/>
      <c r="W481" s="120"/>
      <c r="X481" s="120"/>
      <c r="Y481" s="120"/>
      <c r="Z481" s="120"/>
      <c r="AA481" s="120"/>
      <c r="AB481" s="120"/>
      <c r="AC481" s="120"/>
      <c r="AD481" s="120"/>
    </row>
    <row r="482">
      <c r="A482" s="120"/>
      <c r="B482" s="120"/>
      <c r="C482" s="120"/>
      <c r="D482" s="120"/>
      <c r="E482" s="120"/>
      <c r="F482" s="120"/>
      <c r="G482" s="120"/>
      <c r="H482" s="120"/>
      <c r="I482" s="120"/>
      <c r="J482" s="120"/>
      <c r="K482" s="120"/>
      <c r="L482" s="120"/>
      <c r="M482" s="120"/>
      <c r="N482" s="120"/>
      <c r="O482" s="120"/>
      <c r="P482" s="120"/>
      <c r="Q482" s="120"/>
      <c r="R482" s="120"/>
      <c r="S482" s="120"/>
      <c r="T482" s="120"/>
      <c r="U482" s="120"/>
      <c r="V482" s="120"/>
      <c r="W482" s="120"/>
      <c r="X482" s="120"/>
      <c r="Y482" s="120"/>
      <c r="Z482" s="120"/>
      <c r="AA482" s="120"/>
      <c r="AB482" s="120"/>
      <c r="AC482" s="120"/>
      <c r="AD482" s="120"/>
    </row>
    <row r="483">
      <c r="A483" s="120"/>
      <c r="B483" s="120"/>
      <c r="C483" s="120"/>
      <c r="D483" s="120"/>
      <c r="E483" s="120"/>
      <c r="F483" s="120"/>
      <c r="G483" s="120"/>
      <c r="H483" s="120"/>
      <c r="I483" s="120"/>
      <c r="J483" s="120"/>
      <c r="K483" s="120"/>
      <c r="L483" s="120"/>
      <c r="M483" s="120"/>
      <c r="N483" s="120"/>
      <c r="O483" s="120"/>
      <c r="P483" s="120"/>
      <c r="Q483" s="120"/>
      <c r="R483" s="120"/>
      <c r="S483" s="120"/>
      <c r="T483" s="120"/>
      <c r="U483" s="120"/>
      <c r="V483" s="120"/>
      <c r="W483" s="120"/>
      <c r="X483" s="120"/>
      <c r="Y483" s="120"/>
      <c r="Z483" s="120"/>
      <c r="AA483" s="120"/>
      <c r="AB483" s="120"/>
      <c r="AC483" s="120"/>
      <c r="AD483" s="120"/>
    </row>
    <row r="484">
      <c r="A484" s="120"/>
      <c r="B484" s="120"/>
      <c r="C484" s="120"/>
      <c r="D484" s="120"/>
      <c r="E484" s="120"/>
      <c r="F484" s="120"/>
      <c r="G484" s="120"/>
      <c r="H484" s="120"/>
      <c r="I484" s="120"/>
      <c r="J484" s="120"/>
      <c r="K484" s="120"/>
      <c r="L484" s="120"/>
      <c r="M484" s="120"/>
      <c r="N484" s="120"/>
      <c r="O484" s="120"/>
      <c r="P484" s="120"/>
      <c r="Q484" s="120"/>
      <c r="R484" s="120"/>
      <c r="S484" s="120"/>
      <c r="T484" s="120"/>
      <c r="U484" s="120"/>
      <c r="V484" s="120"/>
      <c r="W484" s="120"/>
      <c r="X484" s="120"/>
      <c r="Y484" s="120"/>
      <c r="Z484" s="120"/>
      <c r="AA484" s="120"/>
      <c r="AB484" s="120"/>
      <c r="AC484" s="120"/>
      <c r="AD484" s="120"/>
    </row>
    <row r="485">
      <c r="A485" s="120"/>
      <c r="B485" s="120"/>
      <c r="C485" s="120"/>
      <c r="D485" s="120"/>
      <c r="E485" s="120"/>
      <c r="F485" s="120"/>
      <c r="G485" s="120"/>
      <c r="H485" s="120"/>
      <c r="I485" s="120"/>
      <c r="J485" s="120"/>
      <c r="K485" s="120"/>
      <c r="L485" s="120"/>
      <c r="M485" s="120"/>
      <c r="N485" s="120"/>
      <c r="O485" s="120"/>
      <c r="P485" s="120"/>
      <c r="Q485" s="120"/>
      <c r="R485" s="120"/>
      <c r="S485" s="120"/>
      <c r="T485" s="120"/>
      <c r="U485" s="120"/>
      <c r="V485" s="120"/>
      <c r="W485" s="120"/>
      <c r="X485" s="120"/>
      <c r="Y485" s="120"/>
      <c r="Z485" s="120"/>
      <c r="AA485" s="120"/>
      <c r="AB485" s="120"/>
      <c r="AC485" s="120"/>
      <c r="AD485" s="120"/>
    </row>
    <row r="486">
      <c r="A486" s="120"/>
      <c r="B486" s="120"/>
      <c r="C486" s="120"/>
      <c r="D486" s="120"/>
      <c r="E486" s="120"/>
      <c r="F486" s="120"/>
      <c r="G486" s="120"/>
      <c r="H486" s="120"/>
      <c r="I486" s="120"/>
      <c r="J486" s="120"/>
      <c r="K486" s="120"/>
      <c r="L486" s="120"/>
      <c r="M486" s="120"/>
      <c r="N486" s="120"/>
      <c r="O486" s="120"/>
      <c r="P486" s="120"/>
      <c r="Q486" s="120"/>
      <c r="R486" s="120"/>
      <c r="S486" s="120"/>
      <c r="T486" s="120"/>
      <c r="U486" s="120"/>
      <c r="V486" s="120"/>
      <c r="W486" s="120"/>
      <c r="X486" s="120"/>
      <c r="Y486" s="120"/>
      <c r="Z486" s="120"/>
      <c r="AA486" s="120"/>
      <c r="AB486" s="120"/>
      <c r="AC486" s="120"/>
      <c r="AD486" s="120"/>
    </row>
    <row r="487">
      <c r="A487" s="120"/>
      <c r="B487" s="120"/>
      <c r="C487" s="120"/>
      <c r="D487" s="120"/>
      <c r="E487" s="120"/>
      <c r="F487" s="120"/>
      <c r="G487" s="120"/>
      <c r="H487" s="120"/>
      <c r="I487" s="120"/>
      <c r="J487" s="120"/>
      <c r="K487" s="120"/>
      <c r="L487" s="120"/>
      <c r="M487" s="120"/>
      <c r="N487" s="120"/>
      <c r="O487" s="120"/>
      <c r="P487" s="120"/>
      <c r="Q487" s="120"/>
      <c r="R487" s="120"/>
      <c r="S487" s="120"/>
      <c r="T487" s="120"/>
      <c r="U487" s="120"/>
      <c r="V487" s="120"/>
      <c r="W487" s="120"/>
      <c r="X487" s="120"/>
      <c r="Y487" s="120"/>
      <c r="Z487" s="120"/>
      <c r="AA487" s="120"/>
      <c r="AB487" s="120"/>
      <c r="AC487" s="120"/>
      <c r="AD487" s="120"/>
    </row>
    <row r="488">
      <c r="A488" s="120"/>
      <c r="B488" s="120"/>
      <c r="C488" s="120"/>
      <c r="D488" s="120"/>
      <c r="E488" s="120"/>
      <c r="F488" s="120"/>
      <c r="G488" s="120"/>
      <c r="H488" s="120"/>
      <c r="I488" s="120"/>
      <c r="J488" s="120"/>
      <c r="K488" s="120"/>
      <c r="L488" s="120"/>
      <c r="M488" s="120"/>
      <c r="N488" s="120"/>
      <c r="O488" s="120"/>
      <c r="P488" s="120"/>
      <c r="Q488" s="120"/>
      <c r="R488" s="120"/>
      <c r="S488" s="120"/>
      <c r="T488" s="120"/>
      <c r="U488" s="120"/>
      <c r="V488" s="120"/>
      <c r="W488" s="120"/>
      <c r="X488" s="120"/>
      <c r="Y488" s="120"/>
      <c r="Z488" s="120"/>
      <c r="AA488" s="120"/>
      <c r="AB488" s="120"/>
      <c r="AC488" s="120"/>
      <c r="AD488" s="120"/>
    </row>
    <row r="489">
      <c r="A489" s="120"/>
      <c r="B489" s="120"/>
      <c r="C489" s="120"/>
      <c r="D489" s="120"/>
      <c r="E489" s="120"/>
      <c r="F489" s="120"/>
      <c r="G489" s="120"/>
      <c r="H489" s="120"/>
      <c r="I489" s="120"/>
      <c r="J489" s="120"/>
      <c r="K489" s="120"/>
      <c r="L489" s="120"/>
      <c r="M489" s="120"/>
      <c r="N489" s="120"/>
      <c r="O489" s="120"/>
      <c r="P489" s="120"/>
      <c r="Q489" s="120"/>
      <c r="R489" s="120"/>
      <c r="S489" s="120"/>
      <c r="T489" s="120"/>
      <c r="U489" s="120"/>
      <c r="V489" s="120"/>
      <c r="W489" s="120"/>
      <c r="X489" s="120"/>
      <c r="Y489" s="120"/>
      <c r="Z489" s="120"/>
      <c r="AA489" s="120"/>
      <c r="AB489" s="120"/>
      <c r="AC489" s="120"/>
      <c r="AD489" s="120"/>
    </row>
    <row r="490">
      <c r="A490" s="120"/>
      <c r="B490" s="120"/>
      <c r="C490" s="120"/>
      <c r="D490" s="120"/>
      <c r="E490" s="120"/>
      <c r="F490" s="120"/>
      <c r="G490" s="120"/>
      <c r="H490" s="120"/>
      <c r="I490" s="120"/>
      <c r="J490" s="120"/>
      <c r="K490" s="120"/>
      <c r="L490" s="120"/>
      <c r="M490" s="120"/>
      <c r="N490" s="120"/>
      <c r="O490" s="120"/>
      <c r="P490" s="120"/>
      <c r="Q490" s="120"/>
      <c r="R490" s="120"/>
      <c r="S490" s="120"/>
      <c r="T490" s="120"/>
      <c r="U490" s="120"/>
      <c r="V490" s="120"/>
      <c r="W490" s="120"/>
      <c r="X490" s="120"/>
      <c r="Y490" s="120"/>
      <c r="Z490" s="120"/>
      <c r="AA490" s="120"/>
      <c r="AB490" s="120"/>
      <c r="AC490" s="120"/>
      <c r="AD490" s="120"/>
    </row>
    <row r="491">
      <c r="A491" s="120"/>
      <c r="B491" s="120"/>
      <c r="C491" s="120"/>
      <c r="D491" s="120"/>
      <c r="E491" s="120"/>
      <c r="F491" s="120"/>
      <c r="G491" s="120"/>
      <c r="H491" s="120"/>
      <c r="I491" s="120"/>
      <c r="J491" s="120"/>
      <c r="K491" s="120"/>
      <c r="L491" s="120"/>
      <c r="M491" s="120"/>
      <c r="N491" s="120"/>
      <c r="O491" s="120"/>
      <c r="P491" s="120"/>
      <c r="Q491" s="120"/>
      <c r="R491" s="120"/>
      <c r="S491" s="120"/>
      <c r="T491" s="120"/>
      <c r="U491" s="120"/>
      <c r="V491" s="120"/>
      <c r="W491" s="120"/>
      <c r="X491" s="120"/>
      <c r="Y491" s="120"/>
      <c r="Z491" s="120"/>
      <c r="AA491" s="120"/>
      <c r="AB491" s="120"/>
      <c r="AC491" s="120"/>
      <c r="AD491" s="120"/>
    </row>
    <row r="492">
      <c r="A492" s="120"/>
      <c r="B492" s="120"/>
      <c r="C492" s="120"/>
      <c r="D492" s="120"/>
      <c r="E492" s="120"/>
      <c r="F492" s="120"/>
      <c r="G492" s="120"/>
      <c r="H492" s="120"/>
      <c r="I492" s="120"/>
      <c r="J492" s="120"/>
      <c r="K492" s="120"/>
      <c r="L492" s="120"/>
      <c r="M492" s="120"/>
      <c r="N492" s="120"/>
      <c r="O492" s="120"/>
      <c r="P492" s="120"/>
      <c r="Q492" s="120"/>
      <c r="R492" s="120"/>
      <c r="S492" s="120"/>
      <c r="T492" s="120"/>
      <c r="U492" s="120"/>
      <c r="V492" s="120"/>
      <c r="W492" s="120"/>
      <c r="X492" s="120"/>
      <c r="Y492" s="120"/>
      <c r="Z492" s="120"/>
      <c r="AA492" s="120"/>
      <c r="AB492" s="120"/>
      <c r="AC492" s="120"/>
      <c r="AD492" s="120"/>
    </row>
    <row r="493">
      <c r="A493" s="120"/>
      <c r="B493" s="120"/>
      <c r="C493" s="120"/>
      <c r="D493" s="120"/>
      <c r="E493" s="120"/>
      <c r="F493" s="120"/>
      <c r="G493" s="120"/>
      <c r="H493" s="120"/>
      <c r="I493" s="120"/>
      <c r="J493" s="120"/>
      <c r="K493" s="120"/>
      <c r="L493" s="120"/>
      <c r="M493" s="120"/>
      <c r="N493" s="120"/>
      <c r="O493" s="120"/>
      <c r="P493" s="120"/>
      <c r="Q493" s="120"/>
      <c r="R493" s="120"/>
      <c r="S493" s="120"/>
      <c r="T493" s="120"/>
      <c r="U493" s="120"/>
      <c r="V493" s="120"/>
      <c r="W493" s="120"/>
      <c r="X493" s="120"/>
      <c r="Y493" s="120"/>
      <c r="Z493" s="120"/>
      <c r="AA493" s="120"/>
      <c r="AB493" s="120"/>
      <c r="AC493" s="120"/>
      <c r="AD493" s="120"/>
    </row>
    <row r="494">
      <c r="A494" s="120"/>
      <c r="B494" s="120"/>
      <c r="C494" s="120"/>
      <c r="D494" s="120"/>
      <c r="E494" s="120"/>
      <c r="F494" s="120"/>
      <c r="G494" s="120"/>
      <c r="H494" s="120"/>
      <c r="I494" s="120"/>
      <c r="J494" s="120"/>
      <c r="K494" s="120"/>
      <c r="L494" s="120"/>
      <c r="M494" s="120"/>
      <c r="N494" s="120"/>
      <c r="O494" s="120"/>
      <c r="P494" s="120"/>
      <c r="Q494" s="120"/>
      <c r="R494" s="120"/>
      <c r="S494" s="120"/>
      <c r="T494" s="120"/>
      <c r="U494" s="120"/>
      <c r="V494" s="120"/>
      <c r="W494" s="120"/>
      <c r="X494" s="120"/>
      <c r="Y494" s="120"/>
      <c r="Z494" s="120"/>
      <c r="AA494" s="120"/>
      <c r="AB494" s="120"/>
      <c r="AC494" s="120"/>
      <c r="AD494" s="120"/>
    </row>
    <row r="495">
      <c r="A495" s="120"/>
      <c r="B495" s="120"/>
      <c r="C495" s="120"/>
      <c r="D495" s="120"/>
      <c r="E495" s="120"/>
      <c r="F495" s="120"/>
      <c r="G495" s="120"/>
      <c r="H495" s="120"/>
      <c r="I495" s="120"/>
      <c r="J495" s="120"/>
      <c r="K495" s="120"/>
      <c r="L495" s="120"/>
      <c r="M495" s="120"/>
      <c r="N495" s="120"/>
      <c r="O495" s="120"/>
      <c r="P495" s="120"/>
      <c r="Q495" s="120"/>
      <c r="R495" s="120"/>
      <c r="S495" s="120"/>
      <c r="T495" s="120"/>
      <c r="U495" s="120"/>
      <c r="V495" s="120"/>
      <c r="W495" s="120"/>
      <c r="X495" s="120"/>
      <c r="Y495" s="120"/>
      <c r="Z495" s="120"/>
      <c r="AA495" s="120"/>
      <c r="AB495" s="120"/>
      <c r="AC495" s="120"/>
      <c r="AD495" s="120"/>
    </row>
    <row r="496">
      <c r="A496" s="120"/>
      <c r="B496" s="120"/>
      <c r="C496" s="120"/>
      <c r="D496" s="120"/>
      <c r="E496" s="120"/>
      <c r="F496" s="120"/>
      <c r="G496" s="120"/>
      <c r="H496" s="120"/>
      <c r="I496" s="120"/>
      <c r="J496" s="120"/>
      <c r="K496" s="120"/>
      <c r="L496" s="120"/>
      <c r="M496" s="120"/>
      <c r="N496" s="120"/>
      <c r="O496" s="120"/>
      <c r="P496" s="120"/>
      <c r="Q496" s="120"/>
      <c r="R496" s="120"/>
      <c r="S496" s="120"/>
      <c r="T496" s="120"/>
      <c r="U496" s="120"/>
      <c r="V496" s="120"/>
      <c r="W496" s="120"/>
      <c r="X496" s="120"/>
      <c r="Y496" s="120"/>
      <c r="Z496" s="120"/>
      <c r="AA496" s="120"/>
      <c r="AB496" s="120"/>
      <c r="AC496" s="120"/>
      <c r="AD496" s="120"/>
    </row>
    <row r="497">
      <c r="A497" s="120"/>
      <c r="B497" s="120"/>
      <c r="C497" s="120"/>
      <c r="D497" s="120"/>
      <c r="E497" s="120"/>
      <c r="F497" s="120"/>
      <c r="G497" s="120"/>
      <c r="H497" s="120"/>
      <c r="I497" s="120"/>
      <c r="J497" s="120"/>
      <c r="K497" s="120"/>
      <c r="L497" s="120"/>
      <c r="M497" s="120"/>
      <c r="N497" s="120"/>
      <c r="O497" s="120"/>
      <c r="P497" s="120"/>
      <c r="Q497" s="120"/>
      <c r="R497" s="120"/>
      <c r="S497" s="120"/>
      <c r="T497" s="120"/>
      <c r="U497" s="120"/>
      <c r="V497" s="120"/>
      <c r="W497" s="120"/>
      <c r="X497" s="120"/>
      <c r="Y497" s="120"/>
      <c r="Z497" s="120"/>
      <c r="AA497" s="120"/>
      <c r="AB497" s="120"/>
      <c r="AC497" s="120"/>
      <c r="AD497" s="120"/>
    </row>
    <row r="498">
      <c r="A498" s="120"/>
      <c r="B498" s="120"/>
      <c r="C498" s="120"/>
      <c r="D498" s="120"/>
      <c r="E498" s="120"/>
      <c r="F498" s="120"/>
      <c r="G498" s="120"/>
      <c r="H498" s="120"/>
      <c r="I498" s="120"/>
      <c r="J498" s="120"/>
      <c r="K498" s="120"/>
      <c r="L498" s="120"/>
      <c r="M498" s="120"/>
      <c r="N498" s="120"/>
      <c r="O498" s="120"/>
      <c r="P498" s="120"/>
      <c r="Q498" s="120"/>
      <c r="R498" s="120"/>
      <c r="S498" s="120"/>
      <c r="T498" s="120"/>
      <c r="U498" s="120"/>
      <c r="V498" s="120"/>
      <c r="W498" s="120"/>
      <c r="X498" s="120"/>
      <c r="Y498" s="120"/>
      <c r="Z498" s="120"/>
      <c r="AA498" s="120"/>
      <c r="AB498" s="120"/>
      <c r="AC498" s="120"/>
      <c r="AD498" s="120"/>
    </row>
    <row r="499">
      <c r="A499" s="120"/>
      <c r="B499" s="120"/>
      <c r="C499" s="120"/>
      <c r="D499" s="120"/>
      <c r="E499" s="120"/>
      <c r="F499" s="120"/>
      <c r="G499" s="120"/>
      <c r="H499" s="120"/>
      <c r="I499" s="120"/>
      <c r="J499" s="120"/>
      <c r="K499" s="120"/>
      <c r="L499" s="120"/>
      <c r="M499" s="120"/>
      <c r="N499" s="120"/>
      <c r="O499" s="120"/>
      <c r="P499" s="120"/>
      <c r="Q499" s="120"/>
      <c r="R499" s="120"/>
      <c r="S499" s="120"/>
      <c r="T499" s="120"/>
      <c r="U499" s="120"/>
      <c r="V499" s="120"/>
      <c r="W499" s="120"/>
      <c r="X499" s="120"/>
      <c r="Y499" s="120"/>
      <c r="Z499" s="120"/>
      <c r="AA499" s="120"/>
      <c r="AB499" s="120"/>
      <c r="AC499" s="120"/>
      <c r="AD499" s="120"/>
    </row>
    <row r="500">
      <c r="A500" s="120"/>
      <c r="B500" s="120"/>
      <c r="C500" s="120"/>
      <c r="D500" s="120"/>
      <c r="E500" s="120"/>
      <c r="F500" s="120"/>
      <c r="G500" s="120"/>
      <c r="H500" s="120"/>
      <c r="I500" s="120"/>
      <c r="J500" s="120"/>
      <c r="K500" s="120"/>
      <c r="L500" s="120"/>
      <c r="M500" s="120"/>
      <c r="N500" s="120"/>
      <c r="O500" s="120"/>
      <c r="P500" s="120"/>
      <c r="Q500" s="120"/>
      <c r="R500" s="120"/>
      <c r="S500" s="120"/>
      <c r="T500" s="120"/>
      <c r="U500" s="120"/>
      <c r="V500" s="120"/>
      <c r="W500" s="120"/>
      <c r="X500" s="120"/>
      <c r="Y500" s="120"/>
      <c r="Z500" s="120"/>
      <c r="AA500" s="120"/>
      <c r="AB500" s="120"/>
      <c r="AC500" s="120"/>
      <c r="AD500" s="120"/>
    </row>
    <row r="501">
      <c r="A501" s="120"/>
      <c r="B501" s="120"/>
      <c r="C501" s="120"/>
      <c r="D501" s="120"/>
      <c r="E501" s="120"/>
      <c r="F501" s="120"/>
      <c r="G501" s="120"/>
      <c r="H501" s="120"/>
      <c r="I501" s="120"/>
      <c r="J501" s="120"/>
      <c r="K501" s="120"/>
      <c r="L501" s="120"/>
      <c r="M501" s="120"/>
      <c r="N501" s="120"/>
      <c r="O501" s="120"/>
      <c r="P501" s="120"/>
      <c r="Q501" s="120"/>
      <c r="R501" s="120"/>
      <c r="S501" s="120"/>
      <c r="T501" s="120"/>
      <c r="U501" s="120"/>
      <c r="V501" s="120"/>
      <c r="W501" s="120"/>
      <c r="X501" s="120"/>
      <c r="Y501" s="120"/>
      <c r="Z501" s="120"/>
      <c r="AA501" s="120"/>
      <c r="AB501" s="120"/>
      <c r="AC501" s="120"/>
      <c r="AD501" s="120"/>
    </row>
    <row r="502">
      <c r="A502" s="120"/>
      <c r="B502" s="120"/>
      <c r="C502" s="120"/>
      <c r="D502" s="120"/>
      <c r="E502" s="120"/>
      <c r="F502" s="120"/>
      <c r="G502" s="120"/>
      <c r="H502" s="120"/>
      <c r="I502" s="120"/>
      <c r="J502" s="120"/>
      <c r="K502" s="120"/>
      <c r="L502" s="120"/>
      <c r="M502" s="120"/>
      <c r="N502" s="120"/>
      <c r="O502" s="120"/>
      <c r="P502" s="120"/>
      <c r="Q502" s="120"/>
      <c r="R502" s="120"/>
      <c r="S502" s="120"/>
      <c r="T502" s="120"/>
      <c r="U502" s="120"/>
      <c r="V502" s="120"/>
      <c r="W502" s="120"/>
      <c r="X502" s="120"/>
      <c r="Y502" s="120"/>
      <c r="Z502" s="120"/>
      <c r="AA502" s="120"/>
      <c r="AB502" s="120"/>
      <c r="AC502" s="120"/>
      <c r="AD502" s="120"/>
    </row>
    <row r="503">
      <c r="A503" s="120"/>
      <c r="B503" s="120"/>
      <c r="C503" s="120"/>
      <c r="D503" s="120"/>
      <c r="E503" s="120"/>
      <c r="F503" s="120"/>
      <c r="G503" s="120"/>
      <c r="H503" s="120"/>
      <c r="I503" s="120"/>
      <c r="J503" s="120"/>
      <c r="K503" s="120"/>
      <c r="L503" s="120"/>
      <c r="M503" s="120"/>
      <c r="N503" s="120"/>
      <c r="O503" s="120"/>
      <c r="P503" s="120"/>
      <c r="Q503" s="120"/>
      <c r="R503" s="120"/>
      <c r="S503" s="120"/>
      <c r="T503" s="120"/>
      <c r="U503" s="120"/>
      <c r="V503" s="120"/>
      <c r="W503" s="120"/>
      <c r="X503" s="120"/>
      <c r="Y503" s="120"/>
      <c r="Z503" s="120"/>
      <c r="AA503" s="120"/>
      <c r="AB503" s="120"/>
      <c r="AC503" s="120"/>
      <c r="AD503" s="120"/>
    </row>
    <row r="504">
      <c r="A504" s="120"/>
      <c r="B504" s="120"/>
      <c r="C504" s="120"/>
      <c r="D504" s="120"/>
      <c r="E504" s="120"/>
      <c r="F504" s="120"/>
      <c r="G504" s="120"/>
      <c r="H504" s="120"/>
      <c r="I504" s="120"/>
      <c r="J504" s="120"/>
      <c r="K504" s="120"/>
      <c r="L504" s="120"/>
      <c r="M504" s="120"/>
      <c r="N504" s="120"/>
      <c r="O504" s="120"/>
      <c r="P504" s="120"/>
      <c r="Q504" s="120"/>
      <c r="R504" s="120"/>
      <c r="S504" s="120"/>
      <c r="T504" s="120"/>
      <c r="U504" s="120"/>
      <c r="V504" s="120"/>
      <c r="W504" s="120"/>
      <c r="X504" s="120"/>
      <c r="Y504" s="120"/>
      <c r="Z504" s="120"/>
      <c r="AA504" s="120"/>
      <c r="AB504" s="120"/>
      <c r="AC504" s="120"/>
      <c r="AD504" s="120"/>
    </row>
    <row r="505">
      <c r="A505" s="120"/>
      <c r="B505" s="120"/>
      <c r="C505" s="120"/>
      <c r="D505" s="120"/>
      <c r="E505" s="120"/>
      <c r="F505" s="120"/>
      <c r="G505" s="120"/>
      <c r="H505" s="120"/>
      <c r="I505" s="120"/>
      <c r="J505" s="120"/>
      <c r="K505" s="120"/>
      <c r="L505" s="120"/>
      <c r="M505" s="120"/>
      <c r="N505" s="120"/>
      <c r="O505" s="120"/>
      <c r="P505" s="120"/>
      <c r="Q505" s="120"/>
      <c r="R505" s="120"/>
      <c r="S505" s="120"/>
      <c r="T505" s="120"/>
      <c r="U505" s="120"/>
      <c r="V505" s="120"/>
      <c r="W505" s="120"/>
      <c r="X505" s="120"/>
      <c r="Y505" s="120"/>
      <c r="Z505" s="120"/>
      <c r="AA505" s="120"/>
      <c r="AB505" s="120"/>
      <c r="AC505" s="120"/>
      <c r="AD505" s="120"/>
    </row>
    <row r="506">
      <c r="A506" s="120"/>
      <c r="B506" s="120"/>
      <c r="C506" s="120"/>
      <c r="D506" s="120"/>
      <c r="E506" s="120"/>
      <c r="F506" s="120"/>
      <c r="G506" s="120"/>
      <c r="H506" s="120"/>
      <c r="I506" s="120"/>
      <c r="J506" s="120"/>
      <c r="K506" s="120"/>
      <c r="L506" s="120"/>
      <c r="M506" s="120"/>
      <c r="N506" s="120"/>
      <c r="O506" s="120"/>
      <c r="P506" s="120"/>
      <c r="Q506" s="120"/>
      <c r="R506" s="120"/>
      <c r="S506" s="120"/>
      <c r="T506" s="120"/>
      <c r="U506" s="120"/>
      <c r="V506" s="120"/>
      <c r="W506" s="120"/>
      <c r="X506" s="120"/>
      <c r="Y506" s="120"/>
      <c r="Z506" s="120"/>
      <c r="AA506" s="120"/>
      <c r="AB506" s="120"/>
      <c r="AC506" s="120"/>
      <c r="AD506" s="120"/>
    </row>
    <row r="507">
      <c r="A507" s="120"/>
      <c r="B507" s="120"/>
      <c r="C507" s="120"/>
      <c r="D507" s="120"/>
      <c r="E507" s="120"/>
      <c r="F507" s="120"/>
      <c r="G507" s="120"/>
      <c r="H507" s="120"/>
      <c r="I507" s="120"/>
      <c r="J507" s="120"/>
      <c r="K507" s="120"/>
      <c r="L507" s="120"/>
      <c r="M507" s="120"/>
      <c r="N507" s="120"/>
      <c r="O507" s="120"/>
      <c r="P507" s="120"/>
      <c r="Q507" s="120"/>
      <c r="R507" s="120"/>
      <c r="S507" s="120"/>
      <c r="T507" s="120"/>
      <c r="U507" s="120"/>
      <c r="V507" s="120"/>
      <c r="W507" s="120"/>
      <c r="X507" s="120"/>
      <c r="Y507" s="120"/>
      <c r="Z507" s="120"/>
      <c r="AA507" s="120"/>
      <c r="AB507" s="120"/>
      <c r="AC507" s="120"/>
      <c r="AD507" s="120"/>
    </row>
    <row r="508">
      <c r="A508" s="120"/>
      <c r="B508" s="120"/>
      <c r="C508" s="120"/>
      <c r="D508" s="120"/>
      <c r="E508" s="120"/>
      <c r="F508" s="120"/>
      <c r="G508" s="120"/>
      <c r="H508" s="120"/>
      <c r="I508" s="120"/>
      <c r="J508" s="120"/>
      <c r="K508" s="120"/>
      <c r="L508" s="120"/>
      <c r="M508" s="120"/>
      <c r="N508" s="120"/>
      <c r="O508" s="120"/>
      <c r="P508" s="120"/>
      <c r="Q508" s="120"/>
      <c r="R508" s="120"/>
      <c r="S508" s="120"/>
      <c r="T508" s="120"/>
      <c r="U508" s="120"/>
      <c r="V508" s="120"/>
      <c r="W508" s="120"/>
      <c r="X508" s="120"/>
      <c r="Y508" s="120"/>
      <c r="Z508" s="120"/>
      <c r="AA508" s="120"/>
      <c r="AB508" s="120"/>
      <c r="AC508" s="120"/>
      <c r="AD508" s="120"/>
    </row>
    <row r="509">
      <c r="A509" s="120"/>
      <c r="B509" s="120"/>
      <c r="C509" s="120"/>
      <c r="D509" s="120"/>
      <c r="E509" s="120"/>
      <c r="F509" s="120"/>
      <c r="G509" s="120"/>
      <c r="H509" s="120"/>
      <c r="I509" s="120"/>
      <c r="J509" s="120"/>
      <c r="K509" s="120"/>
      <c r="L509" s="120"/>
      <c r="M509" s="120"/>
      <c r="N509" s="120"/>
      <c r="O509" s="120"/>
      <c r="P509" s="120"/>
      <c r="Q509" s="120"/>
      <c r="R509" s="120"/>
      <c r="S509" s="120"/>
      <c r="T509" s="120"/>
      <c r="U509" s="120"/>
      <c r="V509" s="120"/>
      <c r="W509" s="120"/>
      <c r="X509" s="120"/>
      <c r="Y509" s="120"/>
      <c r="Z509" s="120"/>
      <c r="AA509" s="120"/>
      <c r="AB509" s="120"/>
      <c r="AC509" s="120"/>
      <c r="AD509" s="120"/>
    </row>
    <row r="510">
      <c r="A510" s="120"/>
      <c r="B510" s="120"/>
      <c r="C510" s="120"/>
      <c r="D510" s="120"/>
      <c r="E510" s="120"/>
      <c r="F510" s="120"/>
      <c r="G510" s="120"/>
      <c r="H510" s="120"/>
      <c r="I510" s="120"/>
      <c r="J510" s="120"/>
      <c r="K510" s="120"/>
      <c r="L510" s="120"/>
      <c r="M510" s="120"/>
      <c r="N510" s="120"/>
      <c r="O510" s="120"/>
      <c r="P510" s="120"/>
      <c r="Q510" s="120"/>
      <c r="R510" s="120"/>
      <c r="S510" s="120"/>
      <c r="T510" s="120"/>
      <c r="U510" s="120"/>
      <c r="V510" s="120"/>
      <c r="W510" s="120"/>
      <c r="X510" s="120"/>
      <c r="Y510" s="120"/>
      <c r="Z510" s="120"/>
      <c r="AA510" s="120"/>
      <c r="AB510" s="120"/>
      <c r="AC510" s="120"/>
      <c r="AD510" s="120"/>
    </row>
    <row r="511">
      <c r="A511" s="120"/>
      <c r="B511" s="120"/>
      <c r="C511" s="120"/>
      <c r="D511" s="120"/>
      <c r="E511" s="120"/>
      <c r="F511" s="120"/>
      <c r="G511" s="120"/>
      <c r="H511" s="120"/>
      <c r="I511" s="120"/>
      <c r="J511" s="120"/>
      <c r="K511" s="120"/>
      <c r="L511" s="120"/>
      <c r="M511" s="120"/>
      <c r="N511" s="120"/>
      <c r="O511" s="120"/>
      <c r="P511" s="120"/>
      <c r="Q511" s="120"/>
      <c r="R511" s="120"/>
      <c r="S511" s="120"/>
      <c r="T511" s="120"/>
      <c r="U511" s="120"/>
      <c r="V511" s="120"/>
      <c r="W511" s="120"/>
      <c r="X511" s="120"/>
      <c r="Y511" s="120"/>
      <c r="Z511" s="120"/>
      <c r="AA511" s="120"/>
      <c r="AB511" s="120"/>
      <c r="AC511" s="120"/>
      <c r="AD511" s="120"/>
    </row>
    <row r="512">
      <c r="A512" s="120"/>
      <c r="B512" s="120"/>
      <c r="C512" s="120"/>
      <c r="D512" s="120"/>
      <c r="E512" s="120"/>
      <c r="F512" s="120"/>
      <c r="G512" s="120"/>
      <c r="H512" s="120"/>
      <c r="I512" s="120"/>
      <c r="J512" s="120"/>
      <c r="K512" s="120"/>
      <c r="L512" s="120"/>
      <c r="M512" s="120"/>
      <c r="N512" s="120"/>
      <c r="O512" s="120"/>
      <c r="P512" s="120"/>
      <c r="Q512" s="120"/>
      <c r="R512" s="120"/>
      <c r="S512" s="120"/>
      <c r="T512" s="120"/>
      <c r="U512" s="120"/>
      <c r="V512" s="120"/>
      <c r="W512" s="120"/>
      <c r="X512" s="120"/>
      <c r="Y512" s="120"/>
      <c r="Z512" s="120"/>
      <c r="AA512" s="120"/>
      <c r="AB512" s="120"/>
      <c r="AC512" s="120"/>
      <c r="AD512" s="120"/>
    </row>
    <row r="513">
      <c r="A513" s="120"/>
      <c r="B513" s="120"/>
      <c r="C513" s="120"/>
      <c r="D513" s="120"/>
      <c r="E513" s="120"/>
      <c r="F513" s="120"/>
      <c r="G513" s="120"/>
      <c r="H513" s="120"/>
      <c r="I513" s="120"/>
      <c r="J513" s="120"/>
      <c r="K513" s="120"/>
      <c r="L513" s="120"/>
      <c r="M513" s="120"/>
      <c r="N513" s="120"/>
      <c r="O513" s="120"/>
      <c r="P513" s="120"/>
      <c r="Q513" s="120"/>
      <c r="R513" s="120"/>
      <c r="S513" s="120"/>
      <c r="T513" s="120"/>
      <c r="U513" s="120"/>
      <c r="V513" s="120"/>
      <c r="W513" s="120"/>
      <c r="X513" s="120"/>
      <c r="Y513" s="120"/>
      <c r="Z513" s="120"/>
      <c r="AA513" s="120"/>
      <c r="AB513" s="120"/>
      <c r="AC513" s="120"/>
      <c r="AD513" s="120"/>
    </row>
    <row r="514">
      <c r="A514" s="120"/>
      <c r="B514" s="120"/>
      <c r="C514" s="120"/>
      <c r="D514" s="120"/>
      <c r="E514" s="120"/>
      <c r="F514" s="120"/>
      <c r="G514" s="120"/>
      <c r="H514" s="120"/>
      <c r="I514" s="120"/>
      <c r="J514" s="120"/>
      <c r="K514" s="120"/>
      <c r="L514" s="120"/>
      <c r="M514" s="120"/>
      <c r="N514" s="120"/>
      <c r="O514" s="120"/>
      <c r="P514" s="120"/>
      <c r="Q514" s="120"/>
      <c r="R514" s="120"/>
      <c r="S514" s="120"/>
      <c r="T514" s="120"/>
      <c r="U514" s="120"/>
      <c r="V514" s="120"/>
      <c r="W514" s="120"/>
      <c r="X514" s="120"/>
      <c r="Y514" s="120"/>
      <c r="Z514" s="120"/>
      <c r="AA514" s="120"/>
      <c r="AB514" s="120"/>
      <c r="AC514" s="120"/>
      <c r="AD514" s="120"/>
    </row>
    <row r="515">
      <c r="A515" s="120"/>
      <c r="B515" s="120"/>
      <c r="C515" s="120"/>
      <c r="D515" s="120"/>
      <c r="E515" s="120"/>
      <c r="F515" s="120"/>
      <c r="G515" s="120"/>
      <c r="H515" s="120"/>
      <c r="I515" s="120"/>
      <c r="J515" s="120"/>
      <c r="K515" s="120"/>
      <c r="L515" s="120"/>
      <c r="M515" s="120"/>
      <c r="N515" s="120"/>
      <c r="O515" s="120"/>
      <c r="P515" s="120"/>
      <c r="Q515" s="120"/>
      <c r="R515" s="120"/>
      <c r="S515" s="120"/>
      <c r="T515" s="120"/>
      <c r="U515" s="120"/>
      <c r="V515" s="120"/>
      <c r="W515" s="120"/>
      <c r="X515" s="120"/>
      <c r="Y515" s="120"/>
      <c r="Z515" s="120"/>
      <c r="AA515" s="120"/>
      <c r="AB515" s="120"/>
      <c r="AC515" s="120"/>
      <c r="AD515" s="120"/>
    </row>
    <row r="516">
      <c r="A516" s="120"/>
      <c r="B516" s="120"/>
      <c r="C516" s="120"/>
      <c r="D516" s="120"/>
      <c r="E516" s="120"/>
      <c r="F516" s="120"/>
      <c r="G516" s="120"/>
      <c r="H516" s="120"/>
      <c r="I516" s="120"/>
      <c r="J516" s="120"/>
      <c r="K516" s="120"/>
      <c r="L516" s="120"/>
      <c r="M516" s="120"/>
      <c r="N516" s="120"/>
      <c r="O516" s="120"/>
      <c r="P516" s="120"/>
      <c r="Q516" s="120"/>
      <c r="R516" s="120"/>
      <c r="S516" s="120"/>
      <c r="T516" s="120"/>
      <c r="U516" s="120"/>
      <c r="V516" s="120"/>
      <c r="W516" s="120"/>
      <c r="X516" s="120"/>
      <c r="Y516" s="120"/>
      <c r="Z516" s="120"/>
      <c r="AA516" s="120"/>
      <c r="AB516" s="120"/>
      <c r="AC516" s="120"/>
      <c r="AD516" s="120"/>
    </row>
    <row r="517">
      <c r="A517" s="120"/>
      <c r="B517" s="120"/>
      <c r="C517" s="120"/>
      <c r="D517" s="120"/>
      <c r="E517" s="120"/>
      <c r="F517" s="120"/>
      <c r="G517" s="120"/>
      <c r="H517" s="120"/>
      <c r="I517" s="120"/>
      <c r="J517" s="120"/>
      <c r="K517" s="120"/>
      <c r="L517" s="120"/>
      <c r="M517" s="120"/>
      <c r="N517" s="120"/>
      <c r="O517" s="120"/>
      <c r="P517" s="120"/>
      <c r="Q517" s="120"/>
      <c r="R517" s="120"/>
      <c r="S517" s="120"/>
      <c r="T517" s="120"/>
      <c r="U517" s="120"/>
      <c r="V517" s="120"/>
      <c r="W517" s="120"/>
      <c r="X517" s="120"/>
      <c r="Y517" s="120"/>
      <c r="Z517" s="120"/>
      <c r="AA517" s="120"/>
      <c r="AB517" s="120"/>
      <c r="AC517" s="120"/>
      <c r="AD517" s="120"/>
    </row>
    <row r="518">
      <c r="A518" s="120"/>
      <c r="B518" s="120"/>
      <c r="C518" s="120"/>
      <c r="D518" s="120"/>
      <c r="E518" s="120"/>
      <c r="F518" s="120"/>
      <c r="G518" s="120"/>
      <c r="H518" s="120"/>
      <c r="I518" s="120"/>
      <c r="J518" s="120"/>
      <c r="K518" s="120"/>
      <c r="L518" s="120"/>
      <c r="M518" s="120"/>
      <c r="N518" s="120"/>
      <c r="O518" s="120"/>
      <c r="P518" s="120"/>
      <c r="Q518" s="120"/>
      <c r="R518" s="120"/>
      <c r="S518" s="120"/>
      <c r="T518" s="120"/>
      <c r="U518" s="120"/>
      <c r="V518" s="120"/>
      <c r="W518" s="120"/>
      <c r="X518" s="120"/>
      <c r="Y518" s="120"/>
      <c r="Z518" s="120"/>
      <c r="AA518" s="120"/>
      <c r="AB518" s="120"/>
      <c r="AC518" s="120"/>
      <c r="AD518" s="120"/>
    </row>
    <row r="519">
      <c r="A519" s="120"/>
      <c r="B519" s="120"/>
      <c r="C519" s="120"/>
      <c r="D519" s="120"/>
      <c r="E519" s="120"/>
      <c r="F519" s="120"/>
      <c r="G519" s="120"/>
      <c r="H519" s="120"/>
      <c r="I519" s="120"/>
      <c r="J519" s="120"/>
      <c r="K519" s="120"/>
      <c r="L519" s="120"/>
      <c r="M519" s="120"/>
      <c r="N519" s="120"/>
      <c r="O519" s="120"/>
      <c r="P519" s="120"/>
      <c r="Q519" s="120"/>
      <c r="R519" s="120"/>
      <c r="S519" s="120"/>
      <c r="T519" s="120"/>
      <c r="U519" s="120"/>
      <c r="V519" s="120"/>
      <c r="W519" s="120"/>
      <c r="X519" s="120"/>
      <c r="Y519" s="120"/>
      <c r="Z519" s="120"/>
      <c r="AA519" s="120"/>
      <c r="AB519" s="120"/>
      <c r="AC519" s="120"/>
      <c r="AD519" s="120"/>
    </row>
    <row r="520">
      <c r="A520" s="120"/>
      <c r="B520" s="120"/>
      <c r="C520" s="120"/>
      <c r="D520" s="120"/>
      <c r="E520" s="120"/>
      <c r="F520" s="120"/>
      <c r="G520" s="120"/>
      <c r="H520" s="120"/>
      <c r="I520" s="120"/>
      <c r="J520" s="120"/>
      <c r="K520" s="120"/>
      <c r="L520" s="120"/>
      <c r="M520" s="120"/>
      <c r="N520" s="120"/>
      <c r="O520" s="120"/>
      <c r="P520" s="120"/>
      <c r="Q520" s="120"/>
      <c r="R520" s="120"/>
      <c r="S520" s="120"/>
      <c r="T520" s="120"/>
      <c r="U520" s="120"/>
      <c r="V520" s="120"/>
      <c r="W520" s="120"/>
      <c r="X520" s="120"/>
      <c r="Y520" s="120"/>
      <c r="Z520" s="120"/>
      <c r="AA520" s="120"/>
      <c r="AB520" s="120"/>
      <c r="AC520" s="120"/>
      <c r="AD520" s="120"/>
    </row>
    <row r="521">
      <c r="A521" s="120"/>
      <c r="B521" s="120"/>
      <c r="C521" s="120"/>
      <c r="D521" s="120"/>
      <c r="E521" s="120"/>
      <c r="F521" s="120"/>
      <c r="G521" s="120"/>
      <c r="H521" s="120"/>
      <c r="I521" s="120"/>
      <c r="J521" s="120"/>
      <c r="K521" s="120"/>
      <c r="L521" s="120"/>
      <c r="M521" s="120"/>
      <c r="N521" s="120"/>
      <c r="O521" s="120"/>
      <c r="P521" s="120"/>
      <c r="Q521" s="120"/>
      <c r="R521" s="120"/>
      <c r="S521" s="120"/>
      <c r="T521" s="120"/>
      <c r="U521" s="120"/>
      <c r="V521" s="120"/>
      <c r="W521" s="120"/>
      <c r="X521" s="120"/>
      <c r="Y521" s="120"/>
      <c r="Z521" s="120"/>
      <c r="AA521" s="120"/>
      <c r="AB521" s="120"/>
      <c r="AC521" s="120"/>
      <c r="AD521" s="120"/>
    </row>
    <row r="522">
      <c r="A522" s="120"/>
      <c r="B522" s="120"/>
      <c r="C522" s="120"/>
      <c r="D522" s="120"/>
      <c r="E522" s="120"/>
      <c r="F522" s="120"/>
      <c r="G522" s="120"/>
      <c r="H522" s="120"/>
      <c r="I522" s="120"/>
      <c r="J522" s="120"/>
      <c r="K522" s="120"/>
      <c r="L522" s="120"/>
      <c r="M522" s="120"/>
      <c r="N522" s="120"/>
      <c r="O522" s="120"/>
      <c r="P522" s="120"/>
      <c r="Q522" s="120"/>
      <c r="R522" s="120"/>
      <c r="S522" s="120"/>
      <c r="T522" s="120"/>
      <c r="U522" s="120"/>
      <c r="V522" s="120"/>
      <c r="W522" s="120"/>
      <c r="X522" s="120"/>
      <c r="Y522" s="120"/>
      <c r="Z522" s="120"/>
      <c r="AA522" s="120"/>
      <c r="AB522" s="120"/>
      <c r="AC522" s="120"/>
      <c r="AD522" s="120"/>
    </row>
    <row r="523">
      <c r="A523" s="120"/>
      <c r="B523" s="120"/>
      <c r="C523" s="120"/>
      <c r="D523" s="120"/>
      <c r="E523" s="120"/>
      <c r="F523" s="120"/>
      <c r="G523" s="120"/>
      <c r="H523" s="120"/>
      <c r="I523" s="120"/>
      <c r="J523" s="120"/>
      <c r="K523" s="120"/>
      <c r="L523" s="120"/>
      <c r="M523" s="120"/>
      <c r="N523" s="120"/>
      <c r="O523" s="120"/>
      <c r="P523" s="120"/>
      <c r="Q523" s="120"/>
      <c r="R523" s="120"/>
      <c r="S523" s="120"/>
      <c r="T523" s="120"/>
      <c r="U523" s="120"/>
      <c r="V523" s="120"/>
      <c r="W523" s="120"/>
      <c r="X523" s="120"/>
      <c r="Y523" s="120"/>
      <c r="Z523" s="120"/>
      <c r="AA523" s="120"/>
      <c r="AB523" s="120"/>
      <c r="AC523" s="120"/>
      <c r="AD523" s="120"/>
    </row>
    <row r="524">
      <c r="A524" s="120"/>
      <c r="B524" s="120"/>
      <c r="C524" s="120"/>
      <c r="D524" s="120"/>
      <c r="E524" s="120"/>
      <c r="F524" s="120"/>
      <c r="G524" s="120"/>
      <c r="H524" s="120"/>
      <c r="I524" s="120"/>
      <c r="J524" s="120"/>
      <c r="K524" s="120"/>
      <c r="L524" s="120"/>
      <c r="M524" s="120"/>
      <c r="N524" s="120"/>
      <c r="O524" s="120"/>
      <c r="P524" s="120"/>
      <c r="Q524" s="120"/>
      <c r="R524" s="120"/>
      <c r="S524" s="120"/>
      <c r="T524" s="120"/>
      <c r="U524" s="120"/>
      <c r="V524" s="120"/>
      <c r="W524" s="120"/>
      <c r="X524" s="120"/>
      <c r="Y524" s="120"/>
      <c r="Z524" s="120"/>
      <c r="AA524" s="120"/>
      <c r="AB524" s="120"/>
      <c r="AC524" s="120"/>
      <c r="AD524" s="120"/>
    </row>
    <row r="525">
      <c r="A525" s="120"/>
      <c r="B525" s="120"/>
      <c r="C525" s="120"/>
      <c r="D525" s="120"/>
      <c r="E525" s="120"/>
      <c r="F525" s="120"/>
      <c r="G525" s="120"/>
      <c r="H525" s="120"/>
      <c r="I525" s="120"/>
      <c r="J525" s="120"/>
      <c r="K525" s="120"/>
      <c r="L525" s="120"/>
      <c r="M525" s="120"/>
      <c r="N525" s="120"/>
      <c r="O525" s="120"/>
      <c r="P525" s="120"/>
      <c r="Q525" s="120"/>
      <c r="R525" s="120"/>
      <c r="S525" s="120"/>
      <c r="T525" s="120"/>
      <c r="U525" s="120"/>
      <c r="V525" s="120"/>
      <c r="W525" s="120"/>
      <c r="X525" s="120"/>
      <c r="Y525" s="120"/>
      <c r="Z525" s="120"/>
      <c r="AA525" s="120"/>
      <c r="AB525" s="120"/>
      <c r="AC525" s="120"/>
      <c r="AD525" s="120"/>
    </row>
    <row r="526">
      <c r="A526" s="120"/>
      <c r="B526" s="120"/>
      <c r="C526" s="120"/>
      <c r="D526" s="120"/>
      <c r="E526" s="120"/>
      <c r="F526" s="120"/>
      <c r="G526" s="120"/>
      <c r="H526" s="120"/>
      <c r="I526" s="120"/>
      <c r="J526" s="120"/>
      <c r="K526" s="120"/>
      <c r="L526" s="120"/>
      <c r="M526" s="120"/>
      <c r="N526" s="120"/>
      <c r="O526" s="120"/>
      <c r="P526" s="120"/>
      <c r="Q526" s="120"/>
      <c r="R526" s="120"/>
      <c r="S526" s="120"/>
      <c r="T526" s="120"/>
      <c r="U526" s="120"/>
      <c r="V526" s="120"/>
      <c r="W526" s="120"/>
      <c r="X526" s="120"/>
      <c r="Y526" s="120"/>
      <c r="Z526" s="120"/>
      <c r="AA526" s="120"/>
      <c r="AB526" s="120"/>
      <c r="AC526" s="120"/>
      <c r="AD526" s="120"/>
    </row>
    <row r="527">
      <c r="A527" s="120"/>
      <c r="B527" s="120"/>
      <c r="C527" s="120"/>
      <c r="D527" s="120"/>
      <c r="E527" s="120"/>
      <c r="F527" s="120"/>
      <c r="G527" s="120"/>
      <c r="H527" s="120"/>
      <c r="I527" s="120"/>
      <c r="J527" s="120"/>
      <c r="K527" s="120"/>
      <c r="L527" s="120"/>
      <c r="M527" s="120"/>
      <c r="N527" s="120"/>
      <c r="O527" s="120"/>
      <c r="P527" s="120"/>
      <c r="Q527" s="120"/>
      <c r="R527" s="120"/>
      <c r="S527" s="120"/>
      <c r="T527" s="120"/>
      <c r="U527" s="120"/>
      <c r="V527" s="120"/>
      <c r="W527" s="120"/>
      <c r="X527" s="120"/>
      <c r="Y527" s="120"/>
      <c r="Z527" s="120"/>
      <c r="AA527" s="120"/>
      <c r="AB527" s="120"/>
      <c r="AC527" s="120"/>
      <c r="AD527" s="120"/>
    </row>
    <row r="528">
      <c r="A528" s="120"/>
      <c r="B528" s="120"/>
      <c r="C528" s="120"/>
      <c r="D528" s="120"/>
      <c r="E528" s="120"/>
      <c r="F528" s="120"/>
      <c r="G528" s="120"/>
      <c r="H528" s="120"/>
      <c r="I528" s="120"/>
      <c r="J528" s="120"/>
      <c r="K528" s="120"/>
      <c r="L528" s="120"/>
      <c r="M528" s="120"/>
      <c r="N528" s="120"/>
      <c r="O528" s="120"/>
      <c r="P528" s="120"/>
      <c r="Q528" s="120"/>
      <c r="R528" s="120"/>
      <c r="S528" s="120"/>
      <c r="T528" s="120"/>
      <c r="U528" s="120"/>
      <c r="V528" s="120"/>
      <c r="W528" s="120"/>
      <c r="X528" s="120"/>
      <c r="Y528" s="120"/>
      <c r="Z528" s="120"/>
      <c r="AA528" s="120"/>
      <c r="AB528" s="120"/>
      <c r="AC528" s="120"/>
      <c r="AD528" s="120"/>
    </row>
    <row r="529">
      <c r="A529" s="120"/>
      <c r="B529" s="120"/>
      <c r="C529" s="120"/>
      <c r="D529" s="120"/>
      <c r="E529" s="120"/>
      <c r="F529" s="120"/>
      <c r="G529" s="120"/>
      <c r="H529" s="120"/>
      <c r="I529" s="120"/>
      <c r="J529" s="120"/>
      <c r="K529" s="120"/>
      <c r="L529" s="120"/>
      <c r="M529" s="120"/>
      <c r="N529" s="120"/>
      <c r="O529" s="120"/>
      <c r="P529" s="120"/>
      <c r="Q529" s="120"/>
      <c r="R529" s="120"/>
      <c r="S529" s="120"/>
      <c r="T529" s="120"/>
      <c r="U529" s="120"/>
      <c r="V529" s="120"/>
      <c r="W529" s="120"/>
      <c r="X529" s="120"/>
      <c r="Y529" s="120"/>
      <c r="Z529" s="120"/>
      <c r="AA529" s="120"/>
      <c r="AB529" s="120"/>
      <c r="AC529" s="120"/>
      <c r="AD529" s="120"/>
    </row>
    <row r="530">
      <c r="A530" s="120"/>
      <c r="B530" s="120"/>
      <c r="C530" s="120"/>
      <c r="D530" s="120"/>
      <c r="E530" s="120"/>
      <c r="F530" s="120"/>
      <c r="G530" s="120"/>
      <c r="H530" s="120"/>
      <c r="I530" s="120"/>
      <c r="J530" s="120"/>
      <c r="K530" s="120"/>
      <c r="L530" s="120"/>
      <c r="M530" s="120"/>
      <c r="N530" s="120"/>
      <c r="O530" s="120"/>
      <c r="P530" s="120"/>
      <c r="Q530" s="120"/>
      <c r="R530" s="120"/>
      <c r="S530" s="120"/>
      <c r="T530" s="120"/>
      <c r="U530" s="120"/>
      <c r="V530" s="120"/>
      <c r="W530" s="120"/>
      <c r="X530" s="120"/>
      <c r="Y530" s="120"/>
      <c r="Z530" s="120"/>
      <c r="AA530" s="120"/>
      <c r="AB530" s="120"/>
      <c r="AC530" s="120"/>
      <c r="AD530" s="120"/>
    </row>
    <row r="531">
      <c r="A531" s="120"/>
      <c r="B531" s="120"/>
      <c r="C531" s="120"/>
      <c r="D531" s="120"/>
      <c r="E531" s="120"/>
      <c r="F531" s="120"/>
      <c r="G531" s="120"/>
      <c r="H531" s="120"/>
      <c r="I531" s="120"/>
      <c r="J531" s="120"/>
      <c r="K531" s="120"/>
      <c r="L531" s="120"/>
      <c r="M531" s="120"/>
      <c r="N531" s="120"/>
      <c r="O531" s="120"/>
      <c r="P531" s="120"/>
      <c r="Q531" s="120"/>
      <c r="R531" s="120"/>
      <c r="S531" s="120"/>
      <c r="T531" s="120"/>
      <c r="U531" s="120"/>
      <c r="V531" s="120"/>
      <c r="W531" s="120"/>
      <c r="X531" s="120"/>
      <c r="Y531" s="120"/>
      <c r="Z531" s="120"/>
      <c r="AA531" s="120"/>
      <c r="AB531" s="120"/>
      <c r="AC531" s="120"/>
      <c r="AD531" s="120"/>
    </row>
    <row r="532">
      <c r="A532" s="120"/>
      <c r="B532" s="120"/>
      <c r="C532" s="120"/>
      <c r="D532" s="120"/>
      <c r="E532" s="120"/>
      <c r="F532" s="120"/>
      <c r="G532" s="120"/>
      <c r="H532" s="120"/>
      <c r="I532" s="120"/>
      <c r="J532" s="120"/>
      <c r="K532" s="120"/>
      <c r="L532" s="120"/>
      <c r="M532" s="120"/>
      <c r="N532" s="120"/>
      <c r="O532" s="120"/>
      <c r="P532" s="120"/>
      <c r="Q532" s="120"/>
      <c r="R532" s="120"/>
      <c r="S532" s="120"/>
      <c r="T532" s="120"/>
      <c r="U532" s="120"/>
      <c r="V532" s="120"/>
      <c r="W532" s="120"/>
      <c r="X532" s="120"/>
      <c r="Y532" s="120"/>
      <c r="Z532" s="120"/>
      <c r="AA532" s="120"/>
      <c r="AB532" s="120"/>
      <c r="AC532" s="120"/>
      <c r="AD532" s="120"/>
    </row>
    <row r="533">
      <c r="A533" s="120"/>
      <c r="B533" s="120"/>
      <c r="C533" s="120"/>
      <c r="D533" s="120"/>
      <c r="E533" s="120"/>
      <c r="F533" s="120"/>
      <c r="G533" s="120"/>
      <c r="H533" s="120"/>
      <c r="I533" s="120"/>
      <c r="J533" s="120"/>
      <c r="K533" s="120"/>
      <c r="L533" s="120"/>
      <c r="M533" s="120"/>
      <c r="N533" s="120"/>
      <c r="O533" s="120"/>
      <c r="P533" s="120"/>
      <c r="Q533" s="120"/>
      <c r="R533" s="120"/>
      <c r="S533" s="120"/>
      <c r="T533" s="120"/>
      <c r="U533" s="120"/>
      <c r="V533" s="120"/>
      <c r="W533" s="120"/>
      <c r="X533" s="120"/>
      <c r="Y533" s="120"/>
      <c r="Z533" s="120"/>
      <c r="AA533" s="120"/>
      <c r="AB533" s="120"/>
      <c r="AC533" s="120"/>
      <c r="AD533" s="120"/>
    </row>
    <row r="534">
      <c r="A534" s="120"/>
      <c r="B534" s="120"/>
      <c r="C534" s="120"/>
      <c r="D534" s="120"/>
      <c r="E534" s="120"/>
      <c r="F534" s="120"/>
      <c r="G534" s="120"/>
      <c r="H534" s="120"/>
      <c r="I534" s="120"/>
      <c r="J534" s="120"/>
      <c r="K534" s="120"/>
      <c r="L534" s="120"/>
      <c r="M534" s="120"/>
      <c r="N534" s="120"/>
      <c r="O534" s="120"/>
      <c r="P534" s="120"/>
      <c r="Q534" s="120"/>
      <c r="R534" s="120"/>
      <c r="S534" s="120"/>
      <c r="T534" s="120"/>
      <c r="U534" s="120"/>
      <c r="V534" s="120"/>
      <c r="W534" s="120"/>
      <c r="X534" s="120"/>
      <c r="Y534" s="120"/>
      <c r="Z534" s="120"/>
      <c r="AA534" s="120"/>
      <c r="AB534" s="120"/>
      <c r="AC534" s="120"/>
      <c r="AD534" s="120"/>
    </row>
    <row r="535">
      <c r="A535" s="120"/>
      <c r="B535" s="120"/>
      <c r="C535" s="120"/>
      <c r="D535" s="120"/>
      <c r="E535" s="120"/>
      <c r="F535" s="120"/>
      <c r="G535" s="120"/>
      <c r="H535" s="120"/>
      <c r="I535" s="120"/>
      <c r="J535" s="120"/>
      <c r="K535" s="120"/>
      <c r="L535" s="120"/>
      <c r="M535" s="120"/>
      <c r="N535" s="120"/>
      <c r="O535" s="120"/>
      <c r="P535" s="120"/>
      <c r="Q535" s="120"/>
      <c r="R535" s="120"/>
      <c r="S535" s="120"/>
      <c r="T535" s="120"/>
      <c r="U535" s="120"/>
      <c r="V535" s="120"/>
      <c r="W535" s="120"/>
      <c r="X535" s="120"/>
      <c r="Y535" s="120"/>
      <c r="Z535" s="120"/>
      <c r="AA535" s="120"/>
      <c r="AB535" s="120"/>
      <c r="AC535" s="120"/>
      <c r="AD535" s="120"/>
    </row>
    <row r="536">
      <c r="A536" s="120"/>
      <c r="B536" s="120"/>
      <c r="C536" s="120"/>
      <c r="D536" s="120"/>
      <c r="E536" s="120"/>
      <c r="F536" s="120"/>
      <c r="G536" s="120"/>
      <c r="H536" s="120"/>
      <c r="I536" s="120"/>
      <c r="J536" s="120"/>
      <c r="K536" s="120"/>
      <c r="L536" s="120"/>
      <c r="M536" s="120"/>
      <c r="N536" s="120"/>
      <c r="O536" s="120"/>
      <c r="P536" s="120"/>
      <c r="Q536" s="120"/>
      <c r="R536" s="120"/>
      <c r="S536" s="120"/>
      <c r="T536" s="120"/>
      <c r="U536" s="120"/>
      <c r="V536" s="120"/>
      <c r="W536" s="120"/>
      <c r="X536" s="120"/>
      <c r="Y536" s="120"/>
      <c r="Z536" s="120"/>
      <c r="AA536" s="120"/>
      <c r="AB536" s="120"/>
      <c r="AC536" s="120"/>
      <c r="AD536" s="120"/>
    </row>
    <row r="537">
      <c r="A537" s="120"/>
      <c r="B537" s="120"/>
      <c r="C537" s="120"/>
      <c r="D537" s="120"/>
      <c r="E537" s="120"/>
      <c r="F537" s="120"/>
      <c r="G537" s="120"/>
      <c r="H537" s="120"/>
      <c r="I537" s="120"/>
      <c r="J537" s="120"/>
      <c r="K537" s="120"/>
      <c r="L537" s="120"/>
      <c r="M537" s="120"/>
      <c r="N537" s="120"/>
      <c r="O537" s="120"/>
      <c r="P537" s="120"/>
      <c r="Q537" s="120"/>
      <c r="R537" s="120"/>
      <c r="S537" s="120"/>
      <c r="T537" s="120"/>
      <c r="U537" s="120"/>
      <c r="V537" s="120"/>
      <c r="W537" s="120"/>
      <c r="X537" s="120"/>
      <c r="Y537" s="120"/>
      <c r="Z537" s="120"/>
      <c r="AA537" s="120"/>
      <c r="AB537" s="120"/>
      <c r="AC537" s="120"/>
      <c r="AD537" s="120"/>
    </row>
    <row r="538">
      <c r="A538" s="120"/>
      <c r="B538" s="120"/>
      <c r="C538" s="120"/>
      <c r="D538" s="120"/>
      <c r="E538" s="120"/>
      <c r="F538" s="120"/>
      <c r="G538" s="120"/>
      <c r="H538" s="120"/>
      <c r="I538" s="120"/>
      <c r="J538" s="120"/>
      <c r="K538" s="120"/>
      <c r="L538" s="120"/>
      <c r="M538" s="120"/>
      <c r="N538" s="120"/>
      <c r="O538" s="120"/>
      <c r="P538" s="120"/>
      <c r="Q538" s="120"/>
      <c r="R538" s="120"/>
      <c r="S538" s="120"/>
      <c r="T538" s="120"/>
      <c r="U538" s="120"/>
      <c r="V538" s="120"/>
      <c r="W538" s="120"/>
      <c r="X538" s="120"/>
      <c r="Y538" s="120"/>
      <c r="Z538" s="120"/>
      <c r="AA538" s="120"/>
      <c r="AB538" s="120"/>
      <c r="AC538" s="120"/>
      <c r="AD538" s="120"/>
    </row>
    <row r="539">
      <c r="A539" s="120"/>
      <c r="B539" s="120"/>
      <c r="C539" s="120"/>
      <c r="D539" s="120"/>
      <c r="E539" s="120"/>
      <c r="F539" s="120"/>
      <c r="G539" s="120"/>
      <c r="H539" s="120"/>
      <c r="I539" s="120"/>
      <c r="J539" s="120"/>
      <c r="K539" s="120"/>
      <c r="L539" s="120"/>
      <c r="M539" s="120"/>
      <c r="N539" s="120"/>
      <c r="O539" s="120"/>
      <c r="P539" s="120"/>
      <c r="Q539" s="120"/>
      <c r="R539" s="120"/>
      <c r="S539" s="120"/>
      <c r="T539" s="120"/>
      <c r="U539" s="120"/>
      <c r="V539" s="120"/>
      <c r="W539" s="120"/>
      <c r="X539" s="120"/>
      <c r="Y539" s="120"/>
      <c r="Z539" s="120"/>
      <c r="AA539" s="120"/>
      <c r="AB539" s="120"/>
      <c r="AC539" s="120"/>
      <c r="AD539" s="120"/>
    </row>
    <row r="540">
      <c r="A540" s="120"/>
      <c r="B540" s="120"/>
      <c r="C540" s="120"/>
      <c r="D540" s="120"/>
      <c r="E540" s="120"/>
      <c r="F540" s="120"/>
      <c r="G540" s="120"/>
      <c r="H540" s="120"/>
      <c r="I540" s="120"/>
      <c r="J540" s="120"/>
      <c r="K540" s="120"/>
      <c r="L540" s="120"/>
      <c r="M540" s="120"/>
      <c r="N540" s="120"/>
      <c r="O540" s="120"/>
      <c r="P540" s="120"/>
      <c r="Q540" s="120"/>
      <c r="R540" s="120"/>
      <c r="S540" s="120"/>
      <c r="T540" s="120"/>
      <c r="U540" s="120"/>
      <c r="V540" s="120"/>
      <c r="W540" s="120"/>
      <c r="X540" s="120"/>
      <c r="Y540" s="120"/>
      <c r="Z540" s="120"/>
      <c r="AA540" s="120"/>
      <c r="AB540" s="120"/>
      <c r="AC540" s="120"/>
      <c r="AD540" s="120"/>
    </row>
    <row r="541">
      <c r="A541" s="120"/>
      <c r="B541" s="120"/>
      <c r="C541" s="120"/>
      <c r="D541" s="120"/>
      <c r="E541" s="120"/>
      <c r="F541" s="120"/>
      <c r="G541" s="120"/>
      <c r="H541" s="120"/>
      <c r="I541" s="120"/>
      <c r="J541" s="120"/>
      <c r="K541" s="120"/>
      <c r="L541" s="120"/>
      <c r="M541" s="120"/>
      <c r="N541" s="120"/>
      <c r="O541" s="120"/>
      <c r="P541" s="120"/>
      <c r="Q541" s="120"/>
      <c r="R541" s="120"/>
      <c r="S541" s="120"/>
      <c r="T541" s="120"/>
      <c r="U541" s="120"/>
      <c r="V541" s="120"/>
      <c r="W541" s="120"/>
      <c r="X541" s="120"/>
      <c r="Y541" s="120"/>
      <c r="Z541" s="120"/>
      <c r="AA541" s="120"/>
      <c r="AB541" s="120"/>
      <c r="AC541" s="120"/>
      <c r="AD541" s="120"/>
    </row>
    <row r="542">
      <c r="A542" s="120"/>
      <c r="B542" s="120"/>
      <c r="C542" s="120"/>
      <c r="D542" s="120"/>
      <c r="E542" s="120"/>
      <c r="F542" s="120"/>
      <c r="G542" s="120"/>
      <c r="H542" s="120"/>
      <c r="I542" s="120"/>
      <c r="J542" s="120"/>
      <c r="K542" s="120"/>
      <c r="L542" s="120"/>
      <c r="M542" s="120"/>
      <c r="N542" s="120"/>
      <c r="O542" s="120"/>
      <c r="P542" s="120"/>
      <c r="Q542" s="120"/>
      <c r="R542" s="120"/>
      <c r="S542" s="120"/>
      <c r="T542" s="120"/>
      <c r="U542" s="120"/>
      <c r="V542" s="120"/>
      <c r="W542" s="120"/>
      <c r="X542" s="120"/>
      <c r="Y542" s="120"/>
      <c r="Z542" s="120"/>
      <c r="AA542" s="120"/>
      <c r="AB542" s="120"/>
      <c r="AC542" s="120"/>
      <c r="AD542" s="120"/>
    </row>
    <row r="543">
      <c r="A543" s="120"/>
      <c r="B543" s="120"/>
      <c r="C543" s="120"/>
      <c r="D543" s="120"/>
      <c r="E543" s="120"/>
      <c r="F543" s="120"/>
      <c r="G543" s="120"/>
      <c r="H543" s="120"/>
      <c r="I543" s="120"/>
      <c r="J543" s="120"/>
      <c r="K543" s="120"/>
      <c r="L543" s="120"/>
      <c r="M543" s="120"/>
      <c r="N543" s="120"/>
      <c r="O543" s="120"/>
      <c r="P543" s="120"/>
      <c r="Q543" s="120"/>
      <c r="R543" s="120"/>
      <c r="S543" s="120"/>
      <c r="T543" s="120"/>
      <c r="U543" s="120"/>
      <c r="V543" s="120"/>
      <c r="W543" s="120"/>
      <c r="X543" s="120"/>
      <c r="Y543" s="120"/>
      <c r="Z543" s="120"/>
      <c r="AA543" s="120"/>
      <c r="AB543" s="120"/>
      <c r="AC543" s="120"/>
      <c r="AD543" s="120"/>
    </row>
    <row r="544">
      <c r="A544" s="120"/>
      <c r="B544" s="120"/>
      <c r="C544" s="120"/>
      <c r="D544" s="120"/>
      <c r="E544" s="120"/>
      <c r="F544" s="120"/>
      <c r="G544" s="120"/>
      <c r="H544" s="120"/>
      <c r="I544" s="120"/>
      <c r="J544" s="120"/>
      <c r="K544" s="120"/>
      <c r="L544" s="120"/>
      <c r="M544" s="120"/>
      <c r="N544" s="120"/>
      <c r="O544" s="120"/>
      <c r="P544" s="120"/>
      <c r="Q544" s="120"/>
      <c r="R544" s="120"/>
      <c r="S544" s="120"/>
      <c r="T544" s="120"/>
      <c r="U544" s="120"/>
      <c r="V544" s="120"/>
      <c r="W544" s="120"/>
      <c r="X544" s="120"/>
      <c r="Y544" s="120"/>
      <c r="Z544" s="120"/>
      <c r="AA544" s="120"/>
      <c r="AB544" s="120"/>
      <c r="AC544" s="120"/>
      <c r="AD544" s="120"/>
    </row>
    <row r="545">
      <c r="A545" s="120"/>
      <c r="B545" s="120"/>
      <c r="C545" s="120"/>
      <c r="D545" s="120"/>
      <c r="E545" s="120"/>
      <c r="F545" s="120"/>
      <c r="G545" s="120"/>
      <c r="H545" s="120"/>
      <c r="I545" s="120"/>
      <c r="J545" s="120"/>
      <c r="K545" s="120"/>
      <c r="L545" s="120"/>
      <c r="M545" s="120"/>
      <c r="N545" s="120"/>
      <c r="O545" s="120"/>
      <c r="P545" s="120"/>
      <c r="Q545" s="120"/>
      <c r="R545" s="120"/>
      <c r="S545" s="120"/>
      <c r="T545" s="120"/>
      <c r="U545" s="120"/>
      <c r="V545" s="120"/>
      <c r="W545" s="120"/>
      <c r="X545" s="120"/>
      <c r="Y545" s="120"/>
      <c r="Z545" s="120"/>
      <c r="AA545" s="120"/>
      <c r="AB545" s="120"/>
      <c r="AC545" s="120"/>
      <c r="AD545" s="120"/>
    </row>
    <row r="546">
      <c r="A546" s="120"/>
      <c r="B546" s="120"/>
      <c r="C546" s="120"/>
      <c r="D546" s="120"/>
      <c r="E546" s="120"/>
      <c r="F546" s="120"/>
      <c r="G546" s="120"/>
      <c r="H546" s="120"/>
      <c r="I546" s="120"/>
      <c r="J546" s="120"/>
      <c r="K546" s="120"/>
      <c r="L546" s="120"/>
      <c r="M546" s="120"/>
      <c r="N546" s="120"/>
      <c r="O546" s="120"/>
      <c r="P546" s="120"/>
      <c r="Q546" s="120"/>
      <c r="R546" s="120"/>
      <c r="S546" s="120"/>
      <c r="T546" s="120"/>
      <c r="U546" s="120"/>
      <c r="V546" s="120"/>
      <c r="W546" s="120"/>
      <c r="X546" s="120"/>
      <c r="Y546" s="120"/>
      <c r="Z546" s="120"/>
      <c r="AA546" s="120"/>
      <c r="AB546" s="120"/>
      <c r="AC546" s="120"/>
      <c r="AD546" s="120"/>
    </row>
    <row r="547">
      <c r="A547" s="120"/>
      <c r="B547" s="120"/>
      <c r="C547" s="120"/>
      <c r="D547" s="120"/>
      <c r="E547" s="120"/>
      <c r="F547" s="120"/>
      <c r="G547" s="120"/>
      <c r="H547" s="120"/>
      <c r="I547" s="120"/>
      <c r="J547" s="120"/>
      <c r="K547" s="120"/>
      <c r="L547" s="120"/>
      <c r="M547" s="120"/>
      <c r="N547" s="120"/>
      <c r="O547" s="120"/>
      <c r="P547" s="120"/>
      <c r="Q547" s="120"/>
      <c r="R547" s="120"/>
      <c r="S547" s="120"/>
      <c r="T547" s="120"/>
      <c r="U547" s="120"/>
      <c r="V547" s="120"/>
      <c r="W547" s="120"/>
      <c r="X547" s="120"/>
      <c r="Y547" s="120"/>
      <c r="Z547" s="120"/>
      <c r="AA547" s="120"/>
      <c r="AB547" s="120"/>
      <c r="AC547" s="120"/>
      <c r="AD547" s="120"/>
    </row>
    <row r="548">
      <c r="A548" s="120"/>
      <c r="B548" s="120"/>
      <c r="C548" s="120"/>
      <c r="D548" s="120"/>
      <c r="E548" s="120"/>
      <c r="F548" s="120"/>
      <c r="G548" s="120"/>
      <c r="H548" s="120"/>
      <c r="I548" s="120"/>
      <c r="J548" s="120"/>
      <c r="K548" s="120"/>
      <c r="L548" s="120"/>
      <c r="M548" s="120"/>
      <c r="N548" s="120"/>
      <c r="O548" s="120"/>
      <c r="P548" s="120"/>
      <c r="Q548" s="120"/>
      <c r="R548" s="120"/>
      <c r="S548" s="120"/>
      <c r="T548" s="120"/>
      <c r="U548" s="120"/>
      <c r="V548" s="120"/>
      <c r="W548" s="120"/>
      <c r="X548" s="120"/>
      <c r="Y548" s="120"/>
      <c r="Z548" s="120"/>
      <c r="AA548" s="120"/>
      <c r="AB548" s="120"/>
      <c r="AC548" s="120"/>
      <c r="AD548" s="120"/>
    </row>
    <row r="549">
      <c r="A549" s="120"/>
      <c r="B549" s="120"/>
      <c r="C549" s="120"/>
      <c r="D549" s="120"/>
      <c r="E549" s="120"/>
      <c r="F549" s="120"/>
      <c r="G549" s="120"/>
      <c r="H549" s="120"/>
      <c r="I549" s="120"/>
      <c r="J549" s="120"/>
      <c r="K549" s="120"/>
      <c r="L549" s="120"/>
      <c r="M549" s="120"/>
      <c r="N549" s="120"/>
      <c r="O549" s="120"/>
      <c r="P549" s="120"/>
      <c r="Q549" s="120"/>
      <c r="R549" s="120"/>
      <c r="S549" s="120"/>
      <c r="T549" s="120"/>
      <c r="U549" s="120"/>
      <c r="V549" s="120"/>
      <c r="W549" s="120"/>
      <c r="X549" s="120"/>
      <c r="Y549" s="120"/>
      <c r="Z549" s="120"/>
      <c r="AA549" s="120"/>
      <c r="AB549" s="120"/>
      <c r="AC549" s="120"/>
      <c r="AD549" s="120"/>
    </row>
    <row r="550">
      <c r="A550" s="120"/>
      <c r="B550" s="120"/>
      <c r="C550" s="120"/>
      <c r="D550" s="120"/>
      <c r="E550" s="120"/>
      <c r="F550" s="120"/>
      <c r="G550" s="120"/>
      <c r="H550" s="120"/>
      <c r="I550" s="120"/>
      <c r="J550" s="120"/>
      <c r="K550" s="120"/>
      <c r="L550" s="120"/>
      <c r="M550" s="120"/>
      <c r="N550" s="120"/>
      <c r="O550" s="120"/>
      <c r="P550" s="120"/>
      <c r="Q550" s="120"/>
      <c r="R550" s="120"/>
      <c r="S550" s="120"/>
      <c r="T550" s="120"/>
      <c r="U550" s="120"/>
      <c r="V550" s="120"/>
      <c r="W550" s="120"/>
      <c r="X550" s="120"/>
      <c r="Y550" s="120"/>
      <c r="Z550" s="120"/>
      <c r="AA550" s="120"/>
      <c r="AB550" s="120"/>
      <c r="AC550" s="120"/>
      <c r="AD550" s="120"/>
    </row>
    <row r="551">
      <c r="A551" s="120"/>
      <c r="B551" s="120"/>
      <c r="C551" s="120"/>
      <c r="D551" s="120"/>
      <c r="E551" s="120"/>
      <c r="F551" s="120"/>
      <c r="G551" s="120"/>
      <c r="H551" s="120"/>
      <c r="I551" s="120"/>
      <c r="J551" s="120"/>
      <c r="K551" s="120"/>
      <c r="L551" s="120"/>
      <c r="M551" s="120"/>
      <c r="N551" s="120"/>
      <c r="O551" s="120"/>
      <c r="P551" s="120"/>
      <c r="Q551" s="120"/>
      <c r="R551" s="120"/>
      <c r="S551" s="120"/>
      <c r="T551" s="120"/>
      <c r="U551" s="120"/>
      <c r="V551" s="120"/>
      <c r="W551" s="120"/>
      <c r="X551" s="120"/>
      <c r="Y551" s="120"/>
      <c r="Z551" s="120"/>
      <c r="AA551" s="120"/>
      <c r="AB551" s="120"/>
      <c r="AC551" s="120"/>
      <c r="AD551" s="120"/>
    </row>
    <row r="552">
      <c r="A552" s="120"/>
      <c r="B552" s="120"/>
      <c r="C552" s="120"/>
      <c r="D552" s="120"/>
      <c r="E552" s="120"/>
      <c r="F552" s="120"/>
      <c r="G552" s="120"/>
      <c r="H552" s="120"/>
      <c r="I552" s="120"/>
      <c r="J552" s="120"/>
      <c r="K552" s="120"/>
      <c r="L552" s="120"/>
      <c r="M552" s="120"/>
      <c r="N552" s="120"/>
      <c r="O552" s="120"/>
      <c r="P552" s="120"/>
      <c r="Q552" s="120"/>
      <c r="R552" s="120"/>
      <c r="S552" s="120"/>
      <c r="T552" s="120"/>
      <c r="U552" s="120"/>
      <c r="V552" s="120"/>
      <c r="W552" s="120"/>
      <c r="X552" s="120"/>
      <c r="Y552" s="120"/>
      <c r="Z552" s="120"/>
      <c r="AA552" s="120"/>
      <c r="AB552" s="120"/>
      <c r="AC552" s="120"/>
      <c r="AD552" s="120"/>
    </row>
    <row r="553">
      <c r="A553" s="120"/>
      <c r="B553" s="120"/>
      <c r="C553" s="120"/>
      <c r="D553" s="120"/>
      <c r="E553" s="120"/>
      <c r="F553" s="120"/>
      <c r="G553" s="120"/>
      <c r="H553" s="120"/>
      <c r="I553" s="120"/>
      <c r="J553" s="120"/>
      <c r="K553" s="120"/>
      <c r="L553" s="120"/>
      <c r="M553" s="120"/>
      <c r="N553" s="120"/>
      <c r="O553" s="120"/>
      <c r="P553" s="120"/>
      <c r="Q553" s="120"/>
      <c r="R553" s="120"/>
      <c r="S553" s="120"/>
      <c r="T553" s="120"/>
      <c r="U553" s="120"/>
      <c r="V553" s="120"/>
      <c r="W553" s="120"/>
      <c r="X553" s="120"/>
      <c r="Y553" s="120"/>
      <c r="Z553" s="120"/>
      <c r="AA553" s="120"/>
      <c r="AB553" s="120"/>
      <c r="AC553" s="120"/>
      <c r="AD553" s="120"/>
    </row>
    <row r="554">
      <c r="A554" s="120"/>
      <c r="B554" s="120"/>
      <c r="C554" s="120"/>
      <c r="D554" s="120"/>
      <c r="E554" s="120"/>
      <c r="F554" s="120"/>
      <c r="G554" s="120"/>
      <c r="H554" s="120"/>
      <c r="I554" s="120"/>
      <c r="J554" s="120"/>
      <c r="K554" s="120"/>
      <c r="L554" s="120"/>
      <c r="M554" s="120"/>
      <c r="N554" s="120"/>
      <c r="O554" s="120"/>
      <c r="P554" s="120"/>
      <c r="Q554" s="120"/>
      <c r="R554" s="120"/>
      <c r="S554" s="120"/>
      <c r="T554" s="120"/>
      <c r="U554" s="120"/>
      <c r="V554" s="120"/>
      <c r="W554" s="120"/>
      <c r="X554" s="120"/>
      <c r="Y554" s="120"/>
      <c r="Z554" s="120"/>
      <c r="AA554" s="120"/>
      <c r="AB554" s="120"/>
      <c r="AC554" s="120"/>
      <c r="AD554" s="120"/>
    </row>
    <row r="555">
      <c r="A555" s="120"/>
      <c r="B555" s="120"/>
      <c r="C555" s="120"/>
      <c r="D555" s="120"/>
      <c r="E555" s="120"/>
      <c r="F555" s="120"/>
      <c r="G555" s="120"/>
      <c r="H555" s="120"/>
      <c r="I555" s="120"/>
      <c r="J555" s="120"/>
      <c r="K555" s="120"/>
      <c r="L555" s="120"/>
      <c r="M555" s="120"/>
      <c r="N555" s="120"/>
      <c r="O555" s="120"/>
      <c r="P555" s="120"/>
      <c r="Q555" s="120"/>
      <c r="R555" s="120"/>
      <c r="S555" s="120"/>
      <c r="T555" s="120"/>
      <c r="U555" s="120"/>
      <c r="V555" s="120"/>
      <c r="W555" s="120"/>
      <c r="X555" s="120"/>
      <c r="Y555" s="120"/>
      <c r="Z555" s="120"/>
      <c r="AA555" s="120"/>
      <c r="AB555" s="120"/>
      <c r="AC555" s="120"/>
      <c r="AD555" s="120"/>
    </row>
    <row r="556">
      <c r="A556" s="120"/>
      <c r="B556" s="120"/>
      <c r="C556" s="120"/>
      <c r="D556" s="120"/>
      <c r="E556" s="120"/>
      <c r="F556" s="120"/>
      <c r="G556" s="120"/>
      <c r="H556" s="120"/>
      <c r="I556" s="120"/>
      <c r="J556" s="120"/>
      <c r="K556" s="120"/>
      <c r="L556" s="120"/>
      <c r="M556" s="120"/>
      <c r="N556" s="120"/>
      <c r="O556" s="120"/>
      <c r="P556" s="120"/>
      <c r="Q556" s="120"/>
      <c r="R556" s="120"/>
      <c r="S556" s="120"/>
      <c r="T556" s="120"/>
      <c r="U556" s="120"/>
      <c r="V556" s="120"/>
      <c r="W556" s="120"/>
      <c r="X556" s="120"/>
      <c r="Y556" s="120"/>
      <c r="Z556" s="120"/>
      <c r="AA556" s="120"/>
      <c r="AB556" s="120"/>
      <c r="AC556" s="120"/>
      <c r="AD556" s="120"/>
    </row>
    <row r="557">
      <c r="A557" s="120"/>
      <c r="B557" s="120"/>
      <c r="C557" s="120"/>
      <c r="D557" s="120"/>
      <c r="E557" s="120"/>
      <c r="F557" s="120"/>
      <c r="G557" s="120"/>
      <c r="H557" s="120"/>
      <c r="I557" s="120"/>
      <c r="J557" s="120"/>
      <c r="K557" s="120"/>
      <c r="L557" s="120"/>
      <c r="M557" s="120"/>
      <c r="N557" s="120"/>
      <c r="O557" s="120"/>
      <c r="P557" s="120"/>
      <c r="Q557" s="120"/>
      <c r="R557" s="120"/>
      <c r="S557" s="120"/>
      <c r="T557" s="120"/>
      <c r="U557" s="120"/>
      <c r="V557" s="120"/>
      <c r="W557" s="120"/>
      <c r="X557" s="120"/>
      <c r="Y557" s="120"/>
      <c r="Z557" s="120"/>
      <c r="AA557" s="120"/>
      <c r="AB557" s="120"/>
      <c r="AC557" s="120"/>
      <c r="AD557" s="120"/>
    </row>
    <row r="558">
      <c r="A558" s="120"/>
      <c r="B558" s="120"/>
      <c r="C558" s="120"/>
      <c r="D558" s="120"/>
      <c r="E558" s="120"/>
      <c r="F558" s="120"/>
      <c r="G558" s="120"/>
      <c r="H558" s="120"/>
      <c r="I558" s="120"/>
      <c r="J558" s="120"/>
      <c r="K558" s="120"/>
      <c r="L558" s="120"/>
      <c r="M558" s="120"/>
      <c r="N558" s="120"/>
      <c r="O558" s="120"/>
      <c r="P558" s="120"/>
      <c r="Q558" s="120"/>
      <c r="R558" s="120"/>
      <c r="S558" s="120"/>
      <c r="T558" s="120"/>
      <c r="U558" s="120"/>
      <c r="V558" s="120"/>
      <c r="W558" s="120"/>
      <c r="X558" s="120"/>
      <c r="Y558" s="120"/>
      <c r="Z558" s="120"/>
      <c r="AA558" s="120"/>
      <c r="AB558" s="120"/>
      <c r="AC558" s="120"/>
      <c r="AD558" s="120"/>
    </row>
    <row r="559">
      <c r="A559" s="120"/>
      <c r="B559" s="120"/>
      <c r="C559" s="120"/>
      <c r="D559" s="120"/>
      <c r="E559" s="120"/>
      <c r="F559" s="120"/>
      <c r="G559" s="120"/>
      <c r="H559" s="120"/>
      <c r="I559" s="120"/>
      <c r="J559" s="120"/>
      <c r="K559" s="120"/>
      <c r="L559" s="120"/>
      <c r="M559" s="120"/>
      <c r="N559" s="120"/>
      <c r="O559" s="120"/>
      <c r="P559" s="120"/>
      <c r="Q559" s="120"/>
      <c r="R559" s="120"/>
      <c r="S559" s="120"/>
      <c r="T559" s="120"/>
      <c r="U559" s="120"/>
      <c r="V559" s="120"/>
      <c r="W559" s="120"/>
      <c r="X559" s="120"/>
      <c r="Y559" s="120"/>
      <c r="Z559" s="120"/>
      <c r="AA559" s="120"/>
      <c r="AB559" s="120"/>
      <c r="AC559" s="120"/>
      <c r="AD559" s="120"/>
    </row>
    <row r="560">
      <c r="A560" s="120"/>
      <c r="B560" s="120"/>
      <c r="C560" s="120"/>
      <c r="D560" s="120"/>
      <c r="E560" s="120"/>
      <c r="F560" s="120"/>
      <c r="G560" s="120"/>
      <c r="H560" s="120"/>
      <c r="I560" s="120"/>
      <c r="J560" s="120"/>
      <c r="K560" s="120"/>
      <c r="L560" s="120"/>
      <c r="M560" s="120"/>
      <c r="N560" s="120"/>
      <c r="O560" s="120"/>
      <c r="P560" s="120"/>
      <c r="Q560" s="120"/>
      <c r="R560" s="120"/>
      <c r="S560" s="120"/>
      <c r="T560" s="120"/>
      <c r="U560" s="120"/>
      <c r="V560" s="120"/>
      <c r="W560" s="120"/>
      <c r="X560" s="120"/>
      <c r="Y560" s="120"/>
      <c r="Z560" s="120"/>
      <c r="AA560" s="120"/>
      <c r="AB560" s="120"/>
      <c r="AC560" s="120"/>
      <c r="AD560" s="120"/>
    </row>
    <row r="561">
      <c r="A561" s="120"/>
      <c r="B561" s="120"/>
      <c r="C561" s="120"/>
      <c r="D561" s="120"/>
      <c r="E561" s="120"/>
      <c r="F561" s="120"/>
      <c r="G561" s="120"/>
      <c r="H561" s="120"/>
      <c r="I561" s="120"/>
      <c r="J561" s="120"/>
      <c r="K561" s="120"/>
      <c r="L561" s="120"/>
      <c r="M561" s="120"/>
      <c r="N561" s="120"/>
      <c r="O561" s="120"/>
      <c r="P561" s="120"/>
      <c r="Q561" s="120"/>
      <c r="R561" s="120"/>
      <c r="S561" s="120"/>
      <c r="T561" s="120"/>
      <c r="U561" s="120"/>
      <c r="V561" s="120"/>
      <c r="W561" s="120"/>
      <c r="X561" s="120"/>
      <c r="Y561" s="120"/>
      <c r="Z561" s="120"/>
      <c r="AA561" s="120"/>
      <c r="AB561" s="120"/>
      <c r="AC561" s="120"/>
      <c r="AD561" s="120"/>
    </row>
    <row r="562">
      <c r="A562" s="120"/>
      <c r="B562" s="120"/>
      <c r="C562" s="120"/>
      <c r="D562" s="120"/>
      <c r="E562" s="120"/>
      <c r="F562" s="120"/>
      <c r="G562" s="120"/>
      <c r="H562" s="120"/>
      <c r="I562" s="120"/>
      <c r="J562" s="120"/>
      <c r="K562" s="120"/>
      <c r="L562" s="120"/>
      <c r="M562" s="120"/>
      <c r="N562" s="120"/>
      <c r="O562" s="120"/>
      <c r="P562" s="120"/>
      <c r="Q562" s="120"/>
      <c r="R562" s="120"/>
      <c r="S562" s="120"/>
      <c r="T562" s="120"/>
      <c r="U562" s="120"/>
      <c r="V562" s="120"/>
      <c r="W562" s="120"/>
      <c r="X562" s="120"/>
      <c r="Y562" s="120"/>
      <c r="Z562" s="120"/>
      <c r="AA562" s="120"/>
      <c r="AB562" s="120"/>
      <c r="AC562" s="120"/>
      <c r="AD562" s="120"/>
    </row>
    <row r="563">
      <c r="A563" s="120"/>
      <c r="B563" s="120"/>
      <c r="C563" s="120"/>
      <c r="D563" s="120"/>
      <c r="E563" s="120"/>
      <c r="F563" s="120"/>
      <c r="G563" s="120"/>
      <c r="H563" s="120"/>
      <c r="I563" s="120"/>
      <c r="J563" s="120"/>
      <c r="K563" s="120"/>
      <c r="L563" s="120"/>
      <c r="M563" s="120"/>
      <c r="N563" s="120"/>
      <c r="O563" s="120"/>
      <c r="P563" s="120"/>
      <c r="Q563" s="120"/>
      <c r="R563" s="120"/>
      <c r="S563" s="120"/>
      <c r="T563" s="120"/>
      <c r="U563" s="120"/>
      <c r="V563" s="120"/>
      <c r="W563" s="120"/>
      <c r="X563" s="120"/>
      <c r="Y563" s="120"/>
      <c r="Z563" s="120"/>
      <c r="AA563" s="120"/>
      <c r="AB563" s="120"/>
      <c r="AC563" s="120"/>
      <c r="AD563" s="120"/>
    </row>
    <row r="564">
      <c r="A564" s="120"/>
      <c r="B564" s="120"/>
      <c r="C564" s="120"/>
      <c r="D564" s="120"/>
      <c r="E564" s="120"/>
      <c r="F564" s="120"/>
      <c r="G564" s="120"/>
      <c r="H564" s="120"/>
      <c r="I564" s="120"/>
      <c r="J564" s="120"/>
      <c r="K564" s="120"/>
      <c r="L564" s="120"/>
      <c r="M564" s="120"/>
      <c r="N564" s="120"/>
      <c r="O564" s="120"/>
      <c r="P564" s="120"/>
      <c r="Q564" s="120"/>
      <c r="R564" s="120"/>
      <c r="S564" s="120"/>
      <c r="T564" s="120"/>
      <c r="U564" s="120"/>
      <c r="V564" s="120"/>
      <c r="W564" s="120"/>
      <c r="X564" s="120"/>
      <c r="Y564" s="120"/>
      <c r="Z564" s="120"/>
      <c r="AA564" s="120"/>
      <c r="AB564" s="120"/>
      <c r="AC564" s="120"/>
      <c r="AD564" s="120"/>
    </row>
    <row r="565">
      <c r="A565" s="120"/>
      <c r="B565" s="120"/>
      <c r="C565" s="120"/>
      <c r="D565" s="120"/>
      <c r="E565" s="120"/>
      <c r="F565" s="120"/>
      <c r="G565" s="120"/>
      <c r="H565" s="120"/>
      <c r="I565" s="120"/>
      <c r="J565" s="120"/>
      <c r="K565" s="120"/>
      <c r="L565" s="120"/>
      <c r="M565" s="120"/>
      <c r="N565" s="120"/>
      <c r="O565" s="120"/>
      <c r="P565" s="120"/>
      <c r="Q565" s="120"/>
      <c r="R565" s="120"/>
      <c r="S565" s="120"/>
      <c r="T565" s="120"/>
      <c r="U565" s="120"/>
      <c r="V565" s="120"/>
      <c r="W565" s="120"/>
      <c r="X565" s="120"/>
      <c r="Y565" s="120"/>
      <c r="Z565" s="120"/>
      <c r="AA565" s="120"/>
      <c r="AB565" s="120"/>
      <c r="AC565" s="120"/>
      <c r="AD565" s="120"/>
    </row>
    <row r="566">
      <c r="A566" s="120"/>
      <c r="B566" s="120"/>
      <c r="C566" s="120"/>
      <c r="D566" s="120"/>
      <c r="E566" s="120"/>
      <c r="F566" s="120"/>
      <c r="G566" s="120"/>
      <c r="H566" s="120"/>
      <c r="I566" s="120"/>
      <c r="J566" s="120"/>
      <c r="K566" s="120"/>
      <c r="L566" s="120"/>
      <c r="M566" s="120"/>
      <c r="N566" s="120"/>
      <c r="O566" s="120"/>
      <c r="P566" s="120"/>
      <c r="Q566" s="120"/>
      <c r="R566" s="120"/>
      <c r="S566" s="120"/>
      <c r="T566" s="120"/>
      <c r="U566" s="120"/>
      <c r="V566" s="120"/>
      <c r="W566" s="120"/>
      <c r="X566" s="120"/>
      <c r="Y566" s="120"/>
      <c r="Z566" s="120"/>
      <c r="AA566" s="120"/>
      <c r="AB566" s="120"/>
      <c r="AC566" s="120"/>
      <c r="AD566" s="120"/>
    </row>
    <row r="567">
      <c r="A567" s="120"/>
      <c r="B567" s="120"/>
      <c r="C567" s="120"/>
      <c r="D567" s="120"/>
      <c r="E567" s="120"/>
      <c r="F567" s="120"/>
      <c r="G567" s="120"/>
      <c r="H567" s="120"/>
      <c r="I567" s="120"/>
      <c r="J567" s="120"/>
      <c r="K567" s="120"/>
      <c r="L567" s="120"/>
      <c r="M567" s="120"/>
      <c r="N567" s="120"/>
      <c r="O567" s="120"/>
      <c r="P567" s="120"/>
      <c r="Q567" s="120"/>
      <c r="R567" s="120"/>
      <c r="S567" s="120"/>
      <c r="T567" s="120"/>
      <c r="U567" s="120"/>
      <c r="V567" s="120"/>
      <c r="W567" s="120"/>
      <c r="X567" s="120"/>
      <c r="Y567" s="120"/>
      <c r="Z567" s="120"/>
      <c r="AA567" s="120"/>
      <c r="AB567" s="120"/>
      <c r="AC567" s="120"/>
      <c r="AD567" s="120"/>
    </row>
    <row r="568">
      <c r="A568" s="120"/>
      <c r="B568" s="120"/>
      <c r="C568" s="120"/>
      <c r="D568" s="120"/>
      <c r="E568" s="120"/>
      <c r="F568" s="120"/>
      <c r="G568" s="120"/>
      <c r="H568" s="120"/>
      <c r="I568" s="120"/>
      <c r="J568" s="120"/>
      <c r="K568" s="120"/>
      <c r="L568" s="120"/>
      <c r="M568" s="120"/>
      <c r="N568" s="120"/>
      <c r="O568" s="120"/>
      <c r="P568" s="120"/>
      <c r="Q568" s="120"/>
      <c r="R568" s="120"/>
      <c r="S568" s="120"/>
      <c r="T568" s="120"/>
      <c r="U568" s="120"/>
      <c r="V568" s="120"/>
      <c r="W568" s="120"/>
      <c r="X568" s="120"/>
      <c r="Y568" s="120"/>
      <c r="Z568" s="120"/>
      <c r="AA568" s="120"/>
      <c r="AB568" s="120"/>
      <c r="AC568" s="120"/>
      <c r="AD568" s="120"/>
    </row>
    <row r="569">
      <c r="A569" s="120"/>
      <c r="B569" s="120"/>
      <c r="C569" s="120"/>
      <c r="D569" s="120"/>
      <c r="E569" s="120"/>
      <c r="F569" s="120"/>
      <c r="G569" s="120"/>
      <c r="H569" s="120"/>
      <c r="I569" s="120"/>
      <c r="J569" s="120"/>
      <c r="K569" s="120"/>
      <c r="L569" s="120"/>
      <c r="M569" s="120"/>
      <c r="N569" s="120"/>
      <c r="O569" s="120"/>
      <c r="P569" s="120"/>
      <c r="Q569" s="120"/>
      <c r="R569" s="120"/>
      <c r="S569" s="120"/>
      <c r="T569" s="120"/>
      <c r="U569" s="120"/>
      <c r="V569" s="120"/>
      <c r="W569" s="120"/>
      <c r="X569" s="120"/>
      <c r="Y569" s="120"/>
      <c r="Z569" s="120"/>
      <c r="AA569" s="120"/>
      <c r="AB569" s="120"/>
      <c r="AC569" s="120"/>
      <c r="AD569" s="120"/>
    </row>
    <row r="570">
      <c r="A570" s="120"/>
      <c r="B570" s="120"/>
      <c r="C570" s="120"/>
      <c r="D570" s="120"/>
      <c r="E570" s="120"/>
      <c r="F570" s="120"/>
      <c r="G570" s="120"/>
      <c r="H570" s="120"/>
      <c r="I570" s="120"/>
      <c r="J570" s="120"/>
      <c r="K570" s="120"/>
      <c r="L570" s="120"/>
      <c r="M570" s="120"/>
      <c r="N570" s="120"/>
      <c r="O570" s="120"/>
      <c r="P570" s="120"/>
      <c r="Q570" s="120"/>
      <c r="R570" s="120"/>
      <c r="S570" s="120"/>
      <c r="T570" s="120"/>
      <c r="U570" s="120"/>
      <c r="V570" s="120"/>
      <c r="W570" s="120"/>
      <c r="X570" s="120"/>
      <c r="Y570" s="120"/>
      <c r="Z570" s="120"/>
      <c r="AA570" s="120"/>
      <c r="AB570" s="120"/>
      <c r="AC570" s="120"/>
      <c r="AD570" s="120"/>
    </row>
    <row r="571">
      <c r="A571" s="120"/>
      <c r="B571" s="120"/>
      <c r="C571" s="120"/>
      <c r="D571" s="120"/>
      <c r="E571" s="120"/>
      <c r="F571" s="120"/>
      <c r="G571" s="120"/>
      <c r="H571" s="120"/>
      <c r="I571" s="120"/>
      <c r="J571" s="120"/>
      <c r="K571" s="120"/>
      <c r="L571" s="120"/>
      <c r="M571" s="120"/>
      <c r="N571" s="120"/>
      <c r="O571" s="120"/>
      <c r="P571" s="120"/>
      <c r="Q571" s="120"/>
      <c r="R571" s="120"/>
      <c r="S571" s="120"/>
      <c r="T571" s="120"/>
      <c r="U571" s="120"/>
      <c r="V571" s="120"/>
      <c r="W571" s="120"/>
      <c r="X571" s="120"/>
      <c r="Y571" s="120"/>
      <c r="Z571" s="120"/>
      <c r="AA571" s="120"/>
      <c r="AB571" s="120"/>
      <c r="AC571" s="120"/>
      <c r="AD571" s="120"/>
    </row>
    <row r="572">
      <c r="A572" s="120"/>
      <c r="B572" s="120"/>
      <c r="C572" s="120"/>
      <c r="D572" s="120"/>
      <c r="E572" s="120"/>
      <c r="F572" s="120"/>
      <c r="G572" s="120"/>
      <c r="H572" s="120"/>
      <c r="I572" s="120"/>
      <c r="J572" s="120"/>
      <c r="K572" s="120"/>
      <c r="L572" s="120"/>
      <c r="M572" s="120"/>
      <c r="N572" s="120"/>
      <c r="O572" s="120"/>
      <c r="P572" s="120"/>
      <c r="Q572" s="120"/>
      <c r="R572" s="120"/>
      <c r="S572" s="120"/>
      <c r="T572" s="120"/>
      <c r="U572" s="120"/>
      <c r="V572" s="120"/>
      <c r="W572" s="120"/>
      <c r="X572" s="120"/>
      <c r="Y572" s="120"/>
      <c r="Z572" s="120"/>
      <c r="AA572" s="120"/>
      <c r="AB572" s="120"/>
      <c r="AC572" s="120"/>
      <c r="AD572" s="120"/>
    </row>
    <row r="573">
      <c r="A573" s="120"/>
      <c r="B573" s="120"/>
      <c r="C573" s="120"/>
      <c r="D573" s="120"/>
      <c r="E573" s="120"/>
      <c r="F573" s="120"/>
      <c r="G573" s="120"/>
      <c r="H573" s="120"/>
      <c r="I573" s="120"/>
      <c r="J573" s="120"/>
      <c r="K573" s="120"/>
      <c r="L573" s="120"/>
      <c r="M573" s="120"/>
      <c r="N573" s="120"/>
      <c r="O573" s="120"/>
      <c r="P573" s="120"/>
      <c r="Q573" s="120"/>
      <c r="R573" s="120"/>
      <c r="S573" s="120"/>
      <c r="T573" s="120"/>
      <c r="U573" s="120"/>
      <c r="V573" s="120"/>
      <c r="W573" s="120"/>
      <c r="X573" s="120"/>
      <c r="Y573" s="120"/>
      <c r="Z573" s="120"/>
      <c r="AA573" s="120"/>
      <c r="AB573" s="120"/>
      <c r="AC573" s="120"/>
      <c r="AD573" s="120"/>
    </row>
    <row r="574">
      <c r="A574" s="120"/>
      <c r="B574" s="120"/>
      <c r="C574" s="120"/>
      <c r="D574" s="120"/>
      <c r="E574" s="120"/>
      <c r="F574" s="120"/>
      <c r="G574" s="120"/>
      <c r="H574" s="120"/>
      <c r="I574" s="120"/>
      <c r="J574" s="120"/>
      <c r="K574" s="120"/>
      <c r="L574" s="120"/>
      <c r="M574" s="120"/>
      <c r="N574" s="120"/>
      <c r="O574" s="120"/>
      <c r="P574" s="120"/>
      <c r="Q574" s="120"/>
      <c r="R574" s="120"/>
      <c r="S574" s="120"/>
      <c r="T574" s="120"/>
      <c r="U574" s="120"/>
      <c r="V574" s="120"/>
      <c r="W574" s="120"/>
      <c r="X574" s="120"/>
      <c r="Y574" s="120"/>
      <c r="Z574" s="120"/>
      <c r="AA574" s="120"/>
      <c r="AB574" s="120"/>
      <c r="AC574" s="120"/>
      <c r="AD574" s="120"/>
    </row>
    <row r="575">
      <c r="A575" s="120"/>
      <c r="B575" s="120"/>
      <c r="C575" s="120"/>
      <c r="D575" s="120"/>
      <c r="E575" s="120"/>
      <c r="F575" s="120"/>
      <c r="G575" s="120"/>
      <c r="H575" s="120"/>
      <c r="I575" s="120"/>
      <c r="J575" s="120"/>
      <c r="K575" s="120"/>
      <c r="L575" s="120"/>
      <c r="M575" s="120"/>
      <c r="N575" s="120"/>
      <c r="O575" s="120"/>
      <c r="P575" s="120"/>
      <c r="Q575" s="120"/>
      <c r="R575" s="120"/>
      <c r="S575" s="120"/>
      <c r="T575" s="120"/>
      <c r="U575" s="120"/>
      <c r="V575" s="120"/>
      <c r="W575" s="120"/>
      <c r="X575" s="120"/>
      <c r="Y575" s="120"/>
      <c r="Z575" s="120"/>
      <c r="AA575" s="120"/>
      <c r="AB575" s="120"/>
      <c r="AC575" s="120"/>
      <c r="AD575" s="120"/>
    </row>
    <row r="576">
      <c r="A576" s="120"/>
      <c r="B576" s="120"/>
      <c r="C576" s="120"/>
      <c r="D576" s="120"/>
      <c r="E576" s="120"/>
      <c r="F576" s="120"/>
      <c r="G576" s="120"/>
      <c r="H576" s="120"/>
      <c r="I576" s="120"/>
      <c r="J576" s="120"/>
      <c r="K576" s="120"/>
      <c r="L576" s="120"/>
      <c r="M576" s="120"/>
      <c r="N576" s="120"/>
      <c r="O576" s="120"/>
      <c r="P576" s="120"/>
      <c r="Q576" s="120"/>
      <c r="R576" s="120"/>
      <c r="S576" s="120"/>
      <c r="T576" s="120"/>
      <c r="U576" s="120"/>
      <c r="V576" s="120"/>
      <c r="W576" s="120"/>
      <c r="X576" s="120"/>
      <c r="Y576" s="120"/>
      <c r="Z576" s="120"/>
      <c r="AA576" s="120"/>
      <c r="AB576" s="120"/>
      <c r="AC576" s="120"/>
      <c r="AD576" s="120"/>
    </row>
    <row r="577">
      <c r="A577" s="120"/>
      <c r="B577" s="120"/>
      <c r="C577" s="120"/>
      <c r="D577" s="120"/>
      <c r="E577" s="120"/>
      <c r="F577" s="120"/>
      <c r="G577" s="120"/>
      <c r="H577" s="120"/>
      <c r="I577" s="120"/>
      <c r="J577" s="120"/>
      <c r="K577" s="120"/>
      <c r="L577" s="120"/>
      <c r="M577" s="120"/>
      <c r="N577" s="120"/>
      <c r="O577" s="120"/>
      <c r="P577" s="120"/>
      <c r="Q577" s="120"/>
      <c r="R577" s="120"/>
      <c r="S577" s="120"/>
      <c r="T577" s="120"/>
      <c r="U577" s="120"/>
      <c r="V577" s="120"/>
      <c r="W577" s="120"/>
      <c r="X577" s="120"/>
      <c r="Y577" s="120"/>
      <c r="Z577" s="120"/>
      <c r="AA577" s="120"/>
      <c r="AB577" s="120"/>
      <c r="AC577" s="120"/>
      <c r="AD577" s="120"/>
    </row>
    <row r="578">
      <c r="A578" s="120"/>
      <c r="B578" s="120"/>
      <c r="C578" s="120"/>
      <c r="D578" s="120"/>
      <c r="E578" s="120"/>
      <c r="F578" s="120"/>
      <c r="G578" s="120"/>
      <c r="H578" s="120"/>
      <c r="I578" s="120"/>
      <c r="J578" s="120"/>
      <c r="K578" s="120"/>
      <c r="L578" s="120"/>
      <c r="M578" s="120"/>
      <c r="N578" s="120"/>
      <c r="O578" s="120"/>
      <c r="P578" s="120"/>
      <c r="Q578" s="120"/>
      <c r="R578" s="120"/>
      <c r="S578" s="120"/>
      <c r="T578" s="120"/>
      <c r="U578" s="120"/>
      <c r="V578" s="120"/>
      <c r="W578" s="120"/>
      <c r="X578" s="120"/>
      <c r="Y578" s="120"/>
      <c r="Z578" s="120"/>
      <c r="AA578" s="120"/>
      <c r="AB578" s="120"/>
      <c r="AC578" s="120"/>
      <c r="AD578" s="120"/>
    </row>
    <row r="579">
      <c r="A579" s="120"/>
      <c r="B579" s="120"/>
      <c r="C579" s="120"/>
      <c r="D579" s="120"/>
      <c r="E579" s="120"/>
      <c r="F579" s="120"/>
      <c r="G579" s="120"/>
      <c r="H579" s="120"/>
      <c r="I579" s="120"/>
      <c r="J579" s="120"/>
      <c r="K579" s="120"/>
      <c r="L579" s="120"/>
      <c r="M579" s="120"/>
      <c r="N579" s="120"/>
      <c r="O579" s="120"/>
      <c r="P579" s="120"/>
      <c r="Q579" s="120"/>
      <c r="R579" s="120"/>
      <c r="S579" s="120"/>
      <c r="T579" s="120"/>
      <c r="U579" s="120"/>
      <c r="V579" s="120"/>
      <c r="W579" s="120"/>
      <c r="X579" s="120"/>
      <c r="Y579" s="120"/>
      <c r="Z579" s="120"/>
      <c r="AA579" s="120"/>
      <c r="AB579" s="120"/>
      <c r="AC579" s="120"/>
      <c r="AD579" s="120"/>
    </row>
    <row r="580">
      <c r="A580" s="120"/>
      <c r="B580" s="120"/>
      <c r="C580" s="120"/>
      <c r="D580" s="120"/>
      <c r="E580" s="120"/>
      <c r="F580" s="120"/>
      <c r="G580" s="120"/>
      <c r="H580" s="120"/>
      <c r="I580" s="120"/>
      <c r="J580" s="120"/>
      <c r="K580" s="120"/>
      <c r="L580" s="120"/>
      <c r="M580" s="120"/>
      <c r="N580" s="120"/>
      <c r="O580" s="120"/>
      <c r="P580" s="120"/>
      <c r="Q580" s="120"/>
      <c r="R580" s="120"/>
      <c r="S580" s="120"/>
      <c r="T580" s="120"/>
      <c r="U580" s="120"/>
      <c r="V580" s="120"/>
      <c r="W580" s="120"/>
      <c r="X580" s="120"/>
      <c r="Y580" s="120"/>
      <c r="Z580" s="120"/>
      <c r="AA580" s="120"/>
      <c r="AB580" s="120"/>
      <c r="AC580" s="120"/>
      <c r="AD580" s="120"/>
    </row>
    <row r="581">
      <c r="A581" s="120"/>
      <c r="B581" s="120"/>
      <c r="C581" s="120"/>
      <c r="D581" s="120"/>
      <c r="E581" s="120"/>
      <c r="F581" s="120"/>
      <c r="G581" s="120"/>
      <c r="H581" s="120"/>
      <c r="I581" s="120"/>
      <c r="J581" s="120"/>
      <c r="K581" s="120"/>
      <c r="L581" s="120"/>
      <c r="M581" s="120"/>
      <c r="N581" s="120"/>
      <c r="O581" s="120"/>
      <c r="P581" s="120"/>
      <c r="Q581" s="120"/>
      <c r="R581" s="120"/>
      <c r="S581" s="120"/>
      <c r="T581" s="120"/>
      <c r="U581" s="120"/>
      <c r="V581" s="120"/>
      <c r="W581" s="120"/>
      <c r="X581" s="120"/>
      <c r="Y581" s="120"/>
      <c r="Z581" s="120"/>
      <c r="AA581" s="120"/>
      <c r="AB581" s="120"/>
      <c r="AC581" s="120"/>
      <c r="AD581" s="120"/>
    </row>
    <row r="582">
      <c r="A582" s="120"/>
      <c r="B582" s="120"/>
      <c r="C582" s="120"/>
      <c r="D582" s="120"/>
      <c r="E582" s="120"/>
      <c r="F582" s="120"/>
      <c r="G582" s="120"/>
      <c r="H582" s="120"/>
      <c r="I582" s="120"/>
      <c r="J582" s="120"/>
      <c r="K582" s="120"/>
      <c r="L582" s="120"/>
      <c r="M582" s="120"/>
      <c r="N582" s="120"/>
      <c r="O582" s="120"/>
      <c r="P582" s="120"/>
      <c r="Q582" s="120"/>
      <c r="R582" s="120"/>
      <c r="S582" s="120"/>
      <c r="T582" s="120"/>
      <c r="U582" s="120"/>
      <c r="V582" s="120"/>
      <c r="W582" s="120"/>
      <c r="X582" s="120"/>
      <c r="Y582" s="120"/>
      <c r="Z582" s="120"/>
      <c r="AA582" s="120"/>
      <c r="AB582" s="120"/>
      <c r="AC582" s="120"/>
      <c r="AD582" s="120"/>
    </row>
    <row r="583">
      <c r="A583" s="120"/>
      <c r="B583" s="120"/>
      <c r="C583" s="120"/>
      <c r="D583" s="120"/>
      <c r="E583" s="120"/>
      <c r="F583" s="120"/>
      <c r="G583" s="120"/>
      <c r="H583" s="120"/>
      <c r="I583" s="120"/>
      <c r="J583" s="120"/>
      <c r="K583" s="120"/>
      <c r="L583" s="120"/>
      <c r="M583" s="120"/>
      <c r="N583" s="120"/>
      <c r="O583" s="120"/>
      <c r="P583" s="120"/>
      <c r="Q583" s="120"/>
      <c r="R583" s="120"/>
      <c r="S583" s="120"/>
      <c r="T583" s="120"/>
      <c r="U583" s="120"/>
      <c r="V583" s="120"/>
      <c r="W583" s="120"/>
      <c r="X583" s="120"/>
      <c r="Y583" s="120"/>
      <c r="Z583" s="120"/>
      <c r="AA583" s="120"/>
      <c r="AB583" s="120"/>
      <c r="AC583" s="120"/>
      <c r="AD583" s="120"/>
    </row>
    <row r="584">
      <c r="A584" s="120"/>
      <c r="B584" s="120"/>
      <c r="C584" s="120"/>
      <c r="D584" s="120"/>
      <c r="E584" s="120"/>
      <c r="F584" s="120"/>
      <c r="G584" s="120"/>
      <c r="H584" s="120"/>
      <c r="I584" s="120"/>
      <c r="J584" s="120"/>
      <c r="K584" s="120"/>
      <c r="L584" s="120"/>
      <c r="M584" s="120"/>
      <c r="N584" s="120"/>
      <c r="O584" s="120"/>
      <c r="P584" s="120"/>
      <c r="Q584" s="120"/>
      <c r="R584" s="120"/>
      <c r="S584" s="120"/>
      <c r="T584" s="120"/>
      <c r="U584" s="120"/>
      <c r="V584" s="120"/>
      <c r="W584" s="120"/>
      <c r="X584" s="120"/>
      <c r="Y584" s="120"/>
      <c r="Z584" s="120"/>
      <c r="AA584" s="120"/>
      <c r="AB584" s="120"/>
      <c r="AC584" s="120"/>
      <c r="AD584" s="120"/>
    </row>
    <row r="585">
      <c r="A585" s="120"/>
      <c r="B585" s="120"/>
      <c r="C585" s="120"/>
      <c r="D585" s="120"/>
      <c r="E585" s="120"/>
      <c r="F585" s="120"/>
      <c r="G585" s="120"/>
      <c r="H585" s="120"/>
      <c r="I585" s="120"/>
      <c r="J585" s="120"/>
      <c r="K585" s="120"/>
      <c r="L585" s="120"/>
      <c r="M585" s="120"/>
      <c r="N585" s="120"/>
      <c r="O585" s="120"/>
      <c r="P585" s="120"/>
      <c r="Q585" s="120"/>
      <c r="R585" s="120"/>
      <c r="S585" s="120"/>
      <c r="T585" s="120"/>
      <c r="U585" s="120"/>
      <c r="V585" s="120"/>
      <c r="W585" s="120"/>
      <c r="X585" s="120"/>
      <c r="Y585" s="120"/>
      <c r="Z585" s="120"/>
      <c r="AA585" s="120"/>
      <c r="AB585" s="120"/>
      <c r="AC585" s="120"/>
      <c r="AD585" s="120"/>
    </row>
    <row r="586">
      <c r="A586" s="120"/>
      <c r="B586" s="120"/>
      <c r="C586" s="120"/>
      <c r="D586" s="120"/>
      <c r="E586" s="120"/>
      <c r="F586" s="120"/>
      <c r="G586" s="120"/>
      <c r="H586" s="120"/>
      <c r="I586" s="120"/>
      <c r="J586" s="120"/>
      <c r="K586" s="120"/>
      <c r="L586" s="120"/>
      <c r="M586" s="120"/>
      <c r="N586" s="120"/>
      <c r="O586" s="120"/>
      <c r="P586" s="120"/>
      <c r="Q586" s="120"/>
      <c r="R586" s="120"/>
      <c r="S586" s="120"/>
      <c r="T586" s="120"/>
      <c r="U586" s="120"/>
      <c r="V586" s="120"/>
      <c r="W586" s="120"/>
      <c r="X586" s="120"/>
      <c r="Y586" s="120"/>
      <c r="Z586" s="120"/>
      <c r="AA586" s="120"/>
      <c r="AB586" s="120"/>
      <c r="AC586" s="120"/>
      <c r="AD586" s="120"/>
    </row>
    <row r="587">
      <c r="A587" s="120"/>
      <c r="B587" s="120"/>
      <c r="C587" s="120"/>
      <c r="D587" s="120"/>
      <c r="E587" s="120"/>
      <c r="F587" s="120"/>
      <c r="G587" s="120"/>
      <c r="H587" s="120"/>
      <c r="I587" s="120"/>
      <c r="J587" s="120"/>
      <c r="K587" s="120"/>
      <c r="L587" s="120"/>
      <c r="M587" s="120"/>
      <c r="N587" s="120"/>
      <c r="O587" s="120"/>
      <c r="P587" s="120"/>
      <c r="Q587" s="120"/>
      <c r="R587" s="120"/>
      <c r="S587" s="120"/>
      <c r="T587" s="120"/>
      <c r="U587" s="120"/>
      <c r="V587" s="120"/>
      <c r="W587" s="120"/>
      <c r="X587" s="120"/>
      <c r="Y587" s="120"/>
      <c r="Z587" s="120"/>
      <c r="AA587" s="120"/>
      <c r="AB587" s="120"/>
      <c r="AC587" s="120"/>
      <c r="AD587" s="120"/>
    </row>
    <row r="588">
      <c r="A588" s="120"/>
      <c r="B588" s="120"/>
      <c r="C588" s="120"/>
      <c r="D588" s="120"/>
      <c r="E588" s="120"/>
      <c r="F588" s="120"/>
      <c r="G588" s="120"/>
      <c r="H588" s="120"/>
      <c r="I588" s="120"/>
      <c r="J588" s="120"/>
      <c r="K588" s="120"/>
      <c r="L588" s="120"/>
      <c r="M588" s="120"/>
      <c r="N588" s="120"/>
      <c r="O588" s="120"/>
      <c r="P588" s="120"/>
      <c r="Q588" s="120"/>
      <c r="R588" s="120"/>
      <c r="S588" s="120"/>
      <c r="T588" s="120"/>
      <c r="U588" s="120"/>
      <c r="V588" s="120"/>
      <c r="W588" s="120"/>
      <c r="X588" s="120"/>
      <c r="Y588" s="120"/>
      <c r="Z588" s="120"/>
      <c r="AA588" s="120"/>
      <c r="AB588" s="120"/>
      <c r="AC588" s="120"/>
      <c r="AD588" s="120"/>
    </row>
    <row r="589">
      <c r="A589" s="120"/>
      <c r="B589" s="120"/>
      <c r="C589" s="120"/>
      <c r="D589" s="120"/>
      <c r="E589" s="120"/>
      <c r="F589" s="120"/>
      <c r="G589" s="120"/>
      <c r="H589" s="120"/>
      <c r="I589" s="120"/>
      <c r="J589" s="120"/>
      <c r="K589" s="120"/>
      <c r="L589" s="120"/>
      <c r="M589" s="120"/>
      <c r="N589" s="120"/>
      <c r="O589" s="120"/>
      <c r="P589" s="120"/>
      <c r="Q589" s="120"/>
      <c r="R589" s="120"/>
      <c r="S589" s="120"/>
      <c r="T589" s="120"/>
      <c r="U589" s="120"/>
      <c r="V589" s="120"/>
      <c r="W589" s="120"/>
      <c r="X589" s="120"/>
      <c r="Y589" s="120"/>
      <c r="Z589" s="120"/>
      <c r="AA589" s="120"/>
      <c r="AB589" s="120"/>
      <c r="AC589" s="120"/>
      <c r="AD589" s="120"/>
    </row>
    <row r="590">
      <c r="A590" s="120"/>
      <c r="B590" s="120"/>
      <c r="C590" s="120"/>
      <c r="D590" s="120"/>
      <c r="E590" s="120"/>
      <c r="F590" s="120"/>
      <c r="G590" s="120"/>
      <c r="H590" s="120"/>
      <c r="I590" s="120"/>
      <c r="J590" s="120"/>
      <c r="K590" s="120"/>
      <c r="L590" s="120"/>
      <c r="M590" s="120"/>
      <c r="N590" s="120"/>
      <c r="O590" s="120"/>
      <c r="P590" s="120"/>
      <c r="Q590" s="120"/>
      <c r="R590" s="120"/>
      <c r="S590" s="120"/>
      <c r="T590" s="120"/>
      <c r="U590" s="120"/>
      <c r="V590" s="120"/>
      <c r="W590" s="120"/>
      <c r="X590" s="120"/>
      <c r="Y590" s="120"/>
      <c r="Z590" s="120"/>
      <c r="AA590" s="120"/>
      <c r="AB590" s="120"/>
      <c r="AC590" s="120"/>
      <c r="AD590" s="120"/>
    </row>
    <row r="591">
      <c r="A591" s="120"/>
      <c r="B591" s="120"/>
      <c r="C591" s="120"/>
      <c r="D591" s="120"/>
      <c r="E591" s="120"/>
      <c r="F591" s="120"/>
      <c r="G591" s="120"/>
      <c r="H591" s="120"/>
      <c r="I591" s="120"/>
      <c r="J591" s="120"/>
      <c r="K591" s="120"/>
      <c r="L591" s="120"/>
      <c r="M591" s="120"/>
      <c r="N591" s="120"/>
      <c r="O591" s="120"/>
      <c r="P591" s="120"/>
      <c r="Q591" s="120"/>
      <c r="R591" s="120"/>
      <c r="S591" s="120"/>
      <c r="T591" s="120"/>
      <c r="U591" s="120"/>
      <c r="V591" s="120"/>
      <c r="W591" s="120"/>
      <c r="X591" s="120"/>
      <c r="Y591" s="120"/>
      <c r="Z591" s="120"/>
      <c r="AA591" s="120"/>
      <c r="AB591" s="120"/>
      <c r="AC591" s="120"/>
      <c r="AD591" s="120"/>
    </row>
    <row r="592">
      <c r="A592" s="120"/>
      <c r="B592" s="120"/>
      <c r="C592" s="120"/>
      <c r="D592" s="120"/>
      <c r="E592" s="120"/>
      <c r="F592" s="120"/>
      <c r="G592" s="120"/>
      <c r="H592" s="120"/>
      <c r="I592" s="120"/>
      <c r="J592" s="120"/>
      <c r="K592" s="120"/>
      <c r="L592" s="120"/>
      <c r="M592" s="120"/>
      <c r="N592" s="120"/>
      <c r="O592" s="120"/>
      <c r="P592" s="120"/>
      <c r="Q592" s="120"/>
      <c r="R592" s="120"/>
      <c r="S592" s="120"/>
      <c r="T592" s="120"/>
      <c r="U592" s="120"/>
      <c r="V592" s="120"/>
      <c r="W592" s="120"/>
      <c r="X592" s="120"/>
      <c r="Y592" s="120"/>
      <c r="Z592" s="120"/>
      <c r="AA592" s="120"/>
      <c r="AB592" s="120"/>
      <c r="AC592" s="120"/>
      <c r="AD592" s="120"/>
    </row>
    <row r="593">
      <c r="A593" s="120"/>
      <c r="B593" s="120"/>
      <c r="C593" s="120"/>
      <c r="D593" s="120"/>
      <c r="E593" s="120"/>
      <c r="F593" s="120"/>
      <c r="G593" s="120"/>
      <c r="H593" s="120"/>
      <c r="I593" s="120"/>
      <c r="J593" s="120"/>
      <c r="K593" s="120"/>
      <c r="L593" s="120"/>
      <c r="M593" s="120"/>
      <c r="N593" s="120"/>
      <c r="O593" s="120"/>
      <c r="P593" s="120"/>
      <c r="Q593" s="120"/>
      <c r="R593" s="120"/>
      <c r="S593" s="120"/>
      <c r="T593" s="120"/>
      <c r="U593" s="120"/>
      <c r="V593" s="120"/>
      <c r="W593" s="120"/>
      <c r="X593" s="120"/>
      <c r="Y593" s="120"/>
      <c r="Z593" s="120"/>
      <c r="AA593" s="120"/>
      <c r="AB593" s="120"/>
      <c r="AC593" s="120"/>
      <c r="AD593" s="120"/>
    </row>
    <row r="594">
      <c r="A594" s="120"/>
      <c r="B594" s="120"/>
      <c r="C594" s="120"/>
      <c r="D594" s="120"/>
      <c r="E594" s="120"/>
      <c r="F594" s="120"/>
      <c r="G594" s="120"/>
      <c r="H594" s="120"/>
      <c r="I594" s="120"/>
      <c r="J594" s="120"/>
      <c r="K594" s="120"/>
      <c r="L594" s="120"/>
      <c r="M594" s="120"/>
      <c r="N594" s="120"/>
      <c r="O594" s="120"/>
      <c r="P594" s="120"/>
      <c r="Q594" s="120"/>
      <c r="R594" s="120"/>
      <c r="S594" s="120"/>
      <c r="T594" s="120"/>
      <c r="U594" s="120"/>
      <c r="V594" s="120"/>
      <c r="W594" s="120"/>
      <c r="X594" s="120"/>
      <c r="Y594" s="120"/>
      <c r="Z594" s="120"/>
      <c r="AA594" s="120"/>
      <c r="AB594" s="120"/>
      <c r="AC594" s="120"/>
      <c r="AD594" s="120"/>
    </row>
    <row r="595">
      <c r="A595" s="120"/>
      <c r="B595" s="120"/>
      <c r="C595" s="120"/>
      <c r="D595" s="120"/>
      <c r="E595" s="120"/>
      <c r="F595" s="120"/>
      <c r="G595" s="120"/>
      <c r="H595" s="120"/>
      <c r="I595" s="120"/>
      <c r="J595" s="120"/>
      <c r="K595" s="120"/>
      <c r="L595" s="120"/>
      <c r="M595" s="120"/>
      <c r="N595" s="120"/>
      <c r="O595" s="120"/>
      <c r="P595" s="120"/>
      <c r="Q595" s="120"/>
      <c r="R595" s="120"/>
      <c r="S595" s="120"/>
      <c r="T595" s="120"/>
      <c r="U595" s="120"/>
      <c r="V595" s="120"/>
      <c r="W595" s="120"/>
      <c r="X595" s="120"/>
      <c r="Y595" s="120"/>
      <c r="Z595" s="120"/>
      <c r="AA595" s="120"/>
      <c r="AB595" s="120"/>
      <c r="AC595" s="120"/>
      <c r="AD595" s="120"/>
    </row>
    <row r="596">
      <c r="A596" s="120"/>
      <c r="B596" s="120"/>
      <c r="C596" s="120"/>
      <c r="D596" s="120"/>
      <c r="E596" s="120"/>
      <c r="F596" s="120"/>
      <c r="G596" s="120"/>
      <c r="H596" s="120"/>
      <c r="I596" s="120"/>
      <c r="J596" s="120"/>
      <c r="K596" s="120"/>
      <c r="L596" s="120"/>
      <c r="M596" s="120"/>
      <c r="N596" s="120"/>
      <c r="O596" s="120"/>
      <c r="P596" s="120"/>
      <c r="Q596" s="120"/>
      <c r="R596" s="120"/>
      <c r="S596" s="120"/>
      <c r="T596" s="120"/>
      <c r="U596" s="120"/>
      <c r="V596" s="120"/>
      <c r="W596" s="120"/>
      <c r="X596" s="120"/>
      <c r="Y596" s="120"/>
      <c r="Z596" s="120"/>
      <c r="AA596" s="120"/>
      <c r="AB596" s="120"/>
      <c r="AC596" s="120"/>
      <c r="AD596" s="120"/>
    </row>
    <row r="597">
      <c r="A597" s="120"/>
      <c r="B597" s="120"/>
      <c r="C597" s="120"/>
      <c r="D597" s="120"/>
      <c r="E597" s="120"/>
      <c r="F597" s="120"/>
      <c r="G597" s="120"/>
      <c r="H597" s="120"/>
      <c r="I597" s="120"/>
      <c r="J597" s="120"/>
      <c r="K597" s="120"/>
      <c r="L597" s="120"/>
      <c r="M597" s="120"/>
      <c r="N597" s="120"/>
      <c r="O597" s="120"/>
      <c r="P597" s="120"/>
      <c r="Q597" s="120"/>
      <c r="R597" s="120"/>
      <c r="S597" s="120"/>
      <c r="T597" s="120"/>
      <c r="U597" s="120"/>
      <c r="V597" s="120"/>
      <c r="W597" s="120"/>
      <c r="X597" s="120"/>
      <c r="Y597" s="120"/>
      <c r="Z597" s="120"/>
      <c r="AA597" s="120"/>
      <c r="AB597" s="120"/>
      <c r="AC597" s="120"/>
      <c r="AD597" s="120"/>
    </row>
    <row r="598">
      <c r="A598" s="120"/>
      <c r="B598" s="120"/>
      <c r="C598" s="120"/>
      <c r="D598" s="120"/>
      <c r="E598" s="120"/>
      <c r="F598" s="120"/>
      <c r="G598" s="120"/>
      <c r="H598" s="120"/>
      <c r="I598" s="120"/>
      <c r="J598" s="120"/>
      <c r="K598" s="120"/>
      <c r="L598" s="120"/>
      <c r="M598" s="120"/>
      <c r="N598" s="120"/>
      <c r="O598" s="120"/>
      <c r="P598" s="120"/>
      <c r="Q598" s="120"/>
      <c r="R598" s="120"/>
      <c r="S598" s="120"/>
      <c r="T598" s="120"/>
      <c r="U598" s="120"/>
      <c r="V598" s="120"/>
      <c r="W598" s="120"/>
      <c r="X598" s="120"/>
      <c r="Y598" s="120"/>
      <c r="Z598" s="120"/>
      <c r="AA598" s="120"/>
      <c r="AB598" s="120"/>
      <c r="AC598" s="120"/>
      <c r="AD598" s="120"/>
    </row>
    <row r="599">
      <c r="A599" s="120"/>
      <c r="B599" s="120"/>
      <c r="C599" s="120"/>
      <c r="D599" s="120"/>
      <c r="E599" s="120"/>
      <c r="F599" s="120"/>
      <c r="G599" s="120"/>
      <c r="H599" s="120"/>
      <c r="I599" s="120"/>
      <c r="J599" s="120"/>
      <c r="K599" s="120"/>
      <c r="L599" s="120"/>
      <c r="M599" s="120"/>
      <c r="N599" s="120"/>
      <c r="O599" s="120"/>
      <c r="P599" s="120"/>
      <c r="Q599" s="120"/>
      <c r="R599" s="120"/>
      <c r="S599" s="120"/>
      <c r="T599" s="120"/>
      <c r="U599" s="120"/>
      <c r="V599" s="120"/>
      <c r="W599" s="120"/>
      <c r="X599" s="120"/>
      <c r="Y599" s="120"/>
      <c r="Z599" s="120"/>
      <c r="AA599" s="120"/>
      <c r="AB599" s="120"/>
      <c r="AC599" s="120"/>
      <c r="AD599" s="120"/>
    </row>
    <row r="600">
      <c r="A600" s="120"/>
      <c r="B600" s="120"/>
      <c r="C600" s="120"/>
      <c r="D600" s="120"/>
      <c r="E600" s="120"/>
      <c r="F600" s="120"/>
      <c r="G600" s="120"/>
      <c r="H600" s="120"/>
      <c r="I600" s="120"/>
      <c r="J600" s="120"/>
      <c r="K600" s="120"/>
      <c r="L600" s="120"/>
      <c r="M600" s="120"/>
      <c r="N600" s="120"/>
      <c r="O600" s="120"/>
      <c r="P600" s="120"/>
      <c r="Q600" s="120"/>
      <c r="R600" s="120"/>
      <c r="S600" s="120"/>
      <c r="T600" s="120"/>
      <c r="U600" s="120"/>
      <c r="V600" s="120"/>
      <c r="W600" s="120"/>
      <c r="X600" s="120"/>
      <c r="Y600" s="120"/>
      <c r="Z600" s="120"/>
      <c r="AA600" s="120"/>
      <c r="AB600" s="120"/>
      <c r="AC600" s="120"/>
      <c r="AD600" s="120"/>
    </row>
    <row r="601">
      <c r="A601" s="120"/>
      <c r="B601" s="120"/>
      <c r="C601" s="120"/>
      <c r="D601" s="120"/>
      <c r="E601" s="120"/>
      <c r="F601" s="120"/>
      <c r="G601" s="120"/>
      <c r="H601" s="120"/>
      <c r="I601" s="120"/>
      <c r="J601" s="120"/>
      <c r="K601" s="120"/>
      <c r="L601" s="120"/>
      <c r="M601" s="120"/>
      <c r="N601" s="120"/>
      <c r="O601" s="120"/>
      <c r="P601" s="120"/>
      <c r="Q601" s="120"/>
      <c r="R601" s="120"/>
      <c r="S601" s="120"/>
      <c r="T601" s="120"/>
      <c r="U601" s="120"/>
      <c r="V601" s="120"/>
      <c r="W601" s="120"/>
      <c r="X601" s="120"/>
      <c r="Y601" s="120"/>
      <c r="Z601" s="120"/>
      <c r="AA601" s="120"/>
      <c r="AB601" s="120"/>
      <c r="AC601" s="120"/>
      <c r="AD601" s="120"/>
    </row>
    <row r="602">
      <c r="A602" s="120"/>
      <c r="B602" s="120"/>
      <c r="C602" s="120"/>
      <c r="D602" s="120"/>
      <c r="E602" s="120"/>
      <c r="F602" s="120"/>
      <c r="G602" s="120"/>
      <c r="H602" s="120"/>
      <c r="I602" s="120"/>
      <c r="J602" s="120"/>
      <c r="K602" s="120"/>
      <c r="L602" s="120"/>
      <c r="M602" s="120"/>
      <c r="N602" s="120"/>
      <c r="O602" s="120"/>
      <c r="P602" s="120"/>
      <c r="Q602" s="120"/>
      <c r="R602" s="120"/>
      <c r="S602" s="120"/>
      <c r="T602" s="120"/>
      <c r="U602" s="120"/>
      <c r="V602" s="120"/>
      <c r="W602" s="120"/>
      <c r="X602" s="120"/>
      <c r="Y602" s="120"/>
      <c r="Z602" s="120"/>
      <c r="AA602" s="120"/>
      <c r="AB602" s="120"/>
      <c r="AC602" s="120"/>
      <c r="AD602" s="120"/>
    </row>
    <row r="603">
      <c r="A603" s="120"/>
      <c r="B603" s="120"/>
      <c r="C603" s="120"/>
      <c r="D603" s="120"/>
      <c r="E603" s="120"/>
      <c r="F603" s="120"/>
      <c r="G603" s="120"/>
      <c r="H603" s="120"/>
      <c r="I603" s="120"/>
      <c r="J603" s="120"/>
      <c r="K603" s="120"/>
      <c r="L603" s="120"/>
      <c r="M603" s="120"/>
      <c r="N603" s="120"/>
      <c r="O603" s="120"/>
      <c r="P603" s="120"/>
      <c r="Q603" s="120"/>
      <c r="R603" s="120"/>
      <c r="S603" s="120"/>
      <c r="T603" s="120"/>
      <c r="U603" s="120"/>
      <c r="V603" s="120"/>
      <c r="W603" s="120"/>
      <c r="X603" s="120"/>
      <c r="Y603" s="120"/>
      <c r="Z603" s="120"/>
      <c r="AA603" s="120"/>
      <c r="AB603" s="120"/>
      <c r="AC603" s="120"/>
      <c r="AD603" s="120"/>
    </row>
    <row r="604">
      <c r="A604" s="120"/>
      <c r="B604" s="120"/>
      <c r="C604" s="120"/>
      <c r="D604" s="120"/>
      <c r="E604" s="120"/>
      <c r="F604" s="120"/>
      <c r="G604" s="120"/>
      <c r="H604" s="120"/>
      <c r="I604" s="120"/>
      <c r="J604" s="120"/>
      <c r="K604" s="120"/>
      <c r="L604" s="120"/>
      <c r="M604" s="120"/>
      <c r="N604" s="120"/>
      <c r="O604" s="120"/>
      <c r="P604" s="120"/>
      <c r="Q604" s="120"/>
      <c r="R604" s="120"/>
      <c r="S604" s="120"/>
      <c r="T604" s="120"/>
      <c r="U604" s="120"/>
      <c r="V604" s="120"/>
      <c r="W604" s="120"/>
      <c r="X604" s="120"/>
      <c r="Y604" s="120"/>
      <c r="Z604" s="120"/>
      <c r="AA604" s="120"/>
      <c r="AB604" s="120"/>
      <c r="AC604" s="120"/>
      <c r="AD604" s="120"/>
    </row>
    <row r="605">
      <c r="A605" s="120"/>
      <c r="B605" s="120"/>
      <c r="C605" s="120"/>
      <c r="D605" s="120"/>
      <c r="E605" s="120"/>
      <c r="F605" s="120"/>
      <c r="G605" s="120"/>
      <c r="H605" s="120"/>
      <c r="I605" s="120"/>
      <c r="J605" s="120"/>
      <c r="K605" s="120"/>
      <c r="L605" s="120"/>
      <c r="M605" s="120"/>
      <c r="N605" s="120"/>
      <c r="O605" s="120"/>
      <c r="P605" s="120"/>
      <c r="Q605" s="120"/>
      <c r="R605" s="120"/>
      <c r="S605" s="120"/>
      <c r="T605" s="120"/>
      <c r="U605" s="120"/>
      <c r="V605" s="120"/>
      <c r="W605" s="120"/>
      <c r="X605" s="120"/>
      <c r="Y605" s="120"/>
      <c r="Z605" s="120"/>
      <c r="AA605" s="120"/>
      <c r="AB605" s="120"/>
      <c r="AC605" s="120"/>
      <c r="AD605" s="120"/>
    </row>
    <row r="606">
      <c r="A606" s="120"/>
      <c r="B606" s="120"/>
      <c r="C606" s="120"/>
      <c r="D606" s="120"/>
      <c r="E606" s="120"/>
      <c r="F606" s="120"/>
      <c r="G606" s="120"/>
      <c r="H606" s="120"/>
      <c r="I606" s="120"/>
      <c r="J606" s="120"/>
      <c r="K606" s="120"/>
      <c r="L606" s="120"/>
      <c r="M606" s="120"/>
      <c r="N606" s="120"/>
      <c r="O606" s="120"/>
      <c r="P606" s="120"/>
      <c r="Q606" s="120"/>
      <c r="R606" s="120"/>
      <c r="S606" s="120"/>
      <c r="T606" s="120"/>
      <c r="U606" s="120"/>
      <c r="V606" s="120"/>
      <c r="W606" s="120"/>
      <c r="X606" s="120"/>
      <c r="Y606" s="120"/>
      <c r="Z606" s="120"/>
      <c r="AA606" s="120"/>
      <c r="AB606" s="120"/>
      <c r="AC606" s="120"/>
      <c r="AD606" s="120"/>
    </row>
    <row r="607">
      <c r="A607" s="120"/>
      <c r="B607" s="120"/>
      <c r="C607" s="120"/>
      <c r="D607" s="120"/>
      <c r="E607" s="120"/>
      <c r="F607" s="120"/>
      <c r="G607" s="120"/>
      <c r="H607" s="120"/>
      <c r="I607" s="120"/>
      <c r="J607" s="120"/>
      <c r="K607" s="120"/>
      <c r="L607" s="120"/>
      <c r="M607" s="120"/>
      <c r="N607" s="120"/>
      <c r="O607" s="120"/>
      <c r="P607" s="120"/>
      <c r="Q607" s="120"/>
      <c r="R607" s="120"/>
      <c r="S607" s="120"/>
      <c r="T607" s="120"/>
      <c r="U607" s="120"/>
      <c r="V607" s="120"/>
      <c r="W607" s="120"/>
      <c r="X607" s="120"/>
      <c r="Y607" s="120"/>
      <c r="Z607" s="120"/>
      <c r="AA607" s="120"/>
      <c r="AB607" s="120"/>
      <c r="AC607" s="120"/>
      <c r="AD607" s="120"/>
    </row>
    <row r="608">
      <c r="A608" s="120"/>
      <c r="B608" s="120"/>
      <c r="C608" s="120"/>
      <c r="D608" s="120"/>
      <c r="E608" s="120"/>
      <c r="F608" s="120"/>
      <c r="G608" s="120"/>
      <c r="H608" s="120"/>
      <c r="I608" s="120"/>
      <c r="J608" s="120"/>
      <c r="K608" s="120"/>
      <c r="L608" s="120"/>
      <c r="M608" s="120"/>
      <c r="N608" s="120"/>
      <c r="O608" s="120"/>
      <c r="P608" s="120"/>
      <c r="Q608" s="120"/>
      <c r="R608" s="120"/>
      <c r="S608" s="120"/>
      <c r="T608" s="120"/>
      <c r="U608" s="120"/>
      <c r="V608" s="120"/>
      <c r="W608" s="120"/>
      <c r="X608" s="120"/>
      <c r="Y608" s="120"/>
      <c r="Z608" s="120"/>
      <c r="AA608" s="120"/>
      <c r="AB608" s="120"/>
      <c r="AC608" s="120"/>
      <c r="AD608" s="120"/>
    </row>
    <row r="609">
      <c r="A609" s="120"/>
      <c r="B609" s="120"/>
      <c r="C609" s="120"/>
      <c r="D609" s="120"/>
      <c r="E609" s="120"/>
      <c r="F609" s="120"/>
      <c r="G609" s="120"/>
      <c r="H609" s="120"/>
      <c r="I609" s="120"/>
      <c r="J609" s="120"/>
      <c r="K609" s="120"/>
      <c r="L609" s="120"/>
      <c r="M609" s="120"/>
      <c r="N609" s="120"/>
      <c r="O609" s="120"/>
      <c r="P609" s="120"/>
      <c r="Q609" s="120"/>
      <c r="R609" s="120"/>
      <c r="S609" s="120"/>
      <c r="T609" s="120"/>
      <c r="U609" s="120"/>
      <c r="V609" s="120"/>
      <c r="W609" s="120"/>
      <c r="X609" s="120"/>
      <c r="Y609" s="120"/>
      <c r="Z609" s="120"/>
      <c r="AA609" s="120"/>
      <c r="AB609" s="120"/>
      <c r="AC609" s="120"/>
      <c r="AD609" s="120"/>
    </row>
    <row r="610">
      <c r="A610" s="120"/>
      <c r="B610" s="120"/>
      <c r="C610" s="120"/>
      <c r="D610" s="120"/>
      <c r="E610" s="120"/>
      <c r="F610" s="120"/>
      <c r="G610" s="120"/>
      <c r="H610" s="120"/>
      <c r="I610" s="120"/>
      <c r="J610" s="120"/>
      <c r="K610" s="120"/>
      <c r="L610" s="120"/>
      <c r="M610" s="120"/>
      <c r="N610" s="120"/>
      <c r="O610" s="120"/>
      <c r="P610" s="120"/>
      <c r="Q610" s="120"/>
      <c r="R610" s="120"/>
      <c r="S610" s="120"/>
      <c r="T610" s="120"/>
      <c r="U610" s="120"/>
      <c r="V610" s="120"/>
      <c r="W610" s="120"/>
      <c r="X610" s="120"/>
      <c r="Y610" s="120"/>
      <c r="Z610" s="120"/>
      <c r="AA610" s="120"/>
      <c r="AB610" s="120"/>
      <c r="AC610" s="120"/>
      <c r="AD610" s="120"/>
    </row>
    <row r="611">
      <c r="A611" s="120"/>
      <c r="B611" s="120"/>
      <c r="C611" s="120"/>
      <c r="D611" s="120"/>
      <c r="E611" s="120"/>
      <c r="F611" s="120"/>
      <c r="G611" s="120"/>
      <c r="H611" s="120"/>
      <c r="I611" s="120"/>
      <c r="J611" s="120"/>
      <c r="K611" s="120"/>
      <c r="L611" s="120"/>
      <c r="M611" s="120"/>
      <c r="N611" s="120"/>
      <c r="O611" s="120"/>
      <c r="P611" s="120"/>
      <c r="Q611" s="120"/>
      <c r="R611" s="120"/>
      <c r="S611" s="120"/>
      <c r="T611" s="120"/>
      <c r="U611" s="120"/>
      <c r="V611" s="120"/>
      <c r="W611" s="120"/>
      <c r="X611" s="120"/>
      <c r="Y611" s="120"/>
      <c r="Z611" s="120"/>
      <c r="AA611" s="120"/>
      <c r="AB611" s="120"/>
      <c r="AC611" s="120"/>
      <c r="AD611" s="120"/>
    </row>
    <row r="612">
      <c r="A612" s="120"/>
      <c r="B612" s="120"/>
      <c r="C612" s="120"/>
      <c r="D612" s="120"/>
      <c r="E612" s="120"/>
      <c r="F612" s="120"/>
      <c r="G612" s="120"/>
      <c r="H612" s="120"/>
      <c r="I612" s="120"/>
      <c r="J612" s="120"/>
      <c r="K612" s="120"/>
      <c r="L612" s="120"/>
      <c r="M612" s="120"/>
      <c r="N612" s="120"/>
      <c r="O612" s="120"/>
      <c r="P612" s="120"/>
      <c r="Q612" s="120"/>
      <c r="R612" s="120"/>
      <c r="S612" s="120"/>
      <c r="T612" s="120"/>
      <c r="U612" s="120"/>
      <c r="V612" s="120"/>
      <c r="W612" s="120"/>
      <c r="X612" s="120"/>
      <c r="Y612" s="120"/>
      <c r="Z612" s="120"/>
      <c r="AA612" s="120"/>
      <c r="AB612" s="120"/>
      <c r="AC612" s="120"/>
      <c r="AD612" s="120"/>
    </row>
    <row r="613">
      <c r="A613" s="120"/>
      <c r="B613" s="120"/>
      <c r="C613" s="120"/>
      <c r="D613" s="120"/>
      <c r="E613" s="120"/>
      <c r="F613" s="120"/>
      <c r="G613" s="120"/>
      <c r="H613" s="120"/>
      <c r="I613" s="120"/>
      <c r="J613" s="120"/>
      <c r="K613" s="120"/>
      <c r="L613" s="120"/>
      <c r="M613" s="120"/>
      <c r="N613" s="120"/>
      <c r="O613" s="120"/>
      <c r="P613" s="120"/>
      <c r="Q613" s="120"/>
      <c r="R613" s="120"/>
      <c r="S613" s="120"/>
      <c r="T613" s="120"/>
      <c r="U613" s="120"/>
      <c r="V613" s="120"/>
      <c r="W613" s="120"/>
      <c r="X613" s="120"/>
      <c r="Y613" s="120"/>
      <c r="Z613" s="120"/>
      <c r="AA613" s="120"/>
      <c r="AB613" s="120"/>
      <c r="AC613" s="120"/>
      <c r="AD613" s="120"/>
    </row>
    <row r="614">
      <c r="A614" s="120"/>
      <c r="B614" s="120"/>
      <c r="C614" s="120"/>
      <c r="D614" s="120"/>
      <c r="E614" s="120"/>
      <c r="F614" s="120"/>
      <c r="G614" s="120"/>
      <c r="H614" s="120"/>
      <c r="I614" s="120"/>
      <c r="J614" s="120"/>
      <c r="K614" s="120"/>
      <c r="L614" s="120"/>
      <c r="M614" s="120"/>
      <c r="N614" s="120"/>
      <c r="O614" s="120"/>
      <c r="P614" s="120"/>
      <c r="Q614" s="120"/>
      <c r="R614" s="120"/>
      <c r="S614" s="120"/>
      <c r="T614" s="120"/>
      <c r="U614" s="120"/>
      <c r="V614" s="120"/>
      <c r="W614" s="120"/>
      <c r="X614" s="120"/>
      <c r="Y614" s="120"/>
      <c r="Z614" s="120"/>
      <c r="AA614" s="120"/>
      <c r="AB614" s="120"/>
      <c r="AC614" s="120"/>
      <c r="AD614" s="120"/>
    </row>
    <row r="615">
      <c r="A615" s="120"/>
      <c r="B615" s="120"/>
      <c r="C615" s="120"/>
      <c r="D615" s="120"/>
      <c r="E615" s="120"/>
      <c r="F615" s="120"/>
      <c r="G615" s="120"/>
      <c r="H615" s="120"/>
      <c r="I615" s="120"/>
      <c r="J615" s="120"/>
      <c r="K615" s="120"/>
      <c r="L615" s="120"/>
      <c r="M615" s="120"/>
      <c r="N615" s="120"/>
      <c r="O615" s="120"/>
      <c r="P615" s="120"/>
      <c r="Q615" s="120"/>
      <c r="R615" s="120"/>
      <c r="S615" s="120"/>
      <c r="T615" s="120"/>
      <c r="U615" s="120"/>
      <c r="V615" s="120"/>
      <c r="W615" s="120"/>
      <c r="X615" s="120"/>
      <c r="Y615" s="120"/>
      <c r="Z615" s="120"/>
      <c r="AA615" s="120"/>
      <c r="AB615" s="120"/>
      <c r="AC615" s="120"/>
      <c r="AD615" s="120"/>
    </row>
    <row r="616">
      <c r="A616" s="120"/>
      <c r="B616" s="120"/>
      <c r="C616" s="120"/>
      <c r="D616" s="120"/>
      <c r="E616" s="120"/>
      <c r="F616" s="120"/>
      <c r="G616" s="120"/>
      <c r="H616" s="120"/>
      <c r="I616" s="120"/>
      <c r="J616" s="120"/>
      <c r="K616" s="120"/>
      <c r="L616" s="120"/>
      <c r="M616" s="120"/>
      <c r="N616" s="120"/>
      <c r="O616" s="120"/>
      <c r="P616" s="120"/>
      <c r="Q616" s="120"/>
      <c r="R616" s="120"/>
      <c r="S616" s="120"/>
      <c r="T616" s="120"/>
      <c r="U616" s="120"/>
      <c r="V616" s="120"/>
      <c r="W616" s="120"/>
      <c r="X616" s="120"/>
      <c r="Y616" s="120"/>
      <c r="Z616" s="120"/>
      <c r="AA616" s="120"/>
      <c r="AB616" s="120"/>
      <c r="AC616" s="120"/>
      <c r="AD616" s="120"/>
    </row>
    <row r="617">
      <c r="A617" s="120"/>
      <c r="B617" s="120"/>
      <c r="C617" s="120"/>
      <c r="D617" s="120"/>
      <c r="E617" s="120"/>
      <c r="F617" s="120"/>
      <c r="G617" s="120"/>
      <c r="H617" s="120"/>
      <c r="I617" s="120"/>
      <c r="J617" s="120"/>
      <c r="K617" s="120"/>
      <c r="L617" s="120"/>
      <c r="M617" s="120"/>
      <c r="N617" s="120"/>
      <c r="O617" s="120"/>
      <c r="P617" s="120"/>
      <c r="Q617" s="120"/>
      <c r="R617" s="120"/>
      <c r="S617" s="120"/>
      <c r="T617" s="120"/>
      <c r="U617" s="120"/>
      <c r="V617" s="120"/>
      <c r="W617" s="120"/>
      <c r="X617" s="120"/>
      <c r="Y617" s="120"/>
      <c r="Z617" s="120"/>
      <c r="AA617" s="120"/>
      <c r="AB617" s="120"/>
      <c r="AC617" s="120"/>
      <c r="AD617" s="120"/>
    </row>
    <row r="618">
      <c r="A618" s="120"/>
      <c r="B618" s="120"/>
      <c r="C618" s="120"/>
      <c r="D618" s="120"/>
      <c r="E618" s="120"/>
      <c r="F618" s="120"/>
      <c r="G618" s="120"/>
      <c r="H618" s="120"/>
      <c r="I618" s="120"/>
      <c r="J618" s="120"/>
      <c r="K618" s="120"/>
      <c r="L618" s="120"/>
      <c r="M618" s="120"/>
      <c r="N618" s="120"/>
      <c r="O618" s="120"/>
      <c r="P618" s="120"/>
      <c r="Q618" s="120"/>
      <c r="R618" s="120"/>
      <c r="S618" s="120"/>
      <c r="T618" s="120"/>
      <c r="U618" s="120"/>
      <c r="V618" s="120"/>
      <c r="W618" s="120"/>
      <c r="X618" s="120"/>
      <c r="Y618" s="120"/>
      <c r="Z618" s="120"/>
      <c r="AA618" s="120"/>
      <c r="AB618" s="120"/>
      <c r="AC618" s="120"/>
      <c r="AD618" s="120"/>
    </row>
    <row r="619">
      <c r="A619" s="120"/>
      <c r="B619" s="120"/>
      <c r="C619" s="120"/>
      <c r="D619" s="120"/>
      <c r="E619" s="120"/>
      <c r="F619" s="120"/>
      <c r="G619" s="120"/>
      <c r="H619" s="120"/>
      <c r="I619" s="120"/>
      <c r="J619" s="120"/>
      <c r="K619" s="120"/>
      <c r="L619" s="120"/>
      <c r="M619" s="120"/>
      <c r="N619" s="120"/>
      <c r="O619" s="120"/>
      <c r="P619" s="120"/>
      <c r="Q619" s="120"/>
      <c r="R619" s="120"/>
      <c r="S619" s="120"/>
      <c r="T619" s="120"/>
      <c r="U619" s="120"/>
      <c r="V619" s="120"/>
      <c r="W619" s="120"/>
      <c r="X619" s="120"/>
      <c r="Y619" s="120"/>
      <c r="Z619" s="120"/>
      <c r="AA619" s="120"/>
      <c r="AB619" s="120"/>
      <c r="AC619" s="120"/>
      <c r="AD619" s="120"/>
    </row>
    <row r="620">
      <c r="A620" s="120"/>
      <c r="B620" s="120"/>
      <c r="C620" s="120"/>
      <c r="D620" s="120"/>
      <c r="E620" s="120"/>
      <c r="F620" s="120"/>
      <c r="G620" s="120"/>
      <c r="H620" s="120"/>
      <c r="I620" s="120"/>
      <c r="J620" s="120"/>
      <c r="K620" s="120"/>
      <c r="L620" s="120"/>
      <c r="M620" s="120"/>
      <c r="N620" s="120"/>
      <c r="O620" s="120"/>
      <c r="P620" s="120"/>
      <c r="Q620" s="120"/>
      <c r="R620" s="120"/>
      <c r="S620" s="120"/>
      <c r="T620" s="120"/>
      <c r="U620" s="120"/>
      <c r="V620" s="120"/>
      <c r="W620" s="120"/>
      <c r="X620" s="120"/>
      <c r="Y620" s="120"/>
      <c r="Z620" s="120"/>
      <c r="AA620" s="120"/>
      <c r="AB620" s="120"/>
      <c r="AC620" s="120"/>
      <c r="AD620" s="120"/>
    </row>
    <row r="621">
      <c r="A621" s="120"/>
      <c r="B621" s="120"/>
      <c r="C621" s="120"/>
      <c r="D621" s="120"/>
      <c r="E621" s="120"/>
      <c r="F621" s="120"/>
      <c r="G621" s="120"/>
      <c r="H621" s="120"/>
      <c r="I621" s="120"/>
      <c r="J621" s="120"/>
      <c r="K621" s="120"/>
      <c r="L621" s="120"/>
      <c r="M621" s="120"/>
      <c r="N621" s="120"/>
      <c r="O621" s="120"/>
      <c r="P621" s="120"/>
      <c r="Q621" s="120"/>
      <c r="R621" s="120"/>
      <c r="S621" s="120"/>
      <c r="T621" s="120"/>
      <c r="U621" s="120"/>
      <c r="V621" s="120"/>
      <c r="W621" s="120"/>
      <c r="X621" s="120"/>
      <c r="Y621" s="120"/>
      <c r="Z621" s="120"/>
      <c r="AA621" s="120"/>
      <c r="AB621" s="120"/>
      <c r="AC621" s="120"/>
      <c r="AD621" s="120"/>
    </row>
    <row r="622">
      <c r="A622" s="120"/>
      <c r="B622" s="120"/>
      <c r="C622" s="120"/>
      <c r="D622" s="120"/>
      <c r="E622" s="120"/>
      <c r="F622" s="120"/>
      <c r="G622" s="120"/>
      <c r="H622" s="120"/>
      <c r="I622" s="120"/>
      <c r="J622" s="120"/>
      <c r="K622" s="120"/>
      <c r="L622" s="120"/>
      <c r="M622" s="120"/>
      <c r="N622" s="120"/>
      <c r="O622" s="120"/>
      <c r="P622" s="120"/>
      <c r="Q622" s="120"/>
      <c r="R622" s="120"/>
      <c r="S622" s="120"/>
      <c r="T622" s="120"/>
      <c r="U622" s="120"/>
      <c r="V622" s="120"/>
      <c r="W622" s="120"/>
      <c r="X622" s="120"/>
      <c r="Y622" s="120"/>
      <c r="Z622" s="120"/>
      <c r="AA622" s="120"/>
      <c r="AB622" s="120"/>
      <c r="AC622" s="120"/>
      <c r="AD622" s="120"/>
    </row>
    <row r="623">
      <c r="A623" s="120"/>
      <c r="B623" s="120"/>
      <c r="C623" s="120"/>
      <c r="D623" s="120"/>
      <c r="E623" s="120"/>
      <c r="F623" s="120"/>
      <c r="G623" s="120"/>
      <c r="H623" s="120"/>
      <c r="I623" s="120"/>
      <c r="J623" s="120"/>
      <c r="K623" s="120"/>
      <c r="L623" s="120"/>
      <c r="M623" s="120"/>
      <c r="N623" s="120"/>
      <c r="O623" s="120"/>
      <c r="P623" s="120"/>
      <c r="Q623" s="120"/>
      <c r="R623" s="120"/>
      <c r="S623" s="120"/>
      <c r="T623" s="120"/>
      <c r="U623" s="120"/>
      <c r="V623" s="120"/>
      <c r="W623" s="120"/>
      <c r="X623" s="120"/>
      <c r="Y623" s="120"/>
      <c r="Z623" s="120"/>
      <c r="AA623" s="120"/>
      <c r="AB623" s="120"/>
      <c r="AC623" s="120"/>
      <c r="AD623" s="120"/>
    </row>
    <row r="624">
      <c r="A624" s="120"/>
      <c r="B624" s="120"/>
      <c r="C624" s="120"/>
      <c r="D624" s="120"/>
      <c r="E624" s="120"/>
      <c r="F624" s="120"/>
      <c r="G624" s="120"/>
      <c r="H624" s="120"/>
      <c r="I624" s="120"/>
      <c r="J624" s="120"/>
      <c r="K624" s="120"/>
      <c r="L624" s="120"/>
      <c r="M624" s="120"/>
      <c r="N624" s="120"/>
      <c r="O624" s="120"/>
      <c r="P624" s="120"/>
      <c r="Q624" s="120"/>
      <c r="R624" s="120"/>
      <c r="S624" s="120"/>
      <c r="T624" s="120"/>
      <c r="U624" s="120"/>
      <c r="V624" s="120"/>
      <c r="W624" s="120"/>
      <c r="X624" s="120"/>
      <c r="Y624" s="120"/>
      <c r="Z624" s="120"/>
      <c r="AA624" s="120"/>
      <c r="AB624" s="120"/>
      <c r="AC624" s="120"/>
      <c r="AD624" s="120"/>
    </row>
    <row r="625">
      <c r="A625" s="120"/>
      <c r="B625" s="120"/>
      <c r="C625" s="120"/>
      <c r="D625" s="120"/>
      <c r="E625" s="120"/>
      <c r="F625" s="120"/>
      <c r="G625" s="120"/>
      <c r="H625" s="120"/>
      <c r="I625" s="120"/>
      <c r="J625" s="120"/>
      <c r="K625" s="120"/>
      <c r="L625" s="120"/>
      <c r="M625" s="120"/>
      <c r="N625" s="120"/>
      <c r="O625" s="120"/>
      <c r="P625" s="120"/>
      <c r="Q625" s="120"/>
      <c r="R625" s="120"/>
      <c r="S625" s="120"/>
      <c r="T625" s="120"/>
      <c r="U625" s="120"/>
      <c r="V625" s="120"/>
      <c r="W625" s="120"/>
      <c r="X625" s="120"/>
      <c r="Y625" s="120"/>
      <c r="Z625" s="120"/>
      <c r="AA625" s="120"/>
      <c r="AB625" s="120"/>
      <c r="AC625" s="120"/>
      <c r="AD625" s="120"/>
    </row>
    <row r="626">
      <c r="A626" s="120"/>
      <c r="B626" s="120"/>
      <c r="C626" s="120"/>
      <c r="D626" s="120"/>
      <c r="E626" s="120"/>
      <c r="F626" s="120"/>
      <c r="G626" s="120"/>
      <c r="H626" s="120"/>
      <c r="I626" s="120"/>
      <c r="J626" s="120"/>
      <c r="K626" s="120"/>
      <c r="L626" s="120"/>
      <c r="M626" s="120"/>
      <c r="N626" s="120"/>
      <c r="O626" s="120"/>
      <c r="P626" s="120"/>
      <c r="Q626" s="120"/>
      <c r="R626" s="120"/>
      <c r="S626" s="120"/>
      <c r="T626" s="120"/>
      <c r="U626" s="120"/>
      <c r="V626" s="120"/>
      <c r="W626" s="120"/>
      <c r="X626" s="120"/>
      <c r="Y626" s="120"/>
      <c r="Z626" s="120"/>
      <c r="AA626" s="120"/>
      <c r="AB626" s="120"/>
      <c r="AC626" s="120"/>
      <c r="AD626" s="120"/>
    </row>
    <row r="627">
      <c r="A627" s="120"/>
      <c r="B627" s="120"/>
      <c r="C627" s="120"/>
      <c r="D627" s="120"/>
      <c r="E627" s="120"/>
      <c r="F627" s="120"/>
      <c r="G627" s="120"/>
      <c r="H627" s="120"/>
      <c r="I627" s="120"/>
      <c r="J627" s="120"/>
      <c r="K627" s="120"/>
      <c r="L627" s="120"/>
      <c r="M627" s="120"/>
      <c r="N627" s="120"/>
      <c r="O627" s="120"/>
      <c r="P627" s="120"/>
      <c r="Q627" s="120"/>
      <c r="R627" s="120"/>
      <c r="S627" s="120"/>
      <c r="T627" s="120"/>
      <c r="U627" s="120"/>
      <c r="V627" s="120"/>
      <c r="W627" s="120"/>
      <c r="X627" s="120"/>
      <c r="Y627" s="120"/>
      <c r="Z627" s="120"/>
      <c r="AA627" s="120"/>
      <c r="AB627" s="120"/>
      <c r="AC627" s="120"/>
      <c r="AD627" s="120"/>
    </row>
    <row r="628">
      <c r="A628" s="120"/>
      <c r="B628" s="120"/>
      <c r="C628" s="120"/>
      <c r="D628" s="120"/>
      <c r="E628" s="120"/>
      <c r="F628" s="120"/>
      <c r="G628" s="120"/>
      <c r="H628" s="120"/>
      <c r="I628" s="120"/>
      <c r="J628" s="120"/>
      <c r="K628" s="120"/>
      <c r="L628" s="120"/>
      <c r="M628" s="120"/>
      <c r="N628" s="120"/>
      <c r="O628" s="120"/>
      <c r="P628" s="120"/>
      <c r="Q628" s="120"/>
      <c r="R628" s="120"/>
      <c r="S628" s="120"/>
      <c r="T628" s="120"/>
      <c r="U628" s="120"/>
      <c r="V628" s="120"/>
      <c r="W628" s="120"/>
      <c r="X628" s="120"/>
      <c r="Y628" s="120"/>
      <c r="Z628" s="120"/>
      <c r="AA628" s="120"/>
      <c r="AB628" s="120"/>
      <c r="AC628" s="120"/>
      <c r="AD628" s="120"/>
    </row>
    <row r="629">
      <c r="A629" s="120"/>
      <c r="B629" s="120"/>
      <c r="C629" s="120"/>
      <c r="D629" s="120"/>
      <c r="E629" s="120"/>
      <c r="F629" s="120"/>
      <c r="G629" s="120"/>
      <c r="H629" s="120"/>
      <c r="I629" s="120"/>
      <c r="J629" s="120"/>
      <c r="K629" s="120"/>
      <c r="L629" s="120"/>
      <c r="M629" s="120"/>
      <c r="N629" s="120"/>
      <c r="O629" s="120"/>
      <c r="P629" s="120"/>
      <c r="Q629" s="120"/>
      <c r="R629" s="120"/>
      <c r="S629" s="120"/>
      <c r="T629" s="120"/>
      <c r="U629" s="120"/>
      <c r="V629" s="120"/>
      <c r="W629" s="120"/>
      <c r="X629" s="120"/>
      <c r="Y629" s="120"/>
      <c r="Z629" s="120"/>
      <c r="AA629" s="120"/>
      <c r="AB629" s="120"/>
      <c r="AC629" s="120"/>
      <c r="AD629" s="120"/>
    </row>
    <row r="630">
      <c r="A630" s="120"/>
      <c r="B630" s="120"/>
      <c r="C630" s="120"/>
      <c r="D630" s="120"/>
      <c r="E630" s="120"/>
      <c r="F630" s="120"/>
      <c r="G630" s="120"/>
      <c r="H630" s="120"/>
      <c r="I630" s="120"/>
      <c r="J630" s="120"/>
      <c r="K630" s="120"/>
      <c r="L630" s="120"/>
      <c r="M630" s="120"/>
      <c r="N630" s="120"/>
      <c r="O630" s="120"/>
      <c r="P630" s="120"/>
      <c r="Q630" s="120"/>
      <c r="R630" s="120"/>
      <c r="S630" s="120"/>
      <c r="T630" s="120"/>
      <c r="U630" s="120"/>
      <c r="V630" s="120"/>
      <c r="W630" s="120"/>
      <c r="X630" s="120"/>
      <c r="Y630" s="120"/>
      <c r="Z630" s="120"/>
      <c r="AA630" s="120"/>
      <c r="AB630" s="120"/>
      <c r="AC630" s="120"/>
      <c r="AD630" s="120"/>
    </row>
    <row r="631">
      <c r="A631" s="120"/>
      <c r="B631" s="120"/>
      <c r="C631" s="120"/>
      <c r="D631" s="120"/>
      <c r="E631" s="120"/>
      <c r="F631" s="120"/>
      <c r="G631" s="120"/>
      <c r="H631" s="120"/>
      <c r="I631" s="120"/>
      <c r="J631" s="120"/>
      <c r="K631" s="120"/>
      <c r="L631" s="120"/>
      <c r="M631" s="120"/>
      <c r="N631" s="120"/>
      <c r="O631" s="120"/>
      <c r="P631" s="120"/>
      <c r="Q631" s="120"/>
      <c r="R631" s="120"/>
      <c r="S631" s="120"/>
      <c r="T631" s="120"/>
      <c r="U631" s="120"/>
      <c r="V631" s="120"/>
      <c r="W631" s="120"/>
      <c r="X631" s="120"/>
      <c r="Y631" s="120"/>
      <c r="Z631" s="120"/>
      <c r="AA631" s="120"/>
      <c r="AB631" s="120"/>
      <c r="AC631" s="120"/>
      <c r="AD631" s="120"/>
    </row>
    <row r="632">
      <c r="A632" s="120"/>
      <c r="B632" s="120"/>
      <c r="C632" s="120"/>
      <c r="D632" s="120"/>
      <c r="E632" s="120"/>
      <c r="F632" s="120"/>
      <c r="G632" s="120"/>
      <c r="H632" s="120"/>
      <c r="I632" s="120"/>
      <c r="J632" s="120"/>
      <c r="K632" s="120"/>
      <c r="L632" s="120"/>
      <c r="M632" s="120"/>
      <c r="N632" s="120"/>
      <c r="O632" s="120"/>
      <c r="P632" s="120"/>
      <c r="Q632" s="120"/>
      <c r="R632" s="120"/>
      <c r="S632" s="120"/>
      <c r="T632" s="120"/>
      <c r="U632" s="120"/>
      <c r="V632" s="120"/>
      <c r="W632" s="120"/>
      <c r="X632" s="120"/>
      <c r="Y632" s="120"/>
      <c r="Z632" s="120"/>
      <c r="AA632" s="120"/>
      <c r="AB632" s="120"/>
      <c r="AC632" s="120"/>
      <c r="AD632" s="120"/>
    </row>
    <row r="633">
      <c r="A633" s="120"/>
      <c r="B633" s="120"/>
      <c r="C633" s="120"/>
      <c r="D633" s="120"/>
      <c r="E633" s="120"/>
      <c r="F633" s="120"/>
      <c r="G633" s="120"/>
      <c r="H633" s="120"/>
      <c r="I633" s="120"/>
      <c r="J633" s="120"/>
      <c r="K633" s="120"/>
      <c r="L633" s="120"/>
      <c r="M633" s="120"/>
      <c r="N633" s="120"/>
      <c r="O633" s="120"/>
      <c r="P633" s="120"/>
      <c r="Q633" s="120"/>
      <c r="R633" s="120"/>
      <c r="S633" s="120"/>
      <c r="T633" s="120"/>
      <c r="U633" s="120"/>
      <c r="V633" s="120"/>
      <c r="W633" s="120"/>
      <c r="X633" s="120"/>
      <c r="Y633" s="120"/>
      <c r="Z633" s="120"/>
      <c r="AA633" s="120"/>
      <c r="AB633" s="120"/>
      <c r="AC633" s="120"/>
      <c r="AD633" s="120"/>
    </row>
    <row r="634">
      <c r="A634" s="120"/>
      <c r="B634" s="120"/>
      <c r="C634" s="120"/>
      <c r="D634" s="120"/>
      <c r="E634" s="120"/>
      <c r="F634" s="120"/>
      <c r="G634" s="120"/>
      <c r="H634" s="120"/>
      <c r="I634" s="120"/>
      <c r="J634" s="120"/>
      <c r="K634" s="120"/>
      <c r="L634" s="120"/>
      <c r="M634" s="120"/>
      <c r="N634" s="120"/>
      <c r="O634" s="120"/>
      <c r="P634" s="120"/>
      <c r="Q634" s="120"/>
      <c r="R634" s="120"/>
      <c r="S634" s="120"/>
      <c r="T634" s="120"/>
      <c r="U634" s="120"/>
      <c r="V634" s="120"/>
      <c r="W634" s="120"/>
      <c r="X634" s="120"/>
      <c r="Y634" s="120"/>
      <c r="Z634" s="120"/>
      <c r="AA634" s="120"/>
      <c r="AB634" s="120"/>
      <c r="AC634" s="120"/>
      <c r="AD634" s="120"/>
    </row>
    <row r="635">
      <c r="A635" s="120"/>
      <c r="B635" s="120"/>
      <c r="C635" s="120"/>
      <c r="D635" s="120"/>
      <c r="E635" s="120"/>
      <c r="F635" s="120"/>
      <c r="G635" s="120"/>
      <c r="H635" s="120"/>
      <c r="I635" s="120"/>
      <c r="J635" s="120"/>
      <c r="K635" s="120"/>
      <c r="L635" s="120"/>
      <c r="M635" s="120"/>
      <c r="N635" s="120"/>
      <c r="O635" s="120"/>
      <c r="P635" s="120"/>
      <c r="Q635" s="120"/>
      <c r="R635" s="120"/>
      <c r="S635" s="120"/>
      <c r="T635" s="120"/>
      <c r="U635" s="120"/>
      <c r="V635" s="120"/>
      <c r="W635" s="120"/>
      <c r="X635" s="120"/>
      <c r="Y635" s="120"/>
      <c r="Z635" s="120"/>
      <c r="AA635" s="120"/>
      <c r="AB635" s="120"/>
      <c r="AC635" s="120"/>
      <c r="AD635" s="120"/>
    </row>
    <row r="636">
      <c r="A636" s="120"/>
      <c r="B636" s="120"/>
      <c r="C636" s="120"/>
      <c r="D636" s="120"/>
      <c r="E636" s="120"/>
      <c r="F636" s="120"/>
      <c r="G636" s="120"/>
      <c r="H636" s="120"/>
      <c r="I636" s="120"/>
      <c r="J636" s="120"/>
      <c r="K636" s="120"/>
      <c r="L636" s="120"/>
      <c r="M636" s="120"/>
      <c r="N636" s="120"/>
      <c r="O636" s="120"/>
      <c r="P636" s="120"/>
      <c r="Q636" s="120"/>
      <c r="R636" s="120"/>
      <c r="S636" s="120"/>
      <c r="T636" s="120"/>
      <c r="U636" s="120"/>
      <c r="V636" s="120"/>
      <c r="W636" s="120"/>
      <c r="X636" s="120"/>
      <c r="Y636" s="120"/>
      <c r="Z636" s="120"/>
      <c r="AA636" s="120"/>
      <c r="AB636" s="120"/>
      <c r="AC636" s="120"/>
      <c r="AD636" s="120"/>
    </row>
    <row r="637">
      <c r="A637" s="120"/>
      <c r="B637" s="120"/>
      <c r="C637" s="120"/>
      <c r="D637" s="120"/>
      <c r="E637" s="120"/>
      <c r="F637" s="120"/>
      <c r="G637" s="120"/>
      <c r="H637" s="120"/>
      <c r="I637" s="120"/>
      <c r="J637" s="120"/>
      <c r="K637" s="120"/>
      <c r="L637" s="120"/>
      <c r="M637" s="120"/>
      <c r="N637" s="120"/>
      <c r="O637" s="120"/>
      <c r="P637" s="120"/>
      <c r="Q637" s="120"/>
      <c r="R637" s="120"/>
      <c r="S637" s="120"/>
      <c r="T637" s="120"/>
      <c r="U637" s="120"/>
      <c r="V637" s="120"/>
      <c r="W637" s="120"/>
      <c r="X637" s="120"/>
      <c r="Y637" s="120"/>
      <c r="Z637" s="120"/>
      <c r="AA637" s="120"/>
      <c r="AB637" s="120"/>
      <c r="AC637" s="120"/>
      <c r="AD637" s="120"/>
    </row>
    <row r="638">
      <c r="A638" s="120"/>
      <c r="B638" s="120"/>
      <c r="C638" s="120"/>
      <c r="D638" s="120"/>
      <c r="E638" s="120"/>
      <c r="F638" s="120"/>
      <c r="G638" s="120"/>
      <c r="H638" s="120"/>
      <c r="I638" s="120"/>
      <c r="J638" s="120"/>
      <c r="K638" s="120"/>
      <c r="L638" s="120"/>
      <c r="M638" s="120"/>
      <c r="N638" s="120"/>
      <c r="O638" s="120"/>
      <c r="P638" s="120"/>
      <c r="Q638" s="120"/>
      <c r="R638" s="120"/>
      <c r="S638" s="120"/>
      <c r="T638" s="120"/>
      <c r="U638" s="120"/>
      <c r="V638" s="120"/>
      <c r="W638" s="120"/>
      <c r="X638" s="120"/>
      <c r="Y638" s="120"/>
      <c r="Z638" s="120"/>
      <c r="AA638" s="120"/>
      <c r="AB638" s="120"/>
      <c r="AC638" s="120"/>
      <c r="AD638" s="120"/>
    </row>
    <row r="639">
      <c r="A639" s="120"/>
      <c r="B639" s="120"/>
      <c r="C639" s="120"/>
      <c r="D639" s="120"/>
      <c r="E639" s="120"/>
      <c r="F639" s="120"/>
      <c r="G639" s="120"/>
      <c r="H639" s="120"/>
      <c r="I639" s="120"/>
      <c r="J639" s="120"/>
      <c r="K639" s="120"/>
      <c r="L639" s="120"/>
      <c r="M639" s="120"/>
      <c r="N639" s="120"/>
      <c r="O639" s="120"/>
      <c r="P639" s="120"/>
      <c r="Q639" s="120"/>
      <c r="R639" s="120"/>
      <c r="S639" s="120"/>
      <c r="T639" s="120"/>
      <c r="U639" s="120"/>
      <c r="V639" s="120"/>
      <c r="W639" s="120"/>
      <c r="X639" s="120"/>
      <c r="Y639" s="120"/>
      <c r="Z639" s="120"/>
      <c r="AA639" s="120"/>
      <c r="AB639" s="120"/>
      <c r="AC639" s="120"/>
      <c r="AD639" s="120"/>
    </row>
    <row r="640">
      <c r="A640" s="120"/>
      <c r="B640" s="120"/>
      <c r="C640" s="120"/>
      <c r="D640" s="120"/>
      <c r="E640" s="120"/>
      <c r="F640" s="120"/>
      <c r="G640" s="120"/>
      <c r="H640" s="120"/>
      <c r="I640" s="120"/>
      <c r="J640" s="120"/>
      <c r="K640" s="120"/>
      <c r="L640" s="120"/>
      <c r="M640" s="120"/>
      <c r="N640" s="120"/>
      <c r="O640" s="120"/>
      <c r="P640" s="120"/>
      <c r="Q640" s="120"/>
      <c r="R640" s="120"/>
      <c r="S640" s="120"/>
      <c r="T640" s="120"/>
      <c r="U640" s="120"/>
      <c r="V640" s="120"/>
      <c r="W640" s="120"/>
      <c r="X640" s="120"/>
      <c r="Y640" s="120"/>
      <c r="Z640" s="120"/>
      <c r="AA640" s="120"/>
      <c r="AB640" s="120"/>
      <c r="AC640" s="120"/>
      <c r="AD640" s="120"/>
    </row>
    <row r="641">
      <c r="A641" s="120"/>
      <c r="B641" s="120"/>
      <c r="C641" s="120"/>
      <c r="D641" s="120"/>
      <c r="E641" s="120"/>
      <c r="F641" s="120"/>
      <c r="G641" s="120"/>
      <c r="H641" s="120"/>
      <c r="I641" s="120"/>
      <c r="J641" s="120"/>
      <c r="K641" s="120"/>
      <c r="L641" s="120"/>
      <c r="M641" s="120"/>
      <c r="N641" s="120"/>
      <c r="O641" s="120"/>
      <c r="P641" s="120"/>
      <c r="Q641" s="120"/>
      <c r="R641" s="120"/>
      <c r="S641" s="120"/>
      <c r="T641" s="120"/>
      <c r="U641" s="120"/>
      <c r="V641" s="120"/>
      <c r="W641" s="120"/>
      <c r="X641" s="120"/>
      <c r="Y641" s="120"/>
      <c r="Z641" s="120"/>
      <c r="AA641" s="120"/>
      <c r="AB641" s="120"/>
      <c r="AC641" s="120"/>
      <c r="AD641" s="120"/>
    </row>
    <row r="642">
      <c r="A642" s="120"/>
      <c r="B642" s="120"/>
      <c r="C642" s="120"/>
      <c r="D642" s="120"/>
      <c r="E642" s="120"/>
      <c r="F642" s="120"/>
      <c r="G642" s="120"/>
      <c r="H642" s="120"/>
      <c r="I642" s="120"/>
      <c r="J642" s="120"/>
      <c r="K642" s="120"/>
      <c r="L642" s="120"/>
      <c r="M642" s="120"/>
      <c r="N642" s="120"/>
      <c r="O642" s="120"/>
      <c r="P642" s="120"/>
      <c r="Q642" s="120"/>
      <c r="R642" s="120"/>
      <c r="S642" s="120"/>
      <c r="T642" s="120"/>
      <c r="U642" s="120"/>
      <c r="V642" s="120"/>
      <c r="W642" s="120"/>
      <c r="X642" s="120"/>
      <c r="Y642" s="120"/>
      <c r="Z642" s="120"/>
      <c r="AA642" s="120"/>
      <c r="AB642" s="120"/>
      <c r="AC642" s="120"/>
      <c r="AD642" s="120"/>
    </row>
    <row r="643">
      <c r="A643" s="120"/>
      <c r="B643" s="120"/>
      <c r="C643" s="120"/>
      <c r="D643" s="120"/>
      <c r="E643" s="120"/>
      <c r="F643" s="120"/>
      <c r="G643" s="120"/>
      <c r="H643" s="120"/>
      <c r="I643" s="120"/>
      <c r="J643" s="120"/>
      <c r="K643" s="120"/>
      <c r="L643" s="120"/>
      <c r="M643" s="120"/>
      <c r="N643" s="120"/>
      <c r="O643" s="120"/>
      <c r="P643" s="120"/>
      <c r="Q643" s="120"/>
      <c r="R643" s="120"/>
      <c r="S643" s="120"/>
      <c r="T643" s="120"/>
      <c r="U643" s="120"/>
      <c r="V643" s="120"/>
      <c r="W643" s="120"/>
      <c r="X643" s="120"/>
      <c r="Y643" s="120"/>
      <c r="Z643" s="120"/>
      <c r="AA643" s="120"/>
      <c r="AB643" s="120"/>
      <c r="AC643" s="120"/>
      <c r="AD643" s="120"/>
    </row>
    <row r="644">
      <c r="A644" s="120"/>
      <c r="B644" s="120"/>
      <c r="C644" s="120"/>
      <c r="D644" s="120"/>
      <c r="E644" s="120"/>
      <c r="F644" s="120"/>
      <c r="G644" s="120"/>
      <c r="H644" s="120"/>
      <c r="I644" s="120"/>
      <c r="J644" s="120"/>
      <c r="K644" s="120"/>
      <c r="L644" s="120"/>
      <c r="M644" s="120"/>
      <c r="N644" s="120"/>
      <c r="O644" s="120"/>
      <c r="P644" s="120"/>
      <c r="Q644" s="120"/>
      <c r="R644" s="120"/>
      <c r="S644" s="120"/>
      <c r="T644" s="120"/>
      <c r="U644" s="120"/>
      <c r="V644" s="120"/>
      <c r="W644" s="120"/>
      <c r="X644" s="120"/>
      <c r="Y644" s="120"/>
      <c r="Z644" s="120"/>
      <c r="AA644" s="120"/>
      <c r="AB644" s="120"/>
      <c r="AC644" s="120"/>
      <c r="AD644" s="120"/>
    </row>
    <row r="645">
      <c r="A645" s="120"/>
      <c r="B645" s="120"/>
      <c r="C645" s="120"/>
      <c r="D645" s="120"/>
      <c r="E645" s="120"/>
      <c r="F645" s="120"/>
      <c r="G645" s="120"/>
      <c r="H645" s="120"/>
      <c r="I645" s="120"/>
      <c r="J645" s="120"/>
      <c r="K645" s="120"/>
      <c r="L645" s="120"/>
      <c r="M645" s="120"/>
      <c r="N645" s="120"/>
      <c r="O645" s="120"/>
      <c r="P645" s="120"/>
      <c r="Q645" s="120"/>
      <c r="R645" s="120"/>
      <c r="S645" s="120"/>
      <c r="T645" s="120"/>
      <c r="U645" s="120"/>
      <c r="V645" s="120"/>
      <c r="W645" s="120"/>
      <c r="X645" s="120"/>
      <c r="Y645" s="120"/>
      <c r="Z645" s="120"/>
      <c r="AA645" s="120"/>
      <c r="AB645" s="120"/>
      <c r="AC645" s="120"/>
      <c r="AD645" s="120"/>
    </row>
    <row r="646">
      <c r="A646" s="120"/>
      <c r="B646" s="120"/>
      <c r="C646" s="120"/>
      <c r="D646" s="120"/>
      <c r="E646" s="120"/>
      <c r="F646" s="120"/>
      <c r="G646" s="120"/>
      <c r="H646" s="120"/>
      <c r="I646" s="120"/>
      <c r="J646" s="120"/>
      <c r="K646" s="120"/>
      <c r="L646" s="120"/>
      <c r="M646" s="120"/>
      <c r="N646" s="120"/>
      <c r="O646" s="120"/>
      <c r="P646" s="120"/>
      <c r="Q646" s="120"/>
      <c r="R646" s="120"/>
      <c r="S646" s="120"/>
      <c r="T646" s="120"/>
      <c r="U646" s="120"/>
      <c r="V646" s="120"/>
      <c r="W646" s="120"/>
      <c r="X646" s="120"/>
      <c r="Y646" s="120"/>
      <c r="Z646" s="120"/>
      <c r="AA646" s="120"/>
      <c r="AB646" s="120"/>
      <c r="AC646" s="120"/>
      <c r="AD646" s="120"/>
    </row>
    <row r="647">
      <c r="A647" s="120"/>
      <c r="B647" s="120"/>
      <c r="C647" s="120"/>
      <c r="D647" s="120"/>
      <c r="E647" s="120"/>
      <c r="F647" s="120"/>
      <c r="G647" s="120"/>
      <c r="H647" s="120"/>
      <c r="I647" s="120"/>
      <c r="J647" s="120"/>
      <c r="K647" s="120"/>
      <c r="L647" s="120"/>
      <c r="M647" s="120"/>
      <c r="N647" s="120"/>
      <c r="O647" s="120"/>
      <c r="P647" s="120"/>
      <c r="Q647" s="120"/>
      <c r="R647" s="120"/>
      <c r="S647" s="120"/>
      <c r="T647" s="120"/>
      <c r="U647" s="120"/>
      <c r="V647" s="120"/>
      <c r="W647" s="120"/>
      <c r="X647" s="120"/>
      <c r="Y647" s="120"/>
      <c r="Z647" s="120"/>
      <c r="AA647" s="120"/>
      <c r="AB647" s="120"/>
      <c r="AC647" s="120"/>
      <c r="AD647" s="120"/>
    </row>
    <row r="648">
      <c r="A648" s="120"/>
      <c r="B648" s="120"/>
      <c r="C648" s="120"/>
      <c r="D648" s="120"/>
      <c r="E648" s="120"/>
      <c r="F648" s="120"/>
      <c r="G648" s="120"/>
      <c r="H648" s="120"/>
      <c r="I648" s="120"/>
      <c r="J648" s="120"/>
      <c r="K648" s="120"/>
      <c r="L648" s="120"/>
      <c r="M648" s="120"/>
      <c r="N648" s="120"/>
      <c r="O648" s="120"/>
      <c r="P648" s="120"/>
      <c r="Q648" s="120"/>
      <c r="R648" s="120"/>
      <c r="S648" s="120"/>
      <c r="T648" s="120"/>
      <c r="U648" s="120"/>
      <c r="V648" s="120"/>
      <c r="W648" s="120"/>
      <c r="X648" s="120"/>
      <c r="Y648" s="120"/>
      <c r="Z648" s="120"/>
      <c r="AA648" s="120"/>
      <c r="AB648" s="120"/>
      <c r="AC648" s="120"/>
      <c r="AD648" s="120"/>
    </row>
    <row r="649">
      <c r="A649" s="120"/>
      <c r="B649" s="120"/>
      <c r="C649" s="120"/>
      <c r="D649" s="120"/>
      <c r="E649" s="120"/>
      <c r="F649" s="120"/>
      <c r="G649" s="120"/>
      <c r="H649" s="120"/>
      <c r="I649" s="120"/>
      <c r="J649" s="120"/>
      <c r="K649" s="120"/>
      <c r="L649" s="120"/>
      <c r="M649" s="120"/>
      <c r="N649" s="120"/>
      <c r="O649" s="120"/>
      <c r="P649" s="120"/>
      <c r="Q649" s="120"/>
      <c r="R649" s="120"/>
      <c r="S649" s="120"/>
      <c r="T649" s="120"/>
      <c r="U649" s="120"/>
      <c r="V649" s="120"/>
      <c r="W649" s="120"/>
      <c r="X649" s="120"/>
      <c r="Y649" s="120"/>
      <c r="Z649" s="120"/>
      <c r="AA649" s="120"/>
      <c r="AB649" s="120"/>
      <c r="AC649" s="120"/>
      <c r="AD649" s="120"/>
    </row>
    <row r="650">
      <c r="A650" s="120"/>
      <c r="B650" s="120"/>
      <c r="C650" s="120"/>
      <c r="D650" s="120"/>
      <c r="E650" s="120"/>
      <c r="F650" s="120"/>
      <c r="G650" s="120"/>
      <c r="H650" s="120"/>
      <c r="I650" s="120"/>
      <c r="J650" s="120"/>
      <c r="K650" s="120"/>
      <c r="L650" s="120"/>
      <c r="M650" s="120"/>
      <c r="N650" s="120"/>
      <c r="O650" s="120"/>
      <c r="P650" s="120"/>
      <c r="Q650" s="120"/>
      <c r="R650" s="120"/>
      <c r="S650" s="120"/>
      <c r="T650" s="120"/>
      <c r="U650" s="120"/>
      <c r="V650" s="120"/>
      <c r="W650" s="120"/>
      <c r="X650" s="120"/>
      <c r="Y650" s="120"/>
      <c r="Z650" s="120"/>
      <c r="AA650" s="120"/>
      <c r="AB650" s="120"/>
      <c r="AC650" s="120"/>
      <c r="AD650" s="120"/>
    </row>
    <row r="651">
      <c r="A651" s="120"/>
      <c r="B651" s="120"/>
      <c r="C651" s="120"/>
      <c r="D651" s="120"/>
      <c r="E651" s="120"/>
      <c r="F651" s="120"/>
      <c r="G651" s="120"/>
      <c r="H651" s="120"/>
      <c r="I651" s="120"/>
      <c r="J651" s="120"/>
      <c r="K651" s="120"/>
      <c r="L651" s="120"/>
      <c r="M651" s="120"/>
      <c r="N651" s="120"/>
      <c r="O651" s="120"/>
      <c r="P651" s="120"/>
      <c r="Q651" s="120"/>
      <c r="R651" s="120"/>
      <c r="S651" s="120"/>
      <c r="T651" s="120"/>
      <c r="U651" s="120"/>
      <c r="V651" s="120"/>
      <c r="W651" s="120"/>
      <c r="X651" s="120"/>
      <c r="Y651" s="120"/>
      <c r="Z651" s="120"/>
      <c r="AA651" s="120"/>
      <c r="AB651" s="120"/>
      <c r="AC651" s="120"/>
      <c r="AD651" s="120"/>
    </row>
    <row r="652">
      <c r="A652" s="120"/>
      <c r="B652" s="120"/>
      <c r="C652" s="120"/>
      <c r="D652" s="120"/>
      <c r="E652" s="120"/>
      <c r="F652" s="120"/>
      <c r="G652" s="120"/>
      <c r="H652" s="120"/>
      <c r="I652" s="120"/>
      <c r="J652" s="120"/>
      <c r="K652" s="120"/>
      <c r="L652" s="120"/>
      <c r="M652" s="120"/>
      <c r="N652" s="120"/>
      <c r="O652" s="120"/>
      <c r="P652" s="120"/>
      <c r="Q652" s="120"/>
      <c r="R652" s="120"/>
      <c r="S652" s="120"/>
      <c r="T652" s="120"/>
      <c r="U652" s="120"/>
      <c r="V652" s="120"/>
      <c r="W652" s="120"/>
      <c r="X652" s="120"/>
      <c r="Y652" s="120"/>
      <c r="Z652" s="120"/>
      <c r="AA652" s="120"/>
      <c r="AB652" s="120"/>
      <c r="AC652" s="120"/>
      <c r="AD652" s="120"/>
    </row>
    <row r="653">
      <c r="A653" s="120"/>
      <c r="B653" s="120"/>
      <c r="C653" s="120"/>
      <c r="D653" s="120"/>
      <c r="E653" s="120"/>
      <c r="F653" s="120"/>
      <c r="G653" s="120"/>
      <c r="H653" s="120"/>
      <c r="I653" s="120"/>
      <c r="J653" s="120"/>
      <c r="K653" s="120"/>
      <c r="L653" s="120"/>
      <c r="M653" s="120"/>
      <c r="N653" s="120"/>
      <c r="O653" s="120"/>
      <c r="P653" s="120"/>
      <c r="Q653" s="120"/>
      <c r="R653" s="120"/>
      <c r="S653" s="120"/>
      <c r="T653" s="120"/>
      <c r="U653" s="120"/>
      <c r="V653" s="120"/>
      <c r="W653" s="120"/>
      <c r="X653" s="120"/>
      <c r="Y653" s="120"/>
      <c r="Z653" s="120"/>
      <c r="AA653" s="120"/>
      <c r="AB653" s="120"/>
      <c r="AC653" s="120"/>
      <c r="AD653" s="120"/>
    </row>
    <row r="654">
      <c r="A654" s="120"/>
      <c r="B654" s="120"/>
      <c r="C654" s="120"/>
      <c r="D654" s="120"/>
      <c r="E654" s="120"/>
      <c r="F654" s="120"/>
      <c r="G654" s="120"/>
      <c r="H654" s="120"/>
      <c r="I654" s="120"/>
      <c r="J654" s="120"/>
      <c r="K654" s="120"/>
      <c r="L654" s="120"/>
      <c r="M654" s="120"/>
      <c r="N654" s="120"/>
      <c r="O654" s="120"/>
      <c r="P654" s="120"/>
      <c r="Q654" s="120"/>
      <c r="R654" s="120"/>
      <c r="S654" s="120"/>
      <c r="T654" s="120"/>
      <c r="U654" s="120"/>
      <c r="V654" s="120"/>
      <c r="W654" s="120"/>
      <c r="X654" s="120"/>
      <c r="Y654" s="120"/>
      <c r="Z654" s="120"/>
      <c r="AA654" s="120"/>
      <c r="AB654" s="120"/>
      <c r="AC654" s="120"/>
      <c r="AD654" s="120"/>
    </row>
    <row r="655">
      <c r="A655" s="120"/>
      <c r="B655" s="120"/>
      <c r="C655" s="120"/>
      <c r="D655" s="120"/>
      <c r="E655" s="120"/>
      <c r="F655" s="120"/>
      <c r="G655" s="120"/>
      <c r="H655" s="120"/>
      <c r="I655" s="120"/>
      <c r="J655" s="120"/>
      <c r="K655" s="120"/>
      <c r="L655" s="120"/>
      <c r="M655" s="120"/>
      <c r="N655" s="120"/>
      <c r="O655" s="120"/>
      <c r="P655" s="120"/>
      <c r="Q655" s="120"/>
      <c r="R655" s="120"/>
      <c r="S655" s="120"/>
      <c r="T655" s="120"/>
      <c r="U655" s="120"/>
      <c r="V655" s="120"/>
      <c r="W655" s="120"/>
      <c r="X655" s="120"/>
      <c r="Y655" s="120"/>
      <c r="Z655" s="120"/>
      <c r="AA655" s="120"/>
      <c r="AB655" s="120"/>
      <c r="AC655" s="120"/>
      <c r="AD655" s="120"/>
    </row>
    <row r="656">
      <c r="A656" s="120"/>
      <c r="B656" s="120"/>
      <c r="C656" s="120"/>
      <c r="D656" s="120"/>
      <c r="E656" s="120"/>
      <c r="F656" s="120"/>
      <c r="G656" s="120"/>
      <c r="H656" s="120"/>
      <c r="I656" s="120"/>
      <c r="J656" s="120"/>
      <c r="K656" s="120"/>
      <c r="L656" s="120"/>
      <c r="M656" s="120"/>
      <c r="N656" s="120"/>
      <c r="O656" s="120"/>
      <c r="P656" s="120"/>
      <c r="Q656" s="120"/>
      <c r="R656" s="120"/>
      <c r="S656" s="120"/>
      <c r="T656" s="120"/>
      <c r="U656" s="120"/>
      <c r="V656" s="120"/>
      <c r="W656" s="120"/>
      <c r="X656" s="120"/>
      <c r="Y656" s="120"/>
      <c r="Z656" s="120"/>
      <c r="AA656" s="120"/>
      <c r="AB656" s="120"/>
      <c r="AC656" s="120"/>
      <c r="AD656" s="120"/>
    </row>
    <row r="657">
      <c r="A657" s="120"/>
      <c r="B657" s="120"/>
      <c r="C657" s="120"/>
      <c r="D657" s="120"/>
      <c r="E657" s="120"/>
      <c r="F657" s="120"/>
      <c r="G657" s="120"/>
      <c r="H657" s="120"/>
      <c r="I657" s="120"/>
      <c r="J657" s="120"/>
      <c r="K657" s="120"/>
      <c r="L657" s="120"/>
      <c r="M657" s="120"/>
      <c r="N657" s="120"/>
      <c r="O657" s="120"/>
      <c r="P657" s="120"/>
      <c r="Q657" s="120"/>
      <c r="R657" s="120"/>
      <c r="S657" s="120"/>
      <c r="T657" s="120"/>
      <c r="U657" s="120"/>
      <c r="V657" s="120"/>
      <c r="W657" s="120"/>
      <c r="X657" s="120"/>
      <c r="Y657" s="120"/>
      <c r="Z657" s="120"/>
      <c r="AA657" s="120"/>
      <c r="AB657" s="120"/>
      <c r="AC657" s="120"/>
      <c r="AD657" s="120"/>
    </row>
    <row r="658">
      <c r="A658" s="120"/>
      <c r="B658" s="120"/>
      <c r="C658" s="120"/>
      <c r="D658" s="120"/>
      <c r="E658" s="120"/>
      <c r="F658" s="120"/>
      <c r="G658" s="120"/>
      <c r="H658" s="120"/>
      <c r="I658" s="120"/>
      <c r="J658" s="120"/>
      <c r="K658" s="120"/>
      <c r="L658" s="120"/>
      <c r="M658" s="120"/>
      <c r="N658" s="120"/>
      <c r="O658" s="120"/>
      <c r="P658" s="120"/>
      <c r="Q658" s="120"/>
      <c r="R658" s="120"/>
      <c r="S658" s="120"/>
      <c r="T658" s="120"/>
      <c r="U658" s="120"/>
      <c r="V658" s="120"/>
      <c r="W658" s="120"/>
      <c r="X658" s="120"/>
      <c r="Y658" s="120"/>
      <c r="Z658" s="120"/>
      <c r="AA658" s="120"/>
      <c r="AB658" s="120"/>
      <c r="AC658" s="120"/>
      <c r="AD658" s="120"/>
    </row>
    <row r="659">
      <c r="A659" s="120"/>
      <c r="B659" s="120"/>
      <c r="C659" s="120"/>
      <c r="D659" s="120"/>
      <c r="E659" s="120"/>
      <c r="F659" s="120"/>
      <c r="G659" s="120"/>
      <c r="H659" s="120"/>
      <c r="I659" s="120"/>
      <c r="J659" s="120"/>
      <c r="K659" s="120"/>
      <c r="L659" s="120"/>
      <c r="M659" s="120"/>
      <c r="N659" s="120"/>
      <c r="O659" s="120"/>
      <c r="P659" s="120"/>
      <c r="Q659" s="120"/>
      <c r="R659" s="120"/>
      <c r="S659" s="120"/>
      <c r="T659" s="120"/>
      <c r="U659" s="120"/>
      <c r="V659" s="120"/>
      <c r="W659" s="120"/>
      <c r="X659" s="120"/>
      <c r="Y659" s="120"/>
      <c r="Z659" s="120"/>
      <c r="AA659" s="120"/>
      <c r="AB659" s="120"/>
      <c r="AC659" s="120"/>
      <c r="AD659" s="120"/>
    </row>
    <row r="660">
      <c r="A660" s="120"/>
      <c r="B660" s="120"/>
      <c r="C660" s="120"/>
      <c r="D660" s="120"/>
      <c r="E660" s="120"/>
      <c r="F660" s="120"/>
      <c r="G660" s="120"/>
      <c r="H660" s="120"/>
      <c r="I660" s="120"/>
      <c r="J660" s="120"/>
      <c r="K660" s="120"/>
      <c r="L660" s="120"/>
      <c r="M660" s="120"/>
      <c r="N660" s="120"/>
      <c r="O660" s="120"/>
      <c r="P660" s="120"/>
      <c r="Q660" s="120"/>
      <c r="R660" s="120"/>
      <c r="S660" s="120"/>
      <c r="T660" s="120"/>
      <c r="U660" s="120"/>
      <c r="V660" s="120"/>
      <c r="W660" s="120"/>
      <c r="X660" s="120"/>
      <c r="Y660" s="120"/>
      <c r="Z660" s="120"/>
      <c r="AA660" s="120"/>
      <c r="AB660" s="120"/>
      <c r="AC660" s="120"/>
      <c r="AD660" s="120"/>
    </row>
    <row r="661">
      <c r="A661" s="120"/>
      <c r="B661" s="120"/>
      <c r="C661" s="120"/>
      <c r="D661" s="120"/>
      <c r="E661" s="120"/>
      <c r="F661" s="120"/>
      <c r="G661" s="120"/>
      <c r="H661" s="120"/>
      <c r="I661" s="120"/>
      <c r="J661" s="120"/>
      <c r="K661" s="120"/>
      <c r="L661" s="120"/>
      <c r="M661" s="120"/>
      <c r="N661" s="120"/>
      <c r="O661" s="120"/>
      <c r="P661" s="120"/>
      <c r="Q661" s="120"/>
      <c r="R661" s="120"/>
      <c r="S661" s="120"/>
      <c r="T661" s="120"/>
      <c r="U661" s="120"/>
      <c r="V661" s="120"/>
      <c r="W661" s="120"/>
      <c r="X661" s="120"/>
      <c r="Y661" s="120"/>
      <c r="Z661" s="120"/>
      <c r="AA661" s="120"/>
      <c r="AB661" s="120"/>
      <c r="AC661" s="120"/>
      <c r="AD661" s="120"/>
    </row>
    <row r="662">
      <c r="A662" s="120"/>
      <c r="B662" s="120"/>
      <c r="C662" s="120"/>
      <c r="D662" s="120"/>
      <c r="E662" s="120"/>
      <c r="F662" s="120"/>
      <c r="G662" s="120"/>
      <c r="H662" s="120"/>
      <c r="I662" s="120"/>
      <c r="J662" s="120"/>
      <c r="K662" s="120"/>
      <c r="L662" s="120"/>
      <c r="M662" s="120"/>
      <c r="N662" s="120"/>
      <c r="O662" s="120"/>
      <c r="P662" s="120"/>
      <c r="Q662" s="120"/>
      <c r="R662" s="120"/>
      <c r="S662" s="120"/>
      <c r="T662" s="120"/>
      <c r="U662" s="120"/>
      <c r="V662" s="120"/>
      <c r="W662" s="120"/>
      <c r="X662" s="120"/>
      <c r="Y662" s="120"/>
      <c r="Z662" s="120"/>
      <c r="AA662" s="120"/>
      <c r="AB662" s="120"/>
      <c r="AC662" s="120"/>
      <c r="AD662" s="120"/>
    </row>
    <row r="663">
      <c r="A663" s="120"/>
      <c r="B663" s="120"/>
      <c r="C663" s="120"/>
      <c r="D663" s="120"/>
      <c r="E663" s="120"/>
      <c r="F663" s="120"/>
      <c r="G663" s="120"/>
      <c r="H663" s="120"/>
      <c r="I663" s="120"/>
      <c r="J663" s="120"/>
      <c r="K663" s="120"/>
      <c r="L663" s="120"/>
      <c r="M663" s="120"/>
      <c r="N663" s="120"/>
      <c r="O663" s="120"/>
      <c r="P663" s="120"/>
      <c r="Q663" s="120"/>
      <c r="R663" s="120"/>
      <c r="S663" s="120"/>
      <c r="T663" s="120"/>
      <c r="U663" s="120"/>
      <c r="V663" s="120"/>
      <c r="W663" s="120"/>
      <c r="X663" s="120"/>
      <c r="Y663" s="120"/>
      <c r="Z663" s="120"/>
      <c r="AA663" s="120"/>
      <c r="AB663" s="120"/>
      <c r="AC663" s="120"/>
      <c r="AD663" s="120"/>
    </row>
    <row r="664">
      <c r="A664" s="120"/>
      <c r="B664" s="120"/>
      <c r="C664" s="120"/>
      <c r="D664" s="120"/>
      <c r="E664" s="120"/>
      <c r="F664" s="120"/>
      <c r="G664" s="120"/>
      <c r="H664" s="120"/>
      <c r="I664" s="120"/>
      <c r="J664" s="120"/>
      <c r="K664" s="120"/>
      <c r="L664" s="120"/>
      <c r="M664" s="120"/>
      <c r="N664" s="120"/>
      <c r="O664" s="120"/>
      <c r="P664" s="120"/>
      <c r="Q664" s="120"/>
      <c r="R664" s="120"/>
      <c r="S664" s="120"/>
      <c r="T664" s="120"/>
      <c r="U664" s="120"/>
      <c r="V664" s="120"/>
      <c r="W664" s="120"/>
      <c r="X664" s="120"/>
      <c r="Y664" s="120"/>
      <c r="Z664" s="120"/>
      <c r="AA664" s="120"/>
      <c r="AB664" s="120"/>
      <c r="AC664" s="120"/>
      <c r="AD664" s="120"/>
    </row>
    <row r="665">
      <c r="A665" s="120"/>
      <c r="B665" s="120"/>
      <c r="C665" s="120"/>
      <c r="D665" s="120"/>
      <c r="E665" s="120"/>
      <c r="F665" s="120"/>
      <c r="G665" s="120"/>
      <c r="H665" s="120"/>
      <c r="I665" s="120"/>
      <c r="J665" s="120"/>
      <c r="K665" s="120"/>
      <c r="L665" s="120"/>
      <c r="M665" s="120"/>
      <c r="N665" s="120"/>
      <c r="O665" s="120"/>
      <c r="P665" s="120"/>
      <c r="Q665" s="120"/>
      <c r="R665" s="120"/>
      <c r="S665" s="120"/>
      <c r="T665" s="120"/>
      <c r="U665" s="120"/>
      <c r="V665" s="120"/>
      <c r="W665" s="120"/>
      <c r="X665" s="120"/>
      <c r="Y665" s="120"/>
      <c r="Z665" s="120"/>
      <c r="AA665" s="120"/>
      <c r="AB665" s="120"/>
      <c r="AC665" s="120"/>
      <c r="AD665" s="120"/>
    </row>
    <row r="666">
      <c r="A666" s="120"/>
      <c r="B666" s="120"/>
      <c r="C666" s="120"/>
      <c r="D666" s="120"/>
      <c r="E666" s="120"/>
      <c r="F666" s="120"/>
      <c r="G666" s="120"/>
      <c r="H666" s="120"/>
      <c r="I666" s="120"/>
      <c r="J666" s="120"/>
      <c r="K666" s="120"/>
      <c r="L666" s="120"/>
      <c r="M666" s="120"/>
      <c r="N666" s="120"/>
      <c r="O666" s="120"/>
      <c r="P666" s="120"/>
      <c r="Q666" s="120"/>
      <c r="R666" s="120"/>
      <c r="S666" s="120"/>
      <c r="T666" s="120"/>
      <c r="U666" s="120"/>
      <c r="V666" s="120"/>
      <c r="W666" s="120"/>
      <c r="X666" s="120"/>
      <c r="Y666" s="120"/>
      <c r="Z666" s="120"/>
      <c r="AA666" s="120"/>
      <c r="AB666" s="120"/>
      <c r="AC666" s="120"/>
      <c r="AD666" s="120"/>
    </row>
    <row r="667">
      <c r="A667" s="120"/>
      <c r="B667" s="120"/>
      <c r="C667" s="120"/>
      <c r="D667" s="120"/>
      <c r="E667" s="120"/>
      <c r="F667" s="120"/>
      <c r="G667" s="120"/>
      <c r="H667" s="120"/>
      <c r="I667" s="120"/>
      <c r="J667" s="120"/>
      <c r="K667" s="120"/>
      <c r="L667" s="120"/>
      <c r="M667" s="120"/>
      <c r="N667" s="120"/>
      <c r="O667" s="120"/>
      <c r="P667" s="120"/>
      <c r="Q667" s="120"/>
      <c r="R667" s="120"/>
      <c r="S667" s="120"/>
      <c r="T667" s="120"/>
      <c r="U667" s="120"/>
      <c r="V667" s="120"/>
      <c r="W667" s="120"/>
      <c r="X667" s="120"/>
      <c r="Y667" s="120"/>
      <c r="Z667" s="120"/>
      <c r="AA667" s="120"/>
      <c r="AB667" s="120"/>
      <c r="AC667" s="120"/>
      <c r="AD667" s="120"/>
    </row>
    <row r="668">
      <c r="A668" s="120"/>
      <c r="B668" s="120"/>
      <c r="C668" s="120"/>
      <c r="D668" s="120"/>
      <c r="E668" s="120"/>
      <c r="F668" s="120"/>
      <c r="G668" s="120"/>
      <c r="H668" s="120"/>
      <c r="I668" s="120"/>
      <c r="J668" s="120"/>
      <c r="K668" s="120"/>
      <c r="L668" s="120"/>
      <c r="M668" s="120"/>
      <c r="N668" s="120"/>
      <c r="O668" s="120"/>
      <c r="P668" s="120"/>
      <c r="Q668" s="120"/>
      <c r="R668" s="120"/>
      <c r="S668" s="120"/>
      <c r="T668" s="120"/>
      <c r="U668" s="120"/>
      <c r="V668" s="120"/>
      <c r="W668" s="120"/>
      <c r="X668" s="120"/>
      <c r="Y668" s="120"/>
      <c r="Z668" s="120"/>
      <c r="AA668" s="120"/>
      <c r="AB668" s="120"/>
      <c r="AC668" s="120"/>
      <c r="AD668" s="120"/>
    </row>
    <row r="669">
      <c r="A669" s="120"/>
      <c r="B669" s="120"/>
      <c r="C669" s="120"/>
      <c r="D669" s="120"/>
      <c r="E669" s="120"/>
      <c r="F669" s="120"/>
      <c r="G669" s="120"/>
      <c r="H669" s="120"/>
      <c r="I669" s="120"/>
      <c r="J669" s="120"/>
      <c r="K669" s="120"/>
      <c r="L669" s="120"/>
      <c r="M669" s="120"/>
      <c r="N669" s="120"/>
      <c r="O669" s="120"/>
      <c r="P669" s="120"/>
      <c r="Q669" s="120"/>
      <c r="R669" s="120"/>
      <c r="S669" s="120"/>
      <c r="T669" s="120"/>
      <c r="U669" s="120"/>
      <c r="V669" s="120"/>
      <c r="W669" s="120"/>
      <c r="X669" s="120"/>
      <c r="Y669" s="120"/>
      <c r="Z669" s="120"/>
      <c r="AA669" s="120"/>
      <c r="AB669" s="120"/>
      <c r="AC669" s="120"/>
      <c r="AD669" s="120"/>
    </row>
    <row r="670">
      <c r="A670" s="120"/>
      <c r="B670" s="120"/>
      <c r="C670" s="120"/>
      <c r="D670" s="120"/>
      <c r="E670" s="120"/>
      <c r="F670" s="120"/>
      <c r="G670" s="120"/>
      <c r="H670" s="120"/>
      <c r="I670" s="120"/>
      <c r="J670" s="120"/>
      <c r="K670" s="120"/>
      <c r="L670" s="120"/>
      <c r="M670" s="120"/>
      <c r="N670" s="120"/>
      <c r="O670" s="120"/>
      <c r="P670" s="120"/>
      <c r="Q670" s="120"/>
      <c r="R670" s="120"/>
      <c r="S670" s="120"/>
      <c r="T670" s="120"/>
      <c r="U670" s="120"/>
      <c r="V670" s="120"/>
      <c r="W670" s="120"/>
      <c r="X670" s="120"/>
      <c r="Y670" s="120"/>
      <c r="Z670" s="120"/>
      <c r="AA670" s="120"/>
      <c r="AB670" s="120"/>
      <c r="AC670" s="120"/>
      <c r="AD670" s="120"/>
    </row>
    <row r="671">
      <c r="A671" s="120"/>
      <c r="B671" s="120"/>
      <c r="C671" s="120"/>
      <c r="D671" s="120"/>
      <c r="E671" s="120"/>
      <c r="F671" s="120"/>
      <c r="G671" s="120"/>
      <c r="H671" s="120"/>
      <c r="I671" s="120"/>
      <c r="J671" s="120"/>
      <c r="K671" s="120"/>
      <c r="L671" s="120"/>
      <c r="M671" s="120"/>
      <c r="N671" s="120"/>
      <c r="O671" s="120"/>
      <c r="P671" s="120"/>
      <c r="Q671" s="120"/>
      <c r="R671" s="120"/>
      <c r="S671" s="120"/>
      <c r="T671" s="120"/>
      <c r="U671" s="120"/>
      <c r="V671" s="120"/>
      <c r="W671" s="120"/>
      <c r="X671" s="120"/>
      <c r="Y671" s="120"/>
      <c r="Z671" s="120"/>
      <c r="AA671" s="120"/>
      <c r="AB671" s="120"/>
      <c r="AC671" s="120"/>
      <c r="AD671" s="120"/>
    </row>
    <row r="672">
      <c r="A672" s="120"/>
      <c r="B672" s="120"/>
      <c r="C672" s="120"/>
      <c r="D672" s="120"/>
      <c r="E672" s="120"/>
      <c r="F672" s="120"/>
      <c r="G672" s="120"/>
      <c r="H672" s="120"/>
      <c r="I672" s="120"/>
      <c r="J672" s="120"/>
      <c r="K672" s="120"/>
      <c r="L672" s="120"/>
      <c r="M672" s="120"/>
      <c r="N672" s="120"/>
      <c r="O672" s="120"/>
      <c r="P672" s="120"/>
      <c r="Q672" s="120"/>
      <c r="R672" s="120"/>
      <c r="S672" s="120"/>
      <c r="T672" s="120"/>
      <c r="U672" s="120"/>
      <c r="V672" s="120"/>
      <c r="W672" s="120"/>
      <c r="X672" s="120"/>
      <c r="Y672" s="120"/>
      <c r="Z672" s="120"/>
      <c r="AA672" s="120"/>
      <c r="AB672" s="120"/>
      <c r="AC672" s="120"/>
      <c r="AD672" s="120"/>
    </row>
    <row r="673">
      <c r="A673" s="120"/>
      <c r="B673" s="120"/>
      <c r="C673" s="120"/>
      <c r="D673" s="120"/>
      <c r="E673" s="120"/>
      <c r="F673" s="120"/>
      <c r="G673" s="120"/>
      <c r="H673" s="120"/>
      <c r="I673" s="120"/>
      <c r="J673" s="120"/>
      <c r="K673" s="120"/>
      <c r="L673" s="120"/>
      <c r="M673" s="120"/>
      <c r="N673" s="120"/>
      <c r="O673" s="120"/>
      <c r="P673" s="120"/>
      <c r="Q673" s="120"/>
      <c r="R673" s="120"/>
      <c r="S673" s="120"/>
      <c r="T673" s="120"/>
      <c r="U673" s="120"/>
      <c r="V673" s="120"/>
      <c r="W673" s="120"/>
      <c r="X673" s="120"/>
      <c r="Y673" s="120"/>
      <c r="Z673" s="120"/>
      <c r="AA673" s="120"/>
      <c r="AB673" s="120"/>
      <c r="AC673" s="120"/>
      <c r="AD673" s="120"/>
    </row>
    <row r="674">
      <c r="A674" s="120"/>
      <c r="B674" s="120"/>
      <c r="C674" s="120"/>
      <c r="D674" s="120"/>
      <c r="E674" s="120"/>
      <c r="F674" s="120"/>
      <c r="G674" s="120"/>
      <c r="H674" s="120"/>
      <c r="I674" s="120"/>
      <c r="J674" s="120"/>
      <c r="K674" s="120"/>
      <c r="L674" s="120"/>
      <c r="M674" s="120"/>
      <c r="N674" s="120"/>
      <c r="O674" s="120"/>
      <c r="P674" s="120"/>
      <c r="Q674" s="120"/>
      <c r="R674" s="120"/>
      <c r="S674" s="120"/>
      <c r="T674" s="120"/>
      <c r="U674" s="120"/>
      <c r="V674" s="120"/>
      <c r="W674" s="120"/>
      <c r="X674" s="120"/>
      <c r="Y674" s="120"/>
      <c r="Z674" s="120"/>
      <c r="AA674" s="120"/>
      <c r="AB674" s="120"/>
      <c r="AC674" s="120"/>
      <c r="AD674" s="120"/>
    </row>
    <row r="675">
      <c r="A675" s="120"/>
      <c r="B675" s="120"/>
      <c r="C675" s="120"/>
      <c r="D675" s="120"/>
      <c r="E675" s="120"/>
      <c r="F675" s="120"/>
      <c r="G675" s="120"/>
      <c r="H675" s="120"/>
      <c r="I675" s="120"/>
      <c r="J675" s="120"/>
      <c r="K675" s="120"/>
      <c r="L675" s="120"/>
      <c r="M675" s="120"/>
      <c r="N675" s="120"/>
      <c r="O675" s="120"/>
      <c r="P675" s="120"/>
      <c r="Q675" s="120"/>
      <c r="R675" s="120"/>
      <c r="S675" s="120"/>
      <c r="T675" s="120"/>
      <c r="U675" s="120"/>
      <c r="V675" s="120"/>
      <c r="W675" s="120"/>
      <c r="X675" s="120"/>
      <c r="Y675" s="120"/>
      <c r="Z675" s="120"/>
      <c r="AA675" s="120"/>
      <c r="AB675" s="120"/>
      <c r="AC675" s="120"/>
      <c r="AD675" s="120"/>
    </row>
    <row r="676">
      <c r="A676" s="120"/>
      <c r="B676" s="120"/>
      <c r="C676" s="120"/>
      <c r="D676" s="120"/>
      <c r="E676" s="120"/>
      <c r="F676" s="120"/>
      <c r="G676" s="120"/>
      <c r="H676" s="120"/>
      <c r="I676" s="120"/>
      <c r="J676" s="120"/>
      <c r="K676" s="120"/>
      <c r="L676" s="120"/>
      <c r="M676" s="120"/>
      <c r="N676" s="120"/>
      <c r="O676" s="120"/>
      <c r="P676" s="120"/>
      <c r="Q676" s="120"/>
      <c r="R676" s="120"/>
      <c r="S676" s="120"/>
      <c r="T676" s="120"/>
      <c r="U676" s="120"/>
      <c r="V676" s="120"/>
      <c r="W676" s="120"/>
      <c r="X676" s="120"/>
      <c r="Y676" s="120"/>
      <c r="Z676" s="120"/>
      <c r="AA676" s="120"/>
      <c r="AB676" s="120"/>
      <c r="AC676" s="120"/>
      <c r="AD676" s="120"/>
    </row>
    <row r="677">
      <c r="A677" s="120"/>
      <c r="B677" s="120"/>
      <c r="C677" s="120"/>
      <c r="D677" s="120"/>
      <c r="E677" s="120"/>
      <c r="F677" s="120"/>
      <c r="G677" s="120"/>
      <c r="H677" s="120"/>
      <c r="I677" s="120"/>
      <c r="J677" s="120"/>
      <c r="K677" s="120"/>
      <c r="L677" s="120"/>
      <c r="M677" s="120"/>
      <c r="N677" s="120"/>
      <c r="O677" s="120"/>
      <c r="P677" s="120"/>
      <c r="Q677" s="120"/>
      <c r="R677" s="120"/>
      <c r="S677" s="120"/>
      <c r="T677" s="120"/>
      <c r="U677" s="120"/>
      <c r="V677" s="120"/>
      <c r="W677" s="120"/>
      <c r="X677" s="120"/>
      <c r="Y677" s="120"/>
      <c r="Z677" s="120"/>
      <c r="AA677" s="120"/>
      <c r="AB677" s="120"/>
      <c r="AC677" s="120"/>
      <c r="AD677" s="120"/>
    </row>
    <row r="678">
      <c r="A678" s="120"/>
      <c r="B678" s="120"/>
      <c r="C678" s="120"/>
      <c r="D678" s="120"/>
      <c r="E678" s="120"/>
      <c r="F678" s="120"/>
      <c r="G678" s="120"/>
      <c r="H678" s="120"/>
      <c r="I678" s="120"/>
      <c r="J678" s="120"/>
      <c r="K678" s="120"/>
      <c r="L678" s="120"/>
      <c r="M678" s="120"/>
      <c r="N678" s="120"/>
      <c r="O678" s="120"/>
      <c r="P678" s="120"/>
      <c r="Q678" s="120"/>
      <c r="R678" s="120"/>
      <c r="S678" s="120"/>
      <c r="T678" s="120"/>
      <c r="U678" s="120"/>
      <c r="V678" s="120"/>
      <c r="W678" s="120"/>
      <c r="X678" s="120"/>
      <c r="Y678" s="120"/>
      <c r="Z678" s="120"/>
      <c r="AA678" s="120"/>
      <c r="AB678" s="120"/>
      <c r="AC678" s="120"/>
      <c r="AD678" s="120"/>
    </row>
    <row r="679">
      <c r="A679" s="120"/>
      <c r="B679" s="120"/>
      <c r="C679" s="120"/>
      <c r="D679" s="120"/>
      <c r="E679" s="120"/>
      <c r="F679" s="120"/>
      <c r="G679" s="120"/>
      <c r="H679" s="120"/>
      <c r="I679" s="120"/>
      <c r="J679" s="120"/>
      <c r="K679" s="120"/>
      <c r="L679" s="120"/>
      <c r="M679" s="120"/>
      <c r="N679" s="120"/>
      <c r="O679" s="120"/>
      <c r="P679" s="120"/>
      <c r="Q679" s="120"/>
      <c r="R679" s="120"/>
      <c r="S679" s="120"/>
      <c r="T679" s="120"/>
      <c r="U679" s="120"/>
      <c r="V679" s="120"/>
      <c r="W679" s="120"/>
      <c r="X679" s="120"/>
      <c r="Y679" s="120"/>
      <c r="Z679" s="120"/>
      <c r="AA679" s="120"/>
      <c r="AB679" s="120"/>
      <c r="AC679" s="120"/>
      <c r="AD679" s="120"/>
    </row>
    <row r="680">
      <c r="A680" s="120"/>
      <c r="B680" s="120"/>
      <c r="C680" s="120"/>
      <c r="D680" s="120"/>
      <c r="E680" s="120"/>
      <c r="F680" s="120"/>
      <c r="G680" s="120"/>
      <c r="H680" s="120"/>
      <c r="I680" s="120"/>
      <c r="J680" s="120"/>
      <c r="K680" s="120"/>
      <c r="L680" s="120"/>
      <c r="M680" s="120"/>
      <c r="N680" s="120"/>
      <c r="O680" s="120"/>
      <c r="P680" s="120"/>
      <c r="Q680" s="120"/>
      <c r="R680" s="120"/>
      <c r="S680" s="120"/>
      <c r="T680" s="120"/>
      <c r="U680" s="120"/>
      <c r="V680" s="120"/>
      <c r="W680" s="120"/>
      <c r="X680" s="120"/>
      <c r="Y680" s="120"/>
      <c r="Z680" s="120"/>
      <c r="AA680" s="120"/>
      <c r="AB680" s="120"/>
      <c r="AC680" s="120"/>
      <c r="AD680" s="120"/>
    </row>
    <row r="681">
      <c r="A681" s="120"/>
      <c r="B681" s="120"/>
      <c r="C681" s="120"/>
      <c r="D681" s="120"/>
      <c r="E681" s="120"/>
      <c r="F681" s="120"/>
      <c r="G681" s="120"/>
      <c r="H681" s="120"/>
      <c r="I681" s="120"/>
      <c r="J681" s="120"/>
      <c r="K681" s="120"/>
      <c r="L681" s="120"/>
      <c r="M681" s="120"/>
      <c r="N681" s="120"/>
      <c r="O681" s="120"/>
      <c r="P681" s="120"/>
      <c r="Q681" s="120"/>
      <c r="R681" s="120"/>
      <c r="S681" s="120"/>
      <c r="T681" s="120"/>
      <c r="U681" s="120"/>
      <c r="V681" s="120"/>
      <c r="W681" s="120"/>
      <c r="X681" s="120"/>
      <c r="Y681" s="120"/>
      <c r="Z681" s="120"/>
      <c r="AA681" s="120"/>
      <c r="AB681" s="120"/>
      <c r="AC681" s="120"/>
      <c r="AD681" s="120"/>
    </row>
    <row r="682">
      <c r="A682" s="120"/>
      <c r="B682" s="120"/>
      <c r="C682" s="120"/>
      <c r="D682" s="120"/>
      <c r="E682" s="120"/>
      <c r="F682" s="120"/>
      <c r="G682" s="120"/>
      <c r="H682" s="120"/>
      <c r="I682" s="120"/>
      <c r="J682" s="120"/>
      <c r="K682" s="120"/>
      <c r="L682" s="120"/>
      <c r="M682" s="120"/>
      <c r="N682" s="120"/>
      <c r="O682" s="120"/>
      <c r="P682" s="120"/>
      <c r="Q682" s="120"/>
      <c r="R682" s="120"/>
      <c r="S682" s="120"/>
      <c r="T682" s="120"/>
      <c r="U682" s="120"/>
      <c r="V682" s="120"/>
      <c r="W682" s="120"/>
      <c r="X682" s="120"/>
      <c r="Y682" s="120"/>
      <c r="Z682" s="120"/>
      <c r="AA682" s="120"/>
      <c r="AB682" s="120"/>
      <c r="AC682" s="120"/>
      <c r="AD682" s="120"/>
    </row>
    <row r="683">
      <c r="A683" s="120"/>
      <c r="B683" s="120"/>
      <c r="C683" s="120"/>
      <c r="D683" s="120"/>
      <c r="E683" s="120"/>
      <c r="F683" s="120"/>
      <c r="G683" s="120"/>
      <c r="H683" s="120"/>
      <c r="I683" s="120"/>
      <c r="J683" s="120"/>
      <c r="K683" s="120"/>
      <c r="L683" s="120"/>
      <c r="M683" s="120"/>
      <c r="N683" s="120"/>
      <c r="O683" s="120"/>
      <c r="P683" s="120"/>
      <c r="Q683" s="120"/>
      <c r="R683" s="120"/>
      <c r="S683" s="120"/>
      <c r="T683" s="120"/>
      <c r="U683" s="120"/>
      <c r="V683" s="120"/>
      <c r="W683" s="120"/>
      <c r="X683" s="120"/>
      <c r="Y683" s="120"/>
      <c r="Z683" s="120"/>
      <c r="AA683" s="120"/>
      <c r="AB683" s="120"/>
      <c r="AC683" s="120"/>
      <c r="AD683" s="120"/>
    </row>
    <row r="684">
      <c r="A684" s="120"/>
      <c r="B684" s="120"/>
      <c r="C684" s="120"/>
      <c r="D684" s="120"/>
      <c r="E684" s="120"/>
      <c r="F684" s="120"/>
      <c r="G684" s="120"/>
      <c r="H684" s="120"/>
      <c r="I684" s="120"/>
      <c r="J684" s="120"/>
      <c r="K684" s="120"/>
      <c r="L684" s="120"/>
      <c r="M684" s="120"/>
      <c r="N684" s="120"/>
      <c r="O684" s="120"/>
      <c r="P684" s="120"/>
      <c r="Q684" s="120"/>
      <c r="R684" s="120"/>
      <c r="S684" s="120"/>
      <c r="T684" s="120"/>
      <c r="U684" s="120"/>
      <c r="V684" s="120"/>
      <c r="W684" s="120"/>
      <c r="X684" s="120"/>
      <c r="Y684" s="120"/>
      <c r="Z684" s="120"/>
      <c r="AA684" s="120"/>
      <c r="AB684" s="120"/>
      <c r="AC684" s="120"/>
      <c r="AD684" s="120"/>
    </row>
    <row r="685">
      <c r="A685" s="120"/>
      <c r="B685" s="120"/>
      <c r="C685" s="120"/>
      <c r="D685" s="120"/>
      <c r="E685" s="120"/>
      <c r="F685" s="120"/>
      <c r="G685" s="120"/>
      <c r="H685" s="120"/>
      <c r="I685" s="120"/>
      <c r="J685" s="120"/>
      <c r="K685" s="120"/>
      <c r="L685" s="120"/>
      <c r="M685" s="120"/>
      <c r="N685" s="120"/>
      <c r="O685" s="120"/>
      <c r="P685" s="120"/>
      <c r="Q685" s="120"/>
      <c r="R685" s="120"/>
      <c r="S685" s="120"/>
      <c r="T685" s="120"/>
      <c r="U685" s="120"/>
      <c r="V685" s="120"/>
      <c r="W685" s="120"/>
      <c r="X685" s="120"/>
      <c r="Y685" s="120"/>
      <c r="Z685" s="120"/>
      <c r="AA685" s="120"/>
      <c r="AB685" s="120"/>
      <c r="AC685" s="120"/>
      <c r="AD685" s="120"/>
    </row>
    <row r="686">
      <c r="A686" s="120"/>
      <c r="B686" s="120"/>
      <c r="C686" s="120"/>
      <c r="D686" s="120"/>
      <c r="E686" s="120"/>
      <c r="F686" s="120"/>
      <c r="G686" s="120"/>
      <c r="H686" s="120"/>
      <c r="I686" s="120"/>
      <c r="J686" s="120"/>
      <c r="K686" s="120"/>
      <c r="L686" s="120"/>
      <c r="M686" s="120"/>
      <c r="N686" s="120"/>
      <c r="O686" s="120"/>
      <c r="P686" s="120"/>
      <c r="Q686" s="120"/>
      <c r="R686" s="120"/>
      <c r="S686" s="120"/>
      <c r="T686" s="120"/>
      <c r="U686" s="120"/>
      <c r="V686" s="120"/>
      <c r="W686" s="120"/>
      <c r="X686" s="120"/>
      <c r="Y686" s="120"/>
      <c r="Z686" s="120"/>
      <c r="AA686" s="120"/>
      <c r="AB686" s="120"/>
      <c r="AC686" s="120"/>
      <c r="AD686" s="120"/>
    </row>
    <row r="687">
      <c r="A687" s="120"/>
      <c r="B687" s="120"/>
      <c r="C687" s="120"/>
      <c r="D687" s="120"/>
      <c r="E687" s="120"/>
      <c r="F687" s="120"/>
      <c r="G687" s="120"/>
      <c r="H687" s="120"/>
      <c r="I687" s="120"/>
      <c r="J687" s="120"/>
      <c r="K687" s="120"/>
      <c r="L687" s="120"/>
      <c r="M687" s="120"/>
      <c r="N687" s="120"/>
      <c r="O687" s="120"/>
      <c r="P687" s="120"/>
      <c r="Q687" s="120"/>
      <c r="R687" s="120"/>
      <c r="S687" s="120"/>
      <c r="T687" s="120"/>
      <c r="U687" s="120"/>
      <c r="V687" s="120"/>
      <c r="W687" s="120"/>
      <c r="X687" s="120"/>
      <c r="Y687" s="120"/>
      <c r="Z687" s="120"/>
      <c r="AA687" s="120"/>
      <c r="AB687" s="120"/>
      <c r="AC687" s="120"/>
      <c r="AD687" s="120"/>
    </row>
    <row r="688">
      <c r="A688" s="120"/>
      <c r="B688" s="120"/>
      <c r="C688" s="120"/>
      <c r="D688" s="120"/>
      <c r="E688" s="120"/>
      <c r="F688" s="120"/>
      <c r="G688" s="120"/>
      <c r="H688" s="120"/>
      <c r="I688" s="120"/>
      <c r="J688" s="120"/>
      <c r="K688" s="120"/>
      <c r="L688" s="120"/>
      <c r="M688" s="120"/>
      <c r="N688" s="120"/>
      <c r="O688" s="120"/>
      <c r="P688" s="120"/>
      <c r="Q688" s="120"/>
      <c r="R688" s="120"/>
      <c r="S688" s="120"/>
      <c r="T688" s="120"/>
      <c r="U688" s="120"/>
      <c r="V688" s="120"/>
      <c r="W688" s="120"/>
      <c r="X688" s="120"/>
      <c r="Y688" s="120"/>
      <c r="Z688" s="120"/>
      <c r="AA688" s="120"/>
      <c r="AB688" s="120"/>
      <c r="AC688" s="120"/>
      <c r="AD688" s="120"/>
    </row>
    <row r="689">
      <c r="A689" s="120"/>
      <c r="B689" s="120"/>
      <c r="C689" s="120"/>
      <c r="D689" s="120"/>
      <c r="E689" s="120"/>
      <c r="F689" s="120"/>
      <c r="G689" s="120"/>
      <c r="H689" s="120"/>
      <c r="I689" s="120"/>
      <c r="J689" s="120"/>
      <c r="K689" s="120"/>
      <c r="L689" s="120"/>
      <c r="M689" s="120"/>
      <c r="N689" s="120"/>
      <c r="O689" s="120"/>
      <c r="P689" s="120"/>
      <c r="Q689" s="120"/>
      <c r="R689" s="120"/>
      <c r="S689" s="120"/>
      <c r="T689" s="120"/>
      <c r="U689" s="120"/>
      <c r="V689" s="120"/>
      <c r="W689" s="120"/>
      <c r="X689" s="120"/>
      <c r="Y689" s="120"/>
      <c r="Z689" s="120"/>
      <c r="AA689" s="120"/>
      <c r="AB689" s="120"/>
      <c r="AC689" s="120"/>
      <c r="AD689" s="120"/>
    </row>
    <row r="690">
      <c r="A690" s="120"/>
      <c r="B690" s="120"/>
      <c r="C690" s="120"/>
      <c r="D690" s="120"/>
      <c r="E690" s="120"/>
      <c r="F690" s="120"/>
      <c r="G690" s="120"/>
      <c r="H690" s="120"/>
      <c r="I690" s="120"/>
      <c r="J690" s="120"/>
      <c r="K690" s="120"/>
      <c r="L690" s="120"/>
      <c r="M690" s="120"/>
      <c r="N690" s="120"/>
      <c r="O690" s="120"/>
      <c r="P690" s="120"/>
      <c r="Q690" s="120"/>
      <c r="R690" s="120"/>
      <c r="S690" s="120"/>
      <c r="T690" s="120"/>
      <c r="U690" s="120"/>
      <c r="V690" s="120"/>
      <c r="W690" s="120"/>
      <c r="X690" s="120"/>
      <c r="Y690" s="120"/>
      <c r="Z690" s="120"/>
      <c r="AA690" s="120"/>
      <c r="AB690" s="120"/>
      <c r="AC690" s="120"/>
      <c r="AD690" s="120"/>
    </row>
    <row r="691">
      <c r="A691" s="120"/>
      <c r="B691" s="120"/>
      <c r="C691" s="120"/>
      <c r="D691" s="120"/>
      <c r="E691" s="120"/>
      <c r="F691" s="120"/>
      <c r="G691" s="120"/>
      <c r="H691" s="120"/>
      <c r="I691" s="120"/>
      <c r="J691" s="120"/>
      <c r="K691" s="120"/>
      <c r="L691" s="120"/>
      <c r="M691" s="120"/>
      <c r="N691" s="120"/>
      <c r="O691" s="120"/>
      <c r="P691" s="120"/>
      <c r="Q691" s="120"/>
      <c r="R691" s="120"/>
      <c r="S691" s="120"/>
      <c r="T691" s="120"/>
      <c r="U691" s="120"/>
      <c r="V691" s="120"/>
      <c r="W691" s="120"/>
      <c r="X691" s="120"/>
      <c r="Y691" s="120"/>
      <c r="Z691" s="120"/>
      <c r="AA691" s="120"/>
      <c r="AB691" s="120"/>
      <c r="AC691" s="120"/>
      <c r="AD691" s="120"/>
    </row>
    <row r="692">
      <c r="A692" s="120"/>
      <c r="B692" s="120"/>
      <c r="C692" s="120"/>
      <c r="D692" s="120"/>
      <c r="E692" s="120"/>
      <c r="F692" s="120"/>
      <c r="G692" s="120"/>
      <c r="H692" s="120"/>
      <c r="I692" s="120"/>
      <c r="J692" s="120"/>
      <c r="K692" s="120"/>
      <c r="L692" s="120"/>
      <c r="M692" s="120"/>
      <c r="N692" s="120"/>
      <c r="O692" s="120"/>
      <c r="P692" s="120"/>
      <c r="Q692" s="120"/>
      <c r="R692" s="120"/>
      <c r="S692" s="120"/>
      <c r="T692" s="120"/>
      <c r="U692" s="120"/>
      <c r="V692" s="120"/>
      <c r="W692" s="120"/>
      <c r="X692" s="120"/>
      <c r="Y692" s="120"/>
      <c r="Z692" s="120"/>
      <c r="AA692" s="120"/>
      <c r="AB692" s="120"/>
      <c r="AC692" s="120"/>
      <c r="AD692" s="120"/>
    </row>
    <row r="693">
      <c r="A693" s="120"/>
      <c r="B693" s="120"/>
      <c r="C693" s="120"/>
      <c r="D693" s="120"/>
      <c r="E693" s="120"/>
      <c r="F693" s="120"/>
      <c r="G693" s="120"/>
      <c r="H693" s="120"/>
      <c r="I693" s="120"/>
      <c r="J693" s="120"/>
      <c r="K693" s="120"/>
      <c r="L693" s="120"/>
      <c r="M693" s="120"/>
      <c r="N693" s="120"/>
      <c r="O693" s="120"/>
      <c r="P693" s="120"/>
      <c r="Q693" s="120"/>
      <c r="R693" s="120"/>
      <c r="S693" s="120"/>
      <c r="T693" s="120"/>
      <c r="U693" s="120"/>
      <c r="V693" s="120"/>
      <c r="W693" s="120"/>
      <c r="X693" s="120"/>
      <c r="Y693" s="120"/>
      <c r="Z693" s="120"/>
      <c r="AA693" s="120"/>
      <c r="AB693" s="120"/>
      <c r="AC693" s="120"/>
      <c r="AD693" s="120"/>
    </row>
    <row r="694">
      <c r="A694" s="120"/>
      <c r="B694" s="120"/>
      <c r="C694" s="120"/>
      <c r="D694" s="120"/>
      <c r="E694" s="120"/>
      <c r="F694" s="120"/>
      <c r="G694" s="120"/>
      <c r="H694" s="120"/>
      <c r="I694" s="120"/>
      <c r="J694" s="120"/>
      <c r="K694" s="120"/>
      <c r="L694" s="120"/>
      <c r="M694" s="120"/>
      <c r="N694" s="120"/>
      <c r="O694" s="120"/>
      <c r="P694" s="120"/>
      <c r="Q694" s="120"/>
      <c r="R694" s="120"/>
      <c r="S694" s="120"/>
      <c r="T694" s="120"/>
      <c r="U694" s="120"/>
      <c r="V694" s="120"/>
      <c r="W694" s="120"/>
      <c r="X694" s="120"/>
      <c r="Y694" s="120"/>
      <c r="Z694" s="120"/>
      <c r="AA694" s="120"/>
      <c r="AB694" s="120"/>
      <c r="AC694" s="120"/>
      <c r="AD694" s="120"/>
    </row>
    <row r="695">
      <c r="A695" s="120"/>
      <c r="B695" s="120"/>
      <c r="C695" s="120"/>
      <c r="D695" s="120"/>
      <c r="E695" s="120"/>
      <c r="F695" s="120"/>
      <c r="G695" s="120"/>
      <c r="H695" s="120"/>
      <c r="I695" s="120"/>
      <c r="J695" s="120"/>
      <c r="K695" s="120"/>
      <c r="L695" s="120"/>
      <c r="M695" s="120"/>
      <c r="N695" s="120"/>
      <c r="O695" s="120"/>
      <c r="P695" s="120"/>
      <c r="Q695" s="120"/>
      <c r="R695" s="120"/>
      <c r="S695" s="120"/>
      <c r="T695" s="120"/>
      <c r="U695" s="120"/>
      <c r="V695" s="120"/>
      <c r="W695" s="120"/>
      <c r="X695" s="120"/>
      <c r="Y695" s="120"/>
      <c r="Z695" s="120"/>
      <c r="AA695" s="120"/>
      <c r="AB695" s="120"/>
      <c r="AC695" s="120"/>
      <c r="AD695" s="120"/>
    </row>
    <row r="696">
      <c r="A696" s="120"/>
      <c r="B696" s="120"/>
      <c r="C696" s="120"/>
      <c r="D696" s="120"/>
      <c r="E696" s="120"/>
      <c r="F696" s="120"/>
      <c r="G696" s="120"/>
      <c r="H696" s="120"/>
      <c r="I696" s="120"/>
      <c r="J696" s="120"/>
      <c r="K696" s="120"/>
      <c r="L696" s="120"/>
      <c r="M696" s="120"/>
      <c r="N696" s="120"/>
      <c r="O696" s="120"/>
      <c r="P696" s="120"/>
      <c r="Q696" s="120"/>
      <c r="R696" s="120"/>
      <c r="S696" s="120"/>
      <c r="T696" s="120"/>
      <c r="U696" s="120"/>
      <c r="V696" s="120"/>
      <c r="W696" s="120"/>
      <c r="X696" s="120"/>
      <c r="Y696" s="120"/>
      <c r="Z696" s="120"/>
      <c r="AA696" s="120"/>
      <c r="AB696" s="120"/>
      <c r="AC696" s="120"/>
      <c r="AD696" s="120"/>
    </row>
    <row r="697">
      <c r="A697" s="120"/>
      <c r="B697" s="120"/>
      <c r="C697" s="120"/>
      <c r="D697" s="120"/>
      <c r="E697" s="120"/>
      <c r="F697" s="120"/>
      <c r="G697" s="120"/>
      <c r="H697" s="120"/>
      <c r="I697" s="120"/>
      <c r="J697" s="120"/>
      <c r="K697" s="120"/>
      <c r="L697" s="120"/>
      <c r="M697" s="120"/>
      <c r="N697" s="120"/>
      <c r="O697" s="120"/>
      <c r="P697" s="120"/>
      <c r="Q697" s="120"/>
      <c r="R697" s="120"/>
      <c r="S697" s="120"/>
      <c r="T697" s="120"/>
      <c r="U697" s="120"/>
      <c r="V697" s="120"/>
      <c r="W697" s="120"/>
      <c r="X697" s="120"/>
      <c r="Y697" s="120"/>
      <c r="Z697" s="120"/>
      <c r="AA697" s="120"/>
      <c r="AB697" s="120"/>
      <c r="AC697" s="120"/>
      <c r="AD697" s="120"/>
    </row>
    <row r="698">
      <c r="A698" s="120"/>
      <c r="B698" s="120"/>
      <c r="C698" s="120"/>
      <c r="D698" s="120"/>
      <c r="E698" s="120"/>
      <c r="F698" s="120"/>
      <c r="G698" s="120"/>
      <c r="H698" s="120"/>
      <c r="I698" s="120"/>
      <c r="J698" s="120"/>
      <c r="K698" s="120"/>
      <c r="L698" s="120"/>
      <c r="M698" s="120"/>
      <c r="N698" s="120"/>
      <c r="O698" s="120"/>
      <c r="P698" s="120"/>
      <c r="Q698" s="120"/>
      <c r="R698" s="120"/>
      <c r="S698" s="120"/>
      <c r="T698" s="120"/>
      <c r="U698" s="120"/>
      <c r="V698" s="120"/>
      <c r="W698" s="120"/>
      <c r="X698" s="120"/>
      <c r="Y698" s="120"/>
      <c r="Z698" s="120"/>
      <c r="AA698" s="120"/>
      <c r="AB698" s="120"/>
      <c r="AC698" s="120"/>
      <c r="AD698" s="120"/>
    </row>
    <row r="699">
      <c r="A699" s="120"/>
      <c r="B699" s="120"/>
      <c r="C699" s="120"/>
      <c r="D699" s="120"/>
      <c r="E699" s="120"/>
      <c r="F699" s="120"/>
      <c r="G699" s="120"/>
      <c r="H699" s="120"/>
      <c r="I699" s="120"/>
      <c r="J699" s="120"/>
      <c r="K699" s="120"/>
      <c r="L699" s="120"/>
      <c r="M699" s="120"/>
      <c r="N699" s="120"/>
      <c r="O699" s="120"/>
      <c r="P699" s="120"/>
      <c r="Q699" s="120"/>
      <c r="R699" s="120"/>
      <c r="S699" s="120"/>
      <c r="T699" s="120"/>
      <c r="U699" s="120"/>
      <c r="V699" s="120"/>
      <c r="W699" s="120"/>
      <c r="X699" s="120"/>
      <c r="Y699" s="120"/>
      <c r="Z699" s="120"/>
      <c r="AA699" s="120"/>
      <c r="AB699" s="120"/>
      <c r="AC699" s="120"/>
      <c r="AD699" s="120"/>
    </row>
    <row r="700">
      <c r="A700" s="120"/>
      <c r="B700" s="120"/>
      <c r="C700" s="120"/>
      <c r="D700" s="120"/>
      <c r="E700" s="120"/>
      <c r="F700" s="120"/>
      <c r="G700" s="120"/>
      <c r="H700" s="120"/>
      <c r="I700" s="120"/>
      <c r="J700" s="120"/>
      <c r="K700" s="120"/>
      <c r="L700" s="120"/>
      <c r="M700" s="120"/>
      <c r="N700" s="120"/>
      <c r="O700" s="120"/>
      <c r="P700" s="120"/>
      <c r="Q700" s="120"/>
      <c r="R700" s="120"/>
      <c r="S700" s="120"/>
      <c r="T700" s="120"/>
      <c r="U700" s="120"/>
      <c r="V700" s="120"/>
      <c r="W700" s="120"/>
      <c r="X700" s="120"/>
      <c r="Y700" s="120"/>
      <c r="Z700" s="120"/>
      <c r="AA700" s="120"/>
      <c r="AB700" s="120"/>
      <c r="AC700" s="120"/>
      <c r="AD700" s="120"/>
    </row>
    <row r="701">
      <c r="A701" s="120"/>
      <c r="B701" s="120"/>
      <c r="C701" s="120"/>
      <c r="D701" s="120"/>
      <c r="E701" s="120"/>
      <c r="F701" s="120"/>
      <c r="G701" s="120"/>
      <c r="H701" s="120"/>
      <c r="I701" s="120"/>
      <c r="J701" s="120"/>
      <c r="K701" s="120"/>
      <c r="L701" s="120"/>
      <c r="M701" s="120"/>
      <c r="N701" s="120"/>
      <c r="O701" s="120"/>
      <c r="P701" s="120"/>
      <c r="Q701" s="120"/>
      <c r="R701" s="120"/>
      <c r="S701" s="120"/>
      <c r="T701" s="120"/>
      <c r="U701" s="120"/>
      <c r="V701" s="120"/>
      <c r="W701" s="120"/>
      <c r="X701" s="120"/>
      <c r="Y701" s="120"/>
      <c r="Z701" s="120"/>
      <c r="AA701" s="120"/>
      <c r="AB701" s="120"/>
      <c r="AC701" s="120"/>
      <c r="AD701" s="120"/>
    </row>
    <row r="702">
      <c r="A702" s="120"/>
      <c r="B702" s="120"/>
      <c r="C702" s="120"/>
      <c r="D702" s="120"/>
      <c r="E702" s="120"/>
      <c r="F702" s="120"/>
      <c r="G702" s="120"/>
      <c r="H702" s="120"/>
      <c r="I702" s="120"/>
      <c r="J702" s="120"/>
      <c r="K702" s="120"/>
      <c r="L702" s="120"/>
      <c r="M702" s="120"/>
      <c r="N702" s="120"/>
      <c r="O702" s="120"/>
      <c r="P702" s="120"/>
      <c r="Q702" s="120"/>
      <c r="R702" s="120"/>
      <c r="S702" s="120"/>
      <c r="T702" s="120"/>
      <c r="U702" s="120"/>
      <c r="V702" s="120"/>
      <c r="W702" s="120"/>
      <c r="X702" s="120"/>
      <c r="Y702" s="120"/>
      <c r="Z702" s="120"/>
      <c r="AA702" s="120"/>
      <c r="AB702" s="120"/>
      <c r="AC702" s="120"/>
      <c r="AD702" s="120"/>
    </row>
    <row r="703">
      <c r="A703" s="120"/>
      <c r="B703" s="120"/>
      <c r="C703" s="120"/>
      <c r="D703" s="120"/>
      <c r="E703" s="120"/>
      <c r="F703" s="120"/>
      <c r="G703" s="120"/>
      <c r="H703" s="120"/>
      <c r="I703" s="120"/>
      <c r="J703" s="120"/>
      <c r="K703" s="120"/>
      <c r="L703" s="120"/>
      <c r="M703" s="120"/>
      <c r="N703" s="120"/>
      <c r="O703" s="120"/>
      <c r="P703" s="120"/>
      <c r="Q703" s="120"/>
      <c r="R703" s="120"/>
      <c r="S703" s="120"/>
      <c r="T703" s="120"/>
      <c r="U703" s="120"/>
      <c r="V703" s="120"/>
      <c r="W703" s="120"/>
      <c r="X703" s="120"/>
      <c r="Y703" s="120"/>
      <c r="Z703" s="120"/>
      <c r="AA703" s="120"/>
      <c r="AB703" s="120"/>
      <c r="AC703" s="120"/>
      <c r="AD703" s="120"/>
    </row>
    <row r="704">
      <c r="A704" s="120"/>
      <c r="B704" s="120"/>
      <c r="C704" s="120"/>
      <c r="D704" s="120"/>
      <c r="E704" s="120"/>
      <c r="F704" s="120"/>
      <c r="G704" s="120"/>
      <c r="H704" s="120"/>
      <c r="I704" s="120"/>
      <c r="J704" s="120"/>
      <c r="K704" s="120"/>
      <c r="L704" s="120"/>
      <c r="M704" s="120"/>
      <c r="N704" s="120"/>
      <c r="O704" s="120"/>
      <c r="P704" s="120"/>
      <c r="Q704" s="120"/>
      <c r="R704" s="120"/>
      <c r="S704" s="120"/>
      <c r="T704" s="120"/>
      <c r="U704" s="120"/>
      <c r="V704" s="120"/>
      <c r="W704" s="120"/>
      <c r="X704" s="120"/>
      <c r="Y704" s="120"/>
      <c r="Z704" s="120"/>
      <c r="AA704" s="120"/>
      <c r="AB704" s="120"/>
      <c r="AC704" s="120"/>
      <c r="AD704" s="120"/>
    </row>
    <row r="705">
      <c r="A705" s="120"/>
      <c r="B705" s="120"/>
      <c r="C705" s="120"/>
      <c r="D705" s="120"/>
      <c r="E705" s="120"/>
      <c r="F705" s="120"/>
      <c r="G705" s="120"/>
      <c r="H705" s="120"/>
      <c r="I705" s="120"/>
      <c r="J705" s="120"/>
      <c r="K705" s="120"/>
      <c r="L705" s="120"/>
      <c r="M705" s="120"/>
      <c r="N705" s="120"/>
      <c r="O705" s="120"/>
      <c r="P705" s="120"/>
      <c r="Q705" s="120"/>
      <c r="R705" s="120"/>
      <c r="S705" s="120"/>
      <c r="T705" s="120"/>
      <c r="U705" s="120"/>
      <c r="V705" s="120"/>
      <c r="W705" s="120"/>
      <c r="X705" s="120"/>
      <c r="Y705" s="120"/>
      <c r="Z705" s="120"/>
      <c r="AA705" s="120"/>
      <c r="AB705" s="120"/>
      <c r="AC705" s="120"/>
      <c r="AD705" s="120"/>
    </row>
    <row r="706">
      <c r="A706" s="120"/>
      <c r="B706" s="120"/>
      <c r="C706" s="120"/>
      <c r="D706" s="120"/>
      <c r="E706" s="120"/>
      <c r="F706" s="120"/>
      <c r="G706" s="120"/>
      <c r="H706" s="120"/>
      <c r="I706" s="120"/>
      <c r="J706" s="120"/>
      <c r="K706" s="120"/>
      <c r="L706" s="120"/>
      <c r="M706" s="120"/>
      <c r="N706" s="120"/>
      <c r="O706" s="120"/>
      <c r="P706" s="120"/>
      <c r="Q706" s="120"/>
      <c r="R706" s="120"/>
      <c r="S706" s="120"/>
      <c r="T706" s="120"/>
      <c r="U706" s="120"/>
      <c r="V706" s="120"/>
      <c r="W706" s="120"/>
      <c r="X706" s="120"/>
      <c r="Y706" s="120"/>
      <c r="Z706" s="120"/>
      <c r="AA706" s="120"/>
      <c r="AB706" s="120"/>
      <c r="AC706" s="120"/>
      <c r="AD706" s="120"/>
    </row>
    <row r="707">
      <c r="A707" s="120"/>
      <c r="B707" s="120"/>
      <c r="C707" s="120"/>
      <c r="D707" s="120"/>
      <c r="E707" s="120"/>
      <c r="F707" s="120"/>
      <c r="G707" s="120"/>
      <c r="H707" s="120"/>
      <c r="I707" s="120"/>
      <c r="J707" s="120"/>
      <c r="K707" s="120"/>
      <c r="L707" s="120"/>
      <c r="M707" s="120"/>
      <c r="N707" s="120"/>
      <c r="O707" s="120"/>
      <c r="P707" s="120"/>
      <c r="Q707" s="120"/>
      <c r="R707" s="120"/>
      <c r="S707" s="120"/>
      <c r="T707" s="120"/>
      <c r="U707" s="120"/>
      <c r="V707" s="120"/>
      <c r="W707" s="120"/>
      <c r="X707" s="120"/>
      <c r="Y707" s="120"/>
      <c r="Z707" s="120"/>
      <c r="AA707" s="120"/>
      <c r="AB707" s="120"/>
      <c r="AC707" s="120"/>
      <c r="AD707" s="120"/>
    </row>
    <row r="708">
      <c r="A708" s="120"/>
      <c r="B708" s="120"/>
      <c r="C708" s="120"/>
      <c r="D708" s="120"/>
      <c r="E708" s="120"/>
      <c r="F708" s="120"/>
      <c r="G708" s="120"/>
      <c r="H708" s="120"/>
      <c r="I708" s="120"/>
      <c r="J708" s="120"/>
      <c r="K708" s="120"/>
      <c r="L708" s="120"/>
      <c r="M708" s="120"/>
      <c r="N708" s="120"/>
      <c r="O708" s="120"/>
      <c r="P708" s="120"/>
      <c r="Q708" s="120"/>
      <c r="R708" s="120"/>
      <c r="S708" s="120"/>
      <c r="T708" s="120"/>
      <c r="U708" s="120"/>
      <c r="V708" s="120"/>
      <c r="W708" s="120"/>
      <c r="X708" s="120"/>
      <c r="Y708" s="120"/>
      <c r="Z708" s="120"/>
      <c r="AA708" s="120"/>
      <c r="AB708" s="120"/>
      <c r="AC708" s="120"/>
      <c r="AD708" s="120"/>
    </row>
    <row r="709">
      <c r="A709" s="120"/>
      <c r="B709" s="120"/>
      <c r="C709" s="120"/>
      <c r="D709" s="120"/>
      <c r="E709" s="120"/>
      <c r="F709" s="120"/>
      <c r="G709" s="120"/>
      <c r="H709" s="120"/>
      <c r="I709" s="120"/>
      <c r="J709" s="120"/>
      <c r="K709" s="120"/>
      <c r="L709" s="120"/>
      <c r="M709" s="120"/>
      <c r="N709" s="120"/>
      <c r="O709" s="120"/>
      <c r="P709" s="120"/>
      <c r="Q709" s="120"/>
      <c r="R709" s="120"/>
      <c r="S709" s="120"/>
      <c r="T709" s="120"/>
      <c r="U709" s="120"/>
      <c r="V709" s="120"/>
      <c r="W709" s="120"/>
      <c r="X709" s="120"/>
      <c r="Y709" s="120"/>
      <c r="Z709" s="120"/>
      <c r="AA709" s="120"/>
      <c r="AB709" s="120"/>
      <c r="AC709" s="120"/>
      <c r="AD709" s="120"/>
    </row>
    <row r="710">
      <c r="A710" s="120"/>
      <c r="B710" s="120"/>
      <c r="C710" s="120"/>
      <c r="D710" s="120"/>
      <c r="E710" s="120"/>
      <c r="F710" s="120"/>
      <c r="G710" s="120"/>
      <c r="H710" s="120"/>
      <c r="I710" s="120"/>
      <c r="J710" s="120"/>
      <c r="K710" s="120"/>
      <c r="L710" s="120"/>
      <c r="M710" s="120"/>
      <c r="N710" s="120"/>
      <c r="O710" s="120"/>
      <c r="P710" s="120"/>
      <c r="Q710" s="120"/>
      <c r="R710" s="120"/>
      <c r="S710" s="120"/>
      <c r="T710" s="120"/>
      <c r="U710" s="120"/>
      <c r="V710" s="120"/>
      <c r="W710" s="120"/>
      <c r="X710" s="120"/>
      <c r="Y710" s="120"/>
      <c r="Z710" s="120"/>
      <c r="AA710" s="120"/>
      <c r="AB710" s="120"/>
      <c r="AC710" s="120"/>
      <c r="AD710" s="120"/>
    </row>
    <row r="711">
      <c r="A711" s="120"/>
      <c r="B711" s="120"/>
      <c r="C711" s="120"/>
      <c r="D711" s="120"/>
      <c r="E711" s="120"/>
      <c r="F711" s="120"/>
      <c r="G711" s="120"/>
      <c r="H711" s="120"/>
      <c r="I711" s="120"/>
      <c r="J711" s="120"/>
      <c r="K711" s="120"/>
      <c r="L711" s="120"/>
      <c r="M711" s="120"/>
      <c r="N711" s="120"/>
      <c r="O711" s="120"/>
      <c r="P711" s="120"/>
      <c r="Q711" s="120"/>
      <c r="R711" s="120"/>
      <c r="S711" s="120"/>
      <c r="T711" s="120"/>
      <c r="U711" s="120"/>
      <c r="V711" s="120"/>
      <c r="W711" s="120"/>
      <c r="X711" s="120"/>
      <c r="Y711" s="120"/>
      <c r="Z711" s="120"/>
      <c r="AA711" s="120"/>
      <c r="AB711" s="120"/>
      <c r="AC711" s="120"/>
      <c r="AD711" s="120"/>
    </row>
    <row r="712">
      <c r="A712" s="120"/>
      <c r="B712" s="120"/>
      <c r="C712" s="120"/>
      <c r="D712" s="120"/>
      <c r="E712" s="120"/>
      <c r="F712" s="120"/>
      <c r="G712" s="120"/>
      <c r="H712" s="120"/>
      <c r="I712" s="120"/>
      <c r="J712" s="120"/>
      <c r="K712" s="120"/>
      <c r="L712" s="120"/>
      <c r="M712" s="120"/>
      <c r="N712" s="120"/>
      <c r="O712" s="120"/>
      <c r="P712" s="120"/>
      <c r="Q712" s="120"/>
      <c r="R712" s="120"/>
      <c r="S712" s="120"/>
      <c r="T712" s="120"/>
      <c r="U712" s="120"/>
      <c r="V712" s="120"/>
      <c r="W712" s="120"/>
      <c r="X712" s="120"/>
      <c r="Y712" s="120"/>
      <c r="Z712" s="120"/>
      <c r="AA712" s="120"/>
      <c r="AB712" s="120"/>
      <c r="AC712" s="120"/>
      <c r="AD712" s="120"/>
    </row>
    <row r="713">
      <c r="A713" s="120"/>
      <c r="B713" s="120"/>
      <c r="C713" s="120"/>
      <c r="D713" s="120"/>
      <c r="E713" s="120"/>
      <c r="F713" s="120"/>
      <c r="G713" s="120"/>
      <c r="H713" s="120"/>
      <c r="I713" s="120"/>
      <c r="J713" s="120"/>
      <c r="K713" s="120"/>
      <c r="L713" s="120"/>
      <c r="M713" s="120"/>
      <c r="N713" s="120"/>
      <c r="O713" s="120"/>
      <c r="P713" s="120"/>
      <c r="Q713" s="120"/>
      <c r="R713" s="120"/>
      <c r="S713" s="120"/>
      <c r="T713" s="120"/>
      <c r="U713" s="120"/>
      <c r="V713" s="120"/>
      <c r="W713" s="120"/>
      <c r="X713" s="120"/>
      <c r="Y713" s="120"/>
      <c r="Z713" s="120"/>
      <c r="AA713" s="120"/>
      <c r="AB713" s="120"/>
      <c r="AC713" s="120"/>
      <c r="AD713" s="120"/>
    </row>
    <row r="714">
      <c r="A714" s="120"/>
      <c r="B714" s="120"/>
      <c r="C714" s="120"/>
      <c r="D714" s="120"/>
      <c r="E714" s="120"/>
      <c r="F714" s="120"/>
      <c r="G714" s="120"/>
      <c r="H714" s="120"/>
      <c r="I714" s="120"/>
      <c r="J714" s="120"/>
      <c r="K714" s="120"/>
      <c r="L714" s="120"/>
      <c r="M714" s="120"/>
      <c r="N714" s="120"/>
      <c r="O714" s="120"/>
      <c r="P714" s="120"/>
      <c r="Q714" s="120"/>
      <c r="R714" s="120"/>
      <c r="S714" s="120"/>
      <c r="T714" s="120"/>
      <c r="U714" s="120"/>
      <c r="V714" s="120"/>
      <c r="W714" s="120"/>
      <c r="X714" s="120"/>
      <c r="Y714" s="120"/>
      <c r="Z714" s="120"/>
      <c r="AA714" s="120"/>
      <c r="AB714" s="120"/>
      <c r="AC714" s="120"/>
      <c r="AD714" s="120"/>
    </row>
    <row r="715">
      <c r="A715" s="120"/>
      <c r="B715" s="120"/>
      <c r="C715" s="120"/>
      <c r="D715" s="120"/>
      <c r="E715" s="120"/>
      <c r="F715" s="120"/>
      <c r="G715" s="120"/>
      <c r="H715" s="120"/>
      <c r="I715" s="120"/>
      <c r="J715" s="120"/>
      <c r="K715" s="120"/>
      <c r="L715" s="120"/>
      <c r="M715" s="120"/>
      <c r="N715" s="120"/>
      <c r="O715" s="120"/>
      <c r="P715" s="120"/>
      <c r="Q715" s="120"/>
      <c r="R715" s="120"/>
      <c r="S715" s="120"/>
      <c r="T715" s="120"/>
      <c r="U715" s="120"/>
      <c r="V715" s="120"/>
      <c r="W715" s="120"/>
      <c r="X715" s="120"/>
      <c r="Y715" s="120"/>
      <c r="Z715" s="120"/>
      <c r="AA715" s="120"/>
      <c r="AB715" s="120"/>
      <c r="AC715" s="120"/>
      <c r="AD715" s="120"/>
    </row>
    <row r="716">
      <c r="A716" s="120"/>
      <c r="B716" s="120"/>
      <c r="C716" s="120"/>
      <c r="D716" s="120"/>
      <c r="E716" s="120"/>
      <c r="F716" s="120"/>
      <c r="G716" s="120"/>
      <c r="H716" s="120"/>
      <c r="I716" s="120"/>
      <c r="J716" s="120"/>
      <c r="K716" s="120"/>
      <c r="L716" s="120"/>
      <c r="M716" s="120"/>
      <c r="N716" s="120"/>
      <c r="O716" s="120"/>
      <c r="P716" s="120"/>
      <c r="Q716" s="120"/>
      <c r="R716" s="120"/>
      <c r="S716" s="120"/>
      <c r="T716" s="120"/>
      <c r="U716" s="120"/>
      <c r="V716" s="120"/>
      <c r="W716" s="120"/>
      <c r="X716" s="120"/>
      <c r="Y716" s="120"/>
      <c r="Z716" s="120"/>
      <c r="AA716" s="120"/>
      <c r="AB716" s="120"/>
      <c r="AC716" s="120"/>
      <c r="AD716" s="120"/>
    </row>
    <row r="717">
      <c r="A717" s="120"/>
      <c r="B717" s="120"/>
      <c r="C717" s="120"/>
      <c r="D717" s="120"/>
      <c r="E717" s="120"/>
      <c r="F717" s="120"/>
      <c r="G717" s="120"/>
      <c r="H717" s="120"/>
      <c r="I717" s="120"/>
      <c r="J717" s="120"/>
      <c r="K717" s="120"/>
      <c r="L717" s="120"/>
      <c r="M717" s="120"/>
      <c r="N717" s="120"/>
      <c r="O717" s="120"/>
      <c r="P717" s="120"/>
      <c r="Q717" s="120"/>
      <c r="R717" s="120"/>
      <c r="S717" s="120"/>
      <c r="T717" s="120"/>
      <c r="U717" s="120"/>
      <c r="V717" s="120"/>
      <c r="W717" s="120"/>
      <c r="X717" s="120"/>
      <c r="Y717" s="120"/>
      <c r="Z717" s="120"/>
      <c r="AA717" s="120"/>
      <c r="AB717" s="120"/>
      <c r="AC717" s="120"/>
      <c r="AD717" s="120"/>
    </row>
    <row r="718">
      <c r="A718" s="120"/>
      <c r="B718" s="120"/>
      <c r="C718" s="120"/>
      <c r="D718" s="120"/>
      <c r="E718" s="120"/>
      <c r="F718" s="120"/>
      <c r="G718" s="120"/>
      <c r="H718" s="120"/>
      <c r="I718" s="120"/>
      <c r="J718" s="120"/>
      <c r="K718" s="120"/>
      <c r="L718" s="120"/>
      <c r="M718" s="120"/>
      <c r="N718" s="120"/>
      <c r="O718" s="120"/>
      <c r="P718" s="120"/>
      <c r="Q718" s="120"/>
      <c r="R718" s="120"/>
      <c r="S718" s="120"/>
      <c r="T718" s="120"/>
      <c r="U718" s="120"/>
      <c r="V718" s="120"/>
      <c r="W718" s="120"/>
      <c r="X718" s="120"/>
      <c r="Y718" s="120"/>
      <c r="Z718" s="120"/>
      <c r="AA718" s="120"/>
      <c r="AB718" s="120"/>
      <c r="AC718" s="120"/>
      <c r="AD718" s="120"/>
    </row>
    <row r="719">
      <c r="A719" s="120"/>
      <c r="B719" s="120"/>
      <c r="C719" s="120"/>
      <c r="D719" s="120"/>
      <c r="E719" s="120"/>
      <c r="F719" s="120"/>
      <c r="G719" s="120"/>
      <c r="H719" s="120"/>
      <c r="I719" s="120"/>
      <c r="J719" s="120"/>
      <c r="K719" s="120"/>
      <c r="L719" s="120"/>
      <c r="M719" s="120"/>
      <c r="N719" s="120"/>
      <c r="O719" s="120"/>
      <c r="P719" s="120"/>
      <c r="Q719" s="120"/>
      <c r="R719" s="120"/>
      <c r="S719" s="120"/>
      <c r="T719" s="120"/>
      <c r="U719" s="120"/>
      <c r="V719" s="120"/>
      <c r="W719" s="120"/>
      <c r="X719" s="120"/>
      <c r="Y719" s="120"/>
      <c r="Z719" s="120"/>
      <c r="AA719" s="120"/>
      <c r="AB719" s="120"/>
      <c r="AC719" s="120"/>
      <c r="AD719" s="120"/>
    </row>
    <row r="720">
      <c r="A720" s="120"/>
      <c r="B720" s="120"/>
      <c r="C720" s="120"/>
      <c r="D720" s="120"/>
      <c r="E720" s="120"/>
      <c r="F720" s="120"/>
      <c r="G720" s="120"/>
      <c r="H720" s="120"/>
      <c r="I720" s="120"/>
      <c r="J720" s="120"/>
      <c r="K720" s="120"/>
      <c r="L720" s="120"/>
      <c r="M720" s="120"/>
      <c r="N720" s="120"/>
      <c r="O720" s="120"/>
      <c r="P720" s="120"/>
      <c r="Q720" s="120"/>
      <c r="R720" s="120"/>
      <c r="S720" s="120"/>
      <c r="T720" s="120"/>
      <c r="U720" s="120"/>
      <c r="V720" s="120"/>
      <c r="W720" s="120"/>
      <c r="X720" s="120"/>
      <c r="Y720" s="120"/>
      <c r="Z720" s="120"/>
      <c r="AA720" s="120"/>
      <c r="AB720" s="120"/>
      <c r="AC720" s="120"/>
      <c r="AD720" s="120"/>
    </row>
    <row r="721">
      <c r="A721" s="120"/>
      <c r="B721" s="120"/>
      <c r="C721" s="120"/>
      <c r="D721" s="120"/>
      <c r="E721" s="120"/>
      <c r="F721" s="120"/>
      <c r="G721" s="120"/>
      <c r="H721" s="120"/>
      <c r="I721" s="120"/>
      <c r="J721" s="120"/>
      <c r="K721" s="120"/>
      <c r="L721" s="120"/>
      <c r="M721" s="120"/>
      <c r="N721" s="120"/>
      <c r="O721" s="120"/>
      <c r="P721" s="120"/>
      <c r="Q721" s="120"/>
      <c r="R721" s="120"/>
      <c r="S721" s="120"/>
      <c r="T721" s="120"/>
      <c r="U721" s="120"/>
      <c r="V721" s="120"/>
      <c r="W721" s="120"/>
      <c r="X721" s="120"/>
      <c r="Y721" s="120"/>
      <c r="Z721" s="120"/>
      <c r="AA721" s="120"/>
      <c r="AB721" s="120"/>
      <c r="AC721" s="120"/>
      <c r="AD721" s="120"/>
    </row>
    <row r="722">
      <c r="A722" s="120"/>
      <c r="B722" s="120"/>
      <c r="C722" s="120"/>
      <c r="D722" s="120"/>
      <c r="E722" s="120"/>
      <c r="F722" s="120"/>
      <c r="G722" s="120"/>
      <c r="H722" s="120"/>
      <c r="I722" s="120"/>
      <c r="J722" s="120"/>
      <c r="K722" s="120"/>
      <c r="L722" s="120"/>
      <c r="M722" s="120"/>
      <c r="N722" s="120"/>
      <c r="O722" s="120"/>
      <c r="P722" s="120"/>
      <c r="Q722" s="120"/>
      <c r="R722" s="120"/>
      <c r="S722" s="120"/>
      <c r="T722" s="120"/>
      <c r="U722" s="120"/>
      <c r="V722" s="120"/>
      <c r="W722" s="120"/>
      <c r="X722" s="120"/>
      <c r="Y722" s="120"/>
      <c r="Z722" s="120"/>
      <c r="AA722" s="120"/>
      <c r="AB722" s="120"/>
      <c r="AC722" s="120"/>
      <c r="AD722" s="120"/>
    </row>
    <row r="723">
      <c r="A723" s="120"/>
      <c r="B723" s="120"/>
      <c r="C723" s="120"/>
      <c r="D723" s="120"/>
      <c r="E723" s="120"/>
      <c r="F723" s="120"/>
      <c r="G723" s="120"/>
      <c r="H723" s="120"/>
      <c r="I723" s="120"/>
      <c r="J723" s="120"/>
      <c r="K723" s="120"/>
      <c r="L723" s="120"/>
      <c r="M723" s="120"/>
      <c r="N723" s="120"/>
      <c r="O723" s="120"/>
      <c r="P723" s="120"/>
      <c r="Q723" s="120"/>
      <c r="R723" s="120"/>
      <c r="S723" s="120"/>
      <c r="T723" s="120"/>
      <c r="U723" s="120"/>
      <c r="V723" s="120"/>
      <c r="W723" s="120"/>
      <c r="X723" s="120"/>
      <c r="Y723" s="120"/>
      <c r="Z723" s="120"/>
      <c r="AA723" s="120"/>
      <c r="AB723" s="120"/>
      <c r="AC723" s="120"/>
      <c r="AD723" s="120"/>
    </row>
    <row r="724">
      <c r="A724" s="120"/>
      <c r="B724" s="120"/>
      <c r="C724" s="120"/>
      <c r="D724" s="120"/>
      <c r="E724" s="120"/>
      <c r="F724" s="120"/>
      <c r="G724" s="120"/>
      <c r="H724" s="120"/>
      <c r="I724" s="120"/>
      <c r="J724" s="120"/>
      <c r="K724" s="120"/>
      <c r="L724" s="120"/>
      <c r="M724" s="120"/>
      <c r="N724" s="120"/>
      <c r="O724" s="120"/>
      <c r="P724" s="120"/>
      <c r="Q724" s="120"/>
      <c r="R724" s="120"/>
      <c r="S724" s="120"/>
      <c r="T724" s="120"/>
      <c r="U724" s="120"/>
      <c r="V724" s="120"/>
      <c r="W724" s="120"/>
      <c r="X724" s="120"/>
      <c r="Y724" s="120"/>
      <c r="Z724" s="120"/>
      <c r="AA724" s="120"/>
      <c r="AB724" s="120"/>
      <c r="AC724" s="120"/>
      <c r="AD724" s="120"/>
    </row>
    <row r="725">
      <c r="A725" s="120"/>
      <c r="B725" s="120"/>
      <c r="C725" s="120"/>
      <c r="D725" s="120"/>
      <c r="E725" s="120"/>
      <c r="F725" s="120"/>
      <c r="G725" s="120"/>
      <c r="H725" s="120"/>
      <c r="I725" s="120"/>
      <c r="J725" s="120"/>
      <c r="K725" s="120"/>
      <c r="L725" s="120"/>
      <c r="M725" s="120"/>
      <c r="N725" s="120"/>
      <c r="O725" s="120"/>
      <c r="P725" s="120"/>
      <c r="Q725" s="120"/>
      <c r="R725" s="120"/>
      <c r="S725" s="120"/>
      <c r="T725" s="120"/>
      <c r="U725" s="120"/>
      <c r="V725" s="120"/>
      <c r="W725" s="120"/>
      <c r="X725" s="120"/>
      <c r="Y725" s="120"/>
      <c r="Z725" s="120"/>
      <c r="AA725" s="120"/>
      <c r="AB725" s="120"/>
      <c r="AC725" s="120"/>
      <c r="AD725" s="120"/>
    </row>
    <row r="726">
      <c r="A726" s="120"/>
      <c r="B726" s="120"/>
      <c r="C726" s="120"/>
      <c r="D726" s="120"/>
      <c r="E726" s="120"/>
      <c r="F726" s="120"/>
      <c r="G726" s="120"/>
      <c r="H726" s="120"/>
      <c r="I726" s="120"/>
      <c r="J726" s="120"/>
      <c r="K726" s="120"/>
      <c r="L726" s="120"/>
      <c r="M726" s="120"/>
      <c r="N726" s="120"/>
      <c r="O726" s="120"/>
      <c r="P726" s="120"/>
      <c r="Q726" s="120"/>
      <c r="R726" s="120"/>
      <c r="S726" s="120"/>
      <c r="T726" s="120"/>
      <c r="U726" s="120"/>
      <c r="V726" s="120"/>
      <c r="W726" s="120"/>
      <c r="X726" s="120"/>
      <c r="Y726" s="120"/>
      <c r="Z726" s="120"/>
      <c r="AA726" s="120"/>
      <c r="AB726" s="120"/>
      <c r="AC726" s="120"/>
      <c r="AD726" s="120"/>
    </row>
    <row r="727">
      <c r="A727" s="120"/>
      <c r="B727" s="120"/>
      <c r="C727" s="120"/>
      <c r="D727" s="120"/>
      <c r="E727" s="120"/>
      <c r="F727" s="120"/>
      <c r="G727" s="120"/>
      <c r="H727" s="120"/>
      <c r="I727" s="120"/>
      <c r="J727" s="120"/>
      <c r="K727" s="120"/>
      <c r="L727" s="120"/>
      <c r="M727" s="120"/>
      <c r="N727" s="120"/>
      <c r="O727" s="120"/>
      <c r="P727" s="120"/>
      <c r="Q727" s="120"/>
      <c r="R727" s="120"/>
      <c r="S727" s="120"/>
      <c r="T727" s="120"/>
      <c r="U727" s="120"/>
      <c r="V727" s="120"/>
      <c r="W727" s="120"/>
      <c r="X727" s="120"/>
      <c r="Y727" s="120"/>
      <c r="Z727" s="120"/>
      <c r="AA727" s="120"/>
      <c r="AB727" s="120"/>
      <c r="AC727" s="120"/>
      <c r="AD727" s="120"/>
    </row>
    <row r="728">
      <c r="A728" s="120"/>
      <c r="B728" s="120"/>
      <c r="C728" s="120"/>
      <c r="D728" s="120"/>
      <c r="E728" s="120"/>
      <c r="F728" s="120"/>
      <c r="G728" s="120"/>
      <c r="H728" s="120"/>
      <c r="I728" s="120"/>
      <c r="J728" s="120"/>
      <c r="K728" s="120"/>
      <c r="L728" s="120"/>
      <c r="M728" s="120"/>
      <c r="N728" s="120"/>
      <c r="O728" s="120"/>
      <c r="P728" s="120"/>
      <c r="Q728" s="120"/>
      <c r="R728" s="120"/>
      <c r="S728" s="120"/>
      <c r="T728" s="120"/>
      <c r="U728" s="120"/>
      <c r="V728" s="120"/>
      <c r="W728" s="120"/>
      <c r="X728" s="120"/>
      <c r="Y728" s="120"/>
      <c r="Z728" s="120"/>
      <c r="AA728" s="120"/>
      <c r="AB728" s="120"/>
      <c r="AC728" s="120"/>
      <c r="AD728" s="120"/>
    </row>
    <row r="729">
      <c r="A729" s="120"/>
      <c r="B729" s="120"/>
      <c r="C729" s="120"/>
      <c r="D729" s="120"/>
      <c r="E729" s="120"/>
      <c r="F729" s="120"/>
      <c r="G729" s="120"/>
      <c r="H729" s="120"/>
      <c r="I729" s="120"/>
      <c r="J729" s="120"/>
      <c r="K729" s="120"/>
      <c r="L729" s="120"/>
      <c r="M729" s="120"/>
      <c r="N729" s="120"/>
      <c r="O729" s="120"/>
      <c r="P729" s="120"/>
      <c r="Q729" s="120"/>
      <c r="R729" s="120"/>
      <c r="S729" s="120"/>
      <c r="T729" s="120"/>
      <c r="U729" s="120"/>
      <c r="V729" s="120"/>
      <c r="W729" s="120"/>
      <c r="X729" s="120"/>
      <c r="Y729" s="120"/>
      <c r="Z729" s="120"/>
      <c r="AA729" s="120"/>
      <c r="AB729" s="120"/>
      <c r="AC729" s="120"/>
      <c r="AD729" s="120"/>
    </row>
    <row r="730">
      <c r="A730" s="120"/>
      <c r="B730" s="120"/>
      <c r="C730" s="120"/>
      <c r="D730" s="120"/>
      <c r="E730" s="120"/>
      <c r="F730" s="120"/>
      <c r="G730" s="120"/>
      <c r="H730" s="120"/>
      <c r="I730" s="120"/>
      <c r="J730" s="120"/>
      <c r="K730" s="120"/>
      <c r="L730" s="120"/>
      <c r="M730" s="120"/>
      <c r="N730" s="120"/>
      <c r="O730" s="120"/>
      <c r="P730" s="120"/>
      <c r="Q730" s="120"/>
      <c r="R730" s="120"/>
      <c r="S730" s="120"/>
      <c r="T730" s="120"/>
      <c r="U730" s="120"/>
      <c r="V730" s="120"/>
      <c r="W730" s="120"/>
      <c r="X730" s="120"/>
      <c r="Y730" s="120"/>
      <c r="Z730" s="120"/>
      <c r="AA730" s="120"/>
      <c r="AB730" s="120"/>
      <c r="AC730" s="120"/>
      <c r="AD730" s="120"/>
    </row>
    <row r="731">
      <c r="A731" s="120"/>
      <c r="B731" s="120"/>
      <c r="C731" s="120"/>
      <c r="D731" s="120"/>
      <c r="E731" s="120"/>
      <c r="F731" s="120"/>
      <c r="G731" s="120"/>
      <c r="H731" s="120"/>
      <c r="I731" s="120"/>
      <c r="J731" s="120"/>
      <c r="K731" s="120"/>
      <c r="L731" s="120"/>
      <c r="M731" s="120"/>
      <c r="N731" s="120"/>
      <c r="O731" s="120"/>
      <c r="P731" s="120"/>
      <c r="Q731" s="120"/>
      <c r="R731" s="120"/>
      <c r="S731" s="120"/>
      <c r="T731" s="120"/>
      <c r="U731" s="120"/>
      <c r="V731" s="120"/>
      <c r="W731" s="120"/>
      <c r="X731" s="120"/>
      <c r="Y731" s="120"/>
      <c r="Z731" s="120"/>
      <c r="AA731" s="120"/>
      <c r="AB731" s="120"/>
      <c r="AC731" s="120"/>
      <c r="AD731" s="120"/>
    </row>
    <row r="732">
      <c r="A732" s="120"/>
      <c r="B732" s="120"/>
      <c r="C732" s="120"/>
      <c r="D732" s="120"/>
      <c r="E732" s="120"/>
      <c r="F732" s="120"/>
      <c r="G732" s="120"/>
      <c r="H732" s="120"/>
      <c r="I732" s="120"/>
      <c r="J732" s="120"/>
      <c r="K732" s="120"/>
      <c r="L732" s="120"/>
      <c r="M732" s="120"/>
      <c r="N732" s="120"/>
      <c r="O732" s="120"/>
      <c r="P732" s="120"/>
      <c r="Q732" s="120"/>
      <c r="R732" s="120"/>
      <c r="S732" s="120"/>
      <c r="T732" s="120"/>
      <c r="U732" s="120"/>
      <c r="V732" s="120"/>
      <c r="W732" s="120"/>
      <c r="X732" s="120"/>
      <c r="Y732" s="120"/>
      <c r="Z732" s="120"/>
      <c r="AA732" s="120"/>
      <c r="AB732" s="120"/>
      <c r="AC732" s="120"/>
      <c r="AD732" s="120"/>
    </row>
    <row r="733">
      <c r="A733" s="120"/>
      <c r="B733" s="120"/>
      <c r="C733" s="120"/>
      <c r="D733" s="120"/>
      <c r="E733" s="120"/>
      <c r="F733" s="120"/>
      <c r="G733" s="120"/>
      <c r="H733" s="120"/>
      <c r="I733" s="120"/>
      <c r="J733" s="120"/>
      <c r="K733" s="120"/>
      <c r="L733" s="120"/>
      <c r="M733" s="120"/>
      <c r="N733" s="120"/>
      <c r="O733" s="120"/>
      <c r="P733" s="120"/>
      <c r="Q733" s="120"/>
      <c r="R733" s="120"/>
      <c r="S733" s="120"/>
      <c r="T733" s="120"/>
      <c r="U733" s="120"/>
      <c r="V733" s="120"/>
      <c r="W733" s="120"/>
      <c r="X733" s="120"/>
      <c r="Y733" s="120"/>
      <c r="Z733" s="120"/>
      <c r="AA733" s="120"/>
      <c r="AB733" s="120"/>
      <c r="AC733" s="120"/>
      <c r="AD733" s="120"/>
    </row>
    <row r="734">
      <c r="A734" s="120"/>
      <c r="B734" s="120"/>
      <c r="C734" s="120"/>
      <c r="D734" s="120"/>
      <c r="E734" s="120"/>
      <c r="F734" s="120"/>
      <c r="G734" s="120"/>
      <c r="H734" s="120"/>
      <c r="I734" s="120"/>
      <c r="J734" s="120"/>
      <c r="K734" s="120"/>
      <c r="L734" s="120"/>
      <c r="M734" s="120"/>
      <c r="N734" s="120"/>
      <c r="O734" s="120"/>
      <c r="P734" s="120"/>
      <c r="Q734" s="120"/>
      <c r="R734" s="120"/>
      <c r="S734" s="120"/>
      <c r="T734" s="120"/>
      <c r="U734" s="120"/>
      <c r="V734" s="120"/>
      <c r="W734" s="120"/>
      <c r="X734" s="120"/>
      <c r="Y734" s="120"/>
      <c r="Z734" s="120"/>
      <c r="AA734" s="120"/>
      <c r="AB734" s="120"/>
      <c r="AC734" s="120"/>
      <c r="AD734" s="120"/>
    </row>
    <row r="735">
      <c r="A735" s="120"/>
      <c r="B735" s="120"/>
      <c r="C735" s="120"/>
      <c r="D735" s="120"/>
      <c r="E735" s="120"/>
      <c r="F735" s="120"/>
      <c r="G735" s="120"/>
      <c r="H735" s="120"/>
      <c r="I735" s="120"/>
      <c r="J735" s="120"/>
      <c r="K735" s="120"/>
      <c r="L735" s="120"/>
      <c r="M735" s="120"/>
      <c r="N735" s="120"/>
      <c r="O735" s="120"/>
      <c r="P735" s="120"/>
      <c r="Q735" s="120"/>
      <c r="R735" s="120"/>
      <c r="S735" s="120"/>
      <c r="T735" s="120"/>
      <c r="U735" s="120"/>
      <c r="V735" s="120"/>
      <c r="W735" s="120"/>
      <c r="X735" s="120"/>
      <c r="Y735" s="120"/>
      <c r="Z735" s="120"/>
      <c r="AA735" s="120"/>
      <c r="AB735" s="120"/>
      <c r="AC735" s="120"/>
      <c r="AD735" s="120"/>
    </row>
    <row r="736">
      <c r="A736" s="120"/>
      <c r="B736" s="120"/>
      <c r="C736" s="120"/>
      <c r="D736" s="120"/>
      <c r="E736" s="120"/>
      <c r="F736" s="120"/>
      <c r="G736" s="120"/>
      <c r="H736" s="120"/>
      <c r="I736" s="120"/>
      <c r="J736" s="120"/>
      <c r="K736" s="120"/>
      <c r="L736" s="120"/>
      <c r="M736" s="120"/>
      <c r="N736" s="120"/>
      <c r="O736" s="120"/>
      <c r="P736" s="120"/>
      <c r="Q736" s="120"/>
      <c r="R736" s="120"/>
      <c r="S736" s="120"/>
      <c r="T736" s="120"/>
      <c r="U736" s="120"/>
      <c r="V736" s="120"/>
      <c r="W736" s="120"/>
      <c r="X736" s="120"/>
      <c r="Y736" s="120"/>
      <c r="Z736" s="120"/>
      <c r="AA736" s="120"/>
      <c r="AB736" s="120"/>
      <c r="AC736" s="120"/>
      <c r="AD736" s="120"/>
    </row>
    <row r="737">
      <c r="A737" s="120"/>
      <c r="B737" s="120"/>
      <c r="C737" s="120"/>
      <c r="D737" s="120"/>
      <c r="E737" s="120"/>
      <c r="F737" s="120"/>
      <c r="G737" s="120"/>
      <c r="H737" s="120"/>
      <c r="I737" s="120"/>
      <c r="J737" s="120"/>
      <c r="K737" s="120"/>
      <c r="L737" s="120"/>
      <c r="M737" s="120"/>
      <c r="N737" s="120"/>
      <c r="O737" s="120"/>
      <c r="P737" s="120"/>
      <c r="Q737" s="120"/>
      <c r="R737" s="120"/>
      <c r="S737" s="120"/>
      <c r="T737" s="120"/>
      <c r="U737" s="120"/>
      <c r="V737" s="120"/>
      <c r="W737" s="120"/>
      <c r="X737" s="120"/>
      <c r="Y737" s="120"/>
      <c r="Z737" s="120"/>
      <c r="AA737" s="120"/>
      <c r="AB737" s="120"/>
      <c r="AC737" s="120"/>
      <c r="AD737" s="120"/>
    </row>
    <row r="738">
      <c r="A738" s="120"/>
      <c r="B738" s="120"/>
      <c r="C738" s="120"/>
      <c r="D738" s="120"/>
      <c r="E738" s="120"/>
      <c r="F738" s="120"/>
      <c r="G738" s="120"/>
      <c r="H738" s="120"/>
      <c r="I738" s="120"/>
      <c r="J738" s="120"/>
      <c r="K738" s="120"/>
      <c r="L738" s="120"/>
      <c r="M738" s="120"/>
      <c r="N738" s="120"/>
      <c r="O738" s="120"/>
      <c r="P738" s="120"/>
      <c r="Q738" s="120"/>
      <c r="R738" s="120"/>
      <c r="S738" s="120"/>
      <c r="T738" s="120"/>
      <c r="U738" s="120"/>
      <c r="V738" s="120"/>
      <c r="W738" s="120"/>
      <c r="X738" s="120"/>
      <c r="Y738" s="120"/>
      <c r="Z738" s="120"/>
      <c r="AA738" s="120"/>
      <c r="AB738" s="120"/>
      <c r="AC738" s="120"/>
      <c r="AD738" s="120"/>
    </row>
    <row r="739">
      <c r="A739" s="120"/>
      <c r="B739" s="120"/>
      <c r="C739" s="120"/>
      <c r="D739" s="120"/>
      <c r="E739" s="120"/>
      <c r="F739" s="120"/>
      <c r="G739" s="120"/>
      <c r="H739" s="120"/>
      <c r="I739" s="120"/>
      <c r="J739" s="120"/>
      <c r="K739" s="120"/>
      <c r="L739" s="120"/>
      <c r="M739" s="120"/>
      <c r="N739" s="120"/>
      <c r="O739" s="120"/>
      <c r="P739" s="120"/>
      <c r="Q739" s="120"/>
      <c r="R739" s="120"/>
      <c r="S739" s="120"/>
      <c r="T739" s="120"/>
      <c r="U739" s="120"/>
      <c r="V739" s="120"/>
      <c r="W739" s="120"/>
      <c r="X739" s="120"/>
      <c r="Y739" s="120"/>
      <c r="Z739" s="120"/>
      <c r="AA739" s="120"/>
      <c r="AB739" s="120"/>
      <c r="AC739" s="120"/>
      <c r="AD739" s="120"/>
    </row>
    <row r="740">
      <c r="A740" s="120"/>
      <c r="B740" s="120"/>
      <c r="C740" s="120"/>
      <c r="D740" s="120"/>
      <c r="E740" s="120"/>
      <c r="F740" s="120"/>
      <c r="G740" s="120"/>
      <c r="H740" s="120"/>
      <c r="I740" s="120"/>
      <c r="J740" s="120"/>
      <c r="K740" s="120"/>
      <c r="L740" s="120"/>
      <c r="M740" s="120"/>
      <c r="N740" s="120"/>
      <c r="O740" s="120"/>
      <c r="P740" s="120"/>
      <c r="Q740" s="120"/>
      <c r="R740" s="120"/>
      <c r="S740" s="120"/>
      <c r="T740" s="120"/>
      <c r="U740" s="120"/>
      <c r="V740" s="120"/>
      <c r="W740" s="120"/>
      <c r="X740" s="120"/>
      <c r="Y740" s="120"/>
      <c r="Z740" s="120"/>
      <c r="AA740" s="120"/>
      <c r="AB740" s="120"/>
      <c r="AC740" s="120"/>
      <c r="AD740" s="120"/>
    </row>
    <row r="741">
      <c r="A741" s="120"/>
      <c r="B741" s="120"/>
      <c r="C741" s="120"/>
      <c r="D741" s="120"/>
      <c r="E741" s="120"/>
      <c r="F741" s="120"/>
      <c r="G741" s="120"/>
      <c r="H741" s="120"/>
      <c r="I741" s="120"/>
      <c r="J741" s="120"/>
      <c r="K741" s="120"/>
      <c r="L741" s="120"/>
      <c r="M741" s="120"/>
      <c r="N741" s="120"/>
      <c r="O741" s="120"/>
      <c r="P741" s="120"/>
      <c r="Q741" s="120"/>
      <c r="R741" s="120"/>
      <c r="S741" s="120"/>
      <c r="T741" s="120"/>
      <c r="U741" s="120"/>
      <c r="V741" s="120"/>
      <c r="W741" s="120"/>
      <c r="X741" s="120"/>
      <c r="Y741" s="120"/>
      <c r="Z741" s="120"/>
      <c r="AA741" s="120"/>
      <c r="AB741" s="120"/>
      <c r="AC741" s="120"/>
      <c r="AD741" s="120"/>
    </row>
    <row r="742">
      <c r="A742" s="120"/>
      <c r="B742" s="120"/>
      <c r="C742" s="120"/>
      <c r="D742" s="120"/>
      <c r="E742" s="120"/>
      <c r="F742" s="120"/>
      <c r="G742" s="120"/>
      <c r="H742" s="120"/>
      <c r="I742" s="120"/>
      <c r="J742" s="120"/>
      <c r="K742" s="120"/>
      <c r="L742" s="120"/>
      <c r="M742" s="120"/>
      <c r="N742" s="120"/>
      <c r="O742" s="120"/>
      <c r="P742" s="120"/>
      <c r="Q742" s="120"/>
      <c r="R742" s="120"/>
      <c r="S742" s="120"/>
      <c r="T742" s="120"/>
      <c r="U742" s="120"/>
      <c r="V742" s="120"/>
      <c r="W742" s="120"/>
      <c r="X742" s="120"/>
      <c r="Y742" s="120"/>
      <c r="Z742" s="120"/>
      <c r="AA742" s="120"/>
      <c r="AB742" s="120"/>
      <c r="AC742" s="120"/>
      <c r="AD742" s="120"/>
    </row>
    <row r="743">
      <c r="A743" s="120"/>
      <c r="B743" s="120"/>
      <c r="C743" s="120"/>
      <c r="D743" s="120"/>
      <c r="E743" s="120"/>
      <c r="F743" s="120"/>
      <c r="G743" s="120"/>
      <c r="H743" s="120"/>
      <c r="I743" s="120"/>
      <c r="J743" s="120"/>
      <c r="K743" s="120"/>
      <c r="L743" s="120"/>
      <c r="M743" s="120"/>
      <c r="N743" s="120"/>
      <c r="O743" s="120"/>
      <c r="P743" s="120"/>
      <c r="Q743" s="120"/>
      <c r="R743" s="120"/>
      <c r="S743" s="120"/>
      <c r="T743" s="120"/>
      <c r="U743" s="120"/>
      <c r="V743" s="120"/>
      <c r="W743" s="120"/>
      <c r="X743" s="120"/>
      <c r="Y743" s="120"/>
      <c r="Z743" s="120"/>
      <c r="AA743" s="120"/>
      <c r="AB743" s="120"/>
      <c r="AC743" s="120"/>
      <c r="AD743" s="120"/>
    </row>
    <row r="744">
      <c r="A744" s="120"/>
      <c r="B744" s="120"/>
      <c r="C744" s="120"/>
      <c r="D744" s="120"/>
      <c r="E744" s="120"/>
      <c r="F744" s="120"/>
      <c r="G744" s="120"/>
      <c r="H744" s="120"/>
      <c r="I744" s="120"/>
      <c r="J744" s="120"/>
      <c r="K744" s="120"/>
      <c r="L744" s="120"/>
      <c r="M744" s="120"/>
      <c r="N744" s="120"/>
      <c r="O744" s="120"/>
      <c r="P744" s="120"/>
      <c r="Q744" s="120"/>
      <c r="R744" s="120"/>
      <c r="S744" s="120"/>
      <c r="T744" s="120"/>
      <c r="U744" s="120"/>
      <c r="V744" s="120"/>
      <c r="W744" s="120"/>
      <c r="X744" s="120"/>
      <c r="Y744" s="120"/>
      <c r="Z744" s="120"/>
      <c r="AA744" s="120"/>
      <c r="AB744" s="120"/>
      <c r="AC744" s="120"/>
      <c r="AD744" s="120"/>
    </row>
    <row r="745">
      <c r="A745" s="120"/>
      <c r="B745" s="120"/>
      <c r="C745" s="120"/>
      <c r="D745" s="120"/>
      <c r="E745" s="120"/>
      <c r="F745" s="120"/>
      <c r="G745" s="120"/>
      <c r="H745" s="120"/>
      <c r="I745" s="120"/>
      <c r="J745" s="120"/>
      <c r="K745" s="120"/>
      <c r="L745" s="120"/>
      <c r="M745" s="120"/>
      <c r="N745" s="120"/>
      <c r="O745" s="120"/>
      <c r="P745" s="120"/>
      <c r="Q745" s="120"/>
      <c r="R745" s="120"/>
      <c r="S745" s="120"/>
      <c r="T745" s="120"/>
      <c r="U745" s="120"/>
      <c r="V745" s="120"/>
      <c r="W745" s="120"/>
      <c r="X745" s="120"/>
      <c r="Y745" s="120"/>
      <c r="Z745" s="120"/>
      <c r="AA745" s="120"/>
      <c r="AB745" s="120"/>
      <c r="AC745" s="120"/>
      <c r="AD745" s="120"/>
    </row>
    <row r="746">
      <c r="A746" s="120"/>
      <c r="B746" s="120"/>
      <c r="C746" s="120"/>
      <c r="D746" s="120"/>
      <c r="E746" s="120"/>
      <c r="F746" s="120"/>
      <c r="G746" s="120"/>
      <c r="H746" s="120"/>
      <c r="I746" s="120"/>
      <c r="J746" s="120"/>
      <c r="K746" s="120"/>
      <c r="L746" s="120"/>
      <c r="M746" s="120"/>
      <c r="N746" s="120"/>
      <c r="O746" s="120"/>
      <c r="P746" s="120"/>
      <c r="Q746" s="120"/>
      <c r="R746" s="120"/>
      <c r="S746" s="120"/>
      <c r="T746" s="120"/>
      <c r="U746" s="120"/>
      <c r="V746" s="120"/>
      <c r="W746" s="120"/>
      <c r="X746" s="120"/>
      <c r="Y746" s="120"/>
      <c r="Z746" s="120"/>
      <c r="AA746" s="120"/>
      <c r="AB746" s="120"/>
      <c r="AC746" s="120"/>
      <c r="AD746" s="120"/>
    </row>
    <row r="747">
      <c r="A747" s="120"/>
      <c r="B747" s="120"/>
      <c r="C747" s="120"/>
      <c r="D747" s="120"/>
      <c r="E747" s="120"/>
      <c r="F747" s="120"/>
      <c r="G747" s="120"/>
      <c r="H747" s="120"/>
      <c r="I747" s="120"/>
      <c r="J747" s="120"/>
      <c r="K747" s="120"/>
      <c r="L747" s="120"/>
      <c r="M747" s="120"/>
      <c r="N747" s="120"/>
      <c r="O747" s="120"/>
      <c r="P747" s="120"/>
      <c r="Q747" s="120"/>
      <c r="R747" s="120"/>
      <c r="S747" s="120"/>
      <c r="T747" s="120"/>
      <c r="U747" s="120"/>
      <c r="V747" s="120"/>
      <c r="W747" s="120"/>
      <c r="X747" s="120"/>
      <c r="Y747" s="120"/>
      <c r="Z747" s="120"/>
      <c r="AA747" s="120"/>
      <c r="AB747" s="120"/>
      <c r="AC747" s="120"/>
      <c r="AD747" s="120"/>
    </row>
    <row r="748">
      <c r="A748" s="120"/>
      <c r="B748" s="120"/>
      <c r="C748" s="120"/>
      <c r="D748" s="120"/>
      <c r="E748" s="120"/>
      <c r="F748" s="120"/>
      <c r="G748" s="120"/>
      <c r="H748" s="120"/>
      <c r="I748" s="120"/>
      <c r="J748" s="120"/>
      <c r="K748" s="120"/>
      <c r="L748" s="120"/>
      <c r="M748" s="120"/>
      <c r="N748" s="120"/>
      <c r="O748" s="120"/>
      <c r="P748" s="120"/>
      <c r="Q748" s="120"/>
      <c r="R748" s="120"/>
      <c r="S748" s="120"/>
      <c r="T748" s="120"/>
      <c r="U748" s="120"/>
      <c r="V748" s="120"/>
      <c r="W748" s="120"/>
      <c r="X748" s="120"/>
      <c r="Y748" s="120"/>
      <c r="Z748" s="120"/>
      <c r="AA748" s="120"/>
      <c r="AB748" s="120"/>
      <c r="AC748" s="120"/>
      <c r="AD748" s="120"/>
    </row>
    <row r="749">
      <c r="A749" s="120"/>
      <c r="B749" s="120"/>
      <c r="C749" s="120"/>
      <c r="D749" s="120"/>
      <c r="E749" s="120"/>
      <c r="F749" s="120"/>
      <c r="G749" s="120"/>
      <c r="H749" s="120"/>
      <c r="I749" s="120"/>
      <c r="J749" s="120"/>
      <c r="K749" s="120"/>
      <c r="L749" s="120"/>
      <c r="M749" s="120"/>
      <c r="N749" s="120"/>
      <c r="O749" s="120"/>
      <c r="P749" s="120"/>
      <c r="Q749" s="120"/>
      <c r="R749" s="120"/>
      <c r="S749" s="120"/>
      <c r="T749" s="120"/>
      <c r="U749" s="120"/>
      <c r="V749" s="120"/>
      <c r="W749" s="120"/>
      <c r="X749" s="120"/>
      <c r="Y749" s="120"/>
      <c r="Z749" s="120"/>
      <c r="AA749" s="120"/>
      <c r="AB749" s="120"/>
      <c r="AC749" s="120"/>
      <c r="AD749" s="120"/>
    </row>
    <row r="750">
      <c r="A750" s="120"/>
      <c r="B750" s="120"/>
      <c r="C750" s="120"/>
      <c r="D750" s="120"/>
      <c r="E750" s="120"/>
      <c r="F750" s="120"/>
      <c r="G750" s="120"/>
      <c r="H750" s="120"/>
      <c r="I750" s="120"/>
      <c r="J750" s="120"/>
      <c r="K750" s="120"/>
      <c r="L750" s="120"/>
      <c r="M750" s="120"/>
      <c r="N750" s="120"/>
      <c r="O750" s="120"/>
      <c r="P750" s="120"/>
      <c r="Q750" s="120"/>
      <c r="R750" s="120"/>
      <c r="S750" s="120"/>
      <c r="T750" s="120"/>
      <c r="U750" s="120"/>
      <c r="V750" s="120"/>
      <c r="W750" s="120"/>
      <c r="X750" s="120"/>
      <c r="Y750" s="120"/>
      <c r="Z750" s="120"/>
      <c r="AA750" s="120"/>
      <c r="AB750" s="120"/>
      <c r="AC750" s="120"/>
      <c r="AD750" s="120"/>
    </row>
    <row r="751">
      <c r="A751" s="120"/>
      <c r="B751" s="120"/>
      <c r="C751" s="120"/>
      <c r="D751" s="120"/>
      <c r="E751" s="120"/>
      <c r="F751" s="120"/>
      <c r="G751" s="120"/>
      <c r="H751" s="120"/>
      <c r="I751" s="120"/>
      <c r="J751" s="120"/>
      <c r="K751" s="120"/>
      <c r="L751" s="120"/>
      <c r="M751" s="120"/>
      <c r="N751" s="120"/>
      <c r="O751" s="120"/>
      <c r="P751" s="120"/>
      <c r="Q751" s="120"/>
      <c r="R751" s="120"/>
      <c r="S751" s="120"/>
      <c r="T751" s="120"/>
      <c r="U751" s="120"/>
      <c r="V751" s="120"/>
      <c r="W751" s="120"/>
      <c r="X751" s="120"/>
      <c r="Y751" s="120"/>
      <c r="Z751" s="120"/>
      <c r="AA751" s="120"/>
      <c r="AB751" s="120"/>
      <c r="AC751" s="120"/>
      <c r="AD751" s="120"/>
    </row>
    <row r="752">
      <c r="A752" s="120"/>
      <c r="B752" s="120"/>
      <c r="C752" s="120"/>
      <c r="D752" s="120"/>
      <c r="E752" s="120"/>
      <c r="F752" s="120"/>
      <c r="G752" s="120"/>
      <c r="H752" s="120"/>
      <c r="I752" s="120"/>
      <c r="J752" s="120"/>
      <c r="K752" s="120"/>
      <c r="L752" s="120"/>
      <c r="M752" s="120"/>
      <c r="N752" s="120"/>
      <c r="O752" s="120"/>
      <c r="P752" s="120"/>
      <c r="Q752" s="120"/>
      <c r="R752" s="120"/>
      <c r="S752" s="120"/>
      <c r="T752" s="120"/>
      <c r="U752" s="120"/>
      <c r="V752" s="120"/>
      <c r="W752" s="120"/>
      <c r="X752" s="120"/>
      <c r="Y752" s="120"/>
      <c r="Z752" s="120"/>
      <c r="AA752" s="120"/>
      <c r="AB752" s="120"/>
      <c r="AC752" s="120"/>
      <c r="AD752" s="120"/>
    </row>
    <row r="753">
      <c r="A753" s="120"/>
      <c r="B753" s="120"/>
      <c r="C753" s="120"/>
      <c r="D753" s="120"/>
      <c r="E753" s="120"/>
      <c r="F753" s="120"/>
      <c r="G753" s="120"/>
      <c r="H753" s="120"/>
      <c r="I753" s="120"/>
      <c r="J753" s="120"/>
      <c r="K753" s="120"/>
      <c r="L753" s="120"/>
      <c r="M753" s="120"/>
      <c r="N753" s="120"/>
      <c r="O753" s="120"/>
      <c r="P753" s="120"/>
      <c r="Q753" s="120"/>
      <c r="R753" s="120"/>
      <c r="S753" s="120"/>
      <c r="T753" s="120"/>
      <c r="U753" s="120"/>
      <c r="V753" s="120"/>
      <c r="W753" s="120"/>
      <c r="X753" s="120"/>
      <c r="Y753" s="120"/>
      <c r="Z753" s="120"/>
      <c r="AA753" s="120"/>
      <c r="AB753" s="120"/>
      <c r="AC753" s="120"/>
      <c r="AD753" s="120"/>
    </row>
    <row r="754">
      <c r="A754" s="120"/>
      <c r="B754" s="120"/>
      <c r="C754" s="120"/>
      <c r="D754" s="120"/>
      <c r="E754" s="120"/>
      <c r="F754" s="120"/>
      <c r="G754" s="120"/>
      <c r="H754" s="120"/>
      <c r="I754" s="120"/>
      <c r="J754" s="120"/>
      <c r="K754" s="120"/>
      <c r="L754" s="120"/>
      <c r="M754" s="120"/>
      <c r="N754" s="120"/>
      <c r="O754" s="120"/>
      <c r="P754" s="120"/>
      <c r="Q754" s="120"/>
      <c r="R754" s="120"/>
      <c r="S754" s="120"/>
      <c r="T754" s="120"/>
      <c r="U754" s="120"/>
      <c r="V754" s="120"/>
      <c r="W754" s="120"/>
      <c r="X754" s="120"/>
      <c r="Y754" s="120"/>
      <c r="Z754" s="120"/>
      <c r="AA754" s="120"/>
      <c r="AB754" s="120"/>
      <c r="AC754" s="120"/>
      <c r="AD754" s="120"/>
    </row>
    <row r="755">
      <c r="A755" s="120"/>
      <c r="B755" s="120"/>
      <c r="C755" s="120"/>
      <c r="D755" s="120"/>
      <c r="E755" s="120"/>
      <c r="F755" s="120"/>
      <c r="G755" s="120"/>
      <c r="H755" s="120"/>
      <c r="I755" s="120"/>
      <c r="J755" s="120"/>
      <c r="K755" s="120"/>
      <c r="L755" s="120"/>
      <c r="M755" s="120"/>
      <c r="N755" s="120"/>
      <c r="O755" s="120"/>
      <c r="P755" s="120"/>
      <c r="Q755" s="120"/>
      <c r="R755" s="120"/>
      <c r="S755" s="120"/>
      <c r="T755" s="120"/>
      <c r="U755" s="120"/>
      <c r="V755" s="120"/>
      <c r="W755" s="120"/>
      <c r="X755" s="120"/>
      <c r="Y755" s="120"/>
      <c r="Z755" s="120"/>
      <c r="AA755" s="120"/>
      <c r="AB755" s="120"/>
      <c r="AC755" s="120"/>
      <c r="AD755" s="120"/>
    </row>
    <row r="756">
      <c r="A756" s="120"/>
      <c r="B756" s="120"/>
      <c r="C756" s="120"/>
      <c r="D756" s="120"/>
      <c r="E756" s="120"/>
      <c r="F756" s="120"/>
      <c r="G756" s="120"/>
      <c r="H756" s="120"/>
      <c r="I756" s="120"/>
      <c r="J756" s="120"/>
      <c r="K756" s="120"/>
      <c r="L756" s="120"/>
      <c r="M756" s="120"/>
      <c r="N756" s="120"/>
      <c r="O756" s="120"/>
      <c r="P756" s="120"/>
      <c r="Q756" s="120"/>
      <c r="R756" s="120"/>
      <c r="S756" s="120"/>
      <c r="T756" s="120"/>
      <c r="U756" s="120"/>
      <c r="V756" s="120"/>
      <c r="W756" s="120"/>
      <c r="X756" s="120"/>
      <c r="Y756" s="120"/>
      <c r="Z756" s="120"/>
      <c r="AA756" s="120"/>
      <c r="AB756" s="120"/>
      <c r="AC756" s="120"/>
      <c r="AD756" s="120"/>
    </row>
    <row r="757">
      <c r="A757" s="120"/>
      <c r="B757" s="120"/>
      <c r="C757" s="120"/>
      <c r="D757" s="120"/>
      <c r="E757" s="120"/>
      <c r="F757" s="120"/>
      <c r="G757" s="120"/>
      <c r="H757" s="120"/>
      <c r="I757" s="120"/>
      <c r="J757" s="120"/>
      <c r="K757" s="120"/>
      <c r="L757" s="120"/>
      <c r="M757" s="120"/>
      <c r="N757" s="120"/>
      <c r="O757" s="120"/>
      <c r="P757" s="120"/>
      <c r="Q757" s="120"/>
      <c r="R757" s="120"/>
      <c r="S757" s="120"/>
      <c r="T757" s="120"/>
      <c r="U757" s="120"/>
      <c r="V757" s="120"/>
      <c r="W757" s="120"/>
      <c r="X757" s="120"/>
      <c r="Y757" s="120"/>
      <c r="Z757" s="120"/>
      <c r="AA757" s="120"/>
      <c r="AB757" s="120"/>
      <c r="AC757" s="120"/>
      <c r="AD757" s="120"/>
    </row>
    <row r="758">
      <c r="A758" s="120"/>
      <c r="B758" s="120"/>
      <c r="C758" s="120"/>
      <c r="D758" s="120"/>
      <c r="E758" s="120"/>
      <c r="F758" s="120"/>
      <c r="G758" s="120"/>
      <c r="H758" s="120"/>
      <c r="I758" s="120"/>
      <c r="J758" s="120"/>
      <c r="K758" s="120"/>
      <c r="L758" s="120"/>
      <c r="M758" s="120"/>
      <c r="N758" s="120"/>
      <c r="O758" s="120"/>
      <c r="P758" s="120"/>
      <c r="Q758" s="120"/>
      <c r="R758" s="120"/>
      <c r="S758" s="120"/>
      <c r="T758" s="120"/>
      <c r="U758" s="120"/>
      <c r="V758" s="120"/>
      <c r="W758" s="120"/>
      <c r="X758" s="120"/>
      <c r="Y758" s="120"/>
      <c r="Z758" s="120"/>
      <c r="AA758" s="120"/>
      <c r="AB758" s="120"/>
      <c r="AC758" s="120"/>
      <c r="AD758" s="120"/>
    </row>
    <row r="759">
      <c r="A759" s="120"/>
      <c r="B759" s="120"/>
      <c r="C759" s="120"/>
      <c r="D759" s="120"/>
      <c r="E759" s="120"/>
      <c r="F759" s="120"/>
      <c r="G759" s="120"/>
      <c r="H759" s="120"/>
      <c r="I759" s="120"/>
      <c r="J759" s="120"/>
      <c r="K759" s="120"/>
      <c r="L759" s="120"/>
      <c r="M759" s="120"/>
      <c r="N759" s="120"/>
      <c r="O759" s="120"/>
      <c r="P759" s="120"/>
      <c r="Q759" s="120"/>
      <c r="R759" s="120"/>
      <c r="S759" s="120"/>
      <c r="T759" s="120"/>
      <c r="U759" s="120"/>
      <c r="V759" s="120"/>
      <c r="W759" s="120"/>
      <c r="X759" s="120"/>
      <c r="Y759" s="120"/>
      <c r="Z759" s="120"/>
      <c r="AA759" s="120"/>
      <c r="AB759" s="120"/>
      <c r="AC759" s="120"/>
      <c r="AD759" s="120"/>
    </row>
    <row r="760">
      <c r="A760" s="120"/>
      <c r="B760" s="120"/>
      <c r="C760" s="120"/>
      <c r="D760" s="120"/>
      <c r="E760" s="120"/>
      <c r="F760" s="120"/>
      <c r="G760" s="120"/>
      <c r="H760" s="120"/>
      <c r="I760" s="120"/>
      <c r="J760" s="120"/>
      <c r="K760" s="120"/>
      <c r="L760" s="120"/>
      <c r="M760" s="120"/>
      <c r="N760" s="120"/>
      <c r="O760" s="120"/>
      <c r="P760" s="120"/>
      <c r="Q760" s="120"/>
      <c r="R760" s="120"/>
      <c r="S760" s="120"/>
      <c r="T760" s="120"/>
      <c r="U760" s="120"/>
      <c r="V760" s="120"/>
      <c r="W760" s="120"/>
      <c r="X760" s="120"/>
      <c r="Y760" s="120"/>
      <c r="Z760" s="120"/>
      <c r="AA760" s="120"/>
      <c r="AB760" s="120"/>
      <c r="AC760" s="120"/>
      <c r="AD760" s="120"/>
    </row>
    <row r="761">
      <c r="A761" s="120"/>
      <c r="B761" s="120"/>
      <c r="C761" s="120"/>
      <c r="D761" s="120"/>
      <c r="E761" s="120"/>
      <c r="F761" s="120"/>
      <c r="G761" s="120"/>
      <c r="H761" s="120"/>
      <c r="I761" s="120"/>
      <c r="J761" s="120"/>
      <c r="K761" s="120"/>
      <c r="L761" s="120"/>
      <c r="M761" s="120"/>
      <c r="N761" s="120"/>
      <c r="O761" s="120"/>
      <c r="P761" s="120"/>
      <c r="Q761" s="120"/>
      <c r="R761" s="120"/>
      <c r="S761" s="120"/>
      <c r="T761" s="120"/>
      <c r="U761" s="120"/>
      <c r="V761" s="120"/>
      <c r="W761" s="120"/>
      <c r="X761" s="120"/>
      <c r="Y761" s="120"/>
      <c r="Z761" s="120"/>
      <c r="AA761" s="120"/>
      <c r="AB761" s="120"/>
      <c r="AC761" s="120"/>
      <c r="AD761" s="120"/>
    </row>
    <row r="762">
      <c r="A762" s="120"/>
      <c r="B762" s="120"/>
      <c r="C762" s="120"/>
      <c r="D762" s="120"/>
      <c r="E762" s="120"/>
      <c r="F762" s="120"/>
      <c r="G762" s="120"/>
      <c r="H762" s="120"/>
      <c r="I762" s="120"/>
      <c r="J762" s="120"/>
      <c r="K762" s="120"/>
      <c r="L762" s="120"/>
      <c r="M762" s="120"/>
      <c r="N762" s="120"/>
      <c r="O762" s="120"/>
      <c r="P762" s="120"/>
      <c r="Q762" s="120"/>
      <c r="R762" s="120"/>
      <c r="S762" s="120"/>
      <c r="T762" s="120"/>
      <c r="U762" s="120"/>
      <c r="V762" s="120"/>
      <c r="W762" s="120"/>
      <c r="X762" s="120"/>
      <c r="Y762" s="120"/>
      <c r="Z762" s="120"/>
      <c r="AA762" s="120"/>
      <c r="AB762" s="120"/>
      <c r="AC762" s="120"/>
      <c r="AD762" s="120"/>
    </row>
    <row r="763">
      <c r="A763" s="120"/>
      <c r="B763" s="120"/>
      <c r="C763" s="120"/>
      <c r="D763" s="120"/>
      <c r="E763" s="120"/>
      <c r="F763" s="120"/>
      <c r="G763" s="120"/>
      <c r="H763" s="120"/>
      <c r="I763" s="120"/>
      <c r="J763" s="120"/>
      <c r="K763" s="120"/>
      <c r="L763" s="120"/>
      <c r="M763" s="120"/>
      <c r="N763" s="120"/>
      <c r="O763" s="120"/>
      <c r="P763" s="120"/>
      <c r="Q763" s="120"/>
      <c r="R763" s="120"/>
      <c r="S763" s="120"/>
      <c r="T763" s="120"/>
      <c r="U763" s="120"/>
      <c r="V763" s="120"/>
      <c r="W763" s="120"/>
      <c r="X763" s="120"/>
      <c r="Y763" s="120"/>
      <c r="Z763" s="120"/>
      <c r="AA763" s="120"/>
      <c r="AB763" s="120"/>
      <c r="AC763" s="120"/>
      <c r="AD763" s="120"/>
    </row>
    <row r="764">
      <c r="A764" s="120"/>
      <c r="B764" s="120"/>
      <c r="C764" s="120"/>
      <c r="D764" s="120"/>
      <c r="E764" s="120"/>
      <c r="F764" s="120"/>
      <c r="G764" s="120"/>
      <c r="H764" s="120"/>
      <c r="I764" s="120"/>
      <c r="J764" s="120"/>
      <c r="K764" s="120"/>
      <c r="L764" s="120"/>
      <c r="M764" s="120"/>
      <c r="N764" s="120"/>
      <c r="O764" s="120"/>
      <c r="P764" s="120"/>
      <c r="Q764" s="120"/>
      <c r="R764" s="120"/>
      <c r="S764" s="120"/>
      <c r="T764" s="120"/>
      <c r="U764" s="120"/>
      <c r="V764" s="120"/>
      <c r="W764" s="120"/>
      <c r="X764" s="120"/>
      <c r="Y764" s="120"/>
      <c r="Z764" s="120"/>
      <c r="AA764" s="120"/>
      <c r="AB764" s="120"/>
      <c r="AC764" s="120"/>
      <c r="AD764" s="120"/>
    </row>
    <row r="765">
      <c r="A765" s="120"/>
      <c r="B765" s="120"/>
      <c r="C765" s="120"/>
      <c r="D765" s="120"/>
      <c r="E765" s="120"/>
      <c r="F765" s="120"/>
      <c r="G765" s="120"/>
      <c r="H765" s="120"/>
      <c r="I765" s="120"/>
      <c r="J765" s="120"/>
      <c r="K765" s="120"/>
      <c r="L765" s="120"/>
      <c r="M765" s="120"/>
      <c r="N765" s="120"/>
      <c r="O765" s="120"/>
      <c r="P765" s="120"/>
      <c r="Q765" s="120"/>
      <c r="R765" s="120"/>
      <c r="S765" s="120"/>
      <c r="T765" s="120"/>
      <c r="U765" s="120"/>
      <c r="V765" s="120"/>
      <c r="W765" s="120"/>
      <c r="X765" s="120"/>
      <c r="Y765" s="120"/>
      <c r="Z765" s="120"/>
      <c r="AA765" s="120"/>
      <c r="AB765" s="120"/>
      <c r="AC765" s="120"/>
      <c r="AD765" s="120"/>
    </row>
    <row r="766">
      <c r="A766" s="120"/>
      <c r="B766" s="120"/>
      <c r="C766" s="120"/>
      <c r="D766" s="120"/>
      <c r="E766" s="120"/>
      <c r="F766" s="120"/>
      <c r="G766" s="120"/>
      <c r="H766" s="120"/>
      <c r="I766" s="120"/>
      <c r="J766" s="120"/>
      <c r="K766" s="120"/>
      <c r="L766" s="120"/>
      <c r="M766" s="120"/>
      <c r="N766" s="120"/>
      <c r="O766" s="120"/>
      <c r="P766" s="120"/>
      <c r="Q766" s="120"/>
      <c r="R766" s="120"/>
      <c r="S766" s="120"/>
      <c r="T766" s="120"/>
      <c r="U766" s="120"/>
      <c r="V766" s="120"/>
      <c r="W766" s="120"/>
      <c r="X766" s="120"/>
      <c r="Y766" s="120"/>
      <c r="Z766" s="120"/>
      <c r="AA766" s="120"/>
      <c r="AB766" s="120"/>
      <c r="AC766" s="120"/>
      <c r="AD766" s="120"/>
    </row>
    <row r="767">
      <c r="A767" s="120"/>
      <c r="B767" s="120"/>
      <c r="C767" s="120"/>
      <c r="D767" s="120"/>
      <c r="E767" s="120"/>
      <c r="F767" s="120"/>
      <c r="G767" s="120"/>
      <c r="H767" s="120"/>
      <c r="I767" s="120"/>
      <c r="J767" s="120"/>
      <c r="K767" s="120"/>
      <c r="L767" s="120"/>
      <c r="M767" s="120"/>
      <c r="N767" s="120"/>
      <c r="O767" s="120"/>
      <c r="P767" s="120"/>
      <c r="Q767" s="120"/>
      <c r="R767" s="120"/>
      <c r="S767" s="120"/>
      <c r="T767" s="120"/>
      <c r="U767" s="120"/>
      <c r="V767" s="120"/>
      <c r="W767" s="120"/>
      <c r="X767" s="120"/>
      <c r="Y767" s="120"/>
      <c r="Z767" s="120"/>
      <c r="AA767" s="120"/>
      <c r="AB767" s="120"/>
      <c r="AC767" s="120"/>
      <c r="AD767" s="120"/>
    </row>
    <row r="768">
      <c r="A768" s="120"/>
      <c r="B768" s="120"/>
      <c r="C768" s="120"/>
      <c r="D768" s="120"/>
      <c r="E768" s="120"/>
      <c r="F768" s="120"/>
      <c r="G768" s="120"/>
      <c r="H768" s="120"/>
      <c r="I768" s="120"/>
      <c r="J768" s="120"/>
      <c r="K768" s="120"/>
      <c r="L768" s="120"/>
      <c r="M768" s="120"/>
      <c r="N768" s="120"/>
      <c r="O768" s="120"/>
      <c r="P768" s="120"/>
      <c r="Q768" s="120"/>
      <c r="R768" s="120"/>
      <c r="S768" s="120"/>
      <c r="T768" s="120"/>
      <c r="U768" s="120"/>
      <c r="V768" s="120"/>
      <c r="W768" s="120"/>
      <c r="X768" s="120"/>
      <c r="Y768" s="120"/>
      <c r="Z768" s="120"/>
      <c r="AA768" s="120"/>
      <c r="AB768" s="120"/>
      <c r="AC768" s="120"/>
      <c r="AD768" s="120"/>
    </row>
    <row r="769">
      <c r="A769" s="120"/>
      <c r="B769" s="120"/>
      <c r="C769" s="120"/>
      <c r="D769" s="120"/>
      <c r="E769" s="120"/>
      <c r="F769" s="120"/>
      <c r="G769" s="120"/>
      <c r="H769" s="120"/>
      <c r="I769" s="120"/>
      <c r="J769" s="120"/>
      <c r="K769" s="120"/>
      <c r="L769" s="120"/>
      <c r="M769" s="120"/>
      <c r="N769" s="120"/>
      <c r="O769" s="120"/>
      <c r="P769" s="120"/>
      <c r="Q769" s="120"/>
      <c r="R769" s="120"/>
      <c r="S769" s="120"/>
      <c r="T769" s="120"/>
      <c r="U769" s="120"/>
      <c r="V769" s="120"/>
      <c r="W769" s="120"/>
      <c r="X769" s="120"/>
      <c r="Y769" s="120"/>
      <c r="Z769" s="120"/>
      <c r="AA769" s="120"/>
      <c r="AB769" s="120"/>
      <c r="AC769" s="120"/>
      <c r="AD769" s="120"/>
    </row>
    <row r="770">
      <c r="A770" s="120"/>
      <c r="B770" s="120"/>
      <c r="C770" s="120"/>
      <c r="D770" s="120"/>
      <c r="E770" s="120"/>
      <c r="F770" s="120"/>
      <c r="G770" s="120"/>
      <c r="H770" s="120"/>
      <c r="I770" s="120"/>
      <c r="J770" s="120"/>
      <c r="K770" s="120"/>
      <c r="L770" s="120"/>
      <c r="M770" s="120"/>
      <c r="N770" s="120"/>
      <c r="O770" s="120"/>
      <c r="P770" s="120"/>
      <c r="Q770" s="120"/>
      <c r="R770" s="120"/>
      <c r="S770" s="120"/>
      <c r="T770" s="120"/>
      <c r="U770" s="120"/>
      <c r="V770" s="120"/>
      <c r="W770" s="120"/>
      <c r="X770" s="120"/>
      <c r="Y770" s="120"/>
      <c r="Z770" s="120"/>
      <c r="AA770" s="120"/>
      <c r="AB770" s="120"/>
      <c r="AC770" s="120"/>
      <c r="AD770" s="120"/>
    </row>
    <row r="771">
      <c r="A771" s="120"/>
      <c r="B771" s="120"/>
      <c r="C771" s="120"/>
      <c r="D771" s="120"/>
      <c r="E771" s="120"/>
      <c r="F771" s="120"/>
      <c r="G771" s="120"/>
      <c r="H771" s="120"/>
      <c r="I771" s="120"/>
      <c r="J771" s="120"/>
      <c r="K771" s="120"/>
      <c r="L771" s="120"/>
      <c r="M771" s="120"/>
      <c r="N771" s="120"/>
      <c r="O771" s="120"/>
      <c r="P771" s="120"/>
      <c r="Q771" s="120"/>
      <c r="R771" s="120"/>
      <c r="S771" s="120"/>
      <c r="T771" s="120"/>
      <c r="U771" s="120"/>
      <c r="V771" s="120"/>
      <c r="W771" s="120"/>
      <c r="X771" s="120"/>
      <c r="Y771" s="120"/>
      <c r="Z771" s="120"/>
      <c r="AA771" s="120"/>
      <c r="AB771" s="120"/>
      <c r="AC771" s="120"/>
      <c r="AD771" s="120"/>
    </row>
    <row r="772">
      <c r="A772" s="120"/>
      <c r="B772" s="120"/>
      <c r="C772" s="120"/>
      <c r="D772" s="120"/>
      <c r="E772" s="120"/>
      <c r="F772" s="120"/>
      <c r="G772" s="120"/>
      <c r="H772" s="120"/>
      <c r="I772" s="120"/>
      <c r="J772" s="120"/>
      <c r="K772" s="120"/>
      <c r="L772" s="120"/>
      <c r="M772" s="120"/>
      <c r="N772" s="120"/>
      <c r="O772" s="120"/>
      <c r="P772" s="120"/>
      <c r="Q772" s="120"/>
      <c r="R772" s="120"/>
      <c r="S772" s="120"/>
      <c r="T772" s="120"/>
      <c r="U772" s="120"/>
      <c r="V772" s="120"/>
      <c r="W772" s="120"/>
      <c r="X772" s="120"/>
      <c r="Y772" s="120"/>
      <c r="Z772" s="120"/>
      <c r="AA772" s="120"/>
      <c r="AB772" s="120"/>
      <c r="AC772" s="120"/>
      <c r="AD772" s="120"/>
    </row>
    <row r="773">
      <c r="A773" s="120"/>
      <c r="B773" s="120"/>
      <c r="C773" s="120"/>
      <c r="D773" s="120"/>
      <c r="E773" s="120"/>
      <c r="F773" s="120"/>
      <c r="G773" s="120"/>
      <c r="H773" s="120"/>
      <c r="I773" s="120"/>
      <c r="J773" s="120"/>
      <c r="K773" s="120"/>
      <c r="L773" s="120"/>
      <c r="M773" s="120"/>
      <c r="N773" s="120"/>
      <c r="O773" s="120"/>
      <c r="P773" s="120"/>
      <c r="Q773" s="120"/>
      <c r="R773" s="120"/>
      <c r="S773" s="120"/>
      <c r="T773" s="120"/>
      <c r="U773" s="120"/>
      <c r="V773" s="120"/>
      <c r="W773" s="120"/>
      <c r="X773" s="120"/>
      <c r="Y773" s="120"/>
      <c r="Z773" s="120"/>
      <c r="AA773" s="120"/>
      <c r="AB773" s="120"/>
      <c r="AC773" s="120"/>
      <c r="AD773" s="120"/>
    </row>
    <row r="774">
      <c r="A774" s="120"/>
      <c r="B774" s="120"/>
      <c r="C774" s="120"/>
      <c r="D774" s="120"/>
      <c r="E774" s="120"/>
      <c r="F774" s="120"/>
      <c r="G774" s="120"/>
      <c r="H774" s="120"/>
      <c r="I774" s="120"/>
      <c r="J774" s="120"/>
      <c r="K774" s="120"/>
      <c r="L774" s="120"/>
      <c r="M774" s="120"/>
      <c r="N774" s="120"/>
      <c r="O774" s="120"/>
      <c r="P774" s="120"/>
      <c r="Q774" s="120"/>
      <c r="R774" s="120"/>
      <c r="S774" s="120"/>
      <c r="T774" s="120"/>
      <c r="U774" s="120"/>
      <c r="V774" s="120"/>
      <c r="W774" s="120"/>
      <c r="X774" s="120"/>
      <c r="Y774" s="120"/>
      <c r="Z774" s="120"/>
      <c r="AA774" s="120"/>
      <c r="AB774" s="120"/>
      <c r="AC774" s="120"/>
      <c r="AD774" s="120"/>
    </row>
    <row r="775">
      <c r="A775" s="120"/>
      <c r="B775" s="120"/>
      <c r="C775" s="120"/>
      <c r="D775" s="120"/>
      <c r="E775" s="120"/>
      <c r="F775" s="120"/>
      <c r="G775" s="120"/>
      <c r="H775" s="120"/>
      <c r="I775" s="120"/>
      <c r="J775" s="120"/>
      <c r="K775" s="120"/>
      <c r="L775" s="120"/>
      <c r="M775" s="120"/>
      <c r="N775" s="120"/>
      <c r="O775" s="120"/>
      <c r="P775" s="120"/>
      <c r="Q775" s="120"/>
      <c r="R775" s="120"/>
      <c r="S775" s="120"/>
      <c r="T775" s="120"/>
      <c r="U775" s="120"/>
      <c r="V775" s="120"/>
      <c r="W775" s="120"/>
      <c r="X775" s="120"/>
      <c r="Y775" s="120"/>
      <c r="Z775" s="120"/>
      <c r="AA775" s="120"/>
      <c r="AB775" s="120"/>
      <c r="AC775" s="120"/>
      <c r="AD775" s="120"/>
    </row>
    <row r="776">
      <c r="A776" s="120"/>
      <c r="B776" s="120"/>
      <c r="C776" s="120"/>
      <c r="D776" s="120"/>
      <c r="E776" s="120"/>
      <c r="F776" s="120"/>
      <c r="G776" s="120"/>
      <c r="H776" s="120"/>
      <c r="I776" s="120"/>
      <c r="J776" s="120"/>
      <c r="K776" s="120"/>
      <c r="L776" s="120"/>
      <c r="M776" s="120"/>
      <c r="N776" s="120"/>
      <c r="O776" s="120"/>
      <c r="P776" s="120"/>
      <c r="Q776" s="120"/>
      <c r="R776" s="120"/>
      <c r="S776" s="120"/>
      <c r="T776" s="120"/>
      <c r="U776" s="120"/>
      <c r="V776" s="120"/>
      <c r="W776" s="120"/>
      <c r="X776" s="120"/>
      <c r="Y776" s="120"/>
      <c r="Z776" s="120"/>
      <c r="AA776" s="120"/>
      <c r="AB776" s="120"/>
      <c r="AC776" s="120"/>
      <c r="AD776" s="120"/>
    </row>
    <row r="777">
      <c r="A777" s="120"/>
      <c r="B777" s="120"/>
      <c r="C777" s="120"/>
      <c r="D777" s="120"/>
      <c r="E777" s="120"/>
      <c r="F777" s="120"/>
      <c r="G777" s="120"/>
      <c r="H777" s="120"/>
      <c r="I777" s="120"/>
      <c r="J777" s="120"/>
      <c r="K777" s="120"/>
      <c r="L777" s="120"/>
      <c r="M777" s="120"/>
      <c r="N777" s="120"/>
      <c r="O777" s="120"/>
      <c r="P777" s="120"/>
      <c r="Q777" s="120"/>
      <c r="R777" s="120"/>
      <c r="S777" s="120"/>
      <c r="T777" s="120"/>
      <c r="U777" s="120"/>
      <c r="V777" s="120"/>
      <c r="W777" s="120"/>
      <c r="X777" s="120"/>
      <c r="Y777" s="120"/>
      <c r="Z777" s="120"/>
      <c r="AA777" s="120"/>
      <c r="AB777" s="120"/>
      <c r="AC777" s="120"/>
      <c r="AD777" s="120"/>
    </row>
    <row r="778">
      <c r="A778" s="120"/>
      <c r="B778" s="120"/>
      <c r="C778" s="120"/>
      <c r="D778" s="120"/>
      <c r="E778" s="120"/>
      <c r="F778" s="120"/>
      <c r="G778" s="120"/>
      <c r="H778" s="120"/>
      <c r="I778" s="120"/>
      <c r="J778" s="120"/>
      <c r="K778" s="120"/>
      <c r="L778" s="120"/>
      <c r="M778" s="120"/>
      <c r="N778" s="120"/>
      <c r="O778" s="120"/>
      <c r="P778" s="120"/>
      <c r="Q778" s="120"/>
      <c r="R778" s="120"/>
      <c r="S778" s="120"/>
      <c r="T778" s="120"/>
      <c r="U778" s="120"/>
      <c r="V778" s="120"/>
      <c r="W778" s="120"/>
      <c r="X778" s="120"/>
      <c r="Y778" s="120"/>
      <c r="Z778" s="120"/>
      <c r="AA778" s="120"/>
      <c r="AB778" s="120"/>
      <c r="AC778" s="120"/>
      <c r="AD778" s="120"/>
    </row>
    <row r="779">
      <c r="A779" s="120"/>
      <c r="B779" s="120"/>
      <c r="C779" s="120"/>
      <c r="D779" s="120"/>
      <c r="E779" s="120"/>
      <c r="F779" s="120"/>
      <c r="G779" s="120"/>
      <c r="H779" s="120"/>
      <c r="I779" s="120"/>
      <c r="J779" s="120"/>
      <c r="K779" s="120"/>
      <c r="L779" s="120"/>
      <c r="M779" s="120"/>
      <c r="N779" s="120"/>
      <c r="O779" s="120"/>
      <c r="P779" s="120"/>
      <c r="Q779" s="120"/>
      <c r="R779" s="120"/>
      <c r="S779" s="120"/>
      <c r="T779" s="120"/>
      <c r="U779" s="120"/>
      <c r="V779" s="120"/>
      <c r="W779" s="120"/>
      <c r="X779" s="120"/>
      <c r="Y779" s="120"/>
      <c r="Z779" s="120"/>
      <c r="AA779" s="120"/>
      <c r="AB779" s="120"/>
      <c r="AC779" s="120"/>
      <c r="AD779" s="120"/>
    </row>
    <row r="780">
      <c r="A780" s="120"/>
      <c r="B780" s="120"/>
      <c r="C780" s="120"/>
      <c r="D780" s="120"/>
      <c r="E780" s="120"/>
      <c r="F780" s="120"/>
      <c r="G780" s="120"/>
      <c r="H780" s="120"/>
      <c r="I780" s="120"/>
      <c r="J780" s="120"/>
      <c r="K780" s="120"/>
      <c r="L780" s="120"/>
      <c r="M780" s="120"/>
      <c r="N780" s="120"/>
      <c r="O780" s="120"/>
      <c r="P780" s="120"/>
      <c r="Q780" s="120"/>
      <c r="R780" s="120"/>
      <c r="S780" s="120"/>
      <c r="T780" s="120"/>
      <c r="U780" s="120"/>
      <c r="V780" s="120"/>
      <c r="W780" s="120"/>
      <c r="X780" s="120"/>
      <c r="Y780" s="120"/>
      <c r="Z780" s="120"/>
      <c r="AA780" s="120"/>
      <c r="AB780" s="120"/>
      <c r="AC780" s="120"/>
      <c r="AD780" s="120"/>
    </row>
    <row r="781">
      <c r="A781" s="120"/>
      <c r="B781" s="120"/>
      <c r="C781" s="120"/>
      <c r="D781" s="120"/>
      <c r="E781" s="120"/>
      <c r="F781" s="120"/>
      <c r="G781" s="120"/>
      <c r="H781" s="120"/>
      <c r="I781" s="120"/>
      <c r="J781" s="120"/>
      <c r="K781" s="120"/>
      <c r="L781" s="120"/>
      <c r="M781" s="120"/>
      <c r="N781" s="120"/>
      <c r="O781" s="120"/>
      <c r="P781" s="120"/>
      <c r="Q781" s="120"/>
      <c r="R781" s="120"/>
      <c r="S781" s="120"/>
      <c r="T781" s="120"/>
      <c r="U781" s="120"/>
      <c r="V781" s="120"/>
      <c r="W781" s="120"/>
      <c r="X781" s="120"/>
      <c r="Y781" s="120"/>
      <c r="Z781" s="120"/>
      <c r="AA781" s="120"/>
      <c r="AB781" s="120"/>
      <c r="AC781" s="120"/>
      <c r="AD781" s="120"/>
    </row>
    <row r="782">
      <c r="A782" s="120"/>
      <c r="B782" s="120"/>
      <c r="C782" s="120"/>
      <c r="D782" s="120"/>
      <c r="E782" s="120"/>
      <c r="F782" s="120"/>
      <c r="G782" s="120"/>
      <c r="H782" s="120"/>
      <c r="I782" s="120"/>
      <c r="J782" s="120"/>
      <c r="K782" s="120"/>
      <c r="L782" s="120"/>
      <c r="M782" s="120"/>
      <c r="N782" s="120"/>
      <c r="O782" s="120"/>
      <c r="P782" s="120"/>
      <c r="Q782" s="120"/>
      <c r="R782" s="120"/>
      <c r="S782" s="120"/>
      <c r="T782" s="120"/>
      <c r="U782" s="120"/>
      <c r="V782" s="120"/>
      <c r="W782" s="120"/>
      <c r="X782" s="120"/>
      <c r="Y782" s="120"/>
      <c r="Z782" s="120"/>
      <c r="AA782" s="120"/>
      <c r="AB782" s="120"/>
      <c r="AC782" s="120"/>
      <c r="AD782" s="120"/>
    </row>
    <row r="783">
      <c r="A783" s="120"/>
      <c r="B783" s="120"/>
      <c r="C783" s="120"/>
      <c r="D783" s="120"/>
      <c r="E783" s="120"/>
      <c r="F783" s="120"/>
      <c r="G783" s="120"/>
      <c r="H783" s="120"/>
      <c r="I783" s="120"/>
      <c r="J783" s="120"/>
      <c r="K783" s="120"/>
      <c r="L783" s="120"/>
      <c r="M783" s="120"/>
      <c r="N783" s="120"/>
      <c r="O783" s="120"/>
      <c r="P783" s="120"/>
      <c r="Q783" s="120"/>
      <c r="R783" s="120"/>
      <c r="S783" s="120"/>
      <c r="T783" s="120"/>
      <c r="U783" s="120"/>
      <c r="V783" s="120"/>
      <c r="W783" s="120"/>
      <c r="X783" s="120"/>
      <c r="Y783" s="120"/>
      <c r="Z783" s="120"/>
      <c r="AA783" s="120"/>
      <c r="AB783" s="120"/>
      <c r="AC783" s="120"/>
      <c r="AD783" s="120"/>
    </row>
    <row r="784">
      <c r="A784" s="120"/>
      <c r="B784" s="120"/>
      <c r="C784" s="120"/>
      <c r="D784" s="120"/>
      <c r="E784" s="120"/>
      <c r="F784" s="120"/>
      <c r="G784" s="120"/>
      <c r="H784" s="120"/>
      <c r="I784" s="120"/>
      <c r="J784" s="120"/>
      <c r="K784" s="120"/>
      <c r="L784" s="120"/>
      <c r="M784" s="120"/>
      <c r="N784" s="120"/>
      <c r="O784" s="120"/>
      <c r="P784" s="120"/>
      <c r="Q784" s="120"/>
      <c r="R784" s="120"/>
      <c r="S784" s="120"/>
      <c r="T784" s="120"/>
      <c r="U784" s="120"/>
      <c r="V784" s="120"/>
      <c r="W784" s="120"/>
      <c r="X784" s="120"/>
      <c r="Y784" s="120"/>
      <c r="Z784" s="120"/>
      <c r="AA784" s="120"/>
      <c r="AB784" s="120"/>
      <c r="AC784" s="120"/>
      <c r="AD784" s="120"/>
    </row>
    <row r="785">
      <c r="A785" s="120"/>
      <c r="B785" s="120"/>
      <c r="C785" s="120"/>
      <c r="D785" s="120"/>
      <c r="E785" s="120"/>
      <c r="F785" s="120"/>
      <c r="G785" s="120"/>
      <c r="H785" s="120"/>
      <c r="I785" s="120"/>
      <c r="J785" s="120"/>
      <c r="K785" s="120"/>
      <c r="L785" s="120"/>
      <c r="M785" s="120"/>
      <c r="N785" s="120"/>
      <c r="O785" s="120"/>
      <c r="P785" s="120"/>
      <c r="Q785" s="120"/>
      <c r="R785" s="120"/>
      <c r="S785" s="120"/>
      <c r="T785" s="120"/>
      <c r="U785" s="120"/>
      <c r="V785" s="120"/>
      <c r="W785" s="120"/>
      <c r="X785" s="120"/>
      <c r="Y785" s="120"/>
      <c r="Z785" s="120"/>
      <c r="AA785" s="120"/>
      <c r="AB785" s="120"/>
      <c r="AC785" s="120"/>
      <c r="AD785" s="120"/>
    </row>
    <row r="786">
      <c r="A786" s="120"/>
      <c r="B786" s="120"/>
      <c r="C786" s="120"/>
      <c r="D786" s="120"/>
      <c r="E786" s="120"/>
      <c r="F786" s="120"/>
      <c r="G786" s="120"/>
      <c r="H786" s="120"/>
      <c r="I786" s="120"/>
      <c r="J786" s="120"/>
      <c r="K786" s="120"/>
      <c r="L786" s="120"/>
      <c r="M786" s="120"/>
      <c r="N786" s="120"/>
      <c r="O786" s="120"/>
      <c r="P786" s="120"/>
      <c r="Q786" s="120"/>
      <c r="R786" s="120"/>
      <c r="S786" s="120"/>
      <c r="T786" s="120"/>
      <c r="U786" s="120"/>
      <c r="V786" s="120"/>
      <c r="W786" s="120"/>
      <c r="X786" s="120"/>
      <c r="Y786" s="120"/>
      <c r="Z786" s="120"/>
      <c r="AA786" s="120"/>
      <c r="AB786" s="120"/>
      <c r="AC786" s="120"/>
      <c r="AD786" s="120"/>
    </row>
    <row r="787">
      <c r="A787" s="120"/>
      <c r="B787" s="120"/>
      <c r="C787" s="120"/>
      <c r="D787" s="120"/>
      <c r="E787" s="120"/>
      <c r="F787" s="120"/>
      <c r="G787" s="120"/>
      <c r="H787" s="120"/>
      <c r="I787" s="120"/>
      <c r="J787" s="120"/>
      <c r="K787" s="120"/>
      <c r="L787" s="120"/>
      <c r="M787" s="120"/>
      <c r="N787" s="120"/>
      <c r="O787" s="120"/>
      <c r="P787" s="120"/>
      <c r="Q787" s="120"/>
      <c r="R787" s="120"/>
      <c r="S787" s="120"/>
      <c r="T787" s="120"/>
      <c r="U787" s="120"/>
      <c r="V787" s="120"/>
      <c r="W787" s="120"/>
      <c r="X787" s="120"/>
      <c r="Y787" s="120"/>
      <c r="Z787" s="120"/>
      <c r="AA787" s="120"/>
      <c r="AB787" s="120"/>
      <c r="AC787" s="120"/>
      <c r="AD787" s="120"/>
    </row>
    <row r="788">
      <c r="A788" s="120"/>
      <c r="B788" s="120"/>
      <c r="C788" s="120"/>
      <c r="D788" s="120"/>
      <c r="E788" s="120"/>
      <c r="F788" s="120"/>
      <c r="G788" s="120"/>
      <c r="H788" s="120"/>
      <c r="I788" s="120"/>
      <c r="J788" s="120"/>
      <c r="K788" s="120"/>
      <c r="L788" s="120"/>
      <c r="M788" s="120"/>
      <c r="N788" s="120"/>
      <c r="O788" s="120"/>
      <c r="P788" s="120"/>
      <c r="Q788" s="120"/>
      <c r="R788" s="120"/>
      <c r="S788" s="120"/>
      <c r="T788" s="120"/>
      <c r="U788" s="120"/>
      <c r="V788" s="120"/>
      <c r="W788" s="120"/>
      <c r="X788" s="120"/>
      <c r="Y788" s="120"/>
      <c r="Z788" s="120"/>
      <c r="AA788" s="120"/>
      <c r="AB788" s="120"/>
      <c r="AC788" s="120"/>
      <c r="AD788" s="120"/>
    </row>
    <row r="789">
      <c r="A789" s="120"/>
      <c r="B789" s="120"/>
      <c r="C789" s="120"/>
      <c r="D789" s="120"/>
      <c r="E789" s="120"/>
      <c r="F789" s="120"/>
      <c r="G789" s="120"/>
      <c r="H789" s="120"/>
      <c r="I789" s="120"/>
      <c r="J789" s="120"/>
      <c r="K789" s="120"/>
      <c r="L789" s="120"/>
      <c r="M789" s="120"/>
      <c r="N789" s="120"/>
      <c r="O789" s="120"/>
      <c r="P789" s="120"/>
      <c r="Q789" s="120"/>
      <c r="R789" s="120"/>
      <c r="S789" s="120"/>
      <c r="T789" s="120"/>
      <c r="U789" s="120"/>
      <c r="V789" s="120"/>
      <c r="W789" s="120"/>
      <c r="X789" s="120"/>
      <c r="Y789" s="120"/>
      <c r="Z789" s="120"/>
      <c r="AA789" s="120"/>
      <c r="AB789" s="120"/>
      <c r="AC789" s="120"/>
      <c r="AD789" s="120"/>
    </row>
    <row r="790">
      <c r="A790" s="120"/>
      <c r="B790" s="120"/>
      <c r="C790" s="120"/>
      <c r="D790" s="120"/>
      <c r="E790" s="120"/>
      <c r="F790" s="120"/>
      <c r="G790" s="120"/>
      <c r="H790" s="120"/>
      <c r="I790" s="120"/>
      <c r="J790" s="120"/>
      <c r="K790" s="120"/>
      <c r="L790" s="120"/>
      <c r="M790" s="120"/>
      <c r="N790" s="120"/>
      <c r="O790" s="120"/>
      <c r="P790" s="120"/>
      <c r="Q790" s="120"/>
      <c r="R790" s="120"/>
      <c r="S790" s="120"/>
      <c r="T790" s="120"/>
      <c r="U790" s="120"/>
      <c r="V790" s="120"/>
      <c r="W790" s="120"/>
      <c r="X790" s="120"/>
      <c r="Y790" s="120"/>
      <c r="Z790" s="120"/>
      <c r="AA790" s="120"/>
      <c r="AB790" s="120"/>
      <c r="AC790" s="120"/>
      <c r="AD790" s="120"/>
    </row>
    <row r="791">
      <c r="A791" s="120"/>
      <c r="B791" s="120"/>
      <c r="C791" s="120"/>
      <c r="D791" s="120"/>
      <c r="E791" s="120"/>
      <c r="F791" s="120"/>
      <c r="G791" s="120"/>
      <c r="H791" s="120"/>
      <c r="I791" s="120"/>
      <c r="J791" s="120"/>
      <c r="K791" s="120"/>
      <c r="L791" s="120"/>
      <c r="M791" s="120"/>
      <c r="N791" s="120"/>
      <c r="O791" s="120"/>
      <c r="P791" s="120"/>
      <c r="Q791" s="120"/>
      <c r="R791" s="120"/>
      <c r="S791" s="120"/>
      <c r="T791" s="120"/>
      <c r="U791" s="120"/>
      <c r="V791" s="120"/>
      <c r="W791" s="120"/>
      <c r="X791" s="120"/>
      <c r="Y791" s="120"/>
      <c r="Z791" s="120"/>
      <c r="AA791" s="120"/>
      <c r="AB791" s="120"/>
      <c r="AC791" s="120"/>
      <c r="AD791" s="120"/>
    </row>
    <row r="792">
      <c r="A792" s="120"/>
      <c r="B792" s="120"/>
      <c r="C792" s="120"/>
      <c r="D792" s="120"/>
      <c r="E792" s="120"/>
      <c r="F792" s="120"/>
      <c r="G792" s="120"/>
      <c r="H792" s="120"/>
      <c r="I792" s="120"/>
      <c r="J792" s="120"/>
      <c r="K792" s="120"/>
      <c r="L792" s="120"/>
      <c r="M792" s="120"/>
      <c r="N792" s="120"/>
      <c r="O792" s="120"/>
      <c r="P792" s="120"/>
      <c r="Q792" s="120"/>
      <c r="R792" s="120"/>
      <c r="S792" s="120"/>
      <c r="T792" s="120"/>
      <c r="U792" s="120"/>
      <c r="V792" s="120"/>
      <c r="W792" s="120"/>
      <c r="X792" s="120"/>
      <c r="Y792" s="120"/>
      <c r="Z792" s="120"/>
      <c r="AA792" s="120"/>
      <c r="AB792" s="120"/>
      <c r="AC792" s="120"/>
      <c r="AD792" s="120"/>
    </row>
    <row r="793">
      <c r="A793" s="120"/>
      <c r="B793" s="120"/>
      <c r="C793" s="120"/>
      <c r="D793" s="120"/>
      <c r="E793" s="120"/>
      <c r="F793" s="120"/>
      <c r="G793" s="120"/>
      <c r="H793" s="120"/>
      <c r="I793" s="120"/>
      <c r="J793" s="120"/>
      <c r="K793" s="120"/>
      <c r="L793" s="120"/>
      <c r="M793" s="120"/>
      <c r="N793" s="120"/>
      <c r="O793" s="120"/>
      <c r="P793" s="120"/>
      <c r="Q793" s="120"/>
      <c r="R793" s="120"/>
      <c r="S793" s="120"/>
      <c r="T793" s="120"/>
      <c r="U793" s="120"/>
      <c r="V793" s="120"/>
      <c r="W793" s="120"/>
      <c r="X793" s="120"/>
      <c r="Y793" s="120"/>
      <c r="Z793" s="120"/>
      <c r="AA793" s="120"/>
      <c r="AB793" s="120"/>
      <c r="AC793" s="120"/>
      <c r="AD793" s="120"/>
    </row>
    <row r="794">
      <c r="A794" s="120"/>
      <c r="B794" s="120"/>
      <c r="C794" s="120"/>
      <c r="D794" s="120"/>
      <c r="E794" s="120"/>
      <c r="F794" s="120"/>
      <c r="G794" s="120"/>
      <c r="H794" s="120"/>
      <c r="I794" s="120"/>
      <c r="J794" s="120"/>
      <c r="K794" s="120"/>
      <c r="L794" s="120"/>
      <c r="M794" s="120"/>
      <c r="N794" s="120"/>
      <c r="O794" s="120"/>
      <c r="P794" s="120"/>
      <c r="Q794" s="120"/>
      <c r="R794" s="120"/>
      <c r="S794" s="120"/>
      <c r="T794" s="120"/>
      <c r="U794" s="120"/>
      <c r="V794" s="120"/>
      <c r="W794" s="120"/>
      <c r="X794" s="120"/>
      <c r="Y794" s="120"/>
      <c r="Z794" s="120"/>
      <c r="AA794" s="120"/>
      <c r="AB794" s="120"/>
      <c r="AC794" s="120"/>
      <c r="AD794" s="120"/>
    </row>
    <row r="795">
      <c r="A795" s="120"/>
      <c r="B795" s="120"/>
      <c r="C795" s="120"/>
      <c r="D795" s="120"/>
      <c r="E795" s="120"/>
      <c r="F795" s="120"/>
      <c r="G795" s="120"/>
      <c r="H795" s="120"/>
      <c r="I795" s="120"/>
      <c r="J795" s="120"/>
      <c r="K795" s="120"/>
      <c r="L795" s="120"/>
      <c r="M795" s="120"/>
      <c r="N795" s="120"/>
      <c r="O795" s="120"/>
      <c r="P795" s="120"/>
      <c r="Q795" s="120"/>
      <c r="R795" s="120"/>
      <c r="S795" s="120"/>
      <c r="T795" s="120"/>
      <c r="U795" s="120"/>
      <c r="V795" s="120"/>
      <c r="W795" s="120"/>
      <c r="X795" s="120"/>
      <c r="Y795" s="120"/>
      <c r="Z795" s="120"/>
      <c r="AA795" s="120"/>
      <c r="AB795" s="120"/>
      <c r="AC795" s="120"/>
      <c r="AD795" s="120"/>
    </row>
    <row r="796">
      <c r="A796" s="120"/>
      <c r="B796" s="120"/>
      <c r="C796" s="120"/>
      <c r="D796" s="120"/>
      <c r="E796" s="120"/>
      <c r="F796" s="120"/>
      <c r="G796" s="120"/>
      <c r="H796" s="120"/>
      <c r="I796" s="120"/>
      <c r="J796" s="120"/>
      <c r="K796" s="120"/>
      <c r="L796" s="120"/>
      <c r="M796" s="120"/>
      <c r="N796" s="120"/>
      <c r="O796" s="120"/>
      <c r="P796" s="120"/>
      <c r="Q796" s="120"/>
      <c r="R796" s="120"/>
      <c r="S796" s="120"/>
      <c r="T796" s="120"/>
      <c r="U796" s="120"/>
      <c r="V796" s="120"/>
      <c r="W796" s="120"/>
      <c r="X796" s="120"/>
      <c r="Y796" s="120"/>
      <c r="Z796" s="120"/>
      <c r="AA796" s="120"/>
      <c r="AB796" s="120"/>
      <c r="AC796" s="120"/>
      <c r="AD796" s="120"/>
    </row>
    <row r="797">
      <c r="A797" s="120"/>
      <c r="B797" s="120"/>
      <c r="C797" s="120"/>
      <c r="D797" s="120"/>
      <c r="E797" s="120"/>
      <c r="F797" s="120"/>
      <c r="G797" s="120"/>
      <c r="H797" s="120"/>
      <c r="I797" s="120"/>
      <c r="J797" s="120"/>
      <c r="K797" s="120"/>
      <c r="L797" s="120"/>
      <c r="M797" s="120"/>
      <c r="N797" s="120"/>
      <c r="O797" s="120"/>
      <c r="P797" s="120"/>
      <c r="Q797" s="120"/>
      <c r="R797" s="120"/>
      <c r="S797" s="120"/>
      <c r="T797" s="120"/>
      <c r="U797" s="120"/>
      <c r="V797" s="120"/>
      <c r="W797" s="120"/>
      <c r="X797" s="120"/>
      <c r="Y797" s="120"/>
      <c r="Z797" s="120"/>
      <c r="AA797" s="120"/>
      <c r="AB797" s="120"/>
      <c r="AC797" s="120"/>
      <c r="AD797" s="120"/>
    </row>
    <row r="798">
      <c r="A798" s="120"/>
      <c r="B798" s="120"/>
      <c r="C798" s="120"/>
      <c r="D798" s="120"/>
      <c r="E798" s="120"/>
      <c r="F798" s="120"/>
      <c r="G798" s="120"/>
      <c r="H798" s="120"/>
      <c r="I798" s="120"/>
      <c r="J798" s="120"/>
      <c r="K798" s="120"/>
      <c r="L798" s="120"/>
      <c r="M798" s="120"/>
      <c r="N798" s="120"/>
      <c r="O798" s="120"/>
      <c r="P798" s="120"/>
      <c r="Q798" s="120"/>
      <c r="R798" s="120"/>
      <c r="S798" s="120"/>
      <c r="T798" s="120"/>
      <c r="U798" s="120"/>
      <c r="V798" s="120"/>
      <c r="W798" s="120"/>
      <c r="X798" s="120"/>
      <c r="Y798" s="120"/>
      <c r="Z798" s="120"/>
      <c r="AA798" s="120"/>
      <c r="AB798" s="120"/>
      <c r="AC798" s="120"/>
      <c r="AD798" s="120"/>
    </row>
    <row r="799">
      <c r="A799" s="120"/>
      <c r="B799" s="120"/>
      <c r="C799" s="120"/>
      <c r="D799" s="120"/>
      <c r="E799" s="120"/>
      <c r="F799" s="120"/>
      <c r="G799" s="120"/>
      <c r="H799" s="120"/>
      <c r="I799" s="120"/>
      <c r="J799" s="120"/>
      <c r="K799" s="120"/>
      <c r="L799" s="120"/>
      <c r="M799" s="120"/>
      <c r="N799" s="120"/>
      <c r="O799" s="120"/>
      <c r="P799" s="120"/>
      <c r="Q799" s="120"/>
      <c r="R799" s="120"/>
      <c r="S799" s="120"/>
      <c r="T799" s="120"/>
      <c r="U799" s="120"/>
      <c r="V799" s="120"/>
      <c r="W799" s="120"/>
      <c r="X799" s="120"/>
      <c r="Y799" s="120"/>
      <c r="Z799" s="120"/>
      <c r="AA799" s="120"/>
      <c r="AB799" s="120"/>
      <c r="AC799" s="120"/>
      <c r="AD799" s="120"/>
    </row>
    <row r="800">
      <c r="A800" s="120"/>
      <c r="B800" s="120"/>
      <c r="C800" s="120"/>
      <c r="D800" s="120"/>
      <c r="E800" s="120"/>
      <c r="F800" s="120"/>
      <c r="G800" s="120"/>
      <c r="H800" s="120"/>
      <c r="I800" s="120"/>
      <c r="J800" s="120"/>
      <c r="K800" s="120"/>
      <c r="L800" s="120"/>
      <c r="M800" s="120"/>
      <c r="N800" s="120"/>
      <c r="O800" s="120"/>
      <c r="P800" s="120"/>
      <c r="Q800" s="120"/>
      <c r="R800" s="120"/>
      <c r="S800" s="120"/>
      <c r="T800" s="120"/>
      <c r="U800" s="120"/>
      <c r="V800" s="120"/>
      <c r="W800" s="120"/>
      <c r="X800" s="120"/>
      <c r="Y800" s="120"/>
      <c r="Z800" s="120"/>
      <c r="AA800" s="120"/>
      <c r="AB800" s="120"/>
      <c r="AC800" s="120"/>
      <c r="AD800" s="120"/>
    </row>
    <row r="801">
      <c r="A801" s="120"/>
      <c r="B801" s="120"/>
      <c r="C801" s="120"/>
      <c r="D801" s="120"/>
      <c r="E801" s="120"/>
      <c r="F801" s="120"/>
      <c r="G801" s="120"/>
      <c r="H801" s="120"/>
      <c r="I801" s="120"/>
      <c r="J801" s="120"/>
      <c r="K801" s="120"/>
      <c r="L801" s="120"/>
      <c r="M801" s="120"/>
      <c r="N801" s="120"/>
      <c r="O801" s="120"/>
      <c r="P801" s="120"/>
      <c r="Q801" s="120"/>
      <c r="R801" s="120"/>
      <c r="S801" s="120"/>
      <c r="T801" s="120"/>
      <c r="U801" s="120"/>
      <c r="V801" s="120"/>
      <c r="W801" s="120"/>
      <c r="X801" s="120"/>
      <c r="Y801" s="120"/>
      <c r="Z801" s="120"/>
      <c r="AA801" s="120"/>
      <c r="AB801" s="120"/>
      <c r="AC801" s="120"/>
      <c r="AD801" s="120"/>
    </row>
    <row r="802">
      <c r="A802" s="120"/>
      <c r="B802" s="120"/>
      <c r="C802" s="120"/>
      <c r="D802" s="120"/>
      <c r="E802" s="120"/>
      <c r="F802" s="120"/>
      <c r="G802" s="120"/>
      <c r="H802" s="120"/>
      <c r="I802" s="120"/>
      <c r="J802" s="120"/>
      <c r="K802" s="120"/>
      <c r="L802" s="120"/>
      <c r="M802" s="120"/>
      <c r="N802" s="120"/>
      <c r="O802" s="120"/>
      <c r="P802" s="120"/>
      <c r="Q802" s="120"/>
      <c r="R802" s="120"/>
      <c r="S802" s="120"/>
      <c r="T802" s="120"/>
      <c r="U802" s="120"/>
      <c r="V802" s="120"/>
      <c r="W802" s="120"/>
      <c r="X802" s="120"/>
      <c r="Y802" s="120"/>
      <c r="Z802" s="120"/>
      <c r="AA802" s="120"/>
      <c r="AB802" s="120"/>
      <c r="AC802" s="120"/>
      <c r="AD802" s="120"/>
    </row>
    <row r="803">
      <c r="A803" s="120"/>
      <c r="B803" s="120"/>
      <c r="C803" s="120"/>
      <c r="D803" s="120"/>
      <c r="E803" s="120"/>
      <c r="F803" s="120"/>
      <c r="G803" s="120"/>
      <c r="H803" s="120"/>
      <c r="I803" s="120"/>
      <c r="J803" s="120"/>
      <c r="K803" s="120"/>
      <c r="L803" s="120"/>
      <c r="M803" s="120"/>
      <c r="N803" s="120"/>
      <c r="O803" s="120"/>
      <c r="P803" s="120"/>
      <c r="Q803" s="120"/>
      <c r="R803" s="120"/>
      <c r="S803" s="120"/>
      <c r="T803" s="120"/>
      <c r="U803" s="120"/>
      <c r="V803" s="120"/>
      <c r="W803" s="120"/>
      <c r="X803" s="120"/>
      <c r="Y803" s="120"/>
      <c r="Z803" s="120"/>
      <c r="AA803" s="120"/>
      <c r="AB803" s="120"/>
      <c r="AC803" s="120"/>
      <c r="AD803" s="120"/>
    </row>
    <row r="804">
      <c r="A804" s="120"/>
      <c r="B804" s="120"/>
      <c r="C804" s="120"/>
      <c r="D804" s="120"/>
      <c r="E804" s="120"/>
      <c r="F804" s="120"/>
      <c r="G804" s="120"/>
      <c r="H804" s="120"/>
      <c r="I804" s="120"/>
      <c r="J804" s="120"/>
      <c r="K804" s="120"/>
      <c r="L804" s="120"/>
      <c r="M804" s="120"/>
      <c r="N804" s="120"/>
      <c r="O804" s="120"/>
      <c r="P804" s="120"/>
      <c r="Q804" s="120"/>
      <c r="R804" s="120"/>
      <c r="S804" s="120"/>
      <c r="T804" s="120"/>
      <c r="U804" s="120"/>
      <c r="V804" s="120"/>
      <c r="W804" s="120"/>
      <c r="X804" s="120"/>
      <c r="Y804" s="120"/>
      <c r="Z804" s="120"/>
      <c r="AA804" s="120"/>
      <c r="AB804" s="120"/>
      <c r="AC804" s="120"/>
      <c r="AD804" s="120"/>
    </row>
    <row r="805">
      <c r="A805" s="120"/>
      <c r="B805" s="120"/>
      <c r="C805" s="120"/>
      <c r="D805" s="120"/>
      <c r="E805" s="120"/>
      <c r="F805" s="120"/>
      <c r="G805" s="120"/>
      <c r="H805" s="120"/>
      <c r="I805" s="120"/>
      <c r="J805" s="120"/>
      <c r="K805" s="120"/>
      <c r="L805" s="120"/>
      <c r="M805" s="120"/>
      <c r="N805" s="120"/>
      <c r="O805" s="120"/>
      <c r="P805" s="120"/>
      <c r="Q805" s="120"/>
      <c r="R805" s="120"/>
      <c r="S805" s="120"/>
      <c r="T805" s="120"/>
      <c r="U805" s="120"/>
      <c r="V805" s="120"/>
      <c r="W805" s="120"/>
      <c r="X805" s="120"/>
      <c r="Y805" s="120"/>
      <c r="Z805" s="120"/>
      <c r="AA805" s="120"/>
      <c r="AB805" s="120"/>
      <c r="AC805" s="120"/>
      <c r="AD805" s="120"/>
    </row>
    <row r="806">
      <c r="A806" s="120"/>
      <c r="B806" s="120"/>
      <c r="C806" s="120"/>
      <c r="D806" s="120"/>
      <c r="E806" s="120"/>
      <c r="F806" s="120"/>
      <c r="G806" s="120"/>
      <c r="H806" s="120"/>
      <c r="I806" s="120"/>
      <c r="J806" s="120"/>
      <c r="K806" s="120"/>
      <c r="L806" s="120"/>
      <c r="M806" s="120"/>
      <c r="N806" s="120"/>
      <c r="O806" s="120"/>
      <c r="P806" s="120"/>
      <c r="Q806" s="120"/>
      <c r="R806" s="120"/>
      <c r="S806" s="120"/>
      <c r="T806" s="120"/>
      <c r="U806" s="120"/>
      <c r="V806" s="120"/>
      <c r="W806" s="120"/>
      <c r="X806" s="120"/>
      <c r="Y806" s="120"/>
      <c r="Z806" s="120"/>
      <c r="AA806" s="120"/>
      <c r="AB806" s="120"/>
      <c r="AC806" s="120"/>
      <c r="AD806" s="120"/>
    </row>
    <row r="807">
      <c r="A807" s="120"/>
      <c r="B807" s="120"/>
      <c r="C807" s="120"/>
      <c r="D807" s="120"/>
      <c r="E807" s="120"/>
      <c r="F807" s="120"/>
      <c r="G807" s="120"/>
      <c r="H807" s="120"/>
      <c r="I807" s="120"/>
      <c r="J807" s="120"/>
      <c r="K807" s="120"/>
      <c r="L807" s="120"/>
      <c r="M807" s="120"/>
      <c r="N807" s="120"/>
      <c r="O807" s="120"/>
      <c r="P807" s="120"/>
      <c r="Q807" s="120"/>
      <c r="R807" s="120"/>
      <c r="S807" s="120"/>
      <c r="T807" s="120"/>
      <c r="U807" s="120"/>
      <c r="V807" s="120"/>
      <c r="W807" s="120"/>
      <c r="X807" s="120"/>
      <c r="Y807" s="120"/>
      <c r="Z807" s="120"/>
      <c r="AA807" s="120"/>
      <c r="AB807" s="120"/>
      <c r="AC807" s="120"/>
      <c r="AD807" s="120"/>
    </row>
    <row r="808">
      <c r="A808" s="120"/>
      <c r="B808" s="120"/>
      <c r="C808" s="120"/>
      <c r="D808" s="120"/>
      <c r="E808" s="120"/>
      <c r="F808" s="120"/>
      <c r="G808" s="120"/>
      <c r="H808" s="120"/>
      <c r="I808" s="120"/>
      <c r="J808" s="120"/>
      <c r="K808" s="120"/>
      <c r="L808" s="120"/>
      <c r="M808" s="120"/>
      <c r="N808" s="120"/>
      <c r="O808" s="120"/>
      <c r="P808" s="120"/>
      <c r="Q808" s="120"/>
      <c r="R808" s="120"/>
      <c r="S808" s="120"/>
      <c r="T808" s="120"/>
      <c r="U808" s="120"/>
      <c r="V808" s="120"/>
      <c r="W808" s="120"/>
      <c r="X808" s="120"/>
      <c r="Y808" s="120"/>
      <c r="Z808" s="120"/>
      <c r="AA808" s="120"/>
      <c r="AB808" s="120"/>
      <c r="AC808" s="120"/>
      <c r="AD808" s="120"/>
    </row>
    <row r="809">
      <c r="A809" s="120"/>
      <c r="B809" s="120"/>
      <c r="C809" s="120"/>
      <c r="D809" s="120"/>
      <c r="E809" s="120"/>
      <c r="F809" s="120"/>
      <c r="G809" s="120"/>
      <c r="H809" s="120"/>
      <c r="I809" s="120"/>
      <c r="J809" s="120"/>
      <c r="K809" s="120"/>
      <c r="L809" s="120"/>
      <c r="M809" s="120"/>
      <c r="N809" s="120"/>
      <c r="O809" s="120"/>
      <c r="P809" s="120"/>
      <c r="Q809" s="120"/>
      <c r="R809" s="120"/>
      <c r="S809" s="120"/>
      <c r="T809" s="120"/>
      <c r="U809" s="120"/>
      <c r="V809" s="120"/>
      <c r="W809" s="120"/>
      <c r="X809" s="120"/>
      <c r="Y809" s="120"/>
      <c r="Z809" s="120"/>
      <c r="AA809" s="120"/>
      <c r="AB809" s="120"/>
      <c r="AC809" s="120"/>
      <c r="AD809" s="120"/>
    </row>
    <row r="810">
      <c r="A810" s="120"/>
      <c r="B810" s="120"/>
      <c r="C810" s="120"/>
      <c r="D810" s="120"/>
      <c r="E810" s="120"/>
      <c r="F810" s="120"/>
      <c r="G810" s="120"/>
      <c r="H810" s="120"/>
      <c r="I810" s="120"/>
      <c r="J810" s="120"/>
      <c r="K810" s="120"/>
      <c r="L810" s="120"/>
      <c r="M810" s="120"/>
      <c r="N810" s="120"/>
      <c r="O810" s="120"/>
      <c r="P810" s="120"/>
      <c r="Q810" s="120"/>
      <c r="R810" s="120"/>
      <c r="S810" s="120"/>
      <c r="T810" s="120"/>
      <c r="U810" s="120"/>
      <c r="V810" s="120"/>
      <c r="W810" s="120"/>
      <c r="X810" s="120"/>
      <c r="Y810" s="120"/>
      <c r="Z810" s="120"/>
      <c r="AA810" s="120"/>
      <c r="AB810" s="120"/>
      <c r="AC810" s="120"/>
      <c r="AD810" s="120"/>
    </row>
    <row r="811">
      <c r="A811" s="120"/>
      <c r="B811" s="120"/>
      <c r="C811" s="120"/>
      <c r="D811" s="120"/>
      <c r="E811" s="120"/>
      <c r="F811" s="120"/>
      <c r="G811" s="120"/>
      <c r="H811" s="120"/>
      <c r="I811" s="120"/>
      <c r="J811" s="120"/>
      <c r="K811" s="120"/>
      <c r="L811" s="120"/>
      <c r="M811" s="120"/>
      <c r="N811" s="120"/>
      <c r="O811" s="120"/>
      <c r="P811" s="120"/>
      <c r="Q811" s="120"/>
      <c r="R811" s="120"/>
      <c r="S811" s="120"/>
      <c r="T811" s="120"/>
      <c r="U811" s="120"/>
      <c r="V811" s="120"/>
      <c r="W811" s="120"/>
      <c r="X811" s="120"/>
      <c r="Y811" s="120"/>
      <c r="Z811" s="120"/>
      <c r="AA811" s="120"/>
      <c r="AB811" s="120"/>
      <c r="AC811" s="120"/>
      <c r="AD811" s="120"/>
    </row>
    <row r="812">
      <c r="A812" s="120"/>
      <c r="B812" s="120"/>
      <c r="C812" s="120"/>
      <c r="D812" s="120"/>
      <c r="E812" s="120"/>
      <c r="F812" s="120"/>
      <c r="G812" s="120"/>
      <c r="H812" s="120"/>
      <c r="I812" s="120"/>
      <c r="J812" s="120"/>
      <c r="K812" s="120"/>
      <c r="L812" s="120"/>
      <c r="M812" s="120"/>
      <c r="N812" s="120"/>
      <c r="O812" s="120"/>
      <c r="P812" s="120"/>
      <c r="Q812" s="120"/>
      <c r="R812" s="120"/>
      <c r="S812" s="120"/>
      <c r="T812" s="120"/>
      <c r="U812" s="120"/>
      <c r="V812" s="120"/>
      <c r="W812" s="120"/>
      <c r="X812" s="120"/>
      <c r="Y812" s="120"/>
      <c r="Z812" s="120"/>
      <c r="AA812" s="120"/>
      <c r="AB812" s="120"/>
      <c r="AC812" s="120"/>
      <c r="AD812" s="120"/>
    </row>
    <row r="813">
      <c r="A813" s="120"/>
      <c r="B813" s="120"/>
      <c r="C813" s="120"/>
      <c r="D813" s="120"/>
      <c r="E813" s="120"/>
      <c r="F813" s="120"/>
      <c r="G813" s="120"/>
      <c r="H813" s="120"/>
      <c r="I813" s="120"/>
      <c r="J813" s="120"/>
      <c r="K813" s="120"/>
      <c r="L813" s="120"/>
      <c r="M813" s="120"/>
      <c r="N813" s="120"/>
      <c r="O813" s="120"/>
      <c r="P813" s="120"/>
      <c r="Q813" s="120"/>
      <c r="R813" s="120"/>
      <c r="S813" s="120"/>
      <c r="T813" s="120"/>
      <c r="U813" s="120"/>
      <c r="V813" s="120"/>
      <c r="W813" s="120"/>
      <c r="X813" s="120"/>
      <c r="Y813" s="120"/>
      <c r="Z813" s="120"/>
      <c r="AA813" s="120"/>
      <c r="AB813" s="120"/>
      <c r="AC813" s="120"/>
      <c r="AD813" s="120"/>
    </row>
    <row r="814">
      <c r="A814" s="120"/>
      <c r="B814" s="120"/>
      <c r="C814" s="120"/>
      <c r="D814" s="120"/>
      <c r="E814" s="120"/>
      <c r="F814" s="120"/>
      <c r="G814" s="120"/>
      <c r="H814" s="120"/>
      <c r="I814" s="120"/>
      <c r="J814" s="120"/>
      <c r="K814" s="120"/>
      <c r="L814" s="120"/>
      <c r="M814" s="120"/>
      <c r="N814" s="120"/>
      <c r="O814" s="120"/>
      <c r="P814" s="120"/>
      <c r="Q814" s="120"/>
      <c r="R814" s="120"/>
      <c r="S814" s="120"/>
      <c r="T814" s="120"/>
      <c r="U814" s="120"/>
      <c r="V814" s="120"/>
      <c r="W814" s="120"/>
      <c r="X814" s="120"/>
      <c r="Y814" s="120"/>
      <c r="Z814" s="120"/>
      <c r="AA814" s="120"/>
      <c r="AB814" s="120"/>
      <c r="AC814" s="120"/>
      <c r="AD814" s="120"/>
    </row>
    <row r="815">
      <c r="A815" s="120"/>
      <c r="B815" s="120"/>
      <c r="C815" s="120"/>
      <c r="D815" s="120"/>
      <c r="E815" s="120"/>
      <c r="F815" s="120"/>
      <c r="G815" s="120"/>
      <c r="H815" s="120"/>
      <c r="I815" s="120"/>
      <c r="J815" s="120"/>
      <c r="K815" s="120"/>
      <c r="L815" s="120"/>
      <c r="M815" s="120"/>
      <c r="N815" s="120"/>
      <c r="O815" s="120"/>
      <c r="P815" s="120"/>
      <c r="Q815" s="120"/>
      <c r="R815" s="120"/>
      <c r="S815" s="120"/>
      <c r="T815" s="120"/>
      <c r="U815" s="120"/>
      <c r="V815" s="120"/>
      <c r="W815" s="120"/>
      <c r="X815" s="120"/>
      <c r="Y815" s="120"/>
      <c r="Z815" s="120"/>
      <c r="AA815" s="120"/>
      <c r="AB815" s="120"/>
      <c r="AC815" s="120"/>
      <c r="AD815" s="120"/>
    </row>
    <row r="816">
      <c r="A816" s="120"/>
      <c r="B816" s="120"/>
      <c r="C816" s="120"/>
      <c r="D816" s="120"/>
      <c r="E816" s="120"/>
      <c r="F816" s="120"/>
      <c r="G816" s="120"/>
      <c r="H816" s="120"/>
      <c r="I816" s="120"/>
      <c r="J816" s="120"/>
      <c r="K816" s="120"/>
      <c r="L816" s="120"/>
      <c r="M816" s="120"/>
      <c r="N816" s="120"/>
      <c r="O816" s="120"/>
      <c r="P816" s="120"/>
      <c r="Q816" s="120"/>
      <c r="R816" s="120"/>
      <c r="S816" s="120"/>
      <c r="T816" s="120"/>
      <c r="U816" s="120"/>
      <c r="V816" s="120"/>
      <c r="W816" s="120"/>
      <c r="X816" s="120"/>
      <c r="Y816" s="120"/>
      <c r="Z816" s="120"/>
      <c r="AA816" s="120"/>
      <c r="AB816" s="120"/>
      <c r="AC816" s="120"/>
      <c r="AD816" s="120"/>
    </row>
    <row r="817">
      <c r="A817" s="120"/>
      <c r="B817" s="120"/>
      <c r="C817" s="120"/>
      <c r="D817" s="120"/>
      <c r="E817" s="120"/>
      <c r="F817" s="120"/>
      <c r="G817" s="120"/>
      <c r="H817" s="120"/>
      <c r="I817" s="120"/>
      <c r="J817" s="120"/>
      <c r="K817" s="120"/>
      <c r="L817" s="120"/>
      <c r="M817" s="120"/>
      <c r="N817" s="120"/>
      <c r="O817" s="120"/>
      <c r="P817" s="120"/>
      <c r="Q817" s="120"/>
      <c r="R817" s="120"/>
      <c r="S817" s="120"/>
      <c r="T817" s="120"/>
      <c r="U817" s="120"/>
      <c r="V817" s="120"/>
      <c r="W817" s="120"/>
      <c r="X817" s="120"/>
      <c r="Y817" s="120"/>
      <c r="Z817" s="120"/>
      <c r="AA817" s="120"/>
      <c r="AB817" s="120"/>
      <c r="AC817" s="120"/>
      <c r="AD817" s="120"/>
    </row>
    <row r="818">
      <c r="A818" s="120"/>
      <c r="B818" s="120"/>
      <c r="C818" s="120"/>
      <c r="D818" s="120"/>
      <c r="E818" s="120"/>
      <c r="F818" s="120"/>
      <c r="G818" s="120"/>
      <c r="H818" s="120"/>
      <c r="I818" s="120"/>
      <c r="J818" s="120"/>
      <c r="K818" s="120"/>
      <c r="L818" s="120"/>
      <c r="M818" s="120"/>
      <c r="N818" s="120"/>
      <c r="O818" s="120"/>
      <c r="P818" s="120"/>
      <c r="Q818" s="120"/>
      <c r="R818" s="120"/>
      <c r="S818" s="120"/>
      <c r="T818" s="120"/>
      <c r="U818" s="120"/>
      <c r="V818" s="120"/>
      <c r="W818" s="120"/>
      <c r="X818" s="120"/>
      <c r="Y818" s="120"/>
      <c r="Z818" s="120"/>
      <c r="AA818" s="120"/>
      <c r="AB818" s="120"/>
      <c r="AC818" s="120"/>
      <c r="AD818" s="120"/>
    </row>
    <row r="819">
      <c r="A819" s="120"/>
      <c r="B819" s="120"/>
      <c r="C819" s="120"/>
      <c r="D819" s="120"/>
      <c r="E819" s="120"/>
      <c r="F819" s="120"/>
      <c r="G819" s="120"/>
      <c r="H819" s="120"/>
      <c r="I819" s="120"/>
      <c r="J819" s="120"/>
      <c r="K819" s="120"/>
      <c r="L819" s="120"/>
      <c r="M819" s="120"/>
      <c r="N819" s="120"/>
      <c r="O819" s="120"/>
      <c r="P819" s="120"/>
      <c r="Q819" s="120"/>
      <c r="R819" s="120"/>
      <c r="S819" s="120"/>
      <c r="T819" s="120"/>
      <c r="U819" s="120"/>
      <c r="V819" s="120"/>
      <c r="W819" s="120"/>
      <c r="X819" s="120"/>
      <c r="Y819" s="120"/>
      <c r="Z819" s="120"/>
      <c r="AA819" s="120"/>
      <c r="AB819" s="120"/>
      <c r="AC819" s="120"/>
      <c r="AD819" s="120"/>
    </row>
    <row r="820">
      <c r="A820" s="120"/>
      <c r="B820" s="120"/>
      <c r="C820" s="120"/>
      <c r="D820" s="120"/>
      <c r="E820" s="120"/>
      <c r="F820" s="120"/>
      <c r="G820" s="120"/>
      <c r="H820" s="120"/>
      <c r="I820" s="120"/>
      <c r="J820" s="120"/>
      <c r="K820" s="120"/>
      <c r="L820" s="120"/>
      <c r="M820" s="120"/>
      <c r="N820" s="120"/>
      <c r="O820" s="120"/>
      <c r="P820" s="120"/>
      <c r="Q820" s="120"/>
      <c r="R820" s="120"/>
      <c r="S820" s="120"/>
      <c r="T820" s="120"/>
      <c r="U820" s="120"/>
      <c r="V820" s="120"/>
      <c r="W820" s="120"/>
      <c r="X820" s="120"/>
      <c r="Y820" s="120"/>
      <c r="Z820" s="120"/>
      <c r="AA820" s="120"/>
      <c r="AB820" s="120"/>
      <c r="AC820" s="120"/>
      <c r="AD820" s="120"/>
    </row>
    <row r="821">
      <c r="A821" s="120"/>
      <c r="B821" s="120"/>
      <c r="C821" s="120"/>
      <c r="D821" s="120"/>
      <c r="E821" s="120"/>
      <c r="F821" s="120"/>
      <c r="G821" s="120"/>
      <c r="H821" s="120"/>
      <c r="I821" s="120"/>
      <c r="J821" s="120"/>
      <c r="K821" s="120"/>
      <c r="L821" s="120"/>
      <c r="M821" s="120"/>
      <c r="N821" s="120"/>
      <c r="O821" s="120"/>
      <c r="P821" s="120"/>
      <c r="Q821" s="120"/>
      <c r="R821" s="120"/>
      <c r="S821" s="120"/>
      <c r="T821" s="120"/>
      <c r="U821" s="120"/>
      <c r="V821" s="120"/>
      <c r="W821" s="120"/>
      <c r="X821" s="120"/>
      <c r="Y821" s="120"/>
      <c r="Z821" s="120"/>
      <c r="AA821" s="120"/>
      <c r="AB821" s="120"/>
      <c r="AC821" s="120"/>
      <c r="AD821" s="120"/>
    </row>
    <row r="822">
      <c r="A822" s="120"/>
      <c r="B822" s="120"/>
      <c r="C822" s="120"/>
      <c r="D822" s="120"/>
      <c r="E822" s="120"/>
      <c r="F822" s="120"/>
      <c r="G822" s="120"/>
      <c r="H822" s="120"/>
      <c r="I822" s="120"/>
      <c r="J822" s="120"/>
      <c r="K822" s="120"/>
      <c r="L822" s="120"/>
      <c r="M822" s="120"/>
      <c r="N822" s="120"/>
      <c r="O822" s="120"/>
      <c r="P822" s="120"/>
      <c r="Q822" s="120"/>
      <c r="R822" s="120"/>
      <c r="S822" s="120"/>
      <c r="T822" s="120"/>
      <c r="U822" s="120"/>
      <c r="V822" s="120"/>
      <c r="W822" s="120"/>
      <c r="X822" s="120"/>
      <c r="Y822" s="120"/>
      <c r="Z822" s="120"/>
      <c r="AA822" s="120"/>
      <c r="AB822" s="120"/>
      <c r="AC822" s="120"/>
      <c r="AD822" s="120"/>
    </row>
    <row r="823">
      <c r="A823" s="120"/>
      <c r="B823" s="120"/>
      <c r="C823" s="120"/>
      <c r="D823" s="120"/>
      <c r="E823" s="120"/>
      <c r="F823" s="120"/>
      <c r="G823" s="120"/>
      <c r="H823" s="120"/>
      <c r="I823" s="120"/>
      <c r="J823" s="120"/>
      <c r="K823" s="120"/>
      <c r="L823" s="120"/>
      <c r="M823" s="120"/>
      <c r="N823" s="120"/>
      <c r="O823" s="120"/>
      <c r="P823" s="120"/>
      <c r="Q823" s="120"/>
      <c r="R823" s="120"/>
      <c r="S823" s="120"/>
      <c r="T823" s="120"/>
      <c r="U823" s="120"/>
      <c r="V823" s="120"/>
      <c r="W823" s="120"/>
      <c r="X823" s="120"/>
      <c r="Y823" s="120"/>
      <c r="Z823" s="120"/>
      <c r="AA823" s="120"/>
      <c r="AB823" s="120"/>
      <c r="AC823" s="120"/>
      <c r="AD823" s="120"/>
    </row>
    <row r="824">
      <c r="A824" s="120"/>
      <c r="B824" s="120"/>
      <c r="C824" s="120"/>
      <c r="D824" s="120"/>
      <c r="E824" s="120"/>
      <c r="F824" s="120"/>
      <c r="G824" s="120"/>
      <c r="H824" s="120"/>
      <c r="I824" s="120"/>
      <c r="J824" s="120"/>
      <c r="K824" s="120"/>
      <c r="L824" s="120"/>
      <c r="M824" s="120"/>
      <c r="N824" s="120"/>
      <c r="O824" s="120"/>
      <c r="P824" s="120"/>
      <c r="Q824" s="120"/>
      <c r="R824" s="120"/>
      <c r="S824" s="120"/>
      <c r="T824" s="120"/>
      <c r="U824" s="120"/>
      <c r="V824" s="120"/>
      <c r="W824" s="120"/>
      <c r="X824" s="120"/>
      <c r="Y824" s="120"/>
      <c r="Z824" s="120"/>
      <c r="AA824" s="120"/>
      <c r="AB824" s="120"/>
      <c r="AC824" s="120"/>
      <c r="AD824" s="120"/>
    </row>
    <row r="825">
      <c r="A825" s="120"/>
      <c r="B825" s="120"/>
      <c r="C825" s="120"/>
      <c r="D825" s="120"/>
      <c r="E825" s="120"/>
      <c r="F825" s="120"/>
      <c r="G825" s="120"/>
      <c r="H825" s="120"/>
      <c r="I825" s="120"/>
      <c r="J825" s="120"/>
      <c r="K825" s="120"/>
      <c r="L825" s="120"/>
      <c r="M825" s="120"/>
      <c r="N825" s="120"/>
      <c r="O825" s="120"/>
      <c r="P825" s="120"/>
      <c r="Q825" s="120"/>
      <c r="R825" s="120"/>
      <c r="S825" s="120"/>
      <c r="T825" s="120"/>
      <c r="U825" s="120"/>
      <c r="V825" s="120"/>
      <c r="W825" s="120"/>
      <c r="X825" s="120"/>
      <c r="Y825" s="120"/>
      <c r="Z825" s="120"/>
      <c r="AA825" s="120"/>
      <c r="AB825" s="120"/>
      <c r="AC825" s="120"/>
      <c r="AD825" s="120"/>
    </row>
    <row r="826">
      <c r="A826" s="120"/>
      <c r="B826" s="120"/>
      <c r="C826" s="120"/>
      <c r="D826" s="120"/>
      <c r="E826" s="120"/>
      <c r="F826" s="120"/>
      <c r="G826" s="120"/>
      <c r="H826" s="120"/>
      <c r="I826" s="120"/>
      <c r="J826" s="120"/>
      <c r="K826" s="120"/>
      <c r="L826" s="120"/>
      <c r="M826" s="120"/>
      <c r="N826" s="120"/>
      <c r="O826" s="120"/>
      <c r="P826" s="120"/>
      <c r="Q826" s="120"/>
      <c r="R826" s="120"/>
      <c r="S826" s="120"/>
      <c r="T826" s="120"/>
      <c r="U826" s="120"/>
      <c r="V826" s="120"/>
      <c r="W826" s="120"/>
      <c r="X826" s="120"/>
      <c r="Y826" s="120"/>
      <c r="Z826" s="120"/>
      <c r="AA826" s="120"/>
      <c r="AB826" s="120"/>
      <c r="AC826" s="120"/>
      <c r="AD826" s="120"/>
    </row>
    <row r="827">
      <c r="A827" s="120"/>
      <c r="B827" s="120"/>
      <c r="C827" s="120"/>
      <c r="D827" s="120"/>
      <c r="E827" s="120"/>
      <c r="F827" s="120"/>
      <c r="G827" s="120"/>
      <c r="H827" s="120"/>
      <c r="I827" s="120"/>
      <c r="J827" s="120"/>
      <c r="K827" s="120"/>
      <c r="L827" s="120"/>
      <c r="M827" s="120"/>
      <c r="N827" s="120"/>
      <c r="O827" s="120"/>
      <c r="P827" s="120"/>
      <c r="Q827" s="120"/>
      <c r="R827" s="120"/>
      <c r="S827" s="120"/>
      <c r="T827" s="120"/>
      <c r="U827" s="120"/>
      <c r="V827" s="120"/>
      <c r="W827" s="120"/>
      <c r="X827" s="120"/>
      <c r="Y827" s="120"/>
      <c r="Z827" s="120"/>
      <c r="AA827" s="120"/>
      <c r="AB827" s="120"/>
      <c r="AC827" s="120"/>
      <c r="AD827" s="120"/>
    </row>
    <row r="828">
      <c r="A828" s="120"/>
      <c r="B828" s="120"/>
      <c r="C828" s="120"/>
      <c r="D828" s="120"/>
      <c r="E828" s="120"/>
      <c r="F828" s="120"/>
      <c r="G828" s="120"/>
      <c r="H828" s="120"/>
      <c r="I828" s="120"/>
      <c r="J828" s="120"/>
      <c r="K828" s="120"/>
      <c r="L828" s="120"/>
      <c r="M828" s="120"/>
      <c r="N828" s="120"/>
      <c r="O828" s="120"/>
      <c r="P828" s="120"/>
      <c r="Q828" s="120"/>
      <c r="R828" s="120"/>
      <c r="S828" s="120"/>
      <c r="T828" s="120"/>
      <c r="U828" s="120"/>
      <c r="V828" s="120"/>
      <c r="W828" s="120"/>
      <c r="X828" s="120"/>
      <c r="Y828" s="120"/>
      <c r="Z828" s="120"/>
      <c r="AA828" s="120"/>
      <c r="AB828" s="120"/>
      <c r="AC828" s="120"/>
      <c r="AD828" s="120"/>
    </row>
    <row r="829">
      <c r="A829" s="120"/>
      <c r="B829" s="120"/>
      <c r="C829" s="120"/>
      <c r="D829" s="120"/>
      <c r="E829" s="120"/>
      <c r="F829" s="120"/>
      <c r="G829" s="120"/>
      <c r="H829" s="120"/>
      <c r="I829" s="120"/>
      <c r="J829" s="120"/>
      <c r="K829" s="120"/>
      <c r="L829" s="120"/>
      <c r="M829" s="120"/>
      <c r="N829" s="120"/>
      <c r="O829" s="120"/>
      <c r="P829" s="120"/>
      <c r="Q829" s="120"/>
      <c r="R829" s="120"/>
      <c r="S829" s="120"/>
      <c r="T829" s="120"/>
      <c r="U829" s="120"/>
      <c r="V829" s="120"/>
      <c r="W829" s="120"/>
      <c r="X829" s="120"/>
      <c r="Y829" s="120"/>
      <c r="Z829" s="120"/>
      <c r="AA829" s="120"/>
      <c r="AB829" s="120"/>
      <c r="AC829" s="120"/>
      <c r="AD829" s="120"/>
    </row>
    <row r="830">
      <c r="A830" s="120"/>
      <c r="B830" s="120"/>
      <c r="C830" s="120"/>
      <c r="D830" s="120"/>
      <c r="E830" s="120"/>
      <c r="F830" s="120"/>
      <c r="G830" s="120"/>
      <c r="H830" s="120"/>
      <c r="I830" s="120"/>
      <c r="J830" s="120"/>
      <c r="K830" s="120"/>
      <c r="L830" s="120"/>
      <c r="M830" s="120"/>
      <c r="N830" s="120"/>
      <c r="O830" s="120"/>
      <c r="P830" s="120"/>
      <c r="Q830" s="120"/>
      <c r="R830" s="120"/>
      <c r="S830" s="120"/>
      <c r="T830" s="120"/>
      <c r="U830" s="120"/>
      <c r="V830" s="120"/>
      <c r="W830" s="120"/>
      <c r="X830" s="120"/>
      <c r="Y830" s="120"/>
      <c r="Z830" s="120"/>
      <c r="AA830" s="120"/>
      <c r="AB830" s="120"/>
      <c r="AC830" s="120"/>
      <c r="AD830" s="120"/>
    </row>
    <row r="831">
      <c r="A831" s="120"/>
      <c r="B831" s="120"/>
      <c r="C831" s="120"/>
      <c r="D831" s="120"/>
      <c r="E831" s="120"/>
      <c r="F831" s="120"/>
      <c r="G831" s="120"/>
      <c r="H831" s="120"/>
      <c r="I831" s="120"/>
      <c r="J831" s="120"/>
      <c r="K831" s="120"/>
      <c r="L831" s="120"/>
      <c r="M831" s="120"/>
      <c r="N831" s="120"/>
      <c r="O831" s="120"/>
      <c r="P831" s="120"/>
      <c r="Q831" s="120"/>
      <c r="R831" s="120"/>
      <c r="S831" s="120"/>
      <c r="T831" s="120"/>
      <c r="U831" s="120"/>
      <c r="V831" s="120"/>
      <c r="W831" s="120"/>
      <c r="X831" s="120"/>
      <c r="Y831" s="120"/>
      <c r="Z831" s="120"/>
      <c r="AA831" s="120"/>
      <c r="AB831" s="120"/>
      <c r="AC831" s="120"/>
      <c r="AD831" s="120"/>
    </row>
    <row r="832">
      <c r="A832" s="120"/>
      <c r="B832" s="120"/>
      <c r="C832" s="120"/>
      <c r="D832" s="120"/>
      <c r="E832" s="120"/>
      <c r="F832" s="120"/>
      <c r="G832" s="120"/>
      <c r="H832" s="120"/>
      <c r="I832" s="120"/>
      <c r="J832" s="120"/>
      <c r="K832" s="120"/>
      <c r="L832" s="120"/>
      <c r="M832" s="120"/>
      <c r="N832" s="120"/>
      <c r="O832" s="120"/>
      <c r="P832" s="120"/>
      <c r="Q832" s="120"/>
      <c r="R832" s="120"/>
      <c r="S832" s="120"/>
      <c r="T832" s="120"/>
      <c r="U832" s="120"/>
      <c r="V832" s="120"/>
      <c r="W832" s="120"/>
      <c r="X832" s="120"/>
      <c r="Y832" s="120"/>
      <c r="Z832" s="120"/>
      <c r="AA832" s="120"/>
      <c r="AB832" s="120"/>
      <c r="AC832" s="120"/>
      <c r="AD832" s="120"/>
    </row>
    <row r="833">
      <c r="A833" s="120"/>
      <c r="B833" s="120"/>
      <c r="C833" s="120"/>
      <c r="D833" s="120"/>
      <c r="E833" s="120"/>
      <c r="F833" s="120"/>
      <c r="G833" s="120"/>
      <c r="H833" s="120"/>
      <c r="I833" s="120"/>
      <c r="J833" s="120"/>
      <c r="K833" s="120"/>
      <c r="L833" s="120"/>
      <c r="M833" s="120"/>
      <c r="N833" s="120"/>
      <c r="O833" s="120"/>
      <c r="P833" s="120"/>
      <c r="Q833" s="120"/>
      <c r="R833" s="120"/>
      <c r="S833" s="120"/>
      <c r="T833" s="120"/>
      <c r="U833" s="120"/>
      <c r="V833" s="120"/>
      <c r="W833" s="120"/>
      <c r="X833" s="120"/>
      <c r="Y833" s="120"/>
      <c r="Z833" s="120"/>
      <c r="AA833" s="120"/>
      <c r="AB833" s="120"/>
      <c r="AC833" s="120"/>
      <c r="AD833" s="120"/>
    </row>
    <row r="834">
      <c r="A834" s="120"/>
      <c r="B834" s="120"/>
      <c r="C834" s="120"/>
      <c r="D834" s="120"/>
      <c r="E834" s="120"/>
      <c r="F834" s="120"/>
      <c r="G834" s="120"/>
      <c r="H834" s="120"/>
      <c r="I834" s="120"/>
      <c r="J834" s="120"/>
      <c r="K834" s="120"/>
      <c r="L834" s="120"/>
      <c r="M834" s="120"/>
      <c r="N834" s="120"/>
      <c r="O834" s="120"/>
      <c r="P834" s="120"/>
      <c r="Q834" s="120"/>
      <c r="R834" s="120"/>
      <c r="S834" s="120"/>
      <c r="T834" s="120"/>
      <c r="U834" s="120"/>
      <c r="V834" s="120"/>
      <c r="W834" s="120"/>
      <c r="X834" s="120"/>
      <c r="Y834" s="120"/>
      <c r="Z834" s="120"/>
      <c r="AA834" s="120"/>
      <c r="AB834" s="120"/>
      <c r="AC834" s="120"/>
      <c r="AD834" s="120"/>
    </row>
    <row r="835">
      <c r="A835" s="120"/>
      <c r="B835" s="120"/>
      <c r="C835" s="120"/>
      <c r="D835" s="120"/>
      <c r="E835" s="120"/>
      <c r="F835" s="120"/>
      <c r="G835" s="120"/>
      <c r="H835" s="120"/>
      <c r="I835" s="120"/>
      <c r="J835" s="120"/>
      <c r="K835" s="120"/>
      <c r="L835" s="120"/>
      <c r="M835" s="120"/>
      <c r="N835" s="120"/>
      <c r="O835" s="120"/>
      <c r="P835" s="120"/>
      <c r="Q835" s="120"/>
      <c r="R835" s="120"/>
      <c r="S835" s="120"/>
      <c r="T835" s="120"/>
      <c r="U835" s="120"/>
      <c r="V835" s="120"/>
      <c r="W835" s="120"/>
      <c r="X835" s="120"/>
      <c r="Y835" s="120"/>
      <c r="Z835" s="120"/>
      <c r="AA835" s="120"/>
      <c r="AB835" s="120"/>
      <c r="AC835" s="120"/>
      <c r="AD835" s="120"/>
    </row>
    <row r="836">
      <c r="A836" s="120"/>
      <c r="B836" s="120"/>
      <c r="C836" s="120"/>
      <c r="D836" s="120"/>
      <c r="E836" s="120"/>
      <c r="F836" s="120"/>
      <c r="G836" s="120"/>
      <c r="H836" s="120"/>
      <c r="I836" s="120"/>
      <c r="J836" s="120"/>
      <c r="K836" s="120"/>
      <c r="L836" s="120"/>
      <c r="M836" s="120"/>
      <c r="N836" s="120"/>
      <c r="O836" s="120"/>
      <c r="P836" s="120"/>
      <c r="Q836" s="120"/>
      <c r="R836" s="120"/>
      <c r="S836" s="120"/>
      <c r="T836" s="120"/>
      <c r="U836" s="120"/>
      <c r="V836" s="120"/>
      <c r="W836" s="120"/>
      <c r="X836" s="120"/>
      <c r="Y836" s="120"/>
      <c r="Z836" s="120"/>
      <c r="AA836" s="120"/>
      <c r="AB836" s="120"/>
      <c r="AC836" s="120"/>
      <c r="AD836" s="120"/>
    </row>
    <row r="837">
      <c r="A837" s="120"/>
      <c r="B837" s="120"/>
      <c r="C837" s="120"/>
      <c r="D837" s="120"/>
      <c r="E837" s="120"/>
      <c r="F837" s="120"/>
      <c r="G837" s="120"/>
      <c r="H837" s="120"/>
      <c r="I837" s="120"/>
      <c r="J837" s="120"/>
      <c r="K837" s="120"/>
      <c r="L837" s="120"/>
      <c r="M837" s="120"/>
      <c r="N837" s="120"/>
      <c r="O837" s="120"/>
      <c r="P837" s="120"/>
      <c r="Q837" s="120"/>
      <c r="R837" s="120"/>
      <c r="S837" s="120"/>
      <c r="T837" s="120"/>
      <c r="U837" s="120"/>
      <c r="V837" s="120"/>
      <c r="W837" s="120"/>
      <c r="X837" s="120"/>
      <c r="Y837" s="120"/>
      <c r="Z837" s="120"/>
      <c r="AA837" s="120"/>
      <c r="AB837" s="120"/>
      <c r="AC837" s="120"/>
      <c r="AD837" s="120"/>
    </row>
    <row r="838">
      <c r="A838" s="120"/>
      <c r="B838" s="120"/>
      <c r="C838" s="120"/>
      <c r="D838" s="120"/>
      <c r="E838" s="120"/>
      <c r="F838" s="120"/>
      <c r="G838" s="120"/>
      <c r="H838" s="120"/>
      <c r="I838" s="120"/>
      <c r="J838" s="120"/>
      <c r="K838" s="120"/>
      <c r="L838" s="120"/>
      <c r="M838" s="120"/>
      <c r="N838" s="120"/>
      <c r="O838" s="120"/>
      <c r="P838" s="120"/>
      <c r="Q838" s="120"/>
      <c r="R838" s="120"/>
      <c r="S838" s="120"/>
      <c r="T838" s="120"/>
      <c r="U838" s="120"/>
      <c r="V838" s="120"/>
      <c r="W838" s="120"/>
      <c r="X838" s="120"/>
      <c r="Y838" s="120"/>
      <c r="Z838" s="120"/>
      <c r="AA838" s="120"/>
      <c r="AB838" s="120"/>
      <c r="AC838" s="120"/>
      <c r="AD838" s="120"/>
    </row>
    <row r="839">
      <c r="A839" s="120"/>
      <c r="B839" s="120"/>
      <c r="C839" s="120"/>
      <c r="D839" s="120"/>
      <c r="E839" s="120"/>
      <c r="F839" s="120"/>
      <c r="G839" s="120"/>
      <c r="H839" s="120"/>
      <c r="I839" s="120"/>
      <c r="J839" s="120"/>
      <c r="K839" s="120"/>
      <c r="L839" s="120"/>
      <c r="M839" s="120"/>
      <c r="N839" s="120"/>
      <c r="O839" s="120"/>
      <c r="P839" s="120"/>
      <c r="Q839" s="120"/>
      <c r="R839" s="120"/>
      <c r="S839" s="120"/>
      <c r="T839" s="120"/>
      <c r="U839" s="120"/>
      <c r="V839" s="120"/>
      <c r="W839" s="120"/>
      <c r="X839" s="120"/>
      <c r="Y839" s="120"/>
      <c r="Z839" s="120"/>
      <c r="AA839" s="120"/>
      <c r="AB839" s="120"/>
      <c r="AC839" s="120"/>
      <c r="AD839" s="120"/>
    </row>
    <row r="840">
      <c r="A840" s="120"/>
      <c r="B840" s="120"/>
      <c r="C840" s="120"/>
      <c r="D840" s="120"/>
      <c r="E840" s="120"/>
      <c r="F840" s="120"/>
      <c r="G840" s="120"/>
      <c r="H840" s="120"/>
      <c r="I840" s="120"/>
      <c r="J840" s="120"/>
      <c r="K840" s="120"/>
      <c r="L840" s="120"/>
      <c r="M840" s="120"/>
      <c r="N840" s="120"/>
      <c r="O840" s="120"/>
      <c r="P840" s="120"/>
      <c r="Q840" s="120"/>
      <c r="R840" s="120"/>
      <c r="S840" s="120"/>
      <c r="T840" s="120"/>
      <c r="U840" s="120"/>
      <c r="V840" s="120"/>
      <c r="W840" s="120"/>
      <c r="X840" s="120"/>
      <c r="Y840" s="120"/>
      <c r="Z840" s="120"/>
      <c r="AA840" s="120"/>
      <c r="AB840" s="120"/>
      <c r="AC840" s="120"/>
      <c r="AD840" s="120"/>
    </row>
    <row r="841">
      <c r="A841" s="120"/>
      <c r="B841" s="120"/>
      <c r="C841" s="120"/>
      <c r="D841" s="120"/>
      <c r="E841" s="120"/>
      <c r="F841" s="120"/>
      <c r="G841" s="120"/>
      <c r="H841" s="120"/>
      <c r="I841" s="120"/>
      <c r="J841" s="120"/>
      <c r="K841" s="120"/>
      <c r="L841" s="120"/>
      <c r="M841" s="120"/>
      <c r="N841" s="120"/>
      <c r="O841" s="120"/>
      <c r="P841" s="120"/>
      <c r="Q841" s="120"/>
      <c r="R841" s="120"/>
      <c r="S841" s="120"/>
      <c r="T841" s="120"/>
      <c r="U841" s="120"/>
      <c r="V841" s="120"/>
      <c r="W841" s="120"/>
      <c r="X841" s="120"/>
      <c r="Y841" s="120"/>
      <c r="Z841" s="120"/>
      <c r="AA841" s="120"/>
      <c r="AB841" s="120"/>
      <c r="AC841" s="120"/>
      <c r="AD841" s="120"/>
    </row>
    <row r="842">
      <c r="A842" s="120"/>
      <c r="B842" s="120"/>
      <c r="C842" s="120"/>
      <c r="D842" s="120"/>
      <c r="E842" s="120"/>
      <c r="F842" s="120"/>
      <c r="G842" s="120"/>
      <c r="H842" s="120"/>
      <c r="I842" s="120"/>
      <c r="J842" s="120"/>
      <c r="K842" s="120"/>
      <c r="L842" s="120"/>
      <c r="M842" s="120"/>
      <c r="N842" s="120"/>
      <c r="O842" s="120"/>
      <c r="P842" s="120"/>
      <c r="Q842" s="120"/>
      <c r="R842" s="120"/>
      <c r="S842" s="120"/>
      <c r="T842" s="120"/>
      <c r="U842" s="120"/>
      <c r="V842" s="120"/>
      <c r="W842" s="120"/>
      <c r="X842" s="120"/>
      <c r="Y842" s="120"/>
      <c r="Z842" s="120"/>
      <c r="AA842" s="120"/>
      <c r="AB842" s="120"/>
      <c r="AC842" s="120"/>
      <c r="AD842" s="120"/>
    </row>
    <row r="843">
      <c r="A843" s="120"/>
      <c r="B843" s="120"/>
      <c r="C843" s="120"/>
      <c r="D843" s="120"/>
      <c r="E843" s="120"/>
      <c r="F843" s="120"/>
      <c r="G843" s="120"/>
      <c r="H843" s="120"/>
      <c r="I843" s="120"/>
      <c r="J843" s="120"/>
      <c r="K843" s="120"/>
      <c r="L843" s="120"/>
      <c r="M843" s="120"/>
      <c r="N843" s="120"/>
      <c r="O843" s="120"/>
      <c r="P843" s="120"/>
      <c r="Q843" s="120"/>
      <c r="R843" s="120"/>
      <c r="S843" s="120"/>
      <c r="T843" s="120"/>
      <c r="U843" s="120"/>
      <c r="V843" s="120"/>
      <c r="W843" s="120"/>
      <c r="X843" s="120"/>
      <c r="Y843" s="120"/>
      <c r="Z843" s="120"/>
      <c r="AA843" s="120"/>
      <c r="AB843" s="120"/>
      <c r="AC843" s="120"/>
      <c r="AD843" s="120"/>
    </row>
    <row r="844">
      <c r="A844" s="120"/>
      <c r="B844" s="120"/>
      <c r="C844" s="120"/>
      <c r="D844" s="120"/>
      <c r="E844" s="120"/>
      <c r="F844" s="120"/>
      <c r="G844" s="120"/>
      <c r="H844" s="120"/>
      <c r="I844" s="120"/>
      <c r="J844" s="120"/>
      <c r="K844" s="120"/>
      <c r="L844" s="120"/>
      <c r="M844" s="120"/>
      <c r="N844" s="120"/>
      <c r="O844" s="120"/>
      <c r="P844" s="120"/>
      <c r="Q844" s="120"/>
      <c r="R844" s="120"/>
      <c r="S844" s="120"/>
      <c r="T844" s="120"/>
      <c r="U844" s="120"/>
      <c r="V844" s="120"/>
      <c r="W844" s="120"/>
      <c r="X844" s="120"/>
      <c r="Y844" s="120"/>
      <c r="Z844" s="120"/>
      <c r="AA844" s="120"/>
      <c r="AB844" s="120"/>
      <c r="AC844" s="120"/>
      <c r="AD844" s="120"/>
    </row>
    <row r="845">
      <c r="A845" s="120"/>
      <c r="B845" s="120"/>
      <c r="C845" s="120"/>
      <c r="D845" s="120"/>
      <c r="E845" s="120"/>
      <c r="F845" s="120"/>
      <c r="G845" s="120"/>
      <c r="H845" s="120"/>
      <c r="I845" s="120"/>
      <c r="J845" s="120"/>
      <c r="K845" s="120"/>
      <c r="L845" s="120"/>
      <c r="M845" s="120"/>
      <c r="N845" s="120"/>
      <c r="O845" s="120"/>
      <c r="P845" s="120"/>
      <c r="Q845" s="120"/>
      <c r="R845" s="120"/>
      <c r="S845" s="120"/>
      <c r="T845" s="120"/>
      <c r="U845" s="120"/>
      <c r="V845" s="120"/>
      <c r="W845" s="120"/>
      <c r="X845" s="120"/>
      <c r="Y845" s="120"/>
      <c r="Z845" s="120"/>
      <c r="AA845" s="120"/>
      <c r="AB845" s="120"/>
      <c r="AC845" s="120"/>
      <c r="AD845" s="120"/>
    </row>
    <row r="846">
      <c r="A846" s="120"/>
      <c r="B846" s="120"/>
      <c r="C846" s="120"/>
      <c r="D846" s="120"/>
      <c r="E846" s="120"/>
      <c r="F846" s="120"/>
      <c r="G846" s="120"/>
      <c r="H846" s="120"/>
      <c r="I846" s="120"/>
      <c r="J846" s="120"/>
      <c r="K846" s="120"/>
      <c r="L846" s="120"/>
      <c r="M846" s="120"/>
      <c r="N846" s="120"/>
      <c r="O846" s="120"/>
      <c r="P846" s="120"/>
      <c r="Q846" s="120"/>
      <c r="R846" s="120"/>
      <c r="S846" s="120"/>
      <c r="T846" s="120"/>
      <c r="U846" s="120"/>
      <c r="V846" s="120"/>
      <c r="W846" s="120"/>
      <c r="X846" s="120"/>
      <c r="Y846" s="120"/>
      <c r="Z846" s="120"/>
      <c r="AA846" s="120"/>
      <c r="AB846" s="120"/>
      <c r="AC846" s="120"/>
      <c r="AD846" s="120"/>
    </row>
    <row r="847">
      <c r="A847" s="120"/>
      <c r="B847" s="120"/>
      <c r="C847" s="120"/>
      <c r="D847" s="120"/>
      <c r="E847" s="120"/>
      <c r="F847" s="120"/>
      <c r="G847" s="120"/>
      <c r="H847" s="120"/>
      <c r="I847" s="120"/>
      <c r="J847" s="120"/>
      <c r="K847" s="120"/>
      <c r="L847" s="120"/>
      <c r="M847" s="120"/>
      <c r="N847" s="120"/>
      <c r="O847" s="120"/>
      <c r="P847" s="120"/>
      <c r="Q847" s="120"/>
      <c r="R847" s="120"/>
      <c r="S847" s="120"/>
      <c r="T847" s="120"/>
      <c r="U847" s="120"/>
      <c r="V847" s="120"/>
      <c r="W847" s="120"/>
      <c r="X847" s="120"/>
      <c r="Y847" s="120"/>
      <c r="Z847" s="120"/>
      <c r="AA847" s="120"/>
      <c r="AB847" s="120"/>
      <c r="AC847" s="120"/>
      <c r="AD847" s="120"/>
    </row>
    <row r="848">
      <c r="A848" s="120"/>
      <c r="B848" s="120"/>
      <c r="C848" s="120"/>
      <c r="D848" s="120"/>
      <c r="E848" s="120"/>
      <c r="F848" s="120"/>
      <c r="G848" s="120"/>
      <c r="H848" s="120"/>
      <c r="I848" s="120"/>
      <c r="J848" s="120"/>
      <c r="K848" s="120"/>
      <c r="L848" s="120"/>
      <c r="M848" s="120"/>
      <c r="N848" s="120"/>
      <c r="O848" s="120"/>
      <c r="P848" s="120"/>
      <c r="Q848" s="120"/>
      <c r="R848" s="120"/>
      <c r="S848" s="120"/>
      <c r="T848" s="120"/>
      <c r="U848" s="120"/>
      <c r="V848" s="120"/>
      <c r="W848" s="120"/>
      <c r="X848" s="120"/>
      <c r="Y848" s="120"/>
      <c r="Z848" s="120"/>
      <c r="AA848" s="120"/>
      <c r="AB848" s="120"/>
      <c r="AC848" s="120"/>
      <c r="AD848" s="120"/>
    </row>
    <row r="849">
      <c r="A849" s="120"/>
      <c r="B849" s="120"/>
      <c r="C849" s="120"/>
      <c r="D849" s="120"/>
      <c r="E849" s="120"/>
      <c r="F849" s="120"/>
      <c r="G849" s="120"/>
      <c r="H849" s="120"/>
      <c r="I849" s="120"/>
      <c r="J849" s="120"/>
      <c r="K849" s="120"/>
      <c r="L849" s="120"/>
      <c r="M849" s="120"/>
      <c r="N849" s="120"/>
      <c r="O849" s="120"/>
      <c r="P849" s="120"/>
      <c r="Q849" s="120"/>
      <c r="R849" s="120"/>
      <c r="S849" s="120"/>
      <c r="T849" s="120"/>
      <c r="U849" s="120"/>
      <c r="V849" s="120"/>
      <c r="W849" s="120"/>
      <c r="X849" s="120"/>
      <c r="Y849" s="120"/>
      <c r="Z849" s="120"/>
      <c r="AA849" s="120"/>
      <c r="AB849" s="120"/>
      <c r="AC849" s="120"/>
      <c r="AD849" s="120"/>
    </row>
    <row r="850">
      <c r="A850" s="120"/>
      <c r="B850" s="120"/>
      <c r="C850" s="120"/>
      <c r="D850" s="120"/>
      <c r="E850" s="120"/>
      <c r="F850" s="120"/>
      <c r="G850" s="120"/>
      <c r="H850" s="120"/>
      <c r="I850" s="120"/>
      <c r="J850" s="120"/>
      <c r="K850" s="120"/>
      <c r="L850" s="120"/>
      <c r="M850" s="120"/>
      <c r="N850" s="120"/>
      <c r="O850" s="120"/>
      <c r="P850" s="120"/>
      <c r="Q850" s="120"/>
      <c r="R850" s="120"/>
      <c r="S850" s="120"/>
      <c r="T850" s="120"/>
      <c r="U850" s="120"/>
      <c r="V850" s="120"/>
      <c r="W850" s="120"/>
      <c r="X850" s="120"/>
      <c r="Y850" s="120"/>
      <c r="Z850" s="120"/>
      <c r="AA850" s="120"/>
      <c r="AB850" s="120"/>
      <c r="AC850" s="120"/>
      <c r="AD850" s="120"/>
    </row>
    <row r="851">
      <c r="A851" s="120"/>
      <c r="B851" s="120"/>
      <c r="C851" s="120"/>
      <c r="D851" s="120"/>
      <c r="E851" s="120"/>
      <c r="F851" s="120"/>
      <c r="G851" s="120"/>
      <c r="H851" s="120"/>
      <c r="I851" s="120"/>
      <c r="J851" s="120"/>
      <c r="K851" s="120"/>
      <c r="L851" s="120"/>
      <c r="M851" s="120"/>
      <c r="N851" s="120"/>
      <c r="O851" s="120"/>
      <c r="P851" s="120"/>
      <c r="Q851" s="120"/>
      <c r="R851" s="120"/>
      <c r="S851" s="120"/>
      <c r="T851" s="120"/>
      <c r="U851" s="120"/>
      <c r="V851" s="120"/>
      <c r="W851" s="120"/>
      <c r="X851" s="120"/>
      <c r="Y851" s="120"/>
      <c r="Z851" s="120"/>
      <c r="AA851" s="120"/>
      <c r="AB851" s="120"/>
      <c r="AC851" s="120"/>
      <c r="AD851" s="120"/>
    </row>
    <row r="852">
      <c r="A852" s="120"/>
      <c r="B852" s="120"/>
      <c r="C852" s="120"/>
      <c r="D852" s="120"/>
      <c r="E852" s="120"/>
      <c r="F852" s="120"/>
      <c r="G852" s="120"/>
      <c r="H852" s="120"/>
      <c r="I852" s="120"/>
      <c r="J852" s="120"/>
      <c r="K852" s="120"/>
      <c r="L852" s="120"/>
      <c r="M852" s="120"/>
      <c r="N852" s="120"/>
      <c r="O852" s="120"/>
      <c r="P852" s="120"/>
      <c r="Q852" s="120"/>
      <c r="R852" s="120"/>
      <c r="S852" s="120"/>
      <c r="T852" s="120"/>
      <c r="U852" s="120"/>
      <c r="V852" s="120"/>
      <c r="W852" s="120"/>
      <c r="X852" s="120"/>
      <c r="Y852" s="120"/>
      <c r="Z852" s="120"/>
      <c r="AA852" s="120"/>
      <c r="AB852" s="120"/>
      <c r="AC852" s="120"/>
      <c r="AD852" s="120"/>
    </row>
    <row r="853">
      <c r="A853" s="120"/>
      <c r="B853" s="120"/>
      <c r="C853" s="120"/>
      <c r="D853" s="120"/>
      <c r="E853" s="120"/>
      <c r="F853" s="120"/>
      <c r="G853" s="120"/>
      <c r="H853" s="120"/>
      <c r="I853" s="120"/>
      <c r="J853" s="120"/>
      <c r="K853" s="120"/>
      <c r="L853" s="120"/>
      <c r="M853" s="120"/>
      <c r="N853" s="120"/>
      <c r="O853" s="120"/>
      <c r="P853" s="120"/>
      <c r="Q853" s="120"/>
      <c r="R853" s="120"/>
      <c r="S853" s="120"/>
      <c r="T853" s="120"/>
      <c r="U853" s="120"/>
      <c r="V853" s="120"/>
      <c r="W853" s="120"/>
      <c r="X853" s="120"/>
      <c r="Y853" s="120"/>
      <c r="Z853" s="120"/>
      <c r="AA853" s="120"/>
      <c r="AB853" s="120"/>
      <c r="AC853" s="120"/>
      <c r="AD853" s="120"/>
    </row>
    <row r="854">
      <c r="A854" s="120"/>
      <c r="B854" s="120"/>
      <c r="C854" s="120"/>
      <c r="D854" s="120"/>
      <c r="E854" s="120"/>
      <c r="F854" s="120"/>
      <c r="G854" s="120"/>
      <c r="H854" s="120"/>
      <c r="I854" s="120"/>
      <c r="J854" s="120"/>
      <c r="K854" s="120"/>
      <c r="L854" s="120"/>
      <c r="M854" s="120"/>
      <c r="N854" s="120"/>
      <c r="O854" s="120"/>
      <c r="P854" s="120"/>
      <c r="Q854" s="120"/>
      <c r="R854" s="120"/>
      <c r="S854" s="120"/>
      <c r="T854" s="120"/>
      <c r="U854" s="120"/>
      <c r="V854" s="120"/>
      <c r="W854" s="120"/>
      <c r="X854" s="120"/>
      <c r="Y854" s="120"/>
      <c r="Z854" s="120"/>
      <c r="AA854" s="120"/>
      <c r="AB854" s="120"/>
      <c r="AC854" s="120"/>
      <c r="AD854" s="120"/>
    </row>
    <row r="855">
      <c r="A855" s="120"/>
      <c r="B855" s="120"/>
      <c r="C855" s="120"/>
      <c r="D855" s="120"/>
      <c r="E855" s="120"/>
      <c r="F855" s="120"/>
      <c r="G855" s="120"/>
      <c r="H855" s="120"/>
      <c r="I855" s="120"/>
      <c r="J855" s="120"/>
      <c r="K855" s="120"/>
      <c r="L855" s="120"/>
      <c r="M855" s="120"/>
      <c r="N855" s="120"/>
      <c r="O855" s="120"/>
      <c r="P855" s="120"/>
      <c r="Q855" s="120"/>
      <c r="R855" s="120"/>
      <c r="S855" s="120"/>
      <c r="T855" s="120"/>
      <c r="U855" s="120"/>
      <c r="V855" s="120"/>
      <c r="W855" s="120"/>
      <c r="X855" s="120"/>
      <c r="Y855" s="120"/>
      <c r="Z855" s="120"/>
      <c r="AA855" s="120"/>
      <c r="AB855" s="120"/>
      <c r="AC855" s="120"/>
      <c r="AD855" s="120"/>
    </row>
    <row r="856">
      <c r="A856" s="120"/>
      <c r="B856" s="120"/>
      <c r="C856" s="120"/>
      <c r="D856" s="120"/>
      <c r="E856" s="120"/>
      <c r="F856" s="120"/>
      <c r="G856" s="120"/>
      <c r="H856" s="120"/>
      <c r="I856" s="120"/>
      <c r="J856" s="120"/>
      <c r="K856" s="120"/>
      <c r="L856" s="120"/>
      <c r="M856" s="120"/>
      <c r="N856" s="120"/>
      <c r="O856" s="120"/>
      <c r="P856" s="120"/>
      <c r="Q856" s="120"/>
      <c r="R856" s="120"/>
      <c r="S856" s="120"/>
      <c r="T856" s="120"/>
      <c r="U856" s="120"/>
      <c r="V856" s="120"/>
      <c r="W856" s="120"/>
      <c r="X856" s="120"/>
      <c r="Y856" s="120"/>
      <c r="Z856" s="120"/>
      <c r="AA856" s="120"/>
      <c r="AB856" s="120"/>
      <c r="AC856" s="120"/>
      <c r="AD856" s="120"/>
    </row>
    <row r="857">
      <c r="A857" s="120"/>
      <c r="B857" s="120"/>
      <c r="C857" s="120"/>
      <c r="D857" s="120"/>
      <c r="E857" s="120"/>
      <c r="F857" s="120"/>
      <c r="G857" s="120"/>
      <c r="H857" s="120"/>
      <c r="I857" s="120"/>
      <c r="J857" s="120"/>
      <c r="K857" s="120"/>
      <c r="L857" s="120"/>
      <c r="M857" s="120"/>
      <c r="N857" s="120"/>
      <c r="O857" s="120"/>
      <c r="P857" s="120"/>
      <c r="Q857" s="120"/>
      <c r="R857" s="120"/>
      <c r="S857" s="120"/>
      <c r="T857" s="120"/>
      <c r="U857" s="120"/>
      <c r="V857" s="120"/>
      <c r="W857" s="120"/>
      <c r="X857" s="120"/>
      <c r="Y857" s="120"/>
      <c r="Z857" s="120"/>
      <c r="AA857" s="120"/>
      <c r="AB857" s="120"/>
      <c r="AC857" s="120"/>
      <c r="AD857" s="120"/>
    </row>
    <row r="858">
      <c r="A858" s="120"/>
      <c r="B858" s="120"/>
      <c r="C858" s="120"/>
      <c r="D858" s="120"/>
      <c r="E858" s="120"/>
      <c r="F858" s="120"/>
      <c r="G858" s="120"/>
      <c r="H858" s="120"/>
      <c r="I858" s="120"/>
      <c r="J858" s="120"/>
      <c r="K858" s="120"/>
      <c r="L858" s="120"/>
      <c r="M858" s="120"/>
      <c r="N858" s="120"/>
      <c r="O858" s="120"/>
      <c r="P858" s="120"/>
      <c r="Q858" s="120"/>
      <c r="R858" s="120"/>
      <c r="S858" s="120"/>
      <c r="T858" s="120"/>
      <c r="U858" s="120"/>
      <c r="V858" s="120"/>
      <c r="W858" s="120"/>
      <c r="X858" s="120"/>
      <c r="Y858" s="120"/>
      <c r="Z858" s="120"/>
      <c r="AA858" s="120"/>
      <c r="AB858" s="120"/>
      <c r="AC858" s="120"/>
      <c r="AD858" s="120"/>
    </row>
    <row r="859">
      <c r="A859" s="120"/>
      <c r="B859" s="120"/>
      <c r="C859" s="120"/>
      <c r="D859" s="120"/>
      <c r="E859" s="120"/>
      <c r="F859" s="120"/>
      <c r="G859" s="120"/>
      <c r="H859" s="120"/>
      <c r="I859" s="120"/>
      <c r="J859" s="120"/>
      <c r="K859" s="120"/>
      <c r="L859" s="120"/>
      <c r="M859" s="120"/>
      <c r="N859" s="120"/>
      <c r="O859" s="120"/>
      <c r="P859" s="120"/>
      <c r="Q859" s="120"/>
      <c r="R859" s="120"/>
      <c r="S859" s="120"/>
      <c r="T859" s="120"/>
      <c r="U859" s="120"/>
      <c r="V859" s="120"/>
      <c r="W859" s="120"/>
      <c r="X859" s="120"/>
      <c r="Y859" s="120"/>
      <c r="Z859" s="120"/>
      <c r="AA859" s="120"/>
      <c r="AB859" s="120"/>
      <c r="AC859" s="120"/>
      <c r="AD859" s="120"/>
    </row>
    <row r="860">
      <c r="A860" s="120"/>
      <c r="B860" s="120"/>
      <c r="C860" s="120"/>
      <c r="D860" s="120"/>
      <c r="E860" s="120"/>
      <c r="F860" s="120"/>
      <c r="G860" s="120"/>
      <c r="H860" s="120"/>
      <c r="I860" s="120"/>
      <c r="J860" s="120"/>
      <c r="K860" s="120"/>
      <c r="L860" s="120"/>
      <c r="M860" s="120"/>
      <c r="N860" s="120"/>
      <c r="O860" s="120"/>
      <c r="P860" s="120"/>
      <c r="Q860" s="120"/>
      <c r="R860" s="120"/>
      <c r="S860" s="120"/>
      <c r="T860" s="120"/>
      <c r="U860" s="120"/>
      <c r="V860" s="120"/>
      <c r="W860" s="120"/>
      <c r="X860" s="120"/>
      <c r="Y860" s="120"/>
      <c r="Z860" s="120"/>
      <c r="AA860" s="120"/>
      <c r="AB860" s="120"/>
      <c r="AC860" s="120"/>
      <c r="AD860" s="120"/>
    </row>
    <row r="861">
      <c r="A861" s="120"/>
      <c r="B861" s="120"/>
      <c r="C861" s="120"/>
      <c r="D861" s="120"/>
      <c r="E861" s="120"/>
      <c r="F861" s="120"/>
      <c r="G861" s="120"/>
      <c r="H861" s="120"/>
      <c r="I861" s="120"/>
      <c r="J861" s="120"/>
      <c r="K861" s="120"/>
      <c r="L861" s="120"/>
      <c r="M861" s="120"/>
      <c r="N861" s="120"/>
      <c r="O861" s="120"/>
      <c r="P861" s="120"/>
      <c r="Q861" s="120"/>
      <c r="R861" s="120"/>
      <c r="S861" s="120"/>
      <c r="T861" s="120"/>
      <c r="U861" s="120"/>
      <c r="V861" s="120"/>
      <c r="W861" s="120"/>
      <c r="X861" s="120"/>
      <c r="Y861" s="120"/>
      <c r="Z861" s="120"/>
      <c r="AA861" s="120"/>
      <c r="AB861" s="120"/>
      <c r="AC861" s="120"/>
      <c r="AD861" s="120"/>
    </row>
    <row r="862">
      <c r="A862" s="120"/>
      <c r="B862" s="120"/>
      <c r="C862" s="120"/>
      <c r="D862" s="120"/>
      <c r="E862" s="120"/>
      <c r="F862" s="120"/>
      <c r="G862" s="120"/>
      <c r="H862" s="120"/>
      <c r="I862" s="120"/>
      <c r="J862" s="120"/>
      <c r="K862" s="120"/>
      <c r="L862" s="120"/>
      <c r="M862" s="120"/>
      <c r="N862" s="120"/>
      <c r="O862" s="120"/>
      <c r="P862" s="120"/>
      <c r="Q862" s="120"/>
      <c r="R862" s="120"/>
      <c r="S862" s="120"/>
      <c r="T862" s="120"/>
      <c r="U862" s="120"/>
      <c r="V862" s="120"/>
      <c r="W862" s="120"/>
      <c r="X862" s="120"/>
      <c r="Y862" s="120"/>
      <c r="Z862" s="120"/>
      <c r="AA862" s="120"/>
      <c r="AB862" s="120"/>
      <c r="AC862" s="120"/>
      <c r="AD862" s="120"/>
    </row>
    <row r="863">
      <c r="A863" s="120"/>
      <c r="B863" s="120"/>
      <c r="C863" s="120"/>
      <c r="D863" s="120"/>
      <c r="E863" s="120"/>
      <c r="F863" s="120"/>
      <c r="G863" s="120"/>
      <c r="H863" s="120"/>
      <c r="I863" s="120"/>
      <c r="J863" s="120"/>
      <c r="K863" s="120"/>
      <c r="L863" s="120"/>
      <c r="M863" s="120"/>
      <c r="N863" s="120"/>
      <c r="O863" s="120"/>
      <c r="P863" s="120"/>
      <c r="Q863" s="120"/>
      <c r="R863" s="120"/>
      <c r="S863" s="120"/>
      <c r="T863" s="120"/>
      <c r="U863" s="120"/>
      <c r="V863" s="120"/>
      <c r="W863" s="120"/>
      <c r="X863" s="120"/>
      <c r="Y863" s="120"/>
      <c r="Z863" s="120"/>
      <c r="AA863" s="120"/>
      <c r="AB863" s="120"/>
      <c r="AC863" s="120"/>
      <c r="AD863" s="120"/>
    </row>
    <row r="864">
      <c r="A864" s="120"/>
      <c r="B864" s="120"/>
      <c r="C864" s="120"/>
      <c r="D864" s="120"/>
      <c r="E864" s="120"/>
      <c r="F864" s="120"/>
      <c r="G864" s="120"/>
      <c r="H864" s="120"/>
      <c r="I864" s="120"/>
      <c r="J864" s="120"/>
      <c r="K864" s="120"/>
      <c r="L864" s="120"/>
      <c r="M864" s="120"/>
      <c r="N864" s="120"/>
      <c r="O864" s="120"/>
      <c r="P864" s="120"/>
      <c r="Q864" s="120"/>
      <c r="R864" s="120"/>
      <c r="S864" s="120"/>
      <c r="T864" s="120"/>
      <c r="U864" s="120"/>
      <c r="V864" s="120"/>
      <c r="W864" s="120"/>
      <c r="X864" s="120"/>
      <c r="Y864" s="120"/>
      <c r="Z864" s="120"/>
      <c r="AA864" s="120"/>
      <c r="AB864" s="120"/>
      <c r="AC864" s="120"/>
      <c r="AD864" s="120"/>
    </row>
    <row r="865">
      <c r="A865" s="120"/>
      <c r="B865" s="120"/>
      <c r="C865" s="120"/>
      <c r="D865" s="120"/>
      <c r="E865" s="120"/>
      <c r="F865" s="120"/>
      <c r="G865" s="120"/>
      <c r="H865" s="120"/>
      <c r="I865" s="120"/>
      <c r="J865" s="120"/>
      <c r="K865" s="120"/>
      <c r="L865" s="120"/>
      <c r="M865" s="120"/>
      <c r="N865" s="120"/>
      <c r="O865" s="120"/>
      <c r="P865" s="120"/>
      <c r="Q865" s="120"/>
      <c r="R865" s="120"/>
      <c r="S865" s="120"/>
      <c r="T865" s="120"/>
      <c r="U865" s="120"/>
      <c r="V865" s="120"/>
      <c r="W865" s="120"/>
      <c r="X865" s="120"/>
      <c r="Y865" s="120"/>
      <c r="Z865" s="120"/>
      <c r="AA865" s="120"/>
      <c r="AB865" s="120"/>
      <c r="AC865" s="120"/>
      <c r="AD865" s="120"/>
    </row>
    <row r="866">
      <c r="A866" s="120"/>
      <c r="B866" s="120"/>
      <c r="C866" s="120"/>
      <c r="D866" s="120"/>
      <c r="E866" s="120"/>
      <c r="F866" s="120"/>
      <c r="G866" s="120"/>
      <c r="H866" s="120"/>
      <c r="I866" s="120"/>
      <c r="J866" s="120"/>
      <c r="K866" s="120"/>
      <c r="L866" s="120"/>
      <c r="M866" s="120"/>
      <c r="N866" s="120"/>
      <c r="O866" s="120"/>
      <c r="P866" s="120"/>
      <c r="Q866" s="120"/>
      <c r="R866" s="120"/>
      <c r="S866" s="120"/>
      <c r="T866" s="120"/>
      <c r="U866" s="120"/>
      <c r="V866" s="120"/>
      <c r="W866" s="120"/>
      <c r="X866" s="120"/>
      <c r="Y866" s="120"/>
      <c r="Z866" s="120"/>
      <c r="AA866" s="120"/>
      <c r="AB866" s="120"/>
      <c r="AC866" s="120"/>
      <c r="AD866" s="120"/>
    </row>
    <row r="867">
      <c r="A867" s="120"/>
      <c r="B867" s="120"/>
      <c r="C867" s="120"/>
      <c r="D867" s="120"/>
      <c r="E867" s="120"/>
      <c r="F867" s="120"/>
      <c r="G867" s="120"/>
      <c r="H867" s="120"/>
      <c r="I867" s="120"/>
      <c r="J867" s="120"/>
      <c r="K867" s="120"/>
      <c r="L867" s="120"/>
      <c r="M867" s="120"/>
      <c r="N867" s="120"/>
      <c r="O867" s="120"/>
      <c r="P867" s="120"/>
      <c r="Q867" s="120"/>
      <c r="R867" s="120"/>
      <c r="S867" s="120"/>
      <c r="T867" s="120"/>
      <c r="U867" s="120"/>
      <c r="V867" s="120"/>
      <c r="W867" s="120"/>
      <c r="X867" s="120"/>
      <c r="Y867" s="120"/>
      <c r="Z867" s="120"/>
      <c r="AA867" s="120"/>
      <c r="AB867" s="120"/>
      <c r="AC867" s="120"/>
      <c r="AD867" s="120"/>
    </row>
    <row r="868">
      <c r="A868" s="120"/>
      <c r="B868" s="120"/>
      <c r="C868" s="120"/>
      <c r="D868" s="120"/>
      <c r="E868" s="120"/>
      <c r="F868" s="120"/>
      <c r="G868" s="120"/>
      <c r="H868" s="120"/>
      <c r="I868" s="120"/>
      <c r="J868" s="120"/>
      <c r="K868" s="120"/>
      <c r="L868" s="120"/>
      <c r="M868" s="120"/>
      <c r="N868" s="120"/>
      <c r="O868" s="120"/>
      <c r="P868" s="120"/>
      <c r="Q868" s="120"/>
      <c r="R868" s="120"/>
      <c r="S868" s="120"/>
      <c r="T868" s="120"/>
      <c r="U868" s="120"/>
      <c r="V868" s="120"/>
      <c r="W868" s="120"/>
      <c r="X868" s="120"/>
      <c r="Y868" s="120"/>
      <c r="Z868" s="120"/>
      <c r="AA868" s="120"/>
      <c r="AB868" s="120"/>
      <c r="AC868" s="120"/>
      <c r="AD868" s="120"/>
    </row>
    <row r="869">
      <c r="A869" s="120"/>
      <c r="B869" s="120"/>
      <c r="C869" s="120"/>
      <c r="D869" s="120"/>
      <c r="E869" s="120"/>
      <c r="F869" s="120"/>
      <c r="G869" s="120"/>
      <c r="H869" s="120"/>
      <c r="I869" s="120"/>
      <c r="J869" s="120"/>
      <c r="K869" s="120"/>
      <c r="L869" s="120"/>
      <c r="M869" s="120"/>
      <c r="N869" s="120"/>
      <c r="O869" s="120"/>
      <c r="P869" s="120"/>
      <c r="Q869" s="120"/>
      <c r="R869" s="120"/>
      <c r="S869" s="120"/>
      <c r="T869" s="120"/>
      <c r="U869" s="120"/>
      <c r="V869" s="120"/>
      <c r="W869" s="120"/>
      <c r="X869" s="120"/>
      <c r="Y869" s="120"/>
      <c r="Z869" s="120"/>
      <c r="AA869" s="120"/>
      <c r="AB869" s="120"/>
      <c r="AC869" s="120"/>
      <c r="AD869" s="120"/>
    </row>
    <row r="870">
      <c r="A870" s="120"/>
      <c r="B870" s="120"/>
      <c r="C870" s="120"/>
      <c r="D870" s="120"/>
      <c r="E870" s="120"/>
      <c r="F870" s="120"/>
      <c r="G870" s="120"/>
      <c r="H870" s="120"/>
      <c r="I870" s="120"/>
      <c r="J870" s="120"/>
      <c r="K870" s="120"/>
      <c r="L870" s="120"/>
      <c r="M870" s="120"/>
      <c r="N870" s="120"/>
      <c r="O870" s="120"/>
      <c r="P870" s="120"/>
      <c r="Q870" s="120"/>
      <c r="R870" s="120"/>
      <c r="S870" s="120"/>
      <c r="T870" s="120"/>
      <c r="U870" s="120"/>
      <c r="V870" s="120"/>
      <c r="W870" s="120"/>
      <c r="X870" s="120"/>
      <c r="Y870" s="120"/>
      <c r="Z870" s="120"/>
      <c r="AA870" s="120"/>
      <c r="AB870" s="120"/>
      <c r="AC870" s="120"/>
      <c r="AD870" s="120"/>
    </row>
    <row r="871">
      <c r="A871" s="120"/>
      <c r="B871" s="120"/>
      <c r="C871" s="120"/>
      <c r="D871" s="120"/>
      <c r="E871" s="120"/>
      <c r="F871" s="120"/>
      <c r="G871" s="120"/>
      <c r="H871" s="120"/>
      <c r="I871" s="120"/>
      <c r="J871" s="120"/>
      <c r="K871" s="120"/>
      <c r="L871" s="120"/>
      <c r="M871" s="120"/>
      <c r="N871" s="120"/>
      <c r="O871" s="120"/>
      <c r="P871" s="120"/>
      <c r="Q871" s="120"/>
      <c r="R871" s="120"/>
      <c r="S871" s="120"/>
      <c r="T871" s="120"/>
      <c r="U871" s="120"/>
      <c r="V871" s="120"/>
      <c r="W871" s="120"/>
      <c r="X871" s="120"/>
      <c r="Y871" s="120"/>
      <c r="Z871" s="120"/>
      <c r="AA871" s="120"/>
      <c r="AB871" s="120"/>
      <c r="AC871" s="120"/>
      <c r="AD871" s="120"/>
    </row>
    <row r="872">
      <c r="A872" s="120"/>
      <c r="B872" s="120"/>
      <c r="C872" s="120"/>
      <c r="D872" s="120"/>
      <c r="E872" s="120"/>
      <c r="F872" s="120"/>
      <c r="G872" s="120"/>
      <c r="H872" s="120"/>
      <c r="I872" s="120"/>
      <c r="J872" s="120"/>
      <c r="K872" s="120"/>
      <c r="L872" s="120"/>
      <c r="M872" s="120"/>
      <c r="N872" s="120"/>
      <c r="O872" s="120"/>
      <c r="P872" s="120"/>
      <c r="Q872" s="120"/>
      <c r="R872" s="120"/>
      <c r="S872" s="120"/>
      <c r="T872" s="120"/>
      <c r="U872" s="120"/>
      <c r="V872" s="120"/>
      <c r="W872" s="120"/>
      <c r="X872" s="120"/>
      <c r="Y872" s="120"/>
      <c r="Z872" s="120"/>
      <c r="AA872" s="120"/>
      <c r="AB872" s="120"/>
      <c r="AC872" s="120"/>
      <c r="AD872" s="120"/>
    </row>
    <row r="873">
      <c r="A873" s="120"/>
      <c r="B873" s="120"/>
      <c r="C873" s="120"/>
      <c r="D873" s="120"/>
      <c r="E873" s="120"/>
      <c r="F873" s="120"/>
      <c r="G873" s="120"/>
      <c r="H873" s="120"/>
      <c r="I873" s="120"/>
      <c r="J873" s="120"/>
      <c r="K873" s="120"/>
      <c r="L873" s="120"/>
      <c r="M873" s="120"/>
      <c r="N873" s="120"/>
      <c r="O873" s="120"/>
      <c r="P873" s="120"/>
      <c r="Q873" s="120"/>
      <c r="R873" s="120"/>
      <c r="S873" s="120"/>
      <c r="T873" s="120"/>
      <c r="U873" s="120"/>
      <c r="V873" s="120"/>
      <c r="W873" s="120"/>
      <c r="X873" s="120"/>
      <c r="Y873" s="120"/>
      <c r="Z873" s="120"/>
      <c r="AA873" s="120"/>
      <c r="AB873" s="120"/>
      <c r="AC873" s="120"/>
      <c r="AD873" s="120"/>
    </row>
    <row r="874">
      <c r="A874" s="120"/>
      <c r="B874" s="120"/>
      <c r="C874" s="120"/>
      <c r="D874" s="120"/>
      <c r="E874" s="120"/>
      <c r="F874" s="120"/>
      <c r="G874" s="120"/>
      <c r="H874" s="120"/>
      <c r="I874" s="120"/>
      <c r="J874" s="120"/>
      <c r="K874" s="120"/>
      <c r="L874" s="120"/>
      <c r="M874" s="120"/>
      <c r="N874" s="120"/>
      <c r="O874" s="120"/>
      <c r="P874" s="120"/>
      <c r="Q874" s="120"/>
      <c r="R874" s="120"/>
      <c r="S874" s="120"/>
      <c r="T874" s="120"/>
      <c r="U874" s="120"/>
      <c r="V874" s="120"/>
      <c r="W874" s="120"/>
      <c r="X874" s="120"/>
      <c r="Y874" s="120"/>
      <c r="Z874" s="120"/>
      <c r="AA874" s="120"/>
      <c r="AB874" s="120"/>
      <c r="AC874" s="120"/>
      <c r="AD874" s="120"/>
    </row>
    <row r="875">
      <c r="A875" s="120"/>
      <c r="B875" s="120"/>
      <c r="C875" s="120"/>
      <c r="D875" s="120"/>
      <c r="E875" s="120"/>
      <c r="F875" s="120"/>
      <c r="G875" s="120"/>
      <c r="H875" s="120"/>
      <c r="I875" s="120"/>
      <c r="J875" s="120"/>
      <c r="K875" s="120"/>
      <c r="L875" s="120"/>
      <c r="M875" s="120"/>
      <c r="N875" s="120"/>
      <c r="O875" s="120"/>
      <c r="P875" s="120"/>
      <c r="Q875" s="120"/>
      <c r="R875" s="120"/>
      <c r="S875" s="120"/>
      <c r="T875" s="120"/>
      <c r="U875" s="120"/>
      <c r="V875" s="120"/>
      <c r="W875" s="120"/>
      <c r="X875" s="120"/>
      <c r="Y875" s="120"/>
      <c r="Z875" s="120"/>
      <c r="AA875" s="120"/>
      <c r="AB875" s="120"/>
      <c r="AC875" s="120"/>
      <c r="AD875" s="120"/>
    </row>
    <row r="876">
      <c r="A876" s="120"/>
      <c r="B876" s="120"/>
      <c r="C876" s="120"/>
      <c r="D876" s="120"/>
      <c r="E876" s="120"/>
      <c r="F876" s="120"/>
      <c r="G876" s="120"/>
      <c r="H876" s="120"/>
      <c r="I876" s="120"/>
      <c r="J876" s="120"/>
      <c r="K876" s="120"/>
      <c r="L876" s="120"/>
      <c r="M876" s="120"/>
      <c r="N876" s="120"/>
      <c r="O876" s="120"/>
      <c r="P876" s="120"/>
      <c r="Q876" s="120"/>
      <c r="R876" s="120"/>
      <c r="S876" s="120"/>
      <c r="T876" s="120"/>
      <c r="U876" s="120"/>
      <c r="V876" s="120"/>
      <c r="W876" s="120"/>
      <c r="X876" s="120"/>
      <c r="Y876" s="120"/>
      <c r="Z876" s="120"/>
      <c r="AA876" s="120"/>
      <c r="AB876" s="120"/>
      <c r="AC876" s="120"/>
      <c r="AD876" s="120"/>
    </row>
    <row r="877">
      <c r="A877" s="120"/>
      <c r="B877" s="120"/>
      <c r="C877" s="120"/>
      <c r="D877" s="120"/>
      <c r="E877" s="120"/>
      <c r="F877" s="120"/>
      <c r="G877" s="120"/>
      <c r="H877" s="120"/>
      <c r="I877" s="120"/>
      <c r="J877" s="120"/>
      <c r="K877" s="120"/>
      <c r="L877" s="120"/>
      <c r="M877" s="120"/>
      <c r="N877" s="120"/>
      <c r="O877" s="120"/>
      <c r="P877" s="120"/>
      <c r="Q877" s="120"/>
      <c r="R877" s="120"/>
      <c r="S877" s="120"/>
      <c r="T877" s="120"/>
      <c r="U877" s="120"/>
      <c r="V877" s="120"/>
      <c r="W877" s="120"/>
      <c r="X877" s="120"/>
      <c r="Y877" s="120"/>
      <c r="Z877" s="120"/>
      <c r="AA877" s="120"/>
      <c r="AB877" s="120"/>
      <c r="AC877" s="120"/>
      <c r="AD877" s="120"/>
    </row>
    <row r="878">
      <c r="A878" s="120"/>
      <c r="B878" s="120"/>
      <c r="C878" s="120"/>
      <c r="D878" s="120"/>
      <c r="E878" s="120"/>
      <c r="F878" s="120"/>
      <c r="G878" s="120"/>
      <c r="H878" s="120"/>
      <c r="I878" s="120"/>
      <c r="J878" s="120"/>
      <c r="K878" s="120"/>
      <c r="L878" s="120"/>
      <c r="M878" s="120"/>
      <c r="N878" s="120"/>
      <c r="O878" s="120"/>
      <c r="P878" s="120"/>
      <c r="Q878" s="120"/>
      <c r="R878" s="120"/>
      <c r="S878" s="120"/>
      <c r="T878" s="120"/>
      <c r="U878" s="120"/>
      <c r="V878" s="120"/>
      <c r="W878" s="120"/>
      <c r="X878" s="120"/>
      <c r="Y878" s="120"/>
      <c r="Z878" s="120"/>
      <c r="AA878" s="120"/>
      <c r="AB878" s="120"/>
      <c r="AC878" s="120"/>
      <c r="AD878" s="120"/>
    </row>
    <row r="879">
      <c r="A879" s="120"/>
      <c r="B879" s="120"/>
      <c r="C879" s="120"/>
      <c r="D879" s="120"/>
      <c r="E879" s="120"/>
      <c r="F879" s="120"/>
      <c r="G879" s="120"/>
      <c r="H879" s="120"/>
      <c r="I879" s="120"/>
      <c r="J879" s="120"/>
      <c r="K879" s="120"/>
      <c r="L879" s="120"/>
      <c r="M879" s="120"/>
      <c r="N879" s="120"/>
      <c r="O879" s="120"/>
      <c r="P879" s="120"/>
      <c r="Q879" s="120"/>
      <c r="R879" s="120"/>
      <c r="S879" s="120"/>
      <c r="T879" s="120"/>
      <c r="U879" s="120"/>
      <c r="V879" s="120"/>
      <c r="W879" s="120"/>
      <c r="X879" s="120"/>
      <c r="Y879" s="120"/>
      <c r="Z879" s="120"/>
      <c r="AA879" s="120"/>
      <c r="AB879" s="120"/>
      <c r="AC879" s="120"/>
      <c r="AD879" s="120"/>
    </row>
    <row r="880">
      <c r="A880" s="120"/>
      <c r="B880" s="120"/>
      <c r="C880" s="120"/>
      <c r="D880" s="120"/>
      <c r="E880" s="120"/>
      <c r="F880" s="120"/>
      <c r="G880" s="120"/>
      <c r="H880" s="120"/>
      <c r="I880" s="120"/>
      <c r="J880" s="120"/>
      <c r="K880" s="120"/>
      <c r="L880" s="120"/>
      <c r="M880" s="120"/>
      <c r="N880" s="120"/>
      <c r="O880" s="120"/>
      <c r="P880" s="120"/>
      <c r="Q880" s="120"/>
      <c r="R880" s="120"/>
      <c r="S880" s="120"/>
      <c r="T880" s="120"/>
      <c r="U880" s="120"/>
      <c r="V880" s="120"/>
      <c r="W880" s="120"/>
      <c r="X880" s="120"/>
      <c r="Y880" s="120"/>
      <c r="Z880" s="120"/>
      <c r="AA880" s="120"/>
      <c r="AB880" s="120"/>
      <c r="AC880" s="120"/>
      <c r="AD880" s="120"/>
    </row>
    <row r="881">
      <c r="A881" s="120"/>
      <c r="B881" s="120"/>
      <c r="C881" s="120"/>
      <c r="D881" s="120"/>
      <c r="E881" s="120"/>
      <c r="F881" s="120"/>
      <c r="G881" s="120"/>
      <c r="H881" s="120"/>
      <c r="I881" s="120"/>
      <c r="J881" s="120"/>
      <c r="K881" s="120"/>
      <c r="L881" s="120"/>
      <c r="M881" s="120"/>
      <c r="N881" s="120"/>
      <c r="O881" s="120"/>
      <c r="P881" s="120"/>
      <c r="Q881" s="120"/>
      <c r="R881" s="120"/>
      <c r="S881" s="120"/>
      <c r="T881" s="120"/>
      <c r="U881" s="120"/>
      <c r="V881" s="120"/>
      <c r="W881" s="120"/>
      <c r="X881" s="120"/>
      <c r="Y881" s="120"/>
      <c r="Z881" s="120"/>
      <c r="AA881" s="120"/>
      <c r="AB881" s="120"/>
      <c r="AC881" s="120"/>
      <c r="AD881" s="120"/>
    </row>
    <row r="882">
      <c r="A882" s="120"/>
      <c r="B882" s="120"/>
      <c r="C882" s="120"/>
      <c r="D882" s="120"/>
      <c r="E882" s="120"/>
      <c r="F882" s="120"/>
      <c r="G882" s="120"/>
      <c r="H882" s="120"/>
      <c r="I882" s="120"/>
      <c r="J882" s="120"/>
      <c r="K882" s="120"/>
      <c r="L882" s="120"/>
      <c r="M882" s="120"/>
      <c r="N882" s="120"/>
      <c r="O882" s="120"/>
      <c r="P882" s="120"/>
      <c r="Q882" s="120"/>
      <c r="R882" s="120"/>
      <c r="S882" s="120"/>
      <c r="T882" s="120"/>
      <c r="U882" s="120"/>
      <c r="V882" s="120"/>
      <c r="W882" s="120"/>
      <c r="X882" s="120"/>
      <c r="Y882" s="120"/>
      <c r="Z882" s="120"/>
      <c r="AA882" s="120"/>
      <c r="AB882" s="120"/>
      <c r="AC882" s="120"/>
      <c r="AD882" s="120"/>
    </row>
    <row r="883">
      <c r="A883" s="120"/>
      <c r="B883" s="120"/>
      <c r="C883" s="120"/>
      <c r="D883" s="120"/>
      <c r="E883" s="120"/>
      <c r="F883" s="120"/>
      <c r="G883" s="120"/>
      <c r="H883" s="120"/>
      <c r="I883" s="120"/>
      <c r="J883" s="120"/>
      <c r="K883" s="120"/>
      <c r="L883" s="120"/>
      <c r="M883" s="120"/>
      <c r="N883" s="120"/>
      <c r="O883" s="120"/>
      <c r="P883" s="120"/>
      <c r="Q883" s="120"/>
      <c r="R883" s="120"/>
      <c r="S883" s="120"/>
      <c r="T883" s="120"/>
      <c r="U883" s="120"/>
      <c r="V883" s="120"/>
      <c r="W883" s="120"/>
      <c r="X883" s="120"/>
      <c r="Y883" s="120"/>
      <c r="Z883" s="120"/>
      <c r="AA883" s="120"/>
      <c r="AB883" s="120"/>
      <c r="AC883" s="120"/>
      <c r="AD883" s="120"/>
    </row>
    <row r="884">
      <c r="A884" s="120"/>
      <c r="B884" s="120"/>
      <c r="C884" s="120"/>
      <c r="D884" s="120"/>
      <c r="E884" s="120"/>
      <c r="F884" s="120"/>
      <c r="G884" s="120"/>
      <c r="H884" s="120"/>
      <c r="I884" s="120"/>
      <c r="J884" s="120"/>
      <c r="K884" s="120"/>
      <c r="L884" s="120"/>
      <c r="M884" s="120"/>
      <c r="N884" s="120"/>
      <c r="O884" s="120"/>
      <c r="P884" s="120"/>
      <c r="Q884" s="120"/>
      <c r="R884" s="120"/>
      <c r="S884" s="120"/>
      <c r="T884" s="120"/>
      <c r="U884" s="120"/>
      <c r="V884" s="120"/>
      <c r="W884" s="120"/>
      <c r="X884" s="120"/>
      <c r="Y884" s="120"/>
      <c r="Z884" s="120"/>
      <c r="AA884" s="120"/>
      <c r="AB884" s="120"/>
      <c r="AC884" s="120"/>
      <c r="AD884" s="120"/>
    </row>
    <row r="885">
      <c r="A885" s="120"/>
      <c r="B885" s="120"/>
      <c r="C885" s="120"/>
      <c r="D885" s="120"/>
      <c r="E885" s="120"/>
      <c r="F885" s="120"/>
      <c r="G885" s="120"/>
      <c r="H885" s="120"/>
      <c r="I885" s="120"/>
      <c r="J885" s="120"/>
      <c r="K885" s="120"/>
      <c r="L885" s="120"/>
      <c r="M885" s="120"/>
      <c r="N885" s="120"/>
      <c r="O885" s="120"/>
      <c r="P885" s="120"/>
      <c r="Q885" s="120"/>
      <c r="R885" s="120"/>
      <c r="S885" s="120"/>
      <c r="T885" s="120"/>
      <c r="U885" s="120"/>
      <c r="V885" s="120"/>
      <c r="W885" s="120"/>
      <c r="X885" s="120"/>
      <c r="Y885" s="120"/>
      <c r="Z885" s="120"/>
      <c r="AA885" s="120"/>
      <c r="AB885" s="120"/>
      <c r="AC885" s="120"/>
      <c r="AD885" s="120"/>
    </row>
    <row r="886">
      <c r="A886" s="120"/>
      <c r="B886" s="120"/>
      <c r="C886" s="120"/>
      <c r="D886" s="120"/>
      <c r="E886" s="120"/>
      <c r="F886" s="120"/>
      <c r="G886" s="120"/>
      <c r="H886" s="120"/>
      <c r="I886" s="120"/>
      <c r="J886" s="120"/>
      <c r="K886" s="120"/>
      <c r="L886" s="120"/>
      <c r="M886" s="120"/>
      <c r="N886" s="120"/>
      <c r="O886" s="120"/>
      <c r="P886" s="120"/>
      <c r="Q886" s="120"/>
      <c r="R886" s="120"/>
      <c r="S886" s="120"/>
      <c r="T886" s="120"/>
      <c r="U886" s="120"/>
      <c r="V886" s="120"/>
      <c r="W886" s="120"/>
      <c r="X886" s="120"/>
      <c r="Y886" s="120"/>
      <c r="Z886" s="120"/>
      <c r="AA886" s="120"/>
      <c r="AB886" s="120"/>
      <c r="AC886" s="120"/>
      <c r="AD886" s="120"/>
    </row>
    <row r="887">
      <c r="A887" s="120"/>
      <c r="B887" s="120"/>
      <c r="C887" s="120"/>
      <c r="D887" s="120"/>
      <c r="E887" s="120"/>
      <c r="F887" s="120"/>
      <c r="G887" s="120"/>
      <c r="H887" s="120"/>
      <c r="I887" s="120"/>
      <c r="J887" s="120"/>
      <c r="K887" s="120"/>
      <c r="L887" s="120"/>
      <c r="M887" s="120"/>
      <c r="N887" s="120"/>
      <c r="O887" s="120"/>
      <c r="P887" s="120"/>
      <c r="Q887" s="120"/>
      <c r="R887" s="120"/>
      <c r="S887" s="120"/>
      <c r="T887" s="120"/>
      <c r="U887" s="120"/>
      <c r="V887" s="120"/>
      <c r="W887" s="120"/>
      <c r="X887" s="120"/>
      <c r="Y887" s="120"/>
      <c r="Z887" s="120"/>
      <c r="AA887" s="120"/>
      <c r="AB887" s="120"/>
      <c r="AC887" s="120"/>
      <c r="AD887" s="120"/>
    </row>
    <row r="888">
      <c r="A888" s="120"/>
      <c r="B888" s="120"/>
      <c r="C888" s="120"/>
      <c r="D888" s="120"/>
      <c r="E888" s="120"/>
      <c r="F888" s="120"/>
      <c r="G888" s="120"/>
      <c r="H888" s="120"/>
      <c r="I888" s="120"/>
      <c r="J888" s="120"/>
      <c r="K888" s="120"/>
      <c r="L888" s="120"/>
      <c r="M888" s="120"/>
      <c r="N888" s="120"/>
      <c r="O888" s="120"/>
      <c r="P888" s="120"/>
      <c r="Q888" s="120"/>
      <c r="R888" s="120"/>
      <c r="S888" s="120"/>
      <c r="T888" s="120"/>
      <c r="U888" s="120"/>
      <c r="V888" s="120"/>
      <c r="W888" s="120"/>
      <c r="X888" s="120"/>
      <c r="Y888" s="120"/>
      <c r="Z888" s="120"/>
      <c r="AA888" s="120"/>
      <c r="AB888" s="120"/>
      <c r="AC888" s="120"/>
      <c r="AD888" s="120"/>
    </row>
    <row r="889">
      <c r="A889" s="120"/>
      <c r="B889" s="120"/>
      <c r="C889" s="120"/>
      <c r="D889" s="120"/>
      <c r="E889" s="120"/>
      <c r="F889" s="120"/>
      <c r="G889" s="120"/>
      <c r="H889" s="120"/>
      <c r="I889" s="120"/>
      <c r="J889" s="120"/>
      <c r="K889" s="120"/>
      <c r="L889" s="120"/>
      <c r="M889" s="120"/>
      <c r="N889" s="120"/>
      <c r="O889" s="120"/>
      <c r="P889" s="120"/>
      <c r="Q889" s="120"/>
      <c r="R889" s="120"/>
      <c r="S889" s="120"/>
      <c r="T889" s="120"/>
      <c r="U889" s="120"/>
      <c r="V889" s="120"/>
      <c r="W889" s="120"/>
      <c r="X889" s="120"/>
      <c r="Y889" s="120"/>
      <c r="Z889" s="120"/>
      <c r="AA889" s="120"/>
      <c r="AB889" s="120"/>
      <c r="AC889" s="120"/>
      <c r="AD889" s="120"/>
    </row>
    <row r="890">
      <c r="A890" s="120"/>
      <c r="B890" s="120"/>
      <c r="C890" s="120"/>
      <c r="D890" s="120"/>
      <c r="E890" s="120"/>
      <c r="F890" s="120"/>
      <c r="G890" s="120"/>
      <c r="H890" s="120"/>
      <c r="I890" s="120"/>
      <c r="J890" s="120"/>
      <c r="K890" s="120"/>
      <c r="L890" s="120"/>
      <c r="M890" s="120"/>
      <c r="N890" s="120"/>
      <c r="O890" s="120"/>
      <c r="P890" s="120"/>
      <c r="Q890" s="120"/>
      <c r="R890" s="120"/>
      <c r="S890" s="120"/>
      <c r="T890" s="120"/>
      <c r="U890" s="120"/>
      <c r="V890" s="120"/>
      <c r="W890" s="120"/>
      <c r="X890" s="120"/>
      <c r="Y890" s="120"/>
      <c r="Z890" s="120"/>
      <c r="AA890" s="120"/>
      <c r="AB890" s="120"/>
      <c r="AC890" s="120"/>
      <c r="AD890" s="120"/>
    </row>
    <row r="891">
      <c r="A891" s="120"/>
      <c r="B891" s="120"/>
      <c r="C891" s="120"/>
      <c r="D891" s="120"/>
      <c r="E891" s="120"/>
      <c r="F891" s="120"/>
      <c r="G891" s="120"/>
      <c r="H891" s="120"/>
      <c r="I891" s="120"/>
      <c r="J891" s="120"/>
      <c r="K891" s="120"/>
      <c r="L891" s="120"/>
      <c r="M891" s="120"/>
      <c r="N891" s="120"/>
      <c r="O891" s="120"/>
      <c r="P891" s="120"/>
      <c r="Q891" s="120"/>
      <c r="R891" s="120"/>
      <c r="S891" s="120"/>
      <c r="T891" s="120"/>
      <c r="U891" s="120"/>
      <c r="V891" s="120"/>
      <c r="W891" s="120"/>
      <c r="X891" s="120"/>
      <c r="Y891" s="120"/>
      <c r="Z891" s="120"/>
      <c r="AA891" s="120"/>
      <c r="AB891" s="120"/>
      <c r="AC891" s="120"/>
      <c r="AD891" s="120"/>
    </row>
    <row r="892">
      <c r="A892" s="120"/>
      <c r="B892" s="120"/>
      <c r="C892" s="120"/>
      <c r="D892" s="120"/>
      <c r="E892" s="120"/>
      <c r="F892" s="120"/>
      <c r="G892" s="120"/>
      <c r="H892" s="120"/>
      <c r="I892" s="120"/>
      <c r="J892" s="120"/>
      <c r="K892" s="120"/>
      <c r="L892" s="120"/>
      <c r="M892" s="120"/>
      <c r="N892" s="120"/>
      <c r="O892" s="120"/>
      <c r="P892" s="120"/>
      <c r="Q892" s="120"/>
      <c r="R892" s="120"/>
      <c r="S892" s="120"/>
      <c r="T892" s="120"/>
      <c r="U892" s="120"/>
      <c r="V892" s="120"/>
      <c r="W892" s="120"/>
      <c r="X892" s="120"/>
      <c r="Y892" s="120"/>
      <c r="Z892" s="120"/>
      <c r="AA892" s="120"/>
      <c r="AB892" s="120"/>
      <c r="AC892" s="120"/>
      <c r="AD892" s="120"/>
    </row>
    <row r="893">
      <c r="A893" s="120"/>
      <c r="B893" s="120"/>
      <c r="C893" s="120"/>
      <c r="D893" s="120"/>
      <c r="E893" s="120"/>
      <c r="F893" s="120"/>
      <c r="G893" s="120"/>
      <c r="H893" s="120"/>
      <c r="I893" s="120"/>
      <c r="J893" s="120"/>
      <c r="K893" s="120"/>
      <c r="L893" s="120"/>
      <c r="M893" s="120"/>
      <c r="N893" s="120"/>
      <c r="O893" s="120"/>
      <c r="P893" s="120"/>
      <c r="Q893" s="120"/>
      <c r="R893" s="120"/>
      <c r="S893" s="120"/>
      <c r="T893" s="120"/>
      <c r="U893" s="120"/>
      <c r="V893" s="120"/>
      <c r="W893" s="120"/>
      <c r="X893" s="120"/>
      <c r="Y893" s="120"/>
      <c r="Z893" s="120"/>
      <c r="AA893" s="120"/>
      <c r="AB893" s="120"/>
      <c r="AC893" s="120"/>
      <c r="AD893" s="120"/>
    </row>
    <row r="894">
      <c r="A894" s="120"/>
      <c r="B894" s="120"/>
      <c r="C894" s="120"/>
      <c r="D894" s="120"/>
      <c r="E894" s="120"/>
      <c r="F894" s="120"/>
      <c r="G894" s="120"/>
      <c r="H894" s="120"/>
      <c r="I894" s="120"/>
      <c r="J894" s="120"/>
      <c r="K894" s="120"/>
      <c r="L894" s="120"/>
      <c r="M894" s="120"/>
      <c r="N894" s="120"/>
      <c r="O894" s="120"/>
      <c r="P894" s="120"/>
      <c r="Q894" s="120"/>
      <c r="R894" s="120"/>
      <c r="S894" s="120"/>
      <c r="T894" s="120"/>
      <c r="U894" s="120"/>
      <c r="V894" s="120"/>
      <c r="W894" s="120"/>
      <c r="X894" s="120"/>
      <c r="Y894" s="120"/>
      <c r="Z894" s="120"/>
      <c r="AA894" s="120"/>
      <c r="AB894" s="120"/>
      <c r="AC894" s="120"/>
      <c r="AD894" s="120"/>
    </row>
    <row r="895">
      <c r="A895" s="120"/>
      <c r="B895" s="120"/>
      <c r="C895" s="120"/>
      <c r="D895" s="120"/>
      <c r="E895" s="120"/>
      <c r="F895" s="120"/>
      <c r="G895" s="120"/>
      <c r="H895" s="120"/>
      <c r="I895" s="120"/>
      <c r="J895" s="120"/>
      <c r="K895" s="120"/>
      <c r="L895" s="120"/>
      <c r="M895" s="120"/>
      <c r="N895" s="120"/>
      <c r="O895" s="120"/>
      <c r="P895" s="120"/>
      <c r="Q895" s="120"/>
      <c r="R895" s="120"/>
      <c r="S895" s="120"/>
      <c r="T895" s="120"/>
      <c r="U895" s="120"/>
      <c r="V895" s="120"/>
      <c r="W895" s="120"/>
      <c r="X895" s="120"/>
      <c r="Y895" s="120"/>
      <c r="Z895" s="120"/>
      <c r="AA895" s="120"/>
      <c r="AB895" s="120"/>
      <c r="AC895" s="120"/>
      <c r="AD895" s="120"/>
    </row>
    <row r="896">
      <c r="A896" s="120"/>
      <c r="B896" s="120"/>
      <c r="C896" s="120"/>
      <c r="D896" s="120"/>
      <c r="E896" s="120"/>
      <c r="F896" s="120"/>
      <c r="G896" s="120"/>
      <c r="H896" s="120"/>
      <c r="I896" s="120"/>
      <c r="J896" s="120"/>
      <c r="K896" s="120"/>
      <c r="L896" s="120"/>
      <c r="M896" s="120"/>
      <c r="N896" s="120"/>
      <c r="O896" s="120"/>
      <c r="P896" s="120"/>
      <c r="Q896" s="120"/>
      <c r="R896" s="120"/>
      <c r="S896" s="120"/>
      <c r="T896" s="120"/>
      <c r="U896" s="120"/>
      <c r="V896" s="120"/>
      <c r="W896" s="120"/>
      <c r="X896" s="120"/>
      <c r="Y896" s="120"/>
      <c r="Z896" s="120"/>
      <c r="AA896" s="120"/>
      <c r="AB896" s="120"/>
      <c r="AC896" s="120"/>
      <c r="AD896" s="120"/>
    </row>
    <row r="897">
      <c r="A897" s="120"/>
      <c r="B897" s="120"/>
      <c r="C897" s="120"/>
      <c r="D897" s="120"/>
      <c r="E897" s="120"/>
      <c r="F897" s="120"/>
      <c r="G897" s="120"/>
      <c r="H897" s="120"/>
      <c r="I897" s="120"/>
      <c r="J897" s="120"/>
      <c r="K897" s="120"/>
      <c r="L897" s="120"/>
      <c r="M897" s="120"/>
      <c r="N897" s="120"/>
      <c r="O897" s="120"/>
      <c r="P897" s="120"/>
      <c r="Q897" s="120"/>
      <c r="R897" s="120"/>
      <c r="S897" s="120"/>
      <c r="T897" s="120"/>
      <c r="U897" s="120"/>
      <c r="V897" s="120"/>
      <c r="W897" s="120"/>
      <c r="X897" s="120"/>
      <c r="Y897" s="120"/>
      <c r="Z897" s="120"/>
      <c r="AA897" s="120"/>
      <c r="AB897" s="120"/>
      <c r="AC897" s="120"/>
      <c r="AD897" s="120"/>
    </row>
    <row r="898">
      <c r="A898" s="120"/>
      <c r="B898" s="120"/>
      <c r="C898" s="120"/>
      <c r="D898" s="120"/>
      <c r="E898" s="120"/>
      <c r="F898" s="120"/>
      <c r="G898" s="120"/>
      <c r="H898" s="120"/>
      <c r="I898" s="120"/>
      <c r="J898" s="120"/>
      <c r="K898" s="120"/>
      <c r="L898" s="120"/>
      <c r="M898" s="120"/>
      <c r="N898" s="120"/>
      <c r="O898" s="120"/>
      <c r="P898" s="120"/>
      <c r="Q898" s="120"/>
      <c r="R898" s="120"/>
      <c r="S898" s="120"/>
      <c r="T898" s="120"/>
      <c r="U898" s="120"/>
      <c r="V898" s="120"/>
      <c r="W898" s="120"/>
      <c r="X898" s="120"/>
      <c r="Y898" s="120"/>
      <c r="Z898" s="120"/>
      <c r="AA898" s="120"/>
      <c r="AB898" s="120"/>
      <c r="AC898" s="120"/>
      <c r="AD898" s="120"/>
    </row>
    <row r="899">
      <c r="A899" s="120"/>
      <c r="B899" s="120"/>
      <c r="C899" s="120"/>
      <c r="D899" s="120"/>
      <c r="E899" s="120"/>
      <c r="F899" s="120"/>
      <c r="G899" s="120"/>
      <c r="H899" s="120"/>
      <c r="I899" s="120"/>
      <c r="J899" s="120"/>
      <c r="K899" s="120"/>
      <c r="L899" s="120"/>
      <c r="M899" s="120"/>
      <c r="N899" s="120"/>
      <c r="O899" s="120"/>
      <c r="P899" s="120"/>
      <c r="Q899" s="120"/>
      <c r="R899" s="120"/>
      <c r="S899" s="120"/>
      <c r="T899" s="120"/>
      <c r="U899" s="120"/>
      <c r="V899" s="120"/>
      <c r="W899" s="120"/>
      <c r="X899" s="120"/>
      <c r="Y899" s="120"/>
      <c r="Z899" s="120"/>
      <c r="AA899" s="120"/>
      <c r="AB899" s="120"/>
      <c r="AC899" s="120"/>
      <c r="AD899" s="120"/>
    </row>
    <row r="900">
      <c r="A900" s="120"/>
      <c r="B900" s="120"/>
      <c r="C900" s="120"/>
      <c r="D900" s="120"/>
      <c r="E900" s="120"/>
      <c r="F900" s="120"/>
      <c r="G900" s="120"/>
      <c r="H900" s="120"/>
      <c r="I900" s="120"/>
      <c r="J900" s="120"/>
      <c r="K900" s="120"/>
      <c r="L900" s="120"/>
      <c r="M900" s="120"/>
      <c r="N900" s="120"/>
      <c r="O900" s="120"/>
      <c r="P900" s="120"/>
      <c r="Q900" s="120"/>
      <c r="R900" s="120"/>
      <c r="S900" s="120"/>
      <c r="T900" s="120"/>
      <c r="U900" s="120"/>
      <c r="V900" s="120"/>
      <c r="W900" s="120"/>
      <c r="X900" s="120"/>
      <c r="Y900" s="120"/>
      <c r="Z900" s="120"/>
      <c r="AA900" s="120"/>
      <c r="AB900" s="120"/>
      <c r="AC900" s="120"/>
      <c r="AD900" s="120"/>
    </row>
    <row r="901">
      <c r="A901" s="120"/>
      <c r="B901" s="120"/>
      <c r="C901" s="120"/>
      <c r="D901" s="120"/>
      <c r="E901" s="120"/>
      <c r="F901" s="120"/>
      <c r="G901" s="120"/>
      <c r="H901" s="120"/>
      <c r="I901" s="120"/>
      <c r="J901" s="120"/>
      <c r="K901" s="120"/>
      <c r="L901" s="120"/>
      <c r="M901" s="120"/>
      <c r="N901" s="120"/>
      <c r="O901" s="120"/>
      <c r="P901" s="120"/>
      <c r="Q901" s="120"/>
      <c r="R901" s="120"/>
      <c r="S901" s="120"/>
      <c r="T901" s="120"/>
      <c r="U901" s="120"/>
      <c r="V901" s="120"/>
      <c r="W901" s="120"/>
      <c r="X901" s="120"/>
      <c r="Y901" s="120"/>
      <c r="Z901" s="120"/>
      <c r="AA901" s="120"/>
      <c r="AB901" s="120"/>
      <c r="AC901" s="120"/>
      <c r="AD901" s="120"/>
    </row>
    <row r="902">
      <c r="A902" s="120"/>
      <c r="B902" s="120"/>
      <c r="C902" s="120"/>
      <c r="D902" s="120"/>
      <c r="E902" s="120"/>
      <c r="F902" s="120"/>
      <c r="G902" s="120"/>
      <c r="H902" s="120"/>
      <c r="I902" s="120"/>
      <c r="J902" s="120"/>
      <c r="K902" s="120"/>
      <c r="L902" s="120"/>
      <c r="M902" s="120"/>
      <c r="N902" s="120"/>
      <c r="O902" s="120"/>
      <c r="P902" s="120"/>
      <c r="Q902" s="120"/>
      <c r="R902" s="120"/>
      <c r="S902" s="120"/>
      <c r="T902" s="120"/>
      <c r="U902" s="120"/>
      <c r="V902" s="120"/>
      <c r="W902" s="120"/>
      <c r="X902" s="120"/>
      <c r="Y902" s="120"/>
      <c r="Z902" s="120"/>
      <c r="AA902" s="120"/>
      <c r="AB902" s="120"/>
      <c r="AC902" s="120"/>
      <c r="AD902" s="120"/>
    </row>
    <row r="903">
      <c r="A903" s="120"/>
      <c r="B903" s="120"/>
      <c r="C903" s="120"/>
      <c r="D903" s="120"/>
      <c r="E903" s="120"/>
      <c r="F903" s="120"/>
      <c r="G903" s="120"/>
      <c r="H903" s="120"/>
      <c r="I903" s="120"/>
      <c r="J903" s="120"/>
      <c r="K903" s="120"/>
      <c r="L903" s="120"/>
      <c r="M903" s="120"/>
      <c r="N903" s="120"/>
      <c r="O903" s="120"/>
      <c r="P903" s="120"/>
      <c r="Q903" s="120"/>
      <c r="R903" s="120"/>
      <c r="S903" s="120"/>
      <c r="T903" s="120"/>
      <c r="U903" s="120"/>
      <c r="V903" s="120"/>
      <c r="W903" s="120"/>
      <c r="X903" s="120"/>
      <c r="Y903" s="120"/>
      <c r="Z903" s="120"/>
      <c r="AA903" s="120"/>
      <c r="AB903" s="120"/>
      <c r="AC903" s="120"/>
      <c r="AD903" s="120"/>
    </row>
    <row r="904">
      <c r="A904" s="120"/>
      <c r="B904" s="120"/>
      <c r="C904" s="120"/>
      <c r="D904" s="120"/>
      <c r="E904" s="120"/>
      <c r="F904" s="120"/>
      <c r="G904" s="120"/>
      <c r="H904" s="120"/>
      <c r="I904" s="120"/>
      <c r="J904" s="120"/>
      <c r="K904" s="120"/>
      <c r="L904" s="120"/>
      <c r="M904" s="120"/>
      <c r="N904" s="120"/>
      <c r="O904" s="120"/>
      <c r="P904" s="120"/>
      <c r="Q904" s="120"/>
      <c r="R904" s="120"/>
      <c r="S904" s="120"/>
      <c r="T904" s="120"/>
      <c r="U904" s="120"/>
      <c r="V904" s="120"/>
      <c r="W904" s="120"/>
      <c r="X904" s="120"/>
      <c r="Y904" s="120"/>
      <c r="Z904" s="120"/>
      <c r="AA904" s="120"/>
      <c r="AB904" s="120"/>
      <c r="AC904" s="120"/>
      <c r="AD904" s="120"/>
    </row>
    <row r="905">
      <c r="A905" s="120"/>
      <c r="B905" s="120"/>
      <c r="C905" s="120"/>
      <c r="D905" s="120"/>
      <c r="E905" s="120"/>
      <c r="F905" s="120"/>
      <c r="G905" s="120"/>
      <c r="H905" s="120"/>
      <c r="I905" s="120"/>
      <c r="J905" s="120"/>
      <c r="K905" s="120"/>
      <c r="L905" s="120"/>
      <c r="M905" s="120"/>
      <c r="N905" s="120"/>
      <c r="O905" s="120"/>
      <c r="P905" s="120"/>
      <c r="Q905" s="120"/>
      <c r="R905" s="120"/>
      <c r="S905" s="120"/>
      <c r="T905" s="120"/>
      <c r="U905" s="120"/>
      <c r="V905" s="120"/>
      <c r="W905" s="120"/>
      <c r="X905" s="120"/>
      <c r="Y905" s="120"/>
      <c r="Z905" s="120"/>
      <c r="AA905" s="120"/>
      <c r="AB905" s="120"/>
      <c r="AC905" s="120"/>
      <c r="AD905" s="120"/>
    </row>
    <row r="906">
      <c r="A906" s="120"/>
      <c r="B906" s="120"/>
      <c r="C906" s="120"/>
      <c r="D906" s="120"/>
      <c r="E906" s="120"/>
      <c r="F906" s="120"/>
      <c r="G906" s="120"/>
      <c r="H906" s="120"/>
      <c r="I906" s="120"/>
      <c r="J906" s="120"/>
      <c r="K906" s="120"/>
      <c r="L906" s="120"/>
      <c r="M906" s="120"/>
      <c r="N906" s="120"/>
      <c r="O906" s="120"/>
      <c r="P906" s="120"/>
      <c r="Q906" s="120"/>
      <c r="R906" s="120"/>
      <c r="S906" s="120"/>
      <c r="T906" s="120"/>
      <c r="U906" s="120"/>
      <c r="V906" s="120"/>
      <c r="W906" s="120"/>
      <c r="X906" s="120"/>
      <c r="Y906" s="120"/>
      <c r="Z906" s="120"/>
      <c r="AA906" s="120"/>
      <c r="AB906" s="120"/>
      <c r="AC906" s="120"/>
      <c r="AD906" s="120"/>
    </row>
    <row r="907">
      <c r="A907" s="120"/>
      <c r="B907" s="120"/>
      <c r="C907" s="120"/>
      <c r="D907" s="120"/>
      <c r="E907" s="120"/>
      <c r="F907" s="120"/>
      <c r="G907" s="120"/>
      <c r="H907" s="120"/>
      <c r="I907" s="120"/>
      <c r="J907" s="120"/>
      <c r="K907" s="120"/>
      <c r="L907" s="120"/>
      <c r="M907" s="120"/>
      <c r="N907" s="120"/>
      <c r="O907" s="120"/>
      <c r="P907" s="120"/>
      <c r="Q907" s="120"/>
      <c r="R907" s="120"/>
      <c r="S907" s="120"/>
      <c r="T907" s="120"/>
      <c r="U907" s="120"/>
      <c r="V907" s="120"/>
      <c r="W907" s="120"/>
      <c r="X907" s="120"/>
      <c r="Y907" s="120"/>
      <c r="Z907" s="120"/>
      <c r="AA907" s="120"/>
      <c r="AB907" s="120"/>
      <c r="AC907" s="120"/>
      <c r="AD907" s="120"/>
    </row>
    <row r="908">
      <c r="A908" s="120"/>
      <c r="B908" s="120"/>
      <c r="C908" s="120"/>
      <c r="D908" s="120"/>
      <c r="E908" s="120"/>
      <c r="F908" s="120"/>
      <c r="G908" s="120"/>
      <c r="H908" s="120"/>
      <c r="I908" s="120"/>
      <c r="J908" s="120"/>
      <c r="K908" s="120"/>
      <c r="L908" s="120"/>
      <c r="M908" s="120"/>
      <c r="N908" s="120"/>
      <c r="O908" s="120"/>
      <c r="P908" s="120"/>
      <c r="Q908" s="120"/>
      <c r="R908" s="120"/>
      <c r="S908" s="120"/>
      <c r="T908" s="120"/>
      <c r="U908" s="120"/>
      <c r="V908" s="120"/>
      <c r="W908" s="120"/>
      <c r="X908" s="120"/>
      <c r="Y908" s="120"/>
      <c r="Z908" s="120"/>
      <c r="AA908" s="120"/>
      <c r="AB908" s="120"/>
      <c r="AC908" s="120"/>
      <c r="AD908" s="120"/>
    </row>
    <row r="909">
      <c r="A909" s="120"/>
      <c r="B909" s="120"/>
      <c r="C909" s="120"/>
      <c r="D909" s="120"/>
      <c r="E909" s="120"/>
      <c r="F909" s="120"/>
      <c r="G909" s="120"/>
      <c r="H909" s="120"/>
      <c r="I909" s="120"/>
      <c r="J909" s="120"/>
      <c r="K909" s="120"/>
      <c r="L909" s="120"/>
      <c r="M909" s="120"/>
      <c r="N909" s="120"/>
      <c r="O909" s="120"/>
      <c r="P909" s="120"/>
      <c r="Q909" s="120"/>
      <c r="R909" s="120"/>
      <c r="S909" s="120"/>
      <c r="T909" s="120"/>
      <c r="U909" s="120"/>
      <c r="V909" s="120"/>
      <c r="W909" s="120"/>
      <c r="X909" s="120"/>
      <c r="Y909" s="120"/>
      <c r="Z909" s="120"/>
      <c r="AA909" s="120"/>
      <c r="AB909" s="120"/>
      <c r="AC909" s="120"/>
      <c r="AD909" s="120"/>
    </row>
    <row r="910">
      <c r="A910" s="120"/>
      <c r="B910" s="120"/>
      <c r="C910" s="120"/>
      <c r="D910" s="120"/>
      <c r="E910" s="120"/>
      <c r="F910" s="120"/>
      <c r="G910" s="120"/>
      <c r="H910" s="120"/>
      <c r="I910" s="120"/>
      <c r="J910" s="120"/>
      <c r="K910" s="120"/>
      <c r="L910" s="120"/>
      <c r="M910" s="120"/>
      <c r="N910" s="120"/>
      <c r="O910" s="120"/>
      <c r="P910" s="120"/>
      <c r="Q910" s="120"/>
      <c r="R910" s="120"/>
      <c r="S910" s="120"/>
      <c r="T910" s="120"/>
      <c r="U910" s="120"/>
      <c r="V910" s="120"/>
      <c r="W910" s="120"/>
      <c r="X910" s="120"/>
      <c r="Y910" s="120"/>
      <c r="Z910" s="120"/>
      <c r="AA910" s="120"/>
      <c r="AB910" s="120"/>
      <c r="AC910" s="120"/>
      <c r="AD910" s="120"/>
    </row>
    <row r="911">
      <c r="A911" s="120"/>
      <c r="B911" s="120"/>
      <c r="C911" s="120"/>
      <c r="D911" s="120"/>
      <c r="E911" s="120"/>
      <c r="F911" s="120"/>
      <c r="G911" s="120"/>
      <c r="H911" s="120"/>
      <c r="I911" s="120"/>
      <c r="J911" s="120"/>
      <c r="K911" s="120"/>
      <c r="L911" s="120"/>
      <c r="M911" s="120"/>
      <c r="N911" s="120"/>
      <c r="O911" s="120"/>
      <c r="P911" s="120"/>
      <c r="Q911" s="120"/>
      <c r="R911" s="120"/>
      <c r="S911" s="120"/>
      <c r="T911" s="120"/>
      <c r="U911" s="120"/>
      <c r="V911" s="120"/>
      <c r="W911" s="120"/>
      <c r="X911" s="120"/>
      <c r="Y911" s="120"/>
      <c r="Z911" s="120"/>
      <c r="AA911" s="120"/>
      <c r="AB911" s="120"/>
      <c r="AC911" s="120"/>
      <c r="AD911" s="120"/>
    </row>
    <row r="912">
      <c r="A912" s="120"/>
      <c r="B912" s="120"/>
      <c r="C912" s="120"/>
      <c r="D912" s="120"/>
      <c r="E912" s="120"/>
      <c r="F912" s="120"/>
      <c r="G912" s="120"/>
      <c r="H912" s="120"/>
      <c r="I912" s="120"/>
      <c r="J912" s="120"/>
      <c r="K912" s="120"/>
      <c r="L912" s="120"/>
      <c r="M912" s="120"/>
      <c r="N912" s="120"/>
      <c r="O912" s="120"/>
      <c r="P912" s="120"/>
      <c r="Q912" s="120"/>
      <c r="R912" s="120"/>
      <c r="S912" s="120"/>
      <c r="T912" s="120"/>
      <c r="U912" s="120"/>
      <c r="V912" s="120"/>
      <c r="W912" s="120"/>
      <c r="X912" s="120"/>
      <c r="Y912" s="120"/>
      <c r="Z912" s="120"/>
      <c r="AA912" s="120"/>
      <c r="AB912" s="120"/>
      <c r="AC912" s="120"/>
      <c r="AD912" s="120"/>
    </row>
    <row r="913">
      <c r="A913" s="120"/>
      <c r="B913" s="120"/>
      <c r="C913" s="120"/>
      <c r="D913" s="120"/>
      <c r="E913" s="120"/>
      <c r="F913" s="120"/>
      <c r="G913" s="120"/>
      <c r="H913" s="120"/>
      <c r="I913" s="120"/>
      <c r="J913" s="120"/>
      <c r="K913" s="120"/>
      <c r="L913" s="120"/>
      <c r="M913" s="120"/>
      <c r="N913" s="120"/>
      <c r="O913" s="120"/>
      <c r="P913" s="120"/>
      <c r="Q913" s="120"/>
      <c r="R913" s="120"/>
      <c r="S913" s="120"/>
      <c r="T913" s="120"/>
      <c r="U913" s="120"/>
      <c r="V913" s="120"/>
      <c r="W913" s="120"/>
      <c r="X913" s="120"/>
      <c r="Y913" s="120"/>
      <c r="Z913" s="120"/>
      <c r="AA913" s="120"/>
      <c r="AB913" s="120"/>
      <c r="AC913" s="120"/>
      <c r="AD913" s="120"/>
    </row>
    <row r="914">
      <c r="A914" s="120"/>
      <c r="B914" s="120"/>
      <c r="C914" s="120"/>
      <c r="D914" s="120"/>
      <c r="E914" s="120"/>
      <c r="F914" s="120"/>
      <c r="G914" s="120"/>
      <c r="H914" s="120"/>
      <c r="I914" s="120"/>
      <c r="J914" s="120"/>
      <c r="K914" s="120"/>
      <c r="L914" s="120"/>
      <c r="M914" s="120"/>
      <c r="N914" s="120"/>
      <c r="O914" s="120"/>
      <c r="P914" s="120"/>
      <c r="Q914" s="120"/>
      <c r="R914" s="120"/>
      <c r="S914" s="120"/>
      <c r="T914" s="120"/>
      <c r="U914" s="120"/>
      <c r="V914" s="120"/>
      <c r="W914" s="120"/>
      <c r="X914" s="120"/>
      <c r="Y914" s="120"/>
      <c r="Z914" s="120"/>
      <c r="AA914" s="120"/>
      <c r="AB914" s="120"/>
      <c r="AC914" s="120"/>
      <c r="AD914" s="120"/>
    </row>
    <row r="915">
      <c r="A915" s="120"/>
      <c r="B915" s="120"/>
      <c r="C915" s="120"/>
      <c r="D915" s="120"/>
      <c r="E915" s="120"/>
      <c r="F915" s="120"/>
      <c r="G915" s="120"/>
      <c r="H915" s="120"/>
      <c r="I915" s="120"/>
      <c r="J915" s="120"/>
      <c r="K915" s="120"/>
      <c r="L915" s="120"/>
      <c r="M915" s="120"/>
      <c r="N915" s="120"/>
      <c r="O915" s="120"/>
      <c r="P915" s="120"/>
      <c r="Q915" s="120"/>
      <c r="R915" s="120"/>
      <c r="S915" s="120"/>
      <c r="T915" s="120"/>
      <c r="U915" s="120"/>
      <c r="V915" s="120"/>
      <c r="W915" s="120"/>
      <c r="X915" s="120"/>
      <c r="Y915" s="120"/>
      <c r="Z915" s="120"/>
      <c r="AA915" s="120"/>
      <c r="AB915" s="120"/>
      <c r="AC915" s="120"/>
      <c r="AD915" s="120"/>
    </row>
    <row r="916">
      <c r="A916" s="120"/>
      <c r="B916" s="120"/>
      <c r="C916" s="120"/>
      <c r="D916" s="120"/>
      <c r="E916" s="120"/>
      <c r="F916" s="120"/>
      <c r="G916" s="120"/>
      <c r="H916" s="120"/>
      <c r="I916" s="120"/>
      <c r="J916" s="120"/>
      <c r="K916" s="120"/>
      <c r="L916" s="120"/>
      <c r="M916" s="120"/>
      <c r="N916" s="120"/>
      <c r="O916" s="120"/>
      <c r="P916" s="120"/>
      <c r="Q916" s="120"/>
      <c r="R916" s="120"/>
      <c r="S916" s="120"/>
      <c r="T916" s="120"/>
      <c r="U916" s="120"/>
      <c r="V916" s="120"/>
      <c r="W916" s="120"/>
      <c r="X916" s="120"/>
      <c r="Y916" s="120"/>
      <c r="Z916" s="120"/>
      <c r="AA916" s="120"/>
      <c r="AB916" s="120"/>
      <c r="AC916" s="120"/>
      <c r="AD916" s="120"/>
    </row>
    <row r="917">
      <c r="A917" s="120"/>
      <c r="B917" s="120"/>
      <c r="C917" s="120"/>
      <c r="D917" s="120"/>
      <c r="E917" s="120"/>
      <c r="F917" s="120"/>
      <c r="G917" s="120"/>
      <c r="H917" s="120"/>
      <c r="I917" s="120"/>
      <c r="J917" s="120"/>
      <c r="K917" s="120"/>
      <c r="L917" s="120"/>
      <c r="M917" s="120"/>
      <c r="N917" s="120"/>
      <c r="O917" s="120"/>
      <c r="P917" s="120"/>
      <c r="Q917" s="120"/>
      <c r="R917" s="120"/>
      <c r="S917" s="120"/>
      <c r="T917" s="120"/>
      <c r="U917" s="120"/>
      <c r="V917" s="120"/>
      <c r="W917" s="120"/>
      <c r="X917" s="120"/>
      <c r="Y917" s="120"/>
      <c r="Z917" s="120"/>
      <c r="AA917" s="120"/>
      <c r="AB917" s="120"/>
      <c r="AC917" s="120"/>
      <c r="AD917" s="120"/>
    </row>
    <row r="918">
      <c r="A918" s="120"/>
      <c r="B918" s="120"/>
      <c r="C918" s="120"/>
      <c r="D918" s="120"/>
      <c r="E918" s="120"/>
      <c r="F918" s="120"/>
      <c r="G918" s="120"/>
      <c r="H918" s="120"/>
      <c r="I918" s="120"/>
      <c r="J918" s="120"/>
      <c r="K918" s="120"/>
      <c r="L918" s="120"/>
      <c r="M918" s="120"/>
      <c r="N918" s="120"/>
      <c r="O918" s="120"/>
      <c r="P918" s="120"/>
      <c r="Q918" s="120"/>
      <c r="R918" s="120"/>
      <c r="S918" s="120"/>
      <c r="T918" s="120"/>
      <c r="U918" s="120"/>
      <c r="V918" s="120"/>
      <c r="W918" s="120"/>
      <c r="X918" s="120"/>
      <c r="Y918" s="120"/>
      <c r="Z918" s="120"/>
      <c r="AA918" s="120"/>
      <c r="AB918" s="120"/>
      <c r="AC918" s="120"/>
      <c r="AD918" s="120"/>
    </row>
    <row r="919">
      <c r="A919" s="120"/>
      <c r="B919" s="120"/>
      <c r="C919" s="120"/>
      <c r="D919" s="120"/>
      <c r="E919" s="120"/>
      <c r="F919" s="120"/>
      <c r="G919" s="120"/>
      <c r="H919" s="120"/>
      <c r="I919" s="120"/>
      <c r="J919" s="120"/>
      <c r="K919" s="120"/>
      <c r="L919" s="120"/>
      <c r="M919" s="120"/>
      <c r="N919" s="120"/>
      <c r="O919" s="120"/>
      <c r="P919" s="120"/>
      <c r="Q919" s="120"/>
      <c r="R919" s="120"/>
      <c r="S919" s="120"/>
      <c r="T919" s="120"/>
      <c r="U919" s="120"/>
      <c r="V919" s="120"/>
      <c r="W919" s="120"/>
      <c r="X919" s="120"/>
      <c r="Y919" s="120"/>
      <c r="Z919" s="120"/>
      <c r="AA919" s="120"/>
      <c r="AB919" s="120"/>
      <c r="AC919" s="120"/>
      <c r="AD919" s="120"/>
    </row>
    <row r="920">
      <c r="A920" s="120"/>
      <c r="B920" s="120"/>
      <c r="C920" s="120"/>
      <c r="D920" s="120"/>
      <c r="E920" s="120"/>
      <c r="F920" s="120"/>
      <c r="G920" s="120"/>
      <c r="H920" s="120"/>
      <c r="I920" s="120"/>
      <c r="J920" s="120"/>
      <c r="K920" s="120"/>
      <c r="L920" s="120"/>
      <c r="M920" s="120"/>
      <c r="N920" s="120"/>
      <c r="O920" s="120"/>
      <c r="P920" s="120"/>
      <c r="Q920" s="120"/>
      <c r="R920" s="120"/>
      <c r="S920" s="120"/>
      <c r="T920" s="120"/>
      <c r="U920" s="120"/>
      <c r="V920" s="120"/>
      <c r="W920" s="120"/>
      <c r="X920" s="120"/>
      <c r="Y920" s="120"/>
      <c r="Z920" s="120"/>
      <c r="AA920" s="120"/>
      <c r="AB920" s="120"/>
      <c r="AC920" s="120"/>
      <c r="AD920" s="120"/>
    </row>
    <row r="921">
      <c r="A921" s="120"/>
      <c r="B921" s="120"/>
      <c r="C921" s="120"/>
      <c r="D921" s="120"/>
      <c r="E921" s="120"/>
      <c r="F921" s="120"/>
      <c r="G921" s="120"/>
      <c r="H921" s="120"/>
      <c r="I921" s="120"/>
      <c r="J921" s="120"/>
      <c r="K921" s="120"/>
      <c r="L921" s="120"/>
      <c r="M921" s="120"/>
      <c r="N921" s="120"/>
      <c r="O921" s="120"/>
      <c r="P921" s="120"/>
      <c r="Q921" s="120"/>
      <c r="R921" s="120"/>
      <c r="S921" s="120"/>
      <c r="T921" s="120"/>
      <c r="U921" s="120"/>
      <c r="V921" s="120"/>
      <c r="W921" s="120"/>
      <c r="X921" s="120"/>
      <c r="Y921" s="120"/>
      <c r="Z921" s="120"/>
      <c r="AA921" s="120"/>
      <c r="AB921" s="120"/>
      <c r="AC921" s="120"/>
      <c r="AD921" s="120"/>
    </row>
    <row r="922">
      <c r="A922" s="120"/>
      <c r="B922" s="120"/>
      <c r="C922" s="120"/>
      <c r="D922" s="120"/>
      <c r="E922" s="120"/>
      <c r="F922" s="120"/>
      <c r="G922" s="120"/>
      <c r="H922" s="120"/>
      <c r="I922" s="120"/>
      <c r="J922" s="120"/>
      <c r="K922" s="120"/>
      <c r="L922" s="120"/>
      <c r="M922" s="120"/>
      <c r="N922" s="120"/>
      <c r="O922" s="120"/>
      <c r="P922" s="120"/>
      <c r="Q922" s="120"/>
      <c r="R922" s="120"/>
      <c r="S922" s="120"/>
      <c r="T922" s="120"/>
      <c r="U922" s="120"/>
      <c r="V922" s="120"/>
      <c r="W922" s="120"/>
      <c r="X922" s="120"/>
      <c r="Y922" s="120"/>
      <c r="Z922" s="120"/>
      <c r="AA922" s="120"/>
      <c r="AB922" s="120"/>
      <c r="AC922" s="120"/>
      <c r="AD922" s="120"/>
    </row>
    <row r="923">
      <c r="A923" s="120"/>
      <c r="B923" s="120"/>
      <c r="C923" s="120"/>
      <c r="D923" s="120"/>
      <c r="E923" s="120"/>
      <c r="F923" s="120"/>
      <c r="G923" s="120"/>
      <c r="H923" s="120"/>
      <c r="I923" s="120"/>
      <c r="J923" s="120"/>
      <c r="K923" s="120"/>
      <c r="L923" s="120"/>
      <c r="M923" s="120"/>
      <c r="N923" s="120"/>
      <c r="O923" s="120"/>
      <c r="P923" s="120"/>
      <c r="Q923" s="120"/>
      <c r="R923" s="120"/>
      <c r="S923" s="120"/>
      <c r="T923" s="120"/>
      <c r="U923" s="120"/>
      <c r="V923" s="120"/>
      <c r="W923" s="120"/>
      <c r="X923" s="120"/>
      <c r="Y923" s="120"/>
      <c r="Z923" s="120"/>
      <c r="AA923" s="120"/>
      <c r="AB923" s="120"/>
      <c r="AC923" s="120"/>
      <c r="AD923" s="120"/>
    </row>
    <row r="924">
      <c r="A924" s="120"/>
      <c r="B924" s="120"/>
      <c r="C924" s="120"/>
      <c r="D924" s="120"/>
      <c r="E924" s="120"/>
      <c r="F924" s="120"/>
      <c r="G924" s="120"/>
      <c r="H924" s="120"/>
      <c r="I924" s="120"/>
      <c r="J924" s="120"/>
      <c r="K924" s="120"/>
      <c r="L924" s="120"/>
      <c r="M924" s="120"/>
      <c r="N924" s="120"/>
      <c r="O924" s="120"/>
      <c r="P924" s="120"/>
      <c r="Q924" s="120"/>
      <c r="R924" s="120"/>
      <c r="S924" s="120"/>
      <c r="T924" s="120"/>
      <c r="U924" s="120"/>
      <c r="V924" s="120"/>
      <c r="W924" s="120"/>
      <c r="X924" s="120"/>
      <c r="Y924" s="120"/>
      <c r="Z924" s="120"/>
      <c r="AA924" s="120"/>
      <c r="AB924" s="120"/>
      <c r="AC924" s="120"/>
      <c r="AD924" s="120"/>
    </row>
    <row r="925">
      <c r="A925" s="120"/>
      <c r="B925" s="120"/>
      <c r="C925" s="120"/>
      <c r="D925" s="120"/>
      <c r="E925" s="120"/>
      <c r="F925" s="120"/>
      <c r="G925" s="120"/>
      <c r="H925" s="120"/>
      <c r="I925" s="120"/>
      <c r="J925" s="120"/>
      <c r="K925" s="120"/>
      <c r="L925" s="120"/>
      <c r="M925" s="120"/>
      <c r="N925" s="120"/>
      <c r="O925" s="120"/>
      <c r="P925" s="120"/>
      <c r="Q925" s="120"/>
      <c r="R925" s="120"/>
      <c r="S925" s="120"/>
      <c r="T925" s="120"/>
      <c r="U925" s="120"/>
      <c r="V925" s="120"/>
      <c r="W925" s="120"/>
      <c r="X925" s="120"/>
      <c r="Y925" s="120"/>
      <c r="Z925" s="120"/>
      <c r="AA925" s="120"/>
      <c r="AB925" s="120"/>
      <c r="AC925" s="120"/>
      <c r="AD925" s="120"/>
    </row>
    <row r="926">
      <c r="A926" s="120"/>
      <c r="B926" s="120"/>
      <c r="C926" s="120"/>
      <c r="D926" s="120"/>
      <c r="E926" s="120"/>
      <c r="F926" s="120"/>
      <c r="G926" s="120"/>
      <c r="H926" s="120"/>
      <c r="I926" s="120"/>
      <c r="J926" s="120"/>
      <c r="K926" s="120"/>
      <c r="L926" s="120"/>
      <c r="M926" s="120"/>
      <c r="N926" s="120"/>
      <c r="O926" s="120"/>
      <c r="P926" s="120"/>
      <c r="Q926" s="120"/>
      <c r="R926" s="120"/>
      <c r="S926" s="120"/>
      <c r="T926" s="120"/>
      <c r="U926" s="120"/>
      <c r="V926" s="120"/>
      <c r="W926" s="120"/>
      <c r="X926" s="120"/>
      <c r="Y926" s="120"/>
      <c r="Z926" s="120"/>
      <c r="AA926" s="120"/>
      <c r="AB926" s="120"/>
      <c r="AC926" s="120"/>
      <c r="AD926" s="120"/>
    </row>
    <row r="927">
      <c r="A927" s="120"/>
      <c r="B927" s="120"/>
      <c r="C927" s="120"/>
      <c r="D927" s="120"/>
      <c r="E927" s="120"/>
      <c r="F927" s="120"/>
      <c r="G927" s="120"/>
      <c r="H927" s="120"/>
      <c r="I927" s="120"/>
      <c r="J927" s="120"/>
      <c r="K927" s="120"/>
      <c r="L927" s="120"/>
      <c r="M927" s="120"/>
      <c r="N927" s="120"/>
      <c r="O927" s="120"/>
      <c r="P927" s="120"/>
      <c r="Q927" s="120"/>
      <c r="R927" s="120"/>
      <c r="S927" s="120"/>
      <c r="T927" s="120"/>
      <c r="U927" s="120"/>
      <c r="V927" s="120"/>
      <c r="W927" s="120"/>
      <c r="X927" s="120"/>
      <c r="Y927" s="120"/>
      <c r="Z927" s="120"/>
      <c r="AA927" s="120"/>
      <c r="AB927" s="120"/>
      <c r="AC927" s="120"/>
      <c r="AD927" s="120"/>
    </row>
    <row r="928">
      <c r="A928" s="120"/>
      <c r="B928" s="120"/>
      <c r="C928" s="120"/>
      <c r="D928" s="120"/>
      <c r="E928" s="120"/>
      <c r="F928" s="120"/>
      <c r="G928" s="120"/>
      <c r="H928" s="120"/>
      <c r="I928" s="120"/>
      <c r="J928" s="120"/>
      <c r="K928" s="120"/>
      <c r="L928" s="120"/>
      <c r="M928" s="120"/>
      <c r="N928" s="120"/>
      <c r="O928" s="120"/>
      <c r="P928" s="120"/>
      <c r="Q928" s="120"/>
      <c r="R928" s="120"/>
      <c r="S928" s="120"/>
      <c r="T928" s="120"/>
      <c r="U928" s="120"/>
      <c r="V928" s="120"/>
      <c r="W928" s="120"/>
      <c r="X928" s="120"/>
      <c r="Y928" s="120"/>
      <c r="Z928" s="120"/>
      <c r="AA928" s="120"/>
      <c r="AB928" s="120"/>
      <c r="AC928" s="120"/>
      <c r="AD928" s="120"/>
    </row>
    <row r="929">
      <c r="A929" s="120"/>
      <c r="B929" s="120"/>
      <c r="C929" s="120"/>
      <c r="D929" s="120"/>
      <c r="E929" s="120"/>
      <c r="F929" s="120"/>
      <c r="G929" s="120"/>
      <c r="H929" s="120"/>
      <c r="I929" s="120"/>
      <c r="J929" s="120"/>
      <c r="K929" s="120"/>
      <c r="L929" s="120"/>
      <c r="M929" s="120"/>
      <c r="N929" s="120"/>
      <c r="O929" s="120"/>
      <c r="P929" s="120"/>
      <c r="Q929" s="120"/>
      <c r="R929" s="120"/>
      <c r="S929" s="120"/>
      <c r="T929" s="120"/>
      <c r="U929" s="120"/>
      <c r="V929" s="120"/>
      <c r="W929" s="120"/>
      <c r="X929" s="120"/>
      <c r="Y929" s="120"/>
      <c r="Z929" s="120"/>
      <c r="AA929" s="120"/>
      <c r="AB929" s="120"/>
      <c r="AC929" s="120"/>
      <c r="AD929" s="120"/>
    </row>
    <row r="930">
      <c r="A930" s="120"/>
      <c r="B930" s="120"/>
      <c r="C930" s="120"/>
      <c r="D930" s="120"/>
      <c r="E930" s="120"/>
      <c r="F930" s="120"/>
      <c r="G930" s="120"/>
      <c r="H930" s="120"/>
      <c r="I930" s="120"/>
      <c r="J930" s="120"/>
      <c r="K930" s="120"/>
      <c r="L930" s="120"/>
      <c r="M930" s="120"/>
      <c r="N930" s="120"/>
      <c r="O930" s="120"/>
      <c r="P930" s="120"/>
      <c r="Q930" s="120"/>
      <c r="R930" s="120"/>
      <c r="S930" s="120"/>
      <c r="T930" s="120"/>
      <c r="U930" s="120"/>
      <c r="V930" s="120"/>
      <c r="W930" s="120"/>
      <c r="X930" s="120"/>
      <c r="Y930" s="120"/>
      <c r="Z930" s="120"/>
      <c r="AA930" s="120"/>
      <c r="AB930" s="120"/>
      <c r="AC930" s="120"/>
      <c r="AD930" s="120"/>
    </row>
    <row r="931">
      <c r="A931" s="120"/>
      <c r="B931" s="120"/>
      <c r="C931" s="120"/>
      <c r="D931" s="120"/>
      <c r="E931" s="120"/>
      <c r="F931" s="120"/>
      <c r="G931" s="120"/>
      <c r="H931" s="120"/>
      <c r="I931" s="120"/>
      <c r="J931" s="120"/>
      <c r="K931" s="120"/>
      <c r="L931" s="120"/>
      <c r="M931" s="120"/>
      <c r="N931" s="120"/>
      <c r="O931" s="120"/>
      <c r="P931" s="120"/>
      <c r="Q931" s="120"/>
      <c r="R931" s="120"/>
      <c r="S931" s="120"/>
      <c r="T931" s="120"/>
      <c r="U931" s="120"/>
      <c r="V931" s="120"/>
      <c r="W931" s="120"/>
      <c r="X931" s="120"/>
      <c r="Y931" s="120"/>
      <c r="Z931" s="120"/>
      <c r="AA931" s="120"/>
      <c r="AB931" s="120"/>
      <c r="AC931" s="120"/>
      <c r="AD931" s="120"/>
    </row>
    <row r="932">
      <c r="A932" s="120"/>
      <c r="B932" s="120"/>
      <c r="C932" s="120"/>
      <c r="D932" s="120"/>
      <c r="E932" s="120"/>
      <c r="F932" s="120"/>
      <c r="G932" s="120"/>
      <c r="H932" s="120"/>
      <c r="I932" s="120"/>
      <c r="J932" s="120"/>
      <c r="K932" s="120"/>
      <c r="L932" s="120"/>
      <c r="M932" s="120"/>
      <c r="N932" s="120"/>
      <c r="O932" s="120"/>
      <c r="P932" s="120"/>
      <c r="Q932" s="120"/>
      <c r="R932" s="120"/>
      <c r="S932" s="120"/>
      <c r="T932" s="120"/>
      <c r="U932" s="120"/>
      <c r="V932" s="120"/>
      <c r="W932" s="120"/>
      <c r="X932" s="120"/>
      <c r="Y932" s="120"/>
      <c r="Z932" s="120"/>
      <c r="AA932" s="120"/>
      <c r="AB932" s="120"/>
      <c r="AC932" s="120"/>
      <c r="AD932" s="120"/>
    </row>
    <row r="933">
      <c r="A933" s="120"/>
      <c r="B933" s="120"/>
      <c r="C933" s="120"/>
      <c r="D933" s="120"/>
      <c r="E933" s="120"/>
      <c r="F933" s="120"/>
      <c r="G933" s="120"/>
      <c r="H933" s="120"/>
      <c r="I933" s="120"/>
      <c r="J933" s="120"/>
      <c r="K933" s="120"/>
      <c r="L933" s="120"/>
      <c r="M933" s="120"/>
      <c r="N933" s="120"/>
      <c r="O933" s="120"/>
      <c r="P933" s="120"/>
      <c r="Q933" s="120"/>
      <c r="R933" s="120"/>
      <c r="S933" s="120"/>
      <c r="T933" s="120"/>
      <c r="U933" s="120"/>
      <c r="V933" s="120"/>
      <c r="W933" s="120"/>
      <c r="X933" s="120"/>
      <c r="Y933" s="120"/>
      <c r="Z933" s="120"/>
      <c r="AA933" s="120"/>
      <c r="AB933" s="120"/>
      <c r="AC933" s="120"/>
      <c r="AD933" s="120"/>
    </row>
    <row r="934">
      <c r="A934" s="120"/>
      <c r="B934" s="120"/>
      <c r="C934" s="120"/>
      <c r="D934" s="120"/>
      <c r="E934" s="120"/>
      <c r="F934" s="120"/>
      <c r="G934" s="120"/>
      <c r="H934" s="120"/>
      <c r="I934" s="120"/>
      <c r="J934" s="120"/>
      <c r="K934" s="120"/>
      <c r="L934" s="120"/>
      <c r="M934" s="120"/>
      <c r="N934" s="120"/>
      <c r="O934" s="120"/>
      <c r="P934" s="120"/>
      <c r="Q934" s="120"/>
      <c r="R934" s="120"/>
      <c r="S934" s="120"/>
      <c r="T934" s="120"/>
      <c r="U934" s="120"/>
      <c r="V934" s="120"/>
      <c r="W934" s="120"/>
      <c r="X934" s="120"/>
      <c r="Y934" s="120"/>
      <c r="Z934" s="120"/>
      <c r="AA934" s="120"/>
      <c r="AB934" s="120"/>
      <c r="AC934" s="120"/>
      <c r="AD934" s="120"/>
    </row>
    <row r="935">
      <c r="A935" s="120"/>
      <c r="B935" s="120"/>
      <c r="C935" s="120"/>
      <c r="D935" s="120"/>
      <c r="E935" s="120"/>
      <c r="F935" s="120"/>
      <c r="G935" s="120"/>
      <c r="H935" s="120"/>
      <c r="I935" s="120"/>
      <c r="J935" s="120"/>
      <c r="K935" s="120"/>
      <c r="L935" s="120"/>
      <c r="M935" s="120"/>
      <c r="N935" s="120"/>
      <c r="O935" s="120"/>
      <c r="P935" s="120"/>
      <c r="Q935" s="120"/>
      <c r="R935" s="120"/>
      <c r="S935" s="120"/>
      <c r="T935" s="120"/>
      <c r="U935" s="120"/>
      <c r="V935" s="120"/>
      <c r="W935" s="120"/>
      <c r="X935" s="120"/>
      <c r="Y935" s="120"/>
      <c r="Z935" s="120"/>
      <c r="AA935" s="120"/>
      <c r="AB935" s="120"/>
      <c r="AC935" s="120"/>
      <c r="AD935" s="120"/>
    </row>
    <row r="936">
      <c r="A936" s="120"/>
      <c r="B936" s="120"/>
      <c r="C936" s="120"/>
      <c r="D936" s="120"/>
      <c r="E936" s="120"/>
      <c r="F936" s="120"/>
      <c r="G936" s="120"/>
      <c r="H936" s="120"/>
      <c r="I936" s="120"/>
      <c r="J936" s="120"/>
      <c r="K936" s="120"/>
      <c r="L936" s="120"/>
      <c r="M936" s="120"/>
      <c r="N936" s="120"/>
      <c r="O936" s="120"/>
      <c r="P936" s="120"/>
      <c r="Q936" s="120"/>
      <c r="R936" s="120"/>
      <c r="S936" s="120"/>
      <c r="T936" s="120"/>
      <c r="U936" s="120"/>
      <c r="V936" s="120"/>
      <c r="W936" s="120"/>
      <c r="X936" s="120"/>
      <c r="Y936" s="120"/>
      <c r="Z936" s="120"/>
      <c r="AA936" s="120"/>
      <c r="AB936" s="120"/>
      <c r="AC936" s="120"/>
      <c r="AD936" s="120"/>
    </row>
    <row r="937">
      <c r="A937" s="120"/>
      <c r="B937" s="120"/>
      <c r="C937" s="120"/>
      <c r="D937" s="120"/>
      <c r="E937" s="120"/>
      <c r="F937" s="120"/>
      <c r="G937" s="120"/>
      <c r="H937" s="120"/>
      <c r="I937" s="120"/>
      <c r="J937" s="120"/>
      <c r="K937" s="120"/>
      <c r="L937" s="120"/>
      <c r="M937" s="120"/>
      <c r="N937" s="120"/>
      <c r="O937" s="120"/>
      <c r="P937" s="120"/>
      <c r="Q937" s="120"/>
      <c r="R937" s="120"/>
      <c r="S937" s="120"/>
      <c r="T937" s="120"/>
      <c r="U937" s="120"/>
      <c r="V937" s="120"/>
      <c r="W937" s="120"/>
      <c r="X937" s="120"/>
      <c r="Y937" s="120"/>
      <c r="Z937" s="120"/>
      <c r="AA937" s="120"/>
      <c r="AB937" s="120"/>
      <c r="AC937" s="120"/>
      <c r="AD937" s="120"/>
    </row>
    <row r="938">
      <c r="A938" s="120"/>
      <c r="B938" s="120"/>
      <c r="C938" s="120"/>
      <c r="D938" s="120"/>
      <c r="E938" s="120"/>
      <c r="F938" s="120"/>
      <c r="G938" s="120"/>
      <c r="H938" s="120"/>
      <c r="I938" s="120"/>
      <c r="J938" s="120"/>
      <c r="K938" s="120"/>
      <c r="L938" s="120"/>
      <c r="M938" s="120"/>
      <c r="N938" s="120"/>
      <c r="O938" s="120"/>
      <c r="P938" s="120"/>
      <c r="Q938" s="120"/>
      <c r="R938" s="120"/>
      <c r="S938" s="120"/>
      <c r="T938" s="120"/>
      <c r="U938" s="120"/>
      <c r="V938" s="120"/>
      <c r="W938" s="120"/>
      <c r="X938" s="120"/>
      <c r="Y938" s="120"/>
      <c r="Z938" s="120"/>
      <c r="AA938" s="120"/>
      <c r="AB938" s="120"/>
      <c r="AC938" s="120"/>
      <c r="AD938" s="120"/>
    </row>
    <row r="939">
      <c r="A939" s="120"/>
      <c r="B939" s="120"/>
      <c r="C939" s="120"/>
      <c r="D939" s="120"/>
      <c r="E939" s="120"/>
      <c r="F939" s="120"/>
      <c r="G939" s="120"/>
      <c r="H939" s="120"/>
      <c r="I939" s="120"/>
      <c r="J939" s="120"/>
      <c r="K939" s="120"/>
      <c r="L939" s="120"/>
      <c r="M939" s="120"/>
      <c r="N939" s="120"/>
      <c r="O939" s="120"/>
      <c r="P939" s="120"/>
      <c r="Q939" s="120"/>
      <c r="R939" s="120"/>
      <c r="S939" s="120"/>
      <c r="T939" s="120"/>
      <c r="U939" s="120"/>
      <c r="V939" s="120"/>
      <c r="W939" s="120"/>
      <c r="X939" s="120"/>
      <c r="Y939" s="120"/>
      <c r="Z939" s="120"/>
      <c r="AA939" s="120"/>
      <c r="AB939" s="120"/>
      <c r="AC939" s="120"/>
      <c r="AD939" s="120"/>
    </row>
    <row r="940">
      <c r="A940" s="120"/>
      <c r="B940" s="120"/>
      <c r="C940" s="120"/>
      <c r="D940" s="120"/>
      <c r="E940" s="120"/>
      <c r="F940" s="120"/>
      <c r="G940" s="120"/>
      <c r="H940" s="120"/>
      <c r="I940" s="120"/>
      <c r="J940" s="120"/>
      <c r="K940" s="120"/>
      <c r="L940" s="120"/>
      <c r="M940" s="120"/>
      <c r="N940" s="120"/>
      <c r="O940" s="120"/>
      <c r="P940" s="120"/>
      <c r="Q940" s="120"/>
      <c r="R940" s="120"/>
      <c r="S940" s="120"/>
      <c r="T940" s="120"/>
      <c r="U940" s="120"/>
      <c r="V940" s="120"/>
      <c r="W940" s="120"/>
      <c r="X940" s="120"/>
      <c r="Y940" s="120"/>
      <c r="Z940" s="120"/>
      <c r="AA940" s="120"/>
      <c r="AB940" s="120"/>
      <c r="AC940" s="120"/>
      <c r="AD940" s="120"/>
    </row>
    <row r="941">
      <c r="A941" s="120"/>
      <c r="B941" s="120"/>
      <c r="C941" s="120"/>
      <c r="D941" s="120"/>
      <c r="E941" s="120"/>
      <c r="F941" s="120"/>
      <c r="G941" s="120"/>
      <c r="H941" s="120"/>
      <c r="I941" s="120"/>
      <c r="J941" s="120"/>
      <c r="K941" s="120"/>
      <c r="L941" s="120"/>
      <c r="M941" s="120"/>
      <c r="N941" s="120"/>
      <c r="O941" s="120"/>
      <c r="P941" s="120"/>
      <c r="Q941" s="120"/>
      <c r="R941" s="120"/>
      <c r="S941" s="120"/>
      <c r="T941" s="120"/>
      <c r="U941" s="120"/>
      <c r="V941" s="120"/>
      <c r="W941" s="120"/>
      <c r="X941" s="120"/>
      <c r="Y941" s="120"/>
      <c r="Z941" s="120"/>
      <c r="AA941" s="120"/>
      <c r="AB941" s="120"/>
      <c r="AC941" s="120"/>
      <c r="AD941" s="120"/>
    </row>
    <row r="942">
      <c r="A942" s="120"/>
      <c r="B942" s="120"/>
      <c r="C942" s="120"/>
      <c r="D942" s="120"/>
      <c r="E942" s="120"/>
      <c r="F942" s="120"/>
      <c r="G942" s="120"/>
      <c r="H942" s="120"/>
      <c r="I942" s="120"/>
      <c r="J942" s="120"/>
      <c r="K942" s="120"/>
      <c r="L942" s="120"/>
      <c r="M942" s="120"/>
      <c r="N942" s="120"/>
      <c r="O942" s="120"/>
      <c r="P942" s="120"/>
      <c r="Q942" s="120"/>
      <c r="R942" s="120"/>
      <c r="S942" s="120"/>
      <c r="T942" s="120"/>
      <c r="U942" s="120"/>
      <c r="V942" s="120"/>
      <c r="W942" s="120"/>
      <c r="X942" s="120"/>
      <c r="Y942" s="120"/>
      <c r="Z942" s="120"/>
      <c r="AA942" s="120"/>
      <c r="AB942" s="120"/>
      <c r="AC942" s="120"/>
      <c r="AD942" s="120"/>
    </row>
    <row r="943">
      <c r="A943" s="120"/>
      <c r="B943" s="120"/>
      <c r="C943" s="120"/>
      <c r="D943" s="120"/>
      <c r="E943" s="120"/>
      <c r="F943" s="120"/>
      <c r="G943" s="120"/>
      <c r="H943" s="120"/>
      <c r="I943" s="120"/>
      <c r="J943" s="120"/>
      <c r="K943" s="120"/>
      <c r="L943" s="120"/>
      <c r="M943" s="120"/>
      <c r="N943" s="120"/>
      <c r="O943" s="120"/>
      <c r="P943" s="120"/>
      <c r="Q943" s="120"/>
      <c r="R943" s="120"/>
      <c r="S943" s="120"/>
      <c r="T943" s="120"/>
      <c r="U943" s="120"/>
      <c r="V943" s="120"/>
      <c r="W943" s="120"/>
      <c r="X943" s="120"/>
      <c r="Y943" s="120"/>
      <c r="Z943" s="120"/>
      <c r="AA943" s="120"/>
      <c r="AB943" s="120"/>
      <c r="AC943" s="120"/>
      <c r="AD943" s="120"/>
    </row>
    <row r="944">
      <c r="A944" s="120"/>
      <c r="B944" s="120"/>
      <c r="C944" s="120"/>
      <c r="D944" s="120"/>
      <c r="E944" s="120"/>
      <c r="F944" s="120"/>
      <c r="G944" s="120"/>
      <c r="H944" s="120"/>
      <c r="I944" s="120"/>
      <c r="J944" s="120"/>
      <c r="K944" s="120"/>
      <c r="L944" s="120"/>
      <c r="M944" s="120"/>
      <c r="N944" s="120"/>
      <c r="O944" s="120"/>
      <c r="P944" s="120"/>
      <c r="Q944" s="120"/>
      <c r="R944" s="120"/>
      <c r="S944" s="120"/>
      <c r="T944" s="120"/>
      <c r="U944" s="120"/>
      <c r="V944" s="120"/>
      <c r="W944" s="120"/>
      <c r="X944" s="120"/>
      <c r="Y944" s="120"/>
      <c r="Z944" s="120"/>
      <c r="AA944" s="120"/>
      <c r="AB944" s="120"/>
      <c r="AC944" s="120"/>
      <c r="AD944" s="120"/>
    </row>
    <row r="945">
      <c r="A945" s="120"/>
      <c r="B945" s="120"/>
      <c r="C945" s="120"/>
      <c r="D945" s="120"/>
      <c r="E945" s="120"/>
      <c r="F945" s="120"/>
      <c r="G945" s="120"/>
      <c r="H945" s="120"/>
      <c r="I945" s="120"/>
      <c r="J945" s="120"/>
      <c r="K945" s="120"/>
      <c r="L945" s="120"/>
      <c r="M945" s="120"/>
      <c r="N945" s="120"/>
      <c r="O945" s="120"/>
      <c r="P945" s="120"/>
      <c r="Q945" s="120"/>
      <c r="R945" s="120"/>
      <c r="S945" s="120"/>
      <c r="T945" s="120"/>
      <c r="U945" s="120"/>
      <c r="V945" s="120"/>
      <c r="W945" s="120"/>
      <c r="X945" s="120"/>
      <c r="Y945" s="120"/>
      <c r="Z945" s="120"/>
      <c r="AA945" s="120"/>
      <c r="AB945" s="120"/>
      <c r="AC945" s="120"/>
      <c r="AD945" s="120"/>
    </row>
    <row r="946">
      <c r="A946" s="120"/>
      <c r="B946" s="120"/>
      <c r="C946" s="120"/>
      <c r="D946" s="120"/>
      <c r="E946" s="120"/>
      <c r="F946" s="120"/>
      <c r="G946" s="120"/>
      <c r="H946" s="120"/>
      <c r="I946" s="120"/>
      <c r="J946" s="120"/>
      <c r="K946" s="120"/>
      <c r="L946" s="120"/>
      <c r="M946" s="120"/>
      <c r="N946" s="120"/>
      <c r="O946" s="120"/>
      <c r="P946" s="120"/>
      <c r="Q946" s="120"/>
      <c r="R946" s="120"/>
      <c r="S946" s="120"/>
      <c r="T946" s="120"/>
      <c r="U946" s="120"/>
      <c r="V946" s="120"/>
      <c r="W946" s="120"/>
      <c r="X946" s="120"/>
      <c r="Y946" s="120"/>
      <c r="Z946" s="120"/>
      <c r="AA946" s="120"/>
      <c r="AB946" s="120"/>
      <c r="AC946" s="120"/>
      <c r="AD946" s="120"/>
    </row>
    <row r="947">
      <c r="A947" s="120"/>
      <c r="B947" s="120"/>
      <c r="C947" s="120"/>
      <c r="D947" s="120"/>
      <c r="E947" s="120"/>
      <c r="F947" s="120"/>
      <c r="G947" s="120"/>
      <c r="H947" s="120"/>
      <c r="I947" s="120"/>
      <c r="J947" s="120"/>
      <c r="K947" s="120"/>
      <c r="L947" s="120"/>
      <c r="M947" s="120"/>
      <c r="N947" s="120"/>
      <c r="O947" s="120"/>
      <c r="P947" s="120"/>
      <c r="Q947" s="120"/>
      <c r="R947" s="120"/>
      <c r="S947" s="120"/>
      <c r="T947" s="120"/>
      <c r="U947" s="120"/>
      <c r="V947" s="120"/>
      <c r="W947" s="120"/>
      <c r="X947" s="120"/>
      <c r="Y947" s="120"/>
      <c r="Z947" s="120"/>
      <c r="AA947" s="120"/>
      <c r="AB947" s="120"/>
      <c r="AC947" s="120"/>
      <c r="AD947" s="120"/>
    </row>
    <row r="948">
      <c r="A948" s="120"/>
      <c r="B948" s="120"/>
      <c r="C948" s="120"/>
      <c r="D948" s="120"/>
      <c r="E948" s="120"/>
      <c r="F948" s="120"/>
      <c r="G948" s="120"/>
      <c r="H948" s="120"/>
      <c r="I948" s="120"/>
      <c r="J948" s="120"/>
      <c r="K948" s="120"/>
      <c r="L948" s="120"/>
      <c r="M948" s="120"/>
      <c r="N948" s="120"/>
      <c r="O948" s="120"/>
      <c r="P948" s="120"/>
      <c r="Q948" s="120"/>
      <c r="R948" s="120"/>
      <c r="S948" s="120"/>
      <c r="T948" s="120"/>
      <c r="U948" s="120"/>
      <c r="V948" s="120"/>
      <c r="W948" s="120"/>
      <c r="X948" s="120"/>
      <c r="Y948" s="120"/>
      <c r="Z948" s="120"/>
      <c r="AA948" s="120"/>
      <c r="AB948" s="120"/>
      <c r="AC948" s="120"/>
      <c r="AD948" s="120"/>
    </row>
    <row r="949">
      <c r="A949" s="120"/>
      <c r="B949" s="120"/>
      <c r="C949" s="120"/>
      <c r="D949" s="120"/>
      <c r="E949" s="120"/>
      <c r="F949" s="120"/>
      <c r="G949" s="120"/>
      <c r="H949" s="120"/>
      <c r="I949" s="120"/>
      <c r="J949" s="120"/>
      <c r="K949" s="120"/>
      <c r="L949" s="120"/>
      <c r="M949" s="120"/>
      <c r="N949" s="120"/>
      <c r="O949" s="120"/>
      <c r="P949" s="120"/>
      <c r="Q949" s="120"/>
      <c r="R949" s="120"/>
      <c r="S949" s="120"/>
      <c r="T949" s="120"/>
      <c r="U949" s="120"/>
      <c r="V949" s="120"/>
      <c r="W949" s="120"/>
      <c r="X949" s="120"/>
      <c r="Y949" s="120"/>
      <c r="Z949" s="120"/>
      <c r="AA949" s="120"/>
      <c r="AB949" s="120"/>
      <c r="AC949" s="120"/>
      <c r="AD949" s="120"/>
    </row>
    <row r="950">
      <c r="A950" s="120"/>
      <c r="B950" s="120"/>
      <c r="C950" s="120"/>
      <c r="D950" s="120"/>
      <c r="E950" s="120"/>
      <c r="F950" s="120"/>
      <c r="G950" s="120"/>
      <c r="H950" s="120"/>
      <c r="I950" s="120"/>
      <c r="J950" s="120"/>
      <c r="K950" s="120"/>
      <c r="L950" s="120"/>
      <c r="M950" s="120"/>
      <c r="N950" s="120"/>
      <c r="O950" s="120"/>
      <c r="P950" s="120"/>
      <c r="Q950" s="120"/>
      <c r="R950" s="120"/>
      <c r="S950" s="120"/>
      <c r="T950" s="120"/>
      <c r="U950" s="120"/>
      <c r="V950" s="120"/>
      <c r="W950" s="120"/>
      <c r="X950" s="120"/>
      <c r="Y950" s="120"/>
      <c r="Z950" s="120"/>
      <c r="AA950" s="120"/>
      <c r="AB950" s="120"/>
      <c r="AC950" s="120"/>
      <c r="AD950" s="120"/>
    </row>
    <row r="951">
      <c r="A951" s="120"/>
      <c r="B951" s="120"/>
      <c r="C951" s="120"/>
      <c r="D951" s="120"/>
      <c r="E951" s="120"/>
      <c r="F951" s="120"/>
      <c r="G951" s="120"/>
      <c r="H951" s="120"/>
      <c r="I951" s="120"/>
      <c r="J951" s="120"/>
      <c r="K951" s="120"/>
      <c r="L951" s="120"/>
      <c r="M951" s="120"/>
      <c r="N951" s="120"/>
      <c r="O951" s="120"/>
      <c r="P951" s="120"/>
      <c r="Q951" s="120"/>
      <c r="R951" s="120"/>
      <c r="S951" s="120"/>
      <c r="T951" s="120"/>
      <c r="U951" s="120"/>
      <c r="V951" s="120"/>
      <c r="W951" s="120"/>
      <c r="X951" s="120"/>
      <c r="Y951" s="120"/>
      <c r="Z951" s="120"/>
      <c r="AA951" s="120"/>
      <c r="AB951" s="120"/>
      <c r="AC951" s="120"/>
      <c r="AD951" s="120"/>
    </row>
    <row r="952">
      <c r="A952" s="120"/>
      <c r="B952" s="120"/>
      <c r="C952" s="120"/>
      <c r="D952" s="120"/>
      <c r="E952" s="120"/>
      <c r="F952" s="120"/>
      <c r="G952" s="120"/>
      <c r="H952" s="120"/>
      <c r="I952" s="120"/>
      <c r="J952" s="120"/>
      <c r="K952" s="120"/>
      <c r="L952" s="120"/>
      <c r="M952" s="120"/>
      <c r="N952" s="120"/>
      <c r="O952" s="120"/>
      <c r="P952" s="120"/>
      <c r="Q952" s="120"/>
      <c r="R952" s="120"/>
      <c r="S952" s="120"/>
      <c r="T952" s="120"/>
      <c r="U952" s="120"/>
      <c r="V952" s="120"/>
      <c r="W952" s="120"/>
      <c r="X952" s="120"/>
      <c r="Y952" s="120"/>
      <c r="Z952" s="120"/>
      <c r="AA952" s="120"/>
      <c r="AB952" s="120"/>
      <c r="AC952" s="120"/>
      <c r="AD952" s="120"/>
    </row>
    <row r="953">
      <c r="A953" s="120"/>
      <c r="B953" s="120"/>
      <c r="C953" s="120"/>
      <c r="D953" s="120"/>
      <c r="E953" s="120"/>
      <c r="F953" s="120"/>
      <c r="G953" s="120"/>
      <c r="H953" s="120"/>
      <c r="I953" s="120"/>
      <c r="J953" s="120"/>
      <c r="K953" s="120"/>
      <c r="L953" s="120"/>
      <c r="M953" s="120"/>
      <c r="N953" s="120"/>
      <c r="O953" s="120"/>
      <c r="P953" s="120"/>
      <c r="Q953" s="120"/>
      <c r="R953" s="120"/>
      <c r="S953" s="120"/>
      <c r="T953" s="120"/>
      <c r="U953" s="120"/>
      <c r="V953" s="120"/>
      <c r="W953" s="120"/>
      <c r="X953" s="120"/>
      <c r="Y953" s="120"/>
      <c r="Z953" s="120"/>
      <c r="AA953" s="120"/>
      <c r="AB953" s="120"/>
      <c r="AC953" s="120"/>
      <c r="AD953" s="120"/>
    </row>
    <row r="954">
      <c r="A954" s="120"/>
      <c r="B954" s="120"/>
      <c r="C954" s="120"/>
      <c r="D954" s="120"/>
      <c r="E954" s="120"/>
      <c r="F954" s="120"/>
      <c r="G954" s="120"/>
      <c r="H954" s="120"/>
      <c r="I954" s="120"/>
      <c r="J954" s="120"/>
      <c r="K954" s="120"/>
      <c r="L954" s="120"/>
      <c r="M954" s="120"/>
      <c r="N954" s="120"/>
      <c r="O954" s="120"/>
      <c r="P954" s="120"/>
      <c r="Q954" s="120"/>
      <c r="R954" s="120"/>
      <c r="S954" s="120"/>
      <c r="T954" s="120"/>
      <c r="U954" s="120"/>
      <c r="V954" s="120"/>
      <c r="W954" s="120"/>
      <c r="X954" s="120"/>
      <c r="Y954" s="120"/>
      <c r="Z954" s="120"/>
      <c r="AA954" s="120"/>
      <c r="AB954" s="120"/>
      <c r="AC954" s="120"/>
      <c r="AD954" s="120"/>
    </row>
    <row r="955">
      <c r="A955" s="120"/>
      <c r="B955" s="120"/>
      <c r="C955" s="120"/>
      <c r="D955" s="120"/>
      <c r="E955" s="120"/>
      <c r="F955" s="120"/>
      <c r="G955" s="120"/>
      <c r="H955" s="120"/>
      <c r="I955" s="120"/>
      <c r="J955" s="120"/>
      <c r="K955" s="120"/>
      <c r="L955" s="120"/>
      <c r="M955" s="120"/>
      <c r="N955" s="120"/>
      <c r="O955" s="120"/>
      <c r="P955" s="120"/>
      <c r="Q955" s="120"/>
      <c r="R955" s="120"/>
      <c r="S955" s="120"/>
      <c r="T955" s="120"/>
      <c r="U955" s="120"/>
      <c r="V955" s="120"/>
      <c r="W955" s="120"/>
      <c r="X955" s="120"/>
      <c r="Y955" s="120"/>
      <c r="Z955" s="120"/>
      <c r="AA955" s="120"/>
      <c r="AB955" s="120"/>
      <c r="AC955" s="120"/>
      <c r="AD955" s="120"/>
    </row>
    <row r="956">
      <c r="A956" s="120"/>
      <c r="B956" s="120"/>
      <c r="C956" s="120"/>
      <c r="D956" s="120"/>
      <c r="E956" s="120"/>
      <c r="F956" s="120"/>
      <c r="G956" s="120"/>
      <c r="H956" s="120"/>
      <c r="I956" s="120"/>
      <c r="J956" s="120"/>
      <c r="K956" s="120"/>
      <c r="L956" s="120"/>
      <c r="M956" s="120"/>
      <c r="N956" s="120"/>
      <c r="O956" s="120"/>
      <c r="P956" s="120"/>
      <c r="Q956" s="120"/>
      <c r="R956" s="120"/>
      <c r="S956" s="120"/>
      <c r="T956" s="120"/>
      <c r="U956" s="120"/>
      <c r="V956" s="120"/>
      <c r="W956" s="120"/>
      <c r="X956" s="120"/>
      <c r="Y956" s="120"/>
      <c r="Z956" s="120"/>
      <c r="AA956" s="120"/>
      <c r="AB956" s="120"/>
      <c r="AC956" s="120"/>
      <c r="AD956" s="120"/>
    </row>
    <row r="957">
      <c r="A957" s="120"/>
      <c r="B957" s="120"/>
      <c r="C957" s="120"/>
      <c r="D957" s="120"/>
      <c r="E957" s="120"/>
      <c r="F957" s="120"/>
      <c r="G957" s="120"/>
      <c r="H957" s="120"/>
      <c r="I957" s="120"/>
      <c r="J957" s="120"/>
      <c r="K957" s="120"/>
      <c r="L957" s="120"/>
      <c r="M957" s="120"/>
      <c r="N957" s="120"/>
      <c r="O957" s="120"/>
      <c r="P957" s="120"/>
      <c r="Q957" s="120"/>
      <c r="R957" s="120"/>
      <c r="S957" s="120"/>
      <c r="T957" s="120"/>
      <c r="U957" s="120"/>
      <c r="V957" s="120"/>
      <c r="W957" s="120"/>
      <c r="X957" s="120"/>
      <c r="Y957" s="120"/>
      <c r="Z957" s="120"/>
      <c r="AA957" s="120"/>
      <c r="AB957" s="120"/>
      <c r="AC957" s="120"/>
      <c r="AD957" s="120"/>
    </row>
    <row r="958">
      <c r="A958" s="120"/>
      <c r="B958" s="120"/>
      <c r="C958" s="120"/>
      <c r="D958" s="120"/>
      <c r="E958" s="120"/>
      <c r="F958" s="120"/>
      <c r="G958" s="120"/>
      <c r="H958" s="120"/>
      <c r="I958" s="120"/>
      <c r="J958" s="120"/>
      <c r="K958" s="120"/>
      <c r="L958" s="120"/>
      <c r="M958" s="120"/>
      <c r="N958" s="120"/>
      <c r="O958" s="120"/>
      <c r="P958" s="120"/>
      <c r="Q958" s="120"/>
      <c r="R958" s="120"/>
      <c r="S958" s="120"/>
      <c r="T958" s="120"/>
      <c r="U958" s="120"/>
      <c r="V958" s="120"/>
      <c r="W958" s="120"/>
      <c r="X958" s="120"/>
      <c r="Y958" s="120"/>
      <c r="Z958" s="120"/>
      <c r="AA958" s="120"/>
      <c r="AB958" s="120"/>
      <c r="AC958" s="120"/>
      <c r="AD958" s="120"/>
    </row>
    <row r="959">
      <c r="A959" s="120"/>
      <c r="B959" s="120"/>
      <c r="C959" s="120"/>
      <c r="D959" s="120"/>
      <c r="E959" s="120"/>
      <c r="F959" s="120"/>
      <c r="G959" s="120"/>
      <c r="H959" s="120"/>
      <c r="I959" s="120"/>
      <c r="J959" s="120"/>
      <c r="K959" s="120"/>
      <c r="L959" s="120"/>
      <c r="M959" s="120"/>
      <c r="N959" s="120"/>
      <c r="O959" s="120"/>
      <c r="P959" s="120"/>
      <c r="Q959" s="120"/>
      <c r="R959" s="120"/>
      <c r="S959" s="120"/>
      <c r="T959" s="120"/>
      <c r="U959" s="120"/>
      <c r="V959" s="120"/>
      <c r="W959" s="120"/>
      <c r="X959" s="120"/>
      <c r="Y959" s="120"/>
      <c r="Z959" s="120"/>
      <c r="AA959" s="120"/>
      <c r="AB959" s="120"/>
      <c r="AC959" s="120"/>
      <c r="AD959" s="120"/>
    </row>
    <row r="960">
      <c r="A960" s="120"/>
      <c r="B960" s="120"/>
      <c r="C960" s="120"/>
      <c r="D960" s="120"/>
      <c r="E960" s="120"/>
      <c r="F960" s="120"/>
      <c r="G960" s="120"/>
      <c r="H960" s="120"/>
      <c r="I960" s="120"/>
      <c r="J960" s="120"/>
      <c r="K960" s="120"/>
      <c r="L960" s="120"/>
      <c r="M960" s="120"/>
      <c r="N960" s="120"/>
      <c r="O960" s="120"/>
      <c r="P960" s="120"/>
      <c r="Q960" s="120"/>
      <c r="R960" s="120"/>
      <c r="S960" s="120"/>
      <c r="T960" s="120"/>
      <c r="U960" s="120"/>
      <c r="V960" s="120"/>
      <c r="W960" s="120"/>
      <c r="X960" s="120"/>
      <c r="Y960" s="120"/>
      <c r="Z960" s="120"/>
      <c r="AA960" s="120"/>
      <c r="AB960" s="120"/>
      <c r="AC960" s="120"/>
      <c r="AD960" s="120"/>
    </row>
    <row r="961">
      <c r="A961" s="120"/>
      <c r="B961" s="120"/>
      <c r="C961" s="120"/>
      <c r="D961" s="120"/>
      <c r="E961" s="120"/>
      <c r="F961" s="120"/>
      <c r="G961" s="120"/>
      <c r="H961" s="120"/>
      <c r="I961" s="120"/>
      <c r="J961" s="120"/>
      <c r="K961" s="120"/>
      <c r="L961" s="120"/>
      <c r="M961" s="120"/>
      <c r="N961" s="120"/>
      <c r="O961" s="120"/>
      <c r="P961" s="120"/>
      <c r="Q961" s="120"/>
      <c r="R961" s="120"/>
      <c r="S961" s="120"/>
      <c r="T961" s="120"/>
      <c r="U961" s="120"/>
      <c r="V961" s="120"/>
      <c r="W961" s="120"/>
      <c r="X961" s="120"/>
      <c r="Y961" s="120"/>
      <c r="Z961" s="120"/>
      <c r="AA961" s="120"/>
      <c r="AB961" s="120"/>
      <c r="AC961" s="120"/>
      <c r="AD961" s="120"/>
    </row>
    <row r="962">
      <c r="A962" s="120"/>
      <c r="B962" s="120"/>
      <c r="C962" s="120"/>
      <c r="D962" s="120"/>
      <c r="E962" s="120"/>
      <c r="F962" s="120"/>
      <c r="G962" s="120"/>
      <c r="H962" s="120"/>
      <c r="I962" s="120"/>
      <c r="J962" s="120"/>
      <c r="K962" s="120"/>
      <c r="L962" s="120"/>
      <c r="M962" s="120"/>
      <c r="N962" s="120"/>
      <c r="O962" s="120"/>
      <c r="P962" s="120"/>
      <c r="Q962" s="120"/>
      <c r="R962" s="120"/>
      <c r="S962" s="120"/>
      <c r="T962" s="120"/>
      <c r="U962" s="120"/>
      <c r="V962" s="120"/>
      <c r="W962" s="120"/>
      <c r="X962" s="120"/>
      <c r="Y962" s="120"/>
      <c r="Z962" s="120"/>
      <c r="AA962" s="120"/>
      <c r="AB962" s="120"/>
      <c r="AC962" s="120"/>
      <c r="AD962" s="120"/>
    </row>
    <row r="963">
      <c r="A963" s="120"/>
      <c r="B963" s="120"/>
      <c r="C963" s="120"/>
      <c r="D963" s="120"/>
      <c r="E963" s="120"/>
      <c r="F963" s="120"/>
      <c r="G963" s="120"/>
      <c r="H963" s="120"/>
      <c r="I963" s="120"/>
      <c r="J963" s="120"/>
      <c r="K963" s="120"/>
      <c r="L963" s="120"/>
      <c r="M963" s="120"/>
      <c r="N963" s="120"/>
      <c r="O963" s="120"/>
      <c r="P963" s="120"/>
      <c r="Q963" s="120"/>
      <c r="R963" s="120"/>
      <c r="S963" s="120"/>
      <c r="T963" s="120"/>
      <c r="U963" s="120"/>
      <c r="V963" s="120"/>
      <c r="W963" s="120"/>
      <c r="X963" s="120"/>
      <c r="Y963" s="120"/>
      <c r="Z963" s="120"/>
      <c r="AA963" s="120"/>
      <c r="AB963" s="120"/>
      <c r="AC963" s="120"/>
      <c r="AD963" s="120"/>
    </row>
    <row r="964">
      <c r="A964" s="120"/>
      <c r="B964" s="120"/>
      <c r="C964" s="120"/>
      <c r="D964" s="120"/>
      <c r="E964" s="120"/>
      <c r="F964" s="120"/>
      <c r="G964" s="120"/>
      <c r="H964" s="120"/>
      <c r="I964" s="120"/>
      <c r="J964" s="120"/>
      <c r="K964" s="120"/>
      <c r="L964" s="120"/>
      <c r="M964" s="120"/>
      <c r="N964" s="120"/>
      <c r="O964" s="120"/>
      <c r="P964" s="120"/>
      <c r="Q964" s="120"/>
      <c r="R964" s="120"/>
      <c r="S964" s="120"/>
      <c r="T964" s="120"/>
      <c r="U964" s="120"/>
      <c r="V964" s="120"/>
      <c r="W964" s="120"/>
      <c r="X964" s="120"/>
      <c r="Y964" s="120"/>
      <c r="Z964" s="120"/>
      <c r="AA964" s="120"/>
      <c r="AB964" s="120"/>
      <c r="AC964" s="120"/>
      <c r="AD964" s="120"/>
    </row>
    <row r="965">
      <c r="A965" s="120"/>
      <c r="B965" s="120"/>
      <c r="C965" s="120"/>
      <c r="D965" s="120"/>
      <c r="E965" s="120"/>
      <c r="F965" s="120"/>
      <c r="G965" s="120"/>
      <c r="H965" s="120"/>
      <c r="I965" s="120"/>
      <c r="J965" s="120"/>
      <c r="K965" s="120"/>
      <c r="L965" s="120"/>
      <c r="M965" s="120"/>
      <c r="N965" s="120"/>
      <c r="O965" s="120"/>
      <c r="P965" s="120"/>
      <c r="Q965" s="120"/>
      <c r="R965" s="120"/>
      <c r="S965" s="120"/>
      <c r="T965" s="120"/>
      <c r="U965" s="120"/>
      <c r="V965" s="120"/>
      <c r="W965" s="120"/>
      <c r="X965" s="120"/>
      <c r="Y965" s="120"/>
      <c r="Z965" s="120"/>
      <c r="AA965" s="120"/>
      <c r="AB965" s="120"/>
      <c r="AC965" s="120"/>
      <c r="AD965" s="120"/>
    </row>
    <row r="966">
      <c r="A966" s="120"/>
      <c r="B966" s="120"/>
      <c r="C966" s="120"/>
      <c r="D966" s="120"/>
      <c r="E966" s="120"/>
      <c r="F966" s="120"/>
      <c r="G966" s="120"/>
      <c r="H966" s="120"/>
      <c r="I966" s="120"/>
      <c r="J966" s="120"/>
      <c r="K966" s="120"/>
      <c r="L966" s="120"/>
      <c r="M966" s="120"/>
      <c r="N966" s="120"/>
      <c r="O966" s="120"/>
      <c r="P966" s="120"/>
      <c r="Q966" s="120"/>
      <c r="R966" s="120"/>
      <c r="S966" s="120"/>
      <c r="T966" s="120"/>
      <c r="U966" s="120"/>
      <c r="V966" s="120"/>
      <c r="W966" s="120"/>
      <c r="X966" s="120"/>
      <c r="Y966" s="120"/>
      <c r="Z966" s="120"/>
      <c r="AA966" s="120"/>
      <c r="AB966" s="120"/>
      <c r="AC966" s="120"/>
      <c r="AD966" s="120"/>
    </row>
    <row r="967">
      <c r="A967" s="120"/>
      <c r="B967" s="120"/>
      <c r="C967" s="120"/>
      <c r="D967" s="120"/>
      <c r="E967" s="120"/>
      <c r="F967" s="120"/>
      <c r="G967" s="120"/>
      <c r="H967" s="120"/>
      <c r="I967" s="120"/>
      <c r="J967" s="120"/>
      <c r="K967" s="120"/>
      <c r="L967" s="120"/>
      <c r="M967" s="120"/>
      <c r="N967" s="120"/>
      <c r="O967" s="120"/>
      <c r="P967" s="120"/>
      <c r="Q967" s="120"/>
      <c r="R967" s="120"/>
      <c r="S967" s="120"/>
      <c r="T967" s="120"/>
      <c r="U967" s="120"/>
      <c r="V967" s="120"/>
      <c r="W967" s="120"/>
      <c r="X967" s="120"/>
      <c r="Y967" s="120"/>
      <c r="Z967" s="120"/>
      <c r="AA967" s="120"/>
      <c r="AB967" s="120"/>
      <c r="AC967" s="120"/>
      <c r="AD967" s="120"/>
    </row>
    <row r="968">
      <c r="A968" s="120"/>
      <c r="B968" s="120"/>
      <c r="C968" s="120"/>
      <c r="D968" s="120"/>
      <c r="E968" s="120"/>
      <c r="F968" s="120"/>
      <c r="G968" s="120"/>
      <c r="H968" s="120"/>
      <c r="I968" s="120"/>
      <c r="J968" s="120"/>
      <c r="K968" s="120"/>
      <c r="L968" s="120"/>
      <c r="M968" s="120"/>
      <c r="N968" s="120"/>
      <c r="O968" s="120"/>
      <c r="P968" s="120"/>
      <c r="Q968" s="120"/>
      <c r="R968" s="120"/>
      <c r="S968" s="120"/>
      <c r="T968" s="120"/>
      <c r="U968" s="120"/>
      <c r="V968" s="120"/>
      <c r="W968" s="120"/>
      <c r="X968" s="120"/>
      <c r="Y968" s="120"/>
      <c r="Z968" s="120"/>
      <c r="AA968" s="120"/>
      <c r="AB968" s="120"/>
      <c r="AC968" s="120"/>
      <c r="AD968" s="120"/>
    </row>
    <row r="969">
      <c r="A969" s="120"/>
      <c r="B969" s="120"/>
      <c r="C969" s="120"/>
      <c r="D969" s="120"/>
      <c r="E969" s="120"/>
      <c r="F969" s="120"/>
      <c r="G969" s="120"/>
      <c r="H969" s="120"/>
      <c r="I969" s="120"/>
      <c r="J969" s="120"/>
      <c r="K969" s="120"/>
      <c r="L969" s="120"/>
      <c r="M969" s="120"/>
      <c r="N969" s="120"/>
      <c r="O969" s="120"/>
      <c r="P969" s="120"/>
      <c r="Q969" s="120"/>
      <c r="R969" s="120"/>
      <c r="S969" s="120"/>
      <c r="T969" s="120"/>
      <c r="U969" s="120"/>
      <c r="V969" s="120"/>
      <c r="W969" s="120"/>
      <c r="X969" s="120"/>
      <c r="Y969" s="120"/>
      <c r="Z969" s="120"/>
      <c r="AA969" s="120"/>
      <c r="AB969" s="120"/>
      <c r="AC969" s="120"/>
      <c r="AD969" s="120"/>
    </row>
    <row r="970">
      <c r="A970" s="120"/>
      <c r="B970" s="120"/>
      <c r="C970" s="120"/>
      <c r="D970" s="120"/>
      <c r="E970" s="120"/>
      <c r="F970" s="120"/>
      <c r="G970" s="120"/>
      <c r="H970" s="120"/>
      <c r="I970" s="120"/>
      <c r="J970" s="120"/>
      <c r="K970" s="120"/>
      <c r="L970" s="120"/>
      <c r="M970" s="120"/>
      <c r="N970" s="120"/>
      <c r="O970" s="120"/>
      <c r="P970" s="120"/>
      <c r="Q970" s="120"/>
      <c r="R970" s="120"/>
      <c r="S970" s="120"/>
      <c r="T970" s="120"/>
      <c r="U970" s="120"/>
      <c r="V970" s="120"/>
      <c r="W970" s="120"/>
      <c r="X970" s="120"/>
      <c r="Y970" s="120"/>
      <c r="Z970" s="120"/>
      <c r="AA970" s="120"/>
      <c r="AB970" s="120"/>
      <c r="AC970" s="120"/>
      <c r="AD970" s="120"/>
    </row>
    <row r="971">
      <c r="A971" s="120"/>
      <c r="B971" s="120"/>
      <c r="C971" s="120"/>
      <c r="D971" s="120"/>
      <c r="E971" s="120"/>
      <c r="F971" s="120"/>
      <c r="G971" s="120"/>
      <c r="H971" s="120"/>
      <c r="I971" s="120"/>
      <c r="J971" s="120"/>
      <c r="K971" s="120"/>
      <c r="L971" s="120"/>
      <c r="M971" s="120"/>
      <c r="N971" s="120"/>
      <c r="O971" s="120"/>
      <c r="P971" s="120"/>
      <c r="Q971" s="120"/>
      <c r="R971" s="120"/>
      <c r="S971" s="120"/>
      <c r="T971" s="120"/>
      <c r="U971" s="120"/>
      <c r="V971" s="120"/>
      <c r="W971" s="120"/>
      <c r="X971" s="120"/>
      <c r="Y971" s="120"/>
      <c r="Z971" s="120"/>
      <c r="AA971" s="120"/>
      <c r="AB971" s="120"/>
      <c r="AC971" s="120"/>
      <c r="AD971" s="120"/>
    </row>
    <row r="972">
      <c r="A972" s="120"/>
      <c r="B972" s="120"/>
      <c r="C972" s="120"/>
      <c r="D972" s="120"/>
      <c r="E972" s="120"/>
      <c r="F972" s="120"/>
      <c r="G972" s="120"/>
      <c r="H972" s="120"/>
      <c r="I972" s="120"/>
      <c r="J972" s="120"/>
      <c r="K972" s="120"/>
      <c r="L972" s="120"/>
      <c r="M972" s="120"/>
      <c r="N972" s="120"/>
      <c r="O972" s="120"/>
      <c r="P972" s="120"/>
      <c r="Q972" s="120"/>
      <c r="R972" s="120"/>
      <c r="S972" s="120"/>
      <c r="T972" s="120"/>
      <c r="U972" s="120"/>
      <c r="V972" s="120"/>
      <c r="W972" s="120"/>
      <c r="X972" s="120"/>
      <c r="Y972" s="120"/>
      <c r="Z972" s="120"/>
      <c r="AA972" s="120"/>
      <c r="AB972" s="120"/>
      <c r="AC972" s="120"/>
      <c r="AD972" s="120"/>
    </row>
    <row r="973">
      <c r="A973" s="120"/>
      <c r="B973" s="120"/>
      <c r="C973" s="120"/>
      <c r="D973" s="120"/>
      <c r="E973" s="120"/>
      <c r="F973" s="120"/>
      <c r="G973" s="120"/>
      <c r="H973" s="120"/>
      <c r="I973" s="120"/>
      <c r="J973" s="120"/>
      <c r="K973" s="120"/>
      <c r="L973" s="120"/>
      <c r="M973" s="120"/>
      <c r="N973" s="120"/>
      <c r="O973" s="120"/>
      <c r="P973" s="120"/>
      <c r="Q973" s="120"/>
      <c r="R973" s="120"/>
      <c r="S973" s="120"/>
      <c r="T973" s="120"/>
      <c r="U973" s="120"/>
      <c r="V973" s="120"/>
      <c r="W973" s="120"/>
      <c r="X973" s="120"/>
      <c r="Y973" s="120"/>
      <c r="Z973" s="120"/>
      <c r="AA973" s="120"/>
      <c r="AB973" s="120"/>
      <c r="AC973" s="120"/>
      <c r="AD973" s="120"/>
    </row>
    <row r="974">
      <c r="A974" s="120"/>
      <c r="B974" s="120"/>
      <c r="C974" s="120"/>
      <c r="D974" s="120"/>
      <c r="E974" s="120"/>
      <c r="F974" s="120"/>
      <c r="G974" s="120"/>
      <c r="H974" s="120"/>
      <c r="I974" s="120"/>
      <c r="J974" s="120"/>
      <c r="K974" s="120"/>
      <c r="L974" s="120"/>
      <c r="M974" s="120"/>
      <c r="N974" s="120"/>
      <c r="O974" s="120"/>
      <c r="P974" s="120"/>
      <c r="Q974" s="120"/>
      <c r="R974" s="120"/>
      <c r="S974" s="120"/>
      <c r="T974" s="120"/>
      <c r="U974" s="120"/>
      <c r="V974" s="120"/>
      <c r="W974" s="120"/>
      <c r="X974" s="120"/>
      <c r="Y974" s="120"/>
      <c r="Z974" s="120"/>
      <c r="AA974" s="120"/>
      <c r="AB974" s="120"/>
      <c r="AC974" s="120"/>
      <c r="AD974" s="120"/>
    </row>
    <row r="975">
      <c r="A975" s="120"/>
      <c r="B975" s="120"/>
      <c r="C975" s="120"/>
      <c r="D975" s="120"/>
      <c r="E975" s="120"/>
      <c r="F975" s="120"/>
      <c r="G975" s="120"/>
      <c r="H975" s="120"/>
      <c r="I975" s="120"/>
      <c r="J975" s="120"/>
      <c r="K975" s="120"/>
      <c r="L975" s="120"/>
      <c r="M975" s="120"/>
      <c r="N975" s="120"/>
      <c r="O975" s="120"/>
      <c r="P975" s="120"/>
      <c r="Q975" s="120"/>
      <c r="R975" s="120"/>
      <c r="S975" s="120"/>
      <c r="T975" s="120"/>
      <c r="U975" s="120"/>
      <c r="V975" s="120"/>
      <c r="W975" s="120"/>
      <c r="X975" s="120"/>
      <c r="Y975" s="120"/>
      <c r="Z975" s="120"/>
      <c r="AA975" s="120"/>
      <c r="AB975" s="120"/>
      <c r="AC975" s="120"/>
      <c r="AD975" s="120"/>
    </row>
    <row r="976">
      <c r="A976" s="120"/>
      <c r="B976" s="120"/>
      <c r="C976" s="120"/>
      <c r="D976" s="120"/>
      <c r="E976" s="120"/>
      <c r="F976" s="120"/>
      <c r="G976" s="120"/>
      <c r="H976" s="120"/>
      <c r="I976" s="120"/>
      <c r="J976" s="120"/>
      <c r="K976" s="120"/>
      <c r="L976" s="120"/>
      <c r="M976" s="120"/>
      <c r="N976" s="120"/>
      <c r="O976" s="120"/>
      <c r="P976" s="120"/>
      <c r="Q976" s="120"/>
      <c r="R976" s="120"/>
      <c r="S976" s="120"/>
      <c r="T976" s="120"/>
      <c r="U976" s="120"/>
      <c r="V976" s="120"/>
      <c r="W976" s="120"/>
      <c r="X976" s="120"/>
      <c r="Y976" s="120"/>
      <c r="Z976" s="120"/>
      <c r="AA976" s="120"/>
      <c r="AB976" s="120"/>
      <c r="AC976" s="120"/>
      <c r="AD976" s="120"/>
    </row>
    <row r="977">
      <c r="A977" s="120"/>
      <c r="B977" s="120"/>
      <c r="C977" s="120"/>
      <c r="D977" s="120"/>
      <c r="E977" s="120"/>
      <c r="F977" s="120"/>
      <c r="G977" s="120"/>
      <c r="H977" s="120"/>
      <c r="I977" s="120"/>
      <c r="J977" s="120"/>
      <c r="K977" s="120"/>
      <c r="L977" s="120"/>
      <c r="M977" s="120"/>
      <c r="N977" s="120"/>
      <c r="O977" s="120"/>
      <c r="P977" s="120"/>
      <c r="Q977" s="120"/>
      <c r="R977" s="120"/>
      <c r="S977" s="120"/>
      <c r="T977" s="120"/>
      <c r="U977" s="120"/>
      <c r="V977" s="120"/>
      <c r="W977" s="120"/>
      <c r="X977" s="120"/>
      <c r="Y977" s="120"/>
      <c r="Z977" s="120"/>
      <c r="AA977" s="120"/>
      <c r="AB977" s="120"/>
      <c r="AC977" s="120"/>
      <c r="AD977" s="120"/>
    </row>
    <row r="978">
      <c r="A978" s="120"/>
      <c r="B978" s="120"/>
      <c r="C978" s="120"/>
      <c r="D978" s="120"/>
      <c r="E978" s="120"/>
      <c r="F978" s="120"/>
      <c r="G978" s="120"/>
      <c r="H978" s="120"/>
      <c r="I978" s="120"/>
      <c r="J978" s="120"/>
      <c r="K978" s="120"/>
      <c r="L978" s="120"/>
      <c r="M978" s="120"/>
      <c r="N978" s="120"/>
      <c r="O978" s="120"/>
      <c r="P978" s="120"/>
      <c r="Q978" s="120"/>
      <c r="R978" s="120"/>
      <c r="S978" s="120"/>
      <c r="T978" s="120"/>
      <c r="U978" s="120"/>
      <c r="V978" s="120"/>
      <c r="W978" s="120"/>
      <c r="X978" s="120"/>
      <c r="Y978" s="120"/>
      <c r="Z978" s="120"/>
      <c r="AA978" s="120"/>
      <c r="AB978" s="120"/>
      <c r="AC978" s="120"/>
      <c r="AD978" s="120"/>
    </row>
    <row r="979">
      <c r="A979" s="120"/>
      <c r="B979" s="120"/>
      <c r="C979" s="120"/>
      <c r="D979" s="120"/>
      <c r="E979" s="120"/>
      <c r="F979" s="120"/>
      <c r="G979" s="120"/>
      <c r="H979" s="120"/>
      <c r="I979" s="120"/>
      <c r="J979" s="120"/>
      <c r="K979" s="120"/>
      <c r="L979" s="120"/>
      <c r="M979" s="120"/>
      <c r="N979" s="120"/>
      <c r="O979" s="120"/>
      <c r="P979" s="120"/>
      <c r="Q979" s="120"/>
      <c r="R979" s="120"/>
      <c r="S979" s="120"/>
      <c r="T979" s="120"/>
      <c r="U979" s="120"/>
      <c r="V979" s="120"/>
      <c r="W979" s="120"/>
      <c r="X979" s="120"/>
      <c r="Y979" s="120"/>
      <c r="Z979" s="120"/>
      <c r="AA979" s="120"/>
      <c r="AB979" s="120"/>
      <c r="AC979" s="120"/>
      <c r="AD979" s="120"/>
    </row>
    <row r="980">
      <c r="A980" s="120"/>
      <c r="B980" s="120"/>
      <c r="C980" s="120"/>
      <c r="D980" s="120"/>
      <c r="E980" s="120"/>
      <c r="F980" s="120"/>
      <c r="G980" s="120"/>
      <c r="H980" s="120"/>
      <c r="I980" s="120"/>
      <c r="J980" s="120"/>
      <c r="K980" s="120"/>
      <c r="L980" s="120"/>
      <c r="M980" s="120"/>
      <c r="N980" s="120"/>
      <c r="O980" s="120"/>
      <c r="P980" s="120"/>
      <c r="Q980" s="120"/>
      <c r="R980" s="120"/>
      <c r="S980" s="120"/>
      <c r="T980" s="120"/>
      <c r="U980" s="120"/>
      <c r="V980" s="120"/>
      <c r="W980" s="120"/>
      <c r="X980" s="120"/>
      <c r="Y980" s="120"/>
      <c r="Z980" s="120"/>
      <c r="AA980" s="120"/>
      <c r="AB980" s="120"/>
      <c r="AC980" s="120"/>
      <c r="AD980" s="120"/>
    </row>
    <row r="981">
      <c r="A981" s="120"/>
      <c r="B981" s="120"/>
      <c r="C981" s="120"/>
      <c r="D981" s="120"/>
      <c r="E981" s="120"/>
      <c r="F981" s="120"/>
      <c r="G981" s="120"/>
      <c r="H981" s="120"/>
      <c r="I981" s="120"/>
      <c r="J981" s="120"/>
      <c r="K981" s="120"/>
      <c r="L981" s="120"/>
      <c r="M981" s="120"/>
      <c r="N981" s="120"/>
      <c r="O981" s="120"/>
      <c r="P981" s="120"/>
      <c r="Q981" s="120"/>
      <c r="R981" s="120"/>
      <c r="S981" s="120"/>
      <c r="T981" s="120"/>
      <c r="U981" s="120"/>
      <c r="V981" s="120"/>
      <c r="W981" s="120"/>
      <c r="X981" s="120"/>
      <c r="Y981" s="120"/>
      <c r="Z981" s="120"/>
      <c r="AA981" s="120"/>
      <c r="AB981" s="120"/>
      <c r="AC981" s="120"/>
      <c r="AD981" s="120"/>
    </row>
    <row r="982">
      <c r="A982" s="120"/>
      <c r="B982" s="120"/>
      <c r="C982" s="120"/>
      <c r="D982" s="120"/>
      <c r="E982" s="120"/>
      <c r="F982" s="120"/>
      <c r="G982" s="120"/>
      <c r="H982" s="120"/>
      <c r="I982" s="120"/>
      <c r="J982" s="120"/>
      <c r="K982" s="120"/>
      <c r="L982" s="120"/>
      <c r="M982" s="120"/>
      <c r="N982" s="120"/>
      <c r="O982" s="120"/>
      <c r="P982" s="120"/>
      <c r="Q982" s="120"/>
      <c r="R982" s="120"/>
      <c r="S982" s="120"/>
      <c r="T982" s="120"/>
      <c r="U982" s="120"/>
      <c r="V982" s="120"/>
      <c r="W982" s="120"/>
      <c r="X982" s="120"/>
      <c r="Y982" s="120"/>
      <c r="Z982" s="120"/>
      <c r="AA982" s="120"/>
      <c r="AB982" s="120"/>
      <c r="AC982" s="120"/>
      <c r="AD982" s="120"/>
    </row>
    <row r="983">
      <c r="A983" s="120"/>
      <c r="B983" s="120"/>
      <c r="C983" s="120"/>
      <c r="D983" s="120"/>
      <c r="E983" s="120"/>
      <c r="F983" s="120"/>
      <c r="G983" s="120"/>
      <c r="H983" s="120"/>
      <c r="I983" s="120"/>
      <c r="J983" s="120"/>
      <c r="K983" s="120"/>
      <c r="L983" s="120"/>
      <c r="M983" s="120"/>
      <c r="N983" s="120"/>
      <c r="O983" s="120"/>
      <c r="P983" s="120"/>
      <c r="Q983" s="120"/>
      <c r="R983" s="120"/>
      <c r="S983" s="120"/>
      <c r="T983" s="120"/>
      <c r="U983" s="120"/>
      <c r="V983" s="120"/>
      <c r="W983" s="120"/>
      <c r="X983" s="120"/>
      <c r="Y983" s="120"/>
      <c r="Z983" s="120"/>
      <c r="AA983" s="120"/>
      <c r="AB983" s="120"/>
      <c r="AC983" s="120"/>
      <c r="AD983" s="120"/>
    </row>
    <row r="984">
      <c r="A984" s="120"/>
      <c r="B984" s="120"/>
      <c r="C984" s="120"/>
      <c r="D984" s="120"/>
      <c r="E984" s="120"/>
      <c r="F984" s="120"/>
      <c r="G984" s="120"/>
      <c r="H984" s="120"/>
      <c r="I984" s="120"/>
      <c r="J984" s="120"/>
      <c r="K984" s="120"/>
      <c r="L984" s="120"/>
      <c r="M984" s="120"/>
      <c r="N984" s="120"/>
      <c r="O984" s="120"/>
      <c r="P984" s="120"/>
      <c r="Q984" s="120"/>
      <c r="R984" s="120"/>
      <c r="S984" s="120"/>
      <c r="T984" s="120"/>
      <c r="U984" s="120"/>
      <c r="V984" s="120"/>
      <c r="W984" s="120"/>
      <c r="X984" s="120"/>
      <c r="Y984" s="120"/>
      <c r="Z984" s="120"/>
      <c r="AA984" s="120"/>
      <c r="AB984" s="120"/>
      <c r="AC984" s="120"/>
      <c r="AD984" s="120"/>
    </row>
    <row r="985">
      <c r="A985" s="120"/>
      <c r="B985" s="120"/>
      <c r="C985" s="120"/>
      <c r="D985" s="120"/>
      <c r="E985" s="120"/>
      <c r="F985" s="120"/>
      <c r="G985" s="120"/>
      <c r="H985" s="120"/>
      <c r="I985" s="120"/>
      <c r="J985" s="120"/>
      <c r="K985" s="120"/>
      <c r="L985" s="120"/>
      <c r="M985" s="120"/>
      <c r="N985" s="120"/>
      <c r="O985" s="120"/>
      <c r="P985" s="120"/>
      <c r="Q985" s="120"/>
      <c r="R985" s="120"/>
      <c r="S985" s="120"/>
      <c r="T985" s="120"/>
      <c r="U985" s="120"/>
      <c r="V985" s="120"/>
      <c r="W985" s="120"/>
      <c r="X985" s="120"/>
      <c r="Y985" s="120"/>
      <c r="Z985" s="120"/>
      <c r="AA985" s="120"/>
      <c r="AB985" s="120"/>
      <c r="AC985" s="120"/>
      <c r="AD985" s="120"/>
    </row>
    <row r="986">
      <c r="A986" s="120"/>
      <c r="B986" s="120"/>
      <c r="C986" s="120"/>
      <c r="D986" s="120"/>
      <c r="E986" s="120"/>
      <c r="F986" s="120"/>
      <c r="G986" s="120"/>
      <c r="H986" s="120"/>
      <c r="I986" s="120"/>
      <c r="J986" s="120"/>
      <c r="K986" s="120"/>
      <c r="L986" s="120"/>
      <c r="M986" s="120"/>
      <c r="N986" s="120"/>
      <c r="O986" s="120"/>
      <c r="P986" s="120"/>
      <c r="Q986" s="120"/>
      <c r="R986" s="120"/>
      <c r="S986" s="120"/>
      <c r="T986" s="120"/>
      <c r="U986" s="120"/>
      <c r="V986" s="120"/>
      <c r="W986" s="120"/>
      <c r="X986" s="120"/>
      <c r="Y986" s="120"/>
      <c r="Z986" s="120"/>
      <c r="AA986" s="120"/>
      <c r="AB986" s="120"/>
      <c r="AC986" s="120"/>
      <c r="AD986" s="120"/>
    </row>
    <row r="987">
      <c r="A987" s="120"/>
      <c r="B987" s="120"/>
      <c r="C987" s="120"/>
      <c r="D987" s="120"/>
      <c r="E987" s="120"/>
      <c r="F987" s="120"/>
      <c r="G987" s="120"/>
      <c r="H987" s="120"/>
      <c r="I987" s="120"/>
      <c r="J987" s="120"/>
      <c r="K987" s="120"/>
      <c r="L987" s="120"/>
      <c r="M987" s="120"/>
      <c r="N987" s="120"/>
      <c r="O987" s="120"/>
      <c r="P987" s="120"/>
      <c r="Q987" s="120"/>
      <c r="R987" s="120"/>
      <c r="S987" s="120"/>
      <c r="T987" s="120"/>
      <c r="U987" s="120"/>
      <c r="V987" s="120"/>
      <c r="W987" s="120"/>
      <c r="X987" s="120"/>
      <c r="Y987" s="120"/>
      <c r="Z987" s="120"/>
      <c r="AA987" s="120"/>
      <c r="AB987" s="120"/>
      <c r="AC987" s="120"/>
      <c r="AD987" s="120"/>
    </row>
    <row r="988">
      <c r="A988" s="120"/>
      <c r="B988" s="120"/>
      <c r="C988" s="120"/>
      <c r="D988" s="120"/>
      <c r="E988" s="120"/>
      <c r="F988" s="120"/>
      <c r="G988" s="120"/>
      <c r="H988" s="120"/>
      <c r="I988" s="120"/>
      <c r="J988" s="120"/>
      <c r="K988" s="120"/>
      <c r="L988" s="120"/>
      <c r="M988" s="120"/>
      <c r="N988" s="120"/>
      <c r="O988" s="120"/>
      <c r="P988" s="120"/>
      <c r="Q988" s="120"/>
      <c r="R988" s="120"/>
      <c r="S988" s="120"/>
      <c r="T988" s="120"/>
      <c r="U988" s="120"/>
      <c r="V988" s="120"/>
      <c r="W988" s="120"/>
      <c r="X988" s="120"/>
      <c r="Y988" s="120"/>
      <c r="Z988" s="120"/>
      <c r="AA988" s="120"/>
      <c r="AB988" s="120"/>
      <c r="AC988" s="120"/>
      <c r="AD988" s="120"/>
    </row>
    <row r="989">
      <c r="A989" s="120"/>
      <c r="B989" s="120"/>
      <c r="C989" s="120"/>
      <c r="D989" s="120"/>
      <c r="E989" s="120"/>
      <c r="F989" s="120"/>
      <c r="G989" s="120"/>
      <c r="H989" s="120"/>
      <c r="I989" s="120"/>
      <c r="J989" s="120"/>
      <c r="K989" s="120"/>
      <c r="L989" s="120"/>
      <c r="M989" s="120"/>
      <c r="N989" s="120"/>
      <c r="O989" s="120"/>
      <c r="P989" s="120"/>
      <c r="Q989" s="120"/>
      <c r="R989" s="120"/>
      <c r="S989" s="120"/>
      <c r="T989" s="120"/>
      <c r="U989" s="120"/>
      <c r="V989" s="120"/>
      <c r="W989" s="120"/>
      <c r="X989" s="120"/>
      <c r="Y989" s="120"/>
      <c r="Z989" s="120"/>
      <c r="AA989" s="120"/>
      <c r="AB989" s="120"/>
      <c r="AC989" s="120"/>
      <c r="AD989" s="120"/>
    </row>
    <row r="990">
      <c r="A990" s="120"/>
      <c r="B990" s="120"/>
      <c r="C990" s="120"/>
      <c r="D990" s="120"/>
      <c r="E990" s="120"/>
      <c r="F990" s="120"/>
      <c r="G990" s="120"/>
      <c r="H990" s="120"/>
      <c r="I990" s="120"/>
      <c r="J990" s="120"/>
      <c r="K990" s="120"/>
      <c r="L990" s="120"/>
      <c r="M990" s="120"/>
      <c r="N990" s="120"/>
      <c r="O990" s="120"/>
      <c r="P990" s="120"/>
      <c r="Q990" s="120"/>
      <c r="R990" s="120"/>
      <c r="S990" s="120"/>
      <c r="T990" s="120"/>
      <c r="U990" s="120"/>
      <c r="V990" s="120"/>
      <c r="W990" s="120"/>
      <c r="X990" s="120"/>
      <c r="Y990" s="120"/>
      <c r="Z990" s="120"/>
      <c r="AA990" s="120"/>
      <c r="AB990" s="120"/>
      <c r="AC990" s="120"/>
      <c r="AD990" s="120"/>
    </row>
    <row r="991">
      <c r="A991" s="120"/>
      <c r="B991" s="120"/>
      <c r="C991" s="120"/>
      <c r="D991" s="120"/>
      <c r="E991" s="120"/>
      <c r="F991" s="120"/>
      <c r="G991" s="120"/>
      <c r="H991" s="120"/>
      <c r="I991" s="120"/>
      <c r="J991" s="120"/>
      <c r="K991" s="120"/>
      <c r="L991" s="120"/>
      <c r="M991" s="120"/>
      <c r="N991" s="120"/>
      <c r="O991" s="120"/>
      <c r="P991" s="120"/>
      <c r="Q991" s="120"/>
      <c r="R991" s="120"/>
      <c r="S991" s="120"/>
      <c r="T991" s="120"/>
      <c r="U991" s="120"/>
      <c r="V991" s="120"/>
      <c r="W991" s="120"/>
      <c r="X991" s="120"/>
      <c r="Y991" s="120"/>
      <c r="Z991" s="120"/>
      <c r="AA991" s="120"/>
      <c r="AB991" s="120"/>
      <c r="AC991" s="120"/>
      <c r="AD991" s="120"/>
    </row>
    <row r="992">
      <c r="A992" s="120"/>
      <c r="B992" s="120"/>
      <c r="C992" s="120"/>
      <c r="D992" s="120"/>
      <c r="E992" s="120"/>
      <c r="F992" s="120"/>
      <c r="G992" s="120"/>
      <c r="H992" s="120"/>
      <c r="I992" s="120"/>
      <c r="J992" s="120"/>
      <c r="K992" s="120"/>
      <c r="L992" s="120"/>
      <c r="M992" s="120"/>
      <c r="N992" s="120"/>
      <c r="O992" s="120"/>
      <c r="P992" s="120"/>
      <c r="Q992" s="120"/>
      <c r="R992" s="120"/>
      <c r="S992" s="120"/>
      <c r="T992" s="120"/>
      <c r="U992" s="120"/>
      <c r="V992" s="120"/>
      <c r="W992" s="120"/>
      <c r="X992" s="120"/>
      <c r="Y992" s="120"/>
      <c r="Z992" s="120"/>
      <c r="AA992" s="120"/>
      <c r="AB992" s="120"/>
      <c r="AC992" s="120"/>
      <c r="AD992" s="120"/>
    </row>
    <row r="993">
      <c r="A993" s="120"/>
      <c r="B993" s="120"/>
      <c r="C993" s="120"/>
      <c r="D993" s="120"/>
      <c r="E993" s="120"/>
      <c r="F993" s="120"/>
      <c r="G993" s="120"/>
      <c r="H993" s="120"/>
      <c r="I993" s="120"/>
      <c r="J993" s="120"/>
      <c r="K993" s="120"/>
      <c r="L993" s="120"/>
      <c r="M993" s="120"/>
      <c r="N993" s="120"/>
      <c r="O993" s="120"/>
      <c r="P993" s="120"/>
      <c r="Q993" s="120"/>
      <c r="R993" s="120"/>
      <c r="S993" s="120"/>
      <c r="T993" s="120"/>
      <c r="U993" s="120"/>
      <c r="V993" s="120"/>
      <c r="W993" s="120"/>
      <c r="X993" s="120"/>
      <c r="Y993" s="120"/>
      <c r="Z993" s="120"/>
      <c r="AA993" s="120"/>
      <c r="AB993" s="120"/>
      <c r="AC993" s="120"/>
      <c r="AD993" s="120"/>
    </row>
    <row r="994">
      <c r="A994" s="120"/>
      <c r="B994" s="120"/>
      <c r="C994" s="120"/>
      <c r="D994" s="120"/>
      <c r="E994" s="120"/>
      <c r="F994" s="120"/>
      <c r="G994" s="120"/>
      <c r="H994" s="120"/>
      <c r="I994" s="120"/>
      <c r="J994" s="120"/>
      <c r="K994" s="120"/>
      <c r="L994" s="120"/>
      <c r="M994" s="120"/>
      <c r="N994" s="120"/>
      <c r="O994" s="120"/>
      <c r="P994" s="120"/>
      <c r="Q994" s="120"/>
      <c r="R994" s="120"/>
      <c r="S994" s="120"/>
      <c r="T994" s="120"/>
      <c r="U994" s="120"/>
      <c r="V994" s="120"/>
      <c r="W994" s="120"/>
      <c r="X994" s="120"/>
      <c r="Y994" s="120"/>
      <c r="Z994" s="120"/>
      <c r="AA994" s="120"/>
      <c r="AB994" s="120"/>
      <c r="AC994" s="120"/>
      <c r="AD994" s="120"/>
    </row>
    <row r="995">
      <c r="A995" s="120"/>
      <c r="B995" s="120"/>
      <c r="C995" s="120"/>
      <c r="D995" s="120"/>
      <c r="E995" s="120"/>
      <c r="F995" s="120"/>
      <c r="G995" s="120"/>
      <c r="H995" s="120"/>
      <c r="I995" s="120"/>
      <c r="J995" s="120"/>
      <c r="K995" s="120"/>
      <c r="L995" s="120"/>
      <c r="M995" s="120"/>
      <c r="N995" s="120"/>
      <c r="O995" s="120"/>
      <c r="P995" s="120"/>
      <c r="Q995" s="120"/>
      <c r="R995" s="120"/>
      <c r="S995" s="120"/>
      <c r="T995" s="120"/>
      <c r="U995" s="120"/>
      <c r="V995" s="120"/>
      <c r="W995" s="120"/>
      <c r="X995" s="120"/>
      <c r="Y995" s="120"/>
      <c r="Z995" s="120"/>
      <c r="AA995" s="120"/>
      <c r="AB995" s="120"/>
      <c r="AC995" s="120"/>
      <c r="AD995" s="120"/>
    </row>
    <row r="996">
      <c r="A996" s="120"/>
      <c r="B996" s="120"/>
      <c r="C996" s="120"/>
      <c r="D996" s="120"/>
      <c r="E996" s="120"/>
      <c r="F996" s="120"/>
      <c r="G996" s="120"/>
      <c r="H996" s="120"/>
      <c r="I996" s="120"/>
      <c r="J996" s="120"/>
      <c r="K996" s="120"/>
      <c r="L996" s="120"/>
      <c r="M996" s="120"/>
      <c r="N996" s="120"/>
      <c r="O996" s="120"/>
      <c r="P996" s="120"/>
      <c r="Q996" s="120"/>
      <c r="R996" s="120"/>
      <c r="S996" s="120"/>
      <c r="T996" s="120"/>
      <c r="U996" s="120"/>
      <c r="V996" s="120"/>
      <c r="W996" s="120"/>
      <c r="X996" s="120"/>
      <c r="Y996" s="120"/>
      <c r="Z996" s="120"/>
      <c r="AA996" s="120"/>
      <c r="AB996" s="120"/>
      <c r="AC996" s="120"/>
      <c r="AD996" s="120"/>
    </row>
    <row r="997">
      <c r="A997" s="120"/>
      <c r="B997" s="120"/>
      <c r="C997" s="120"/>
      <c r="D997" s="120"/>
      <c r="E997" s="120"/>
      <c r="F997" s="120"/>
      <c r="G997" s="120"/>
      <c r="H997" s="120"/>
      <c r="I997" s="120"/>
      <c r="J997" s="120"/>
      <c r="K997" s="120"/>
      <c r="L997" s="120"/>
      <c r="M997" s="120"/>
      <c r="N997" s="120"/>
      <c r="O997" s="120"/>
      <c r="P997" s="120"/>
      <c r="Q997" s="120"/>
      <c r="R997" s="120"/>
      <c r="S997" s="120"/>
      <c r="T997" s="120"/>
      <c r="U997" s="120"/>
      <c r="V997" s="120"/>
      <c r="W997" s="120"/>
      <c r="X997" s="120"/>
      <c r="Y997" s="120"/>
      <c r="Z997" s="120"/>
      <c r="AA997" s="120"/>
      <c r="AB997" s="120"/>
      <c r="AC997" s="120"/>
      <c r="AD997" s="120"/>
    </row>
    <row r="998">
      <c r="A998" s="120"/>
      <c r="B998" s="120"/>
      <c r="C998" s="120"/>
      <c r="D998" s="120"/>
      <c r="E998" s="120"/>
      <c r="F998" s="120"/>
      <c r="G998" s="120"/>
      <c r="H998" s="120"/>
      <c r="I998" s="120"/>
      <c r="J998" s="120"/>
      <c r="K998" s="120"/>
      <c r="L998" s="120"/>
      <c r="M998" s="120"/>
      <c r="N998" s="120"/>
      <c r="O998" s="120"/>
      <c r="P998" s="120"/>
      <c r="Q998" s="120"/>
      <c r="R998" s="120"/>
      <c r="S998" s="120"/>
      <c r="T998" s="120"/>
      <c r="U998" s="120"/>
      <c r="V998" s="120"/>
      <c r="W998" s="120"/>
      <c r="X998" s="120"/>
      <c r="Y998" s="120"/>
      <c r="Z998" s="120"/>
      <c r="AA998" s="120"/>
      <c r="AB998" s="120"/>
      <c r="AC998" s="120"/>
      <c r="AD998" s="120"/>
    </row>
    <row r="999">
      <c r="A999" s="120"/>
      <c r="B999" s="120"/>
      <c r="C999" s="120"/>
      <c r="D999" s="120"/>
      <c r="E999" s="120"/>
      <c r="F999" s="120"/>
      <c r="G999" s="120"/>
      <c r="H999" s="120"/>
      <c r="I999" s="120"/>
      <c r="J999" s="120"/>
      <c r="K999" s="120"/>
      <c r="L999" s="120"/>
      <c r="M999" s="120"/>
      <c r="N999" s="120"/>
      <c r="O999" s="120"/>
      <c r="P999" s="120"/>
      <c r="Q999" s="120"/>
      <c r="R999" s="120"/>
      <c r="S999" s="120"/>
      <c r="T999" s="120"/>
      <c r="U999" s="120"/>
      <c r="V999" s="120"/>
      <c r="W999" s="120"/>
      <c r="X999" s="120"/>
      <c r="Y999" s="120"/>
      <c r="Z999" s="120"/>
      <c r="AA999" s="120"/>
      <c r="AB999" s="120"/>
      <c r="AC999" s="120"/>
      <c r="AD999" s="120"/>
    </row>
    <row r="1000">
      <c r="A1000" s="120"/>
      <c r="B1000" s="120"/>
      <c r="C1000" s="120"/>
      <c r="D1000" s="120"/>
      <c r="E1000" s="120"/>
      <c r="F1000" s="120"/>
      <c r="G1000" s="120"/>
      <c r="H1000" s="120"/>
      <c r="I1000" s="120"/>
      <c r="J1000" s="120"/>
      <c r="K1000" s="120"/>
      <c r="L1000" s="120"/>
      <c r="M1000" s="120"/>
      <c r="N1000" s="120"/>
      <c r="O1000" s="120"/>
      <c r="P1000" s="120"/>
      <c r="Q1000" s="120"/>
      <c r="R1000" s="120"/>
      <c r="S1000" s="120"/>
      <c r="T1000" s="120"/>
      <c r="U1000" s="120"/>
      <c r="V1000" s="120"/>
      <c r="W1000" s="120"/>
      <c r="X1000" s="120"/>
      <c r="Y1000" s="120"/>
      <c r="Z1000" s="120"/>
      <c r="AA1000" s="120"/>
      <c r="AB1000" s="120"/>
      <c r="AC1000" s="120"/>
      <c r="AD1000" s="120"/>
    </row>
    <row r="1001">
      <c r="A1001" s="120"/>
      <c r="B1001" s="120"/>
      <c r="C1001" s="120"/>
      <c r="D1001" s="120"/>
      <c r="E1001" s="120"/>
      <c r="F1001" s="120"/>
      <c r="G1001" s="120"/>
      <c r="H1001" s="120"/>
      <c r="I1001" s="120"/>
      <c r="J1001" s="120"/>
      <c r="K1001" s="120"/>
      <c r="L1001" s="120"/>
      <c r="M1001" s="120"/>
      <c r="N1001" s="120"/>
      <c r="O1001" s="120"/>
      <c r="P1001" s="120"/>
      <c r="Q1001" s="120"/>
      <c r="R1001" s="120"/>
      <c r="S1001" s="120"/>
      <c r="T1001" s="120"/>
      <c r="U1001" s="120"/>
      <c r="V1001" s="120"/>
      <c r="W1001" s="120"/>
      <c r="X1001" s="120"/>
      <c r="Y1001" s="120"/>
      <c r="Z1001" s="120"/>
      <c r="AA1001" s="120"/>
      <c r="AB1001" s="120"/>
      <c r="AC1001" s="120"/>
      <c r="AD1001" s="120"/>
    </row>
    <row r="1002">
      <c r="A1002" s="120"/>
      <c r="B1002" s="120"/>
      <c r="C1002" s="120"/>
      <c r="D1002" s="120"/>
      <c r="E1002" s="120"/>
      <c r="F1002" s="120"/>
      <c r="G1002" s="120"/>
      <c r="H1002" s="120"/>
      <c r="I1002" s="120"/>
      <c r="J1002" s="120"/>
      <c r="K1002" s="120"/>
      <c r="L1002" s="120"/>
      <c r="M1002" s="120"/>
      <c r="N1002" s="120"/>
      <c r="O1002" s="120"/>
      <c r="P1002" s="120"/>
      <c r="Q1002" s="120"/>
      <c r="R1002" s="120"/>
      <c r="S1002" s="120"/>
      <c r="T1002" s="120"/>
      <c r="U1002" s="120"/>
      <c r="V1002" s="120"/>
      <c r="W1002" s="120"/>
      <c r="X1002" s="120"/>
      <c r="Y1002" s="120"/>
      <c r="Z1002" s="120"/>
      <c r="AA1002" s="120"/>
      <c r="AB1002" s="120"/>
      <c r="AC1002" s="120"/>
      <c r="AD1002" s="120"/>
    </row>
    <row r="1003">
      <c r="A1003" s="120"/>
      <c r="B1003" s="120"/>
      <c r="C1003" s="120"/>
      <c r="D1003" s="120"/>
      <c r="E1003" s="120"/>
      <c r="F1003" s="120"/>
      <c r="G1003" s="120"/>
      <c r="H1003" s="120"/>
      <c r="I1003" s="120"/>
      <c r="J1003" s="120"/>
      <c r="K1003" s="120"/>
      <c r="L1003" s="120"/>
      <c r="M1003" s="120"/>
      <c r="N1003" s="120"/>
      <c r="O1003" s="120"/>
      <c r="P1003" s="120"/>
      <c r="Q1003" s="120"/>
      <c r="R1003" s="120"/>
      <c r="S1003" s="120"/>
      <c r="T1003" s="120"/>
      <c r="U1003" s="120"/>
      <c r="V1003" s="120"/>
      <c r="W1003" s="120"/>
      <c r="X1003" s="120"/>
      <c r="Y1003" s="120"/>
      <c r="Z1003" s="120"/>
      <c r="AA1003" s="120"/>
      <c r="AB1003" s="120"/>
      <c r="AC1003" s="120"/>
      <c r="AD1003" s="120"/>
    </row>
    <row r="1004">
      <c r="A1004" s="120"/>
      <c r="B1004" s="120"/>
      <c r="C1004" s="120"/>
      <c r="D1004" s="120"/>
      <c r="E1004" s="120"/>
      <c r="F1004" s="120"/>
      <c r="G1004" s="120"/>
      <c r="H1004" s="120"/>
      <c r="I1004" s="120"/>
      <c r="J1004" s="120"/>
      <c r="K1004" s="120"/>
      <c r="L1004" s="120"/>
      <c r="M1004" s="120"/>
      <c r="N1004" s="120"/>
      <c r="O1004" s="120"/>
      <c r="P1004" s="120"/>
      <c r="Q1004" s="120"/>
      <c r="R1004" s="120"/>
      <c r="S1004" s="120"/>
      <c r="T1004" s="120"/>
      <c r="U1004" s="120"/>
      <c r="V1004" s="120"/>
      <c r="W1004" s="120"/>
      <c r="X1004" s="120"/>
      <c r="Y1004" s="120"/>
      <c r="Z1004" s="120"/>
      <c r="AA1004" s="120"/>
      <c r="AB1004" s="120"/>
      <c r="AC1004" s="120"/>
      <c r="AD1004" s="120"/>
    </row>
    <row r="1005">
      <c r="A1005" s="120"/>
      <c r="B1005" s="120"/>
      <c r="C1005" s="120"/>
      <c r="D1005" s="120"/>
      <c r="E1005" s="120"/>
      <c r="F1005" s="120"/>
      <c r="G1005" s="120"/>
      <c r="H1005" s="120"/>
      <c r="I1005" s="120"/>
      <c r="J1005" s="120"/>
      <c r="K1005" s="120"/>
      <c r="L1005" s="120"/>
      <c r="M1005" s="120"/>
      <c r="N1005" s="120"/>
      <c r="O1005" s="120"/>
      <c r="P1005" s="120"/>
      <c r="Q1005" s="120"/>
      <c r="R1005" s="120"/>
      <c r="S1005" s="120"/>
      <c r="T1005" s="120"/>
      <c r="U1005" s="120"/>
      <c r="V1005" s="120"/>
      <c r="W1005" s="120"/>
      <c r="X1005" s="120"/>
      <c r="Y1005" s="120"/>
      <c r="Z1005" s="120"/>
      <c r="AA1005" s="120"/>
      <c r="AB1005" s="120"/>
      <c r="AC1005" s="120"/>
      <c r="AD1005" s="120"/>
    </row>
    <row r="1006">
      <c r="A1006" s="120"/>
      <c r="B1006" s="120"/>
      <c r="C1006" s="120"/>
      <c r="D1006" s="120"/>
      <c r="E1006" s="120"/>
      <c r="F1006" s="120"/>
      <c r="G1006" s="120"/>
      <c r="H1006" s="120"/>
      <c r="I1006" s="120"/>
      <c r="J1006" s="120"/>
      <c r="K1006" s="120"/>
      <c r="L1006" s="120"/>
      <c r="M1006" s="120"/>
      <c r="N1006" s="120"/>
      <c r="O1006" s="120"/>
      <c r="P1006" s="120"/>
      <c r="Q1006" s="120"/>
      <c r="R1006" s="120"/>
      <c r="S1006" s="120"/>
      <c r="T1006" s="120"/>
      <c r="U1006" s="120"/>
      <c r="V1006" s="120"/>
      <c r="W1006" s="120"/>
      <c r="X1006" s="120"/>
      <c r="Y1006" s="120"/>
      <c r="Z1006" s="120"/>
      <c r="AA1006" s="120"/>
      <c r="AB1006" s="120"/>
      <c r="AC1006" s="120"/>
      <c r="AD1006" s="120"/>
    </row>
    <row r="1007">
      <c r="A1007" s="120"/>
      <c r="B1007" s="120"/>
      <c r="C1007" s="120"/>
      <c r="D1007" s="120"/>
      <c r="E1007" s="120"/>
      <c r="F1007" s="120"/>
      <c r="G1007" s="120"/>
      <c r="H1007" s="120"/>
      <c r="I1007" s="120"/>
      <c r="J1007" s="120"/>
      <c r="K1007" s="120"/>
      <c r="L1007" s="120"/>
      <c r="M1007" s="120"/>
      <c r="N1007" s="120"/>
      <c r="O1007" s="120"/>
      <c r="P1007" s="120"/>
      <c r="Q1007" s="120"/>
      <c r="R1007" s="120"/>
      <c r="S1007" s="120"/>
      <c r="T1007" s="120"/>
      <c r="U1007" s="120"/>
      <c r="V1007" s="120"/>
      <c r="W1007" s="120"/>
      <c r="X1007" s="120"/>
      <c r="Y1007" s="120"/>
      <c r="Z1007" s="120"/>
      <c r="AA1007" s="120"/>
      <c r="AB1007" s="120"/>
      <c r="AC1007" s="120"/>
      <c r="AD1007" s="120"/>
    </row>
    <row r="1008">
      <c r="A1008" s="120"/>
      <c r="B1008" s="120"/>
      <c r="C1008" s="120"/>
      <c r="D1008" s="120"/>
      <c r="E1008" s="120"/>
      <c r="F1008" s="120"/>
      <c r="G1008" s="120"/>
      <c r="H1008" s="120"/>
      <c r="I1008" s="120"/>
      <c r="J1008" s="120"/>
      <c r="K1008" s="120"/>
      <c r="L1008" s="120"/>
      <c r="M1008" s="120"/>
      <c r="N1008" s="120"/>
      <c r="O1008" s="120"/>
      <c r="P1008" s="120"/>
      <c r="Q1008" s="120"/>
      <c r="R1008" s="120"/>
      <c r="S1008" s="120"/>
      <c r="T1008" s="120"/>
      <c r="U1008" s="120"/>
      <c r="V1008" s="120"/>
      <c r="W1008" s="120"/>
      <c r="X1008" s="120"/>
      <c r="Y1008" s="120"/>
      <c r="Z1008" s="120"/>
      <c r="AA1008" s="120"/>
      <c r="AB1008" s="120"/>
      <c r="AC1008" s="120"/>
      <c r="AD1008" s="120"/>
    </row>
    <row r="1009">
      <c r="A1009" s="120"/>
      <c r="B1009" s="120"/>
      <c r="C1009" s="120"/>
      <c r="D1009" s="120"/>
      <c r="E1009" s="120"/>
      <c r="F1009" s="120"/>
      <c r="G1009" s="120"/>
      <c r="H1009" s="120"/>
      <c r="I1009" s="120"/>
      <c r="J1009" s="120"/>
      <c r="K1009" s="120"/>
      <c r="L1009" s="120"/>
      <c r="M1009" s="120"/>
      <c r="N1009" s="120"/>
      <c r="O1009" s="120"/>
      <c r="P1009" s="120"/>
      <c r="Q1009" s="120"/>
      <c r="R1009" s="120"/>
      <c r="S1009" s="120"/>
      <c r="T1009" s="120"/>
      <c r="U1009" s="120"/>
      <c r="V1009" s="120"/>
      <c r="W1009" s="120"/>
      <c r="X1009" s="120"/>
      <c r="Y1009" s="120"/>
      <c r="Z1009" s="120"/>
      <c r="AA1009" s="120"/>
      <c r="AB1009" s="120"/>
      <c r="AC1009" s="120"/>
      <c r="AD1009" s="120"/>
    </row>
    <row r="1010">
      <c r="A1010" s="120"/>
      <c r="B1010" s="120"/>
      <c r="C1010" s="120"/>
      <c r="D1010" s="120"/>
      <c r="E1010" s="120"/>
      <c r="F1010" s="120"/>
      <c r="G1010" s="120"/>
      <c r="H1010" s="120"/>
      <c r="I1010" s="120"/>
      <c r="J1010" s="120"/>
      <c r="K1010" s="120"/>
      <c r="L1010" s="120"/>
      <c r="M1010" s="120"/>
      <c r="N1010" s="120"/>
      <c r="O1010" s="120"/>
      <c r="P1010" s="120"/>
      <c r="Q1010" s="120"/>
      <c r="R1010" s="120"/>
      <c r="S1010" s="120"/>
      <c r="T1010" s="120"/>
      <c r="U1010" s="120"/>
      <c r="V1010" s="120"/>
      <c r="W1010" s="120"/>
      <c r="X1010" s="120"/>
      <c r="Y1010" s="120"/>
      <c r="Z1010" s="120"/>
      <c r="AA1010" s="120"/>
      <c r="AB1010" s="120"/>
      <c r="AC1010" s="120"/>
      <c r="AD1010" s="120"/>
    </row>
  </sheetData>
  <hyperlinks>
    <hyperlink r:id="rId1" ref="D7"/>
    <hyperlink r:id="rId2" ref="D8"/>
    <hyperlink r:id="rId3" ref="D9"/>
    <hyperlink r:id="rId4" ref="D10"/>
    <hyperlink r:id="rId5" ref="D11"/>
    <hyperlink r:id="rId6" ref="D12"/>
    <hyperlink r:id="rId7" ref="D13"/>
    <hyperlink r:id="rId8" ref="D14"/>
    <hyperlink r:id="rId9" ref="D15"/>
    <hyperlink r:id="rId10" ref="D16"/>
    <hyperlink r:id="rId11" ref="D17"/>
    <hyperlink r:id="rId12" ref="D18"/>
    <hyperlink r:id="rId13" ref="D19"/>
    <hyperlink r:id="rId14" ref="D20"/>
    <hyperlink r:id="rId15" ref="D21"/>
    <hyperlink r:id="rId16" ref="D22"/>
    <hyperlink r:id="rId17" ref="D23"/>
    <hyperlink r:id="rId18" ref="D24"/>
    <hyperlink r:id="rId19" ref="D25"/>
    <hyperlink r:id="rId20" ref="D26"/>
    <hyperlink r:id="rId21" ref="D27"/>
    <hyperlink r:id="rId22" ref="D28"/>
    <hyperlink r:id="rId23" ref="D29"/>
    <hyperlink r:id="rId24" ref="D30"/>
    <hyperlink r:id="rId25" ref="D31"/>
    <hyperlink r:id="rId26" ref="D32"/>
    <hyperlink r:id="rId27" ref="D33"/>
    <hyperlink r:id="rId28" ref="D34"/>
    <hyperlink r:id="rId29" ref="D35"/>
  </hyperlinks>
  <drawing r:id="rId30"/>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7.0" topLeftCell="A8" activePane="bottomLeft" state="frozen"/>
      <selection activeCell="B9" sqref="B9" pane="bottomLeft"/>
    </sheetView>
  </sheetViews>
  <sheetFormatPr customHeight="1" defaultColWidth="12.63" defaultRowHeight="15.75"/>
  <cols>
    <col customWidth="1" min="1" max="1" width="29.63"/>
    <col customWidth="1" min="2" max="2" width="47.38"/>
    <col customWidth="1" min="3" max="3" width="38.25"/>
    <col customWidth="1" min="4" max="4" width="54.38"/>
  </cols>
  <sheetData>
    <row r="1">
      <c r="A1" s="223" t="s">
        <v>1808</v>
      </c>
      <c r="B1" s="223" t="s">
        <v>1809</v>
      </c>
      <c r="C1" s="223" t="s">
        <v>209</v>
      </c>
      <c r="D1" s="223"/>
      <c r="E1" s="223"/>
      <c r="F1" s="223"/>
    </row>
    <row r="2">
      <c r="A2" s="224" t="s">
        <v>1810</v>
      </c>
      <c r="B2" s="225" t="s">
        <v>1811</v>
      </c>
      <c r="C2" s="224">
        <f t="shared" ref="C2:C5" si="1">countif(E:E,A2)</f>
        <v>0</v>
      </c>
      <c r="D2" s="223"/>
      <c r="E2" s="223"/>
      <c r="F2" s="223"/>
    </row>
    <row r="3">
      <c r="A3" s="224" t="s">
        <v>1812</v>
      </c>
      <c r="B3" s="224" t="s">
        <v>1813</v>
      </c>
      <c r="C3" s="224">
        <f t="shared" si="1"/>
        <v>0</v>
      </c>
      <c r="D3" s="223"/>
      <c r="E3" s="223"/>
      <c r="F3" s="223"/>
    </row>
    <row r="4">
      <c r="A4" s="224" t="s">
        <v>1814</v>
      </c>
      <c r="B4" s="225" t="s">
        <v>1815</v>
      </c>
      <c r="C4" s="224">
        <f t="shared" si="1"/>
        <v>0</v>
      </c>
      <c r="D4" s="223"/>
      <c r="E4" s="223"/>
      <c r="F4" s="223"/>
    </row>
    <row r="5">
      <c r="A5" s="224" t="s">
        <v>1816</v>
      </c>
      <c r="B5" s="225" t="s">
        <v>1817</v>
      </c>
      <c r="C5" s="224">
        <f t="shared" si="1"/>
        <v>0</v>
      </c>
      <c r="D5" s="223"/>
      <c r="E5" s="223"/>
      <c r="F5" s="223"/>
    </row>
    <row r="6">
      <c r="A6" s="223"/>
      <c r="B6" s="223"/>
      <c r="C6" s="224">
        <f>sum(C2:C5)</f>
        <v>0</v>
      </c>
      <c r="D6" s="223"/>
      <c r="E6" s="223"/>
      <c r="F6" s="223"/>
    </row>
    <row r="7">
      <c r="A7" s="223" t="s">
        <v>1818</v>
      </c>
      <c r="B7" s="223" t="s">
        <v>363</v>
      </c>
      <c r="C7" s="223" t="s">
        <v>1819</v>
      </c>
      <c r="D7" s="223" t="s">
        <v>1820</v>
      </c>
      <c r="E7" s="223" t="s">
        <v>1821</v>
      </c>
      <c r="F7" s="223" t="s">
        <v>207</v>
      </c>
    </row>
    <row r="8">
      <c r="A8" s="224" t="s">
        <v>1822</v>
      </c>
      <c r="B8" s="224" t="s">
        <v>1823</v>
      </c>
      <c r="C8" s="224" t="s">
        <v>1824</v>
      </c>
      <c r="D8" s="224" t="str">
        <f t="shared" ref="D8:D17" si="2">CONCATENATE(B8,char(10),C8,char(10))</f>
        <v>Tutoring Large Language Models to be Domain-adaptive, Precise, and Safe
Somnath Banerjee
</v>
      </c>
      <c r="E8" s="115" t="s">
        <v>54</v>
      </c>
      <c r="F8" s="115" t="s">
        <v>1810</v>
      </c>
    </row>
    <row r="9">
      <c r="A9" s="224" t="s">
        <v>1825</v>
      </c>
      <c r="B9" s="224" t="s">
        <v>1826</v>
      </c>
      <c r="C9" s="224" t="s">
        <v>1827</v>
      </c>
      <c r="D9" s="224" t="str">
        <f t="shared" si="2"/>
        <v>LeTCC-ZK: Smooth, Verifiable Distributed Inference via Spline-Coded Computing
Ekaterina Pavlova
</v>
      </c>
      <c r="E9" s="115" t="s">
        <v>54</v>
      </c>
      <c r="F9" s="115" t="s">
        <v>1810</v>
      </c>
    </row>
    <row r="10">
      <c r="A10" s="224" t="s">
        <v>1828</v>
      </c>
      <c r="B10" s="224" t="s">
        <v>1829</v>
      </c>
      <c r="C10" s="224" t="s">
        <v>1830</v>
      </c>
      <c r="D10" s="224" t="str">
        <f t="shared" si="2"/>
        <v>Edge-Mamba: Efficient and Robust Security Evaluation for the Web of Things via Selective State Spaces
Chenchong Du
</v>
      </c>
      <c r="E10" s="115" t="s">
        <v>54</v>
      </c>
      <c r="F10" s="115" t="s">
        <v>1810</v>
      </c>
    </row>
    <row r="11">
      <c r="A11" s="224" t="s">
        <v>1831</v>
      </c>
      <c r="B11" s="224" t="s">
        <v>1832</v>
      </c>
      <c r="C11" s="224" t="s">
        <v>1833</v>
      </c>
      <c r="D11" s="224" t="str">
        <f t="shared" si="2"/>
        <v>Towards Conversational Dataset Discovery on the Web
Lisa-Yao Gan
</v>
      </c>
      <c r="E11" s="115" t="s">
        <v>54</v>
      </c>
      <c r="F11" s="115" t="s">
        <v>1812</v>
      </c>
    </row>
    <row r="12">
      <c r="A12" s="224" t="s">
        <v>1834</v>
      </c>
      <c r="B12" s="224" t="s">
        <v>1835</v>
      </c>
      <c r="C12" s="224" t="s">
        <v>1836</v>
      </c>
      <c r="D12" s="224" t="str">
        <f t="shared" si="2"/>
        <v>Constructing the Cycle of Mastery: LLM-Empowered Intelligent Tutoring for Programming Education
Junfeng Zhang
</v>
      </c>
      <c r="E12" s="115" t="s">
        <v>54</v>
      </c>
      <c r="F12" s="115" t="s">
        <v>1812</v>
      </c>
    </row>
    <row r="13">
      <c r="A13" s="224" t="s">
        <v>1837</v>
      </c>
      <c r="B13" s="224" t="s">
        <v>1838</v>
      </c>
      <c r="C13" s="224" t="s">
        <v>1839</v>
      </c>
      <c r="D13" s="224" t="str">
        <f t="shared" si="2"/>
        <v>Foundational Representations for Efficient Retrieval of Structured Tabular Data
Inwon Kang
</v>
      </c>
      <c r="E13" s="115" t="s">
        <v>66</v>
      </c>
      <c r="F13" s="115" t="s">
        <v>1812</v>
      </c>
    </row>
    <row r="14">
      <c r="A14" s="224" t="s">
        <v>1840</v>
      </c>
      <c r="B14" s="224" t="s">
        <v>1841</v>
      </c>
      <c r="C14" s="224" t="s">
        <v>1842</v>
      </c>
      <c r="D14" s="224" t="str">
        <f t="shared" si="2"/>
        <v>Exploring Political Attitudes under Selective Media Consumption with Large Language Models
Upasana Dutta
</v>
      </c>
      <c r="E14" s="115" t="s">
        <v>66</v>
      </c>
      <c r="F14" s="115" t="s">
        <v>1814</v>
      </c>
    </row>
    <row r="15">
      <c r="A15" s="224" t="s">
        <v>1843</v>
      </c>
      <c r="B15" s="224" t="s">
        <v>1844</v>
      </c>
      <c r="C15" s="224" t="s">
        <v>1845</v>
      </c>
      <c r="D15" s="224" t="str">
        <f t="shared" si="2"/>
        <v>How the Web Remembers Multilingual Collective Memory on Wikipedia and in Large Language Models
H. Laurie Lawson
</v>
      </c>
      <c r="E15" s="115" t="s">
        <v>66</v>
      </c>
      <c r="F15" s="115" t="s">
        <v>1814</v>
      </c>
    </row>
    <row r="16">
      <c r="A16" s="224" t="s">
        <v>1846</v>
      </c>
      <c r="B16" s="224" t="s">
        <v>1847</v>
      </c>
      <c r="C16" s="224" t="s">
        <v>1848</v>
      </c>
      <c r="D16" s="224" t="str">
        <f t="shared" si="2"/>
        <v>Can You Trust the Data Trust?
An Ning Shen
</v>
      </c>
      <c r="E16" s="115" t="s">
        <v>66</v>
      </c>
      <c r="F16" s="115" t="s">
        <v>1816</v>
      </c>
    </row>
    <row r="17">
      <c r="A17" s="224" t="s">
        <v>1849</v>
      </c>
      <c r="B17" s="224" t="s">
        <v>1850</v>
      </c>
      <c r="C17" s="224" t="s">
        <v>1851</v>
      </c>
      <c r="D17" s="224" t="str">
        <f t="shared" si="2"/>
        <v>Introducing Temporal Dynamics to Proactive Recommender Systems for Email Outreach
Čeněk Žid
</v>
      </c>
      <c r="E17" s="115" t="s">
        <v>66</v>
      </c>
      <c r="F17" s="115" t="s">
        <v>1816</v>
      </c>
    </row>
    <row r="19">
      <c r="A19" s="190"/>
    </row>
    <row r="20">
      <c r="A20" s="226"/>
    </row>
    <row r="21">
      <c r="A21" s="227"/>
    </row>
    <row r="22">
      <c r="A22" s="227"/>
    </row>
    <row r="23">
      <c r="A23" s="225"/>
    </row>
    <row r="24">
      <c r="A24" s="228"/>
    </row>
    <row r="25">
      <c r="A25" s="225"/>
    </row>
    <row r="26">
      <c r="A26" s="228"/>
    </row>
    <row r="27">
      <c r="A27" s="228"/>
    </row>
    <row r="28">
      <c r="A28" s="225"/>
    </row>
    <row r="29">
      <c r="A29" s="228"/>
    </row>
    <row r="30">
      <c r="A30" s="228"/>
    </row>
    <row r="31">
      <c r="A31" s="225"/>
    </row>
    <row r="32">
      <c r="A32" s="228"/>
    </row>
    <row r="33">
      <c r="A33" s="225"/>
    </row>
    <row r="34">
      <c r="A34" s="228"/>
    </row>
    <row r="35">
      <c r="A35" s="225"/>
    </row>
    <row r="36">
      <c r="A36" s="228"/>
    </row>
    <row r="37">
      <c r="A37" s="228"/>
    </row>
    <row r="38">
      <c r="A38" s="225"/>
    </row>
    <row r="39">
      <c r="A39" s="228"/>
    </row>
    <row r="40">
      <c r="A40" s="228"/>
    </row>
    <row r="41">
      <c r="A41" s="225"/>
    </row>
    <row r="42">
      <c r="A42" s="228"/>
    </row>
    <row r="43">
      <c r="A43" s="225"/>
    </row>
    <row r="44">
      <c r="A44" s="228"/>
    </row>
    <row r="45">
      <c r="A45" s="225"/>
    </row>
    <row r="46">
      <c r="A46" s="228"/>
    </row>
    <row r="47">
      <c r="A47" s="228"/>
    </row>
    <row r="48">
      <c r="A48" s="225"/>
    </row>
    <row r="49">
      <c r="A49" s="228"/>
    </row>
    <row r="50">
      <c r="A50" s="225"/>
    </row>
    <row r="51">
      <c r="A51" s="228"/>
    </row>
    <row r="52">
      <c r="A52" s="225"/>
    </row>
    <row r="53">
      <c r="A53" s="228"/>
    </row>
    <row r="54">
      <c r="A54" s="228"/>
    </row>
    <row r="55">
      <c r="A55" s="225"/>
    </row>
  </sheetData>
  <conditionalFormatting sqref="E8:F18">
    <cfRule type="cellIs" dxfId="1" priority="1" operator="equal">
      <formula>"TRUE"</formula>
    </cfRule>
  </conditionalFormatting>
  <dataValidations>
    <dataValidation type="list" allowBlank="1" showErrorMessage="1" sqref="F8:F17">
      <formula1>"PhD1,PhD2,PhD3,PhD4"</formula1>
    </dataValidation>
    <dataValidation type="list" allowBlank="1" showErrorMessage="1" sqref="E8:E17">
      <formula1>"PhD Symposium Part 1,PhD Symposium Part 2"</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8.0" topLeftCell="A9" activePane="bottomLeft" state="frozen"/>
      <selection activeCell="B10" sqref="B10" pane="bottomLeft"/>
    </sheetView>
  </sheetViews>
  <sheetFormatPr customHeight="1" defaultColWidth="12.63" defaultRowHeight="15.75"/>
  <cols>
    <col customWidth="1" min="2" max="2" width="41.13"/>
    <col customWidth="1" min="3" max="3" width="58.25"/>
    <col customWidth="1" min="4" max="4" width="51.13"/>
    <col customWidth="1" min="5" max="5" width="34.75"/>
  </cols>
  <sheetData>
    <row r="1">
      <c r="A1" s="193" t="s">
        <v>207</v>
      </c>
      <c r="B1" s="194" t="s">
        <v>209</v>
      </c>
      <c r="C1" s="112"/>
      <c r="D1" s="112"/>
      <c r="E1" s="112"/>
      <c r="F1" s="112"/>
      <c r="G1" s="112"/>
      <c r="H1" s="112"/>
      <c r="I1" s="112"/>
      <c r="J1" s="112"/>
      <c r="K1" s="112"/>
      <c r="L1" s="112"/>
      <c r="M1" s="112"/>
      <c r="N1" s="112"/>
      <c r="O1" s="112"/>
      <c r="P1" s="112"/>
      <c r="Q1" s="112"/>
      <c r="R1" s="112"/>
      <c r="S1" s="112"/>
      <c r="T1" s="112"/>
      <c r="U1" s="112"/>
      <c r="V1" s="112"/>
      <c r="W1" s="112"/>
      <c r="X1" s="112"/>
      <c r="Y1" s="112"/>
      <c r="Z1" s="112"/>
    </row>
    <row r="2">
      <c r="A2" s="193" t="s">
        <v>88</v>
      </c>
      <c r="B2" s="186">
        <f t="shared" ref="B2:B6" si="1">countif(E:E,A2)</f>
        <v>8</v>
      </c>
      <c r="C2" s="112"/>
      <c r="D2" s="112"/>
      <c r="E2" s="112"/>
      <c r="F2" s="112"/>
      <c r="G2" s="112"/>
      <c r="H2" s="112"/>
      <c r="I2" s="112"/>
      <c r="J2" s="112"/>
      <c r="K2" s="112"/>
      <c r="L2" s="112"/>
      <c r="M2" s="112"/>
      <c r="N2" s="112"/>
      <c r="O2" s="112"/>
      <c r="P2" s="112"/>
      <c r="Q2" s="112"/>
      <c r="R2" s="112"/>
      <c r="S2" s="112"/>
      <c r="T2" s="112"/>
      <c r="U2" s="112"/>
      <c r="V2" s="112"/>
      <c r="W2" s="112"/>
      <c r="X2" s="112"/>
      <c r="Y2" s="112"/>
      <c r="Z2" s="112"/>
    </row>
    <row r="3">
      <c r="A3" s="193" t="s">
        <v>109</v>
      </c>
      <c r="B3" s="186">
        <f t="shared" si="1"/>
        <v>8</v>
      </c>
      <c r="C3" s="112"/>
      <c r="D3" s="112"/>
      <c r="E3" s="112"/>
      <c r="F3" s="112"/>
      <c r="G3" s="112"/>
      <c r="H3" s="112"/>
      <c r="I3" s="112"/>
      <c r="J3" s="112"/>
      <c r="K3" s="112"/>
      <c r="L3" s="112"/>
      <c r="M3" s="112"/>
      <c r="N3" s="112"/>
      <c r="O3" s="112"/>
      <c r="P3" s="112"/>
      <c r="Q3" s="112"/>
      <c r="R3" s="112"/>
      <c r="S3" s="112"/>
      <c r="T3" s="112"/>
      <c r="U3" s="112"/>
      <c r="V3" s="112"/>
      <c r="W3" s="112"/>
      <c r="X3" s="112"/>
      <c r="Y3" s="112"/>
      <c r="Z3" s="112"/>
    </row>
    <row r="4">
      <c r="A4" s="193" t="s">
        <v>140</v>
      </c>
      <c r="B4" s="186">
        <f t="shared" si="1"/>
        <v>8</v>
      </c>
      <c r="C4" s="112"/>
      <c r="D4" s="112"/>
      <c r="E4" s="112"/>
      <c r="F4" s="112"/>
      <c r="G4" s="112"/>
      <c r="H4" s="112"/>
      <c r="I4" s="112"/>
      <c r="J4" s="112"/>
      <c r="K4" s="112"/>
      <c r="L4" s="112"/>
      <c r="M4" s="112"/>
      <c r="N4" s="112"/>
      <c r="O4" s="112"/>
      <c r="P4" s="112"/>
      <c r="Q4" s="112"/>
      <c r="R4" s="112"/>
      <c r="S4" s="112"/>
      <c r="T4" s="112"/>
      <c r="U4" s="112"/>
      <c r="V4" s="112"/>
      <c r="W4" s="112"/>
      <c r="X4" s="112"/>
      <c r="Y4" s="112"/>
      <c r="Z4" s="112"/>
    </row>
    <row r="5">
      <c r="A5" s="193" t="s">
        <v>161</v>
      </c>
      <c r="B5" s="186">
        <f t="shared" si="1"/>
        <v>8</v>
      </c>
      <c r="C5" s="112"/>
      <c r="D5" s="112"/>
      <c r="E5" s="112"/>
      <c r="F5" s="112"/>
      <c r="G5" s="112"/>
      <c r="H5" s="112"/>
      <c r="I5" s="112"/>
      <c r="J5" s="112"/>
      <c r="K5" s="112"/>
      <c r="L5" s="112"/>
      <c r="M5" s="112"/>
      <c r="N5" s="112"/>
      <c r="O5" s="112"/>
      <c r="P5" s="112"/>
      <c r="Q5" s="112"/>
      <c r="R5" s="112"/>
      <c r="S5" s="112"/>
      <c r="T5" s="112"/>
      <c r="U5" s="112"/>
      <c r="V5" s="112"/>
      <c r="W5" s="112"/>
      <c r="X5" s="112"/>
      <c r="Y5" s="112"/>
      <c r="Z5" s="112"/>
    </row>
    <row r="6">
      <c r="A6" s="193" t="s">
        <v>178</v>
      </c>
      <c r="B6" s="186">
        <f t="shared" si="1"/>
        <v>8</v>
      </c>
      <c r="C6" s="112"/>
      <c r="D6" s="112"/>
      <c r="E6" s="112"/>
      <c r="F6" s="112"/>
      <c r="G6" s="112"/>
      <c r="H6" s="112"/>
      <c r="I6" s="112"/>
      <c r="J6" s="112"/>
      <c r="K6" s="112"/>
      <c r="L6" s="112"/>
      <c r="M6" s="112"/>
      <c r="N6" s="112"/>
      <c r="O6" s="112"/>
      <c r="P6" s="112"/>
      <c r="Q6" s="112"/>
      <c r="R6" s="112"/>
      <c r="S6" s="112"/>
      <c r="T6" s="112"/>
      <c r="U6" s="112"/>
      <c r="V6" s="112"/>
      <c r="W6" s="112"/>
      <c r="X6" s="112"/>
      <c r="Y6" s="112"/>
      <c r="Z6" s="112"/>
    </row>
    <row r="7">
      <c r="A7" s="193" t="s">
        <v>310</v>
      </c>
      <c r="B7" s="229">
        <f>sum(B2:B6)</f>
        <v>40</v>
      </c>
      <c r="C7" s="112"/>
      <c r="D7" s="112"/>
      <c r="E7" s="112"/>
      <c r="F7" s="112"/>
      <c r="G7" s="112"/>
      <c r="H7" s="112"/>
      <c r="I7" s="112"/>
      <c r="J7" s="112"/>
      <c r="K7" s="112"/>
      <c r="L7" s="112"/>
      <c r="M7" s="112"/>
      <c r="N7" s="112"/>
      <c r="O7" s="112"/>
      <c r="P7" s="112"/>
      <c r="Q7" s="112"/>
      <c r="R7" s="112"/>
      <c r="S7" s="112"/>
      <c r="T7" s="112"/>
      <c r="U7" s="112"/>
      <c r="V7" s="112"/>
      <c r="W7" s="112"/>
      <c r="X7" s="112"/>
      <c r="Y7" s="112"/>
      <c r="Z7" s="112"/>
    </row>
    <row r="8">
      <c r="A8" s="193" t="s">
        <v>1053</v>
      </c>
      <c r="B8" s="194" t="s">
        <v>1290</v>
      </c>
      <c r="C8" s="111" t="s">
        <v>366</v>
      </c>
      <c r="D8" s="111" t="s">
        <v>1852</v>
      </c>
      <c r="E8" s="111" t="s">
        <v>207</v>
      </c>
      <c r="F8" s="112"/>
      <c r="G8" s="112"/>
      <c r="H8" s="112"/>
      <c r="I8" s="112"/>
      <c r="J8" s="112"/>
      <c r="K8" s="112"/>
      <c r="L8" s="112"/>
      <c r="M8" s="112"/>
      <c r="N8" s="112"/>
      <c r="O8" s="112"/>
      <c r="P8" s="112"/>
      <c r="Q8" s="112"/>
      <c r="R8" s="112"/>
      <c r="S8" s="112"/>
      <c r="T8" s="112"/>
      <c r="U8" s="112"/>
      <c r="V8" s="112"/>
      <c r="W8" s="112"/>
      <c r="X8" s="112"/>
      <c r="Y8" s="112"/>
      <c r="Z8" s="112"/>
    </row>
    <row r="9">
      <c r="A9" s="195" t="s">
        <v>1853</v>
      </c>
      <c r="B9" s="195" t="s">
        <v>1854</v>
      </c>
      <c r="C9" s="195" t="s">
        <v>1855</v>
      </c>
      <c r="D9" s="116" t="str">
        <f t="shared" ref="D9:D48" si="2">CONCATENATE(B9,char(10),C9,char(10))</f>
        <v>STIndex: A Context-Aware Multi-Dimensional Spatiotemporal Information Extraction System
Wenxiao Zhang, Yu Liu, Qiang Sun, Yihao Ding, Sirui Li, Yanbing Liu, Jin B. Hong and Wei Liu
</v>
      </c>
      <c r="E9" s="115" t="s">
        <v>88</v>
      </c>
      <c r="J9" s="195"/>
      <c r="K9" s="195"/>
      <c r="L9" s="195"/>
    </row>
    <row r="10">
      <c r="A10" s="195" t="s">
        <v>1856</v>
      </c>
      <c r="B10" s="195" t="s">
        <v>1857</v>
      </c>
      <c r="C10" s="195" t="s">
        <v>1858</v>
      </c>
      <c r="D10" s="116" t="str">
        <f t="shared" si="2"/>
        <v>SJBP: A Platform to Launch a Novel Jailbreak Attack on Large Language Models Based on Content's Spatial Distribution
Zhiyi Mou, Zeheng Qian, Tianfang Xiao, Wangze Ni, Weijie Sun, Lei Chen, Zhan Qin, Peng Cheng and Kui Ren
</v>
      </c>
      <c r="E10" s="115" t="s">
        <v>88</v>
      </c>
      <c r="J10" s="195"/>
      <c r="K10" s="195"/>
      <c r="L10" s="195"/>
    </row>
    <row r="11">
      <c r="A11" s="195" t="s">
        <v>1859</v>
      </c>
      <c r="B11" s="195" t="s">
        <v>1860</v>
      </c>
      <c r="C11" s="195" t="s">
        <v>1861</v>
      </c>
      <c r="D11" s="116" t="str">
        <f t="shared" si="2"/>
        <v>Pattern Discovery with Wide-Lens Analysis and Sharp-Focus Validation
Li Liu, Omar Alonso and Giorgio Ballardin
</v>
      </c>
      <c r="E11" s="115" t="s">
        <v>88</v>
      </c>
      <c r="J11" s="195"/>
      <c r="K11" s="195"/>
      <c r="L11" s="195"/>
    </row>
    <row r="12">
      <c r="A12" s="195" t="s">
        <v>1862</v>
      </c>
      <c r="B12" s="195" t="s">
        <v>1863</v>
      </c>
      <c r="C12" s="195" t="s">
        <v>1864</v>
      </c>
      <c r="D12" s="116" t="str">
        <f t="shared" si="2"/>
        <v>DualMind: Towards Understanding Cognitive-Affective Cascades in Public Opinion Dissemination via Multi-Agent Simulation
Enhao Huang, Tongtong Pan, Shuhuai Zhang, Qishu Jin, Liheng Zheng, Kaichun Hu, Yiming Li, Zhan Qin and Kui Ren
</v>
      </c>
      <c r="E12" s="115" t="s">
        <v>88</v>
      </c>
      <c r="J12" s="195"/>
      <c r="K12" s="195"/>
      <c r="L12" s="195"/>
    </row>
    <row r="13">
      <c r="A13" s="195" t="s">
        <v>1865</v>
      </c>
      <c r="B13" s="195" t="s">
        <v>1866</v>
      </c>
      <c r="C13" s="195" t="s">
        <v>1867</v>
      </c>
      <c r="D13" s="116" t="str">
        <f t="shared" si="2"/>
        <v>RISE: A Retrieval-Augmented Generation Enhanced Immersive System for Education
Guo Chen, Haowei Tang, Yan Wei, Yuming Wang, Haoyang Zhang, Yikang Hou, Maolin Zheng and Junjie Huang
</v>
      </c>
      <c r="E13" s="115" t="s">
        <v>88</v>
      </c>
      <c r="J13" s="195"/>
      <c r="K13" s="195"/>
      <c r="L13" s="195"/>
    </row>
    <row r="14">
      <c r="A14" s="195" t="s">
        <v>1868</v>
      </c>
      <c r="B14" s="195" t="s">
        <v>1869</v>
      </c>
      <c r="C14" s="195" t="s">
        <v>1870</v>
      </c>
      <c r="D14" s="116" t="str">
        <f t="shared" si="2"/>
        <v>PromptX: A Cognitive Agent Platform with Long-term Memory
Binhao Wang, Jianglin Huang, Xiao Hu, Shan Jiang, Maolin Wang, Ching-Ho Yang, Jian Jiang, Junhao Ye, Yaozu Cen, Rui Zeng, Yingtong Zhou, Yingjie Luo, Guanjie Wu, Wangzhong Xu, Feiyu Zhou and Xiangyu Zhao
</v>
      </c>
      <c r="E14" s="115" t="s">
        <v>88</v>
      </c>
      <c r="J14" s="195"/>
      <c r="K14" s="195"/>
      <c r="L14" s="195"/>
    </row>
    <row r="15">
      <c r="A15" s="195" t="s">
        <v>1871</v>
      </c>
      <c r="B15" s="195" t="s">
        <v>1872</v>
      </c>
      <c r="C15" s="195" t="s">
        <v>1873</v>
      </c>
      <c r="D15" s="116" t="str">
        <f t="shared" si="2"/>
        <v>TrustResearcher: Automating Knowledge-Grounded and Transparent Research Ideation with Multi-Agent Collaboration
Jiawei Zhou, Ruicheng Zhu, Mengshi Chen, Jianwei Wang and Kai Wang
</v>
      </c>
      <c r="E15" s="115" t="s">
        <v>88</v>
      </c>
      <c r="J15" s="195"/>
      <c r="K15" s="195"/>
      <c r="L15" s="195"/>
    </row>
    <row r="16">
      <c r="A16" s="195" t="s">
        <v>1874</v>
      </c>
      <c r="B16" s="195" t="s">
        <v>1875</v>
      </c>
      <c r="C16" s="195" t="s">
        <v>1876</v>
      </c>
      <c r="D16" s="116" t="str">
        <f t="shared" si="2"/>
        <v>Multimodal Peer Review Simulation with Actionable To-Do Recommendations for Community-Aware Manuscript Revisions
Mengze Hong, Di Jiang, Weiwei Zhao, Yawen Li, Yihang Wang, Xinyuan Luo, Yanjie Sun and Chen Jason Zhang
</v>
      </c>
      <c r="E16" s="115" t="s">
        <v>88</v>
      </c>
      <c r="J16" s="195"/>
      <c r="K16" s="195"/>
      <c r="L16" s="195"/>
    </row>
    <row r="17">
      <c r="A17" s="195" t="s">
        <v>1877</v>
      </c>
      <c r="B17" s="195" t="s">
        <v>1878</v>
      </c>
      <c r="C17" s="195" t="s">
        <v>1879</v>
      </c>
      <c r="D17" s="116" t="str">
        <f t="shared" si="2"/>
        <v>Lang2Plan: An LLM-Powered Multi-Agent System for Building Layout Planning
Fangyong Pan, Xi Chen, Weiqi Xu, Yifeng Xu and Haofen Wang
</v>
      </c>
      <c r="E17" s="115" t="s">
        <v>109</v>
      </c>
      <c r="J17" s="195"/>
      <c r="K17" s="195"/>
      <c r="L17" s="195"/>
    </row>
    <row r="18">
      <c r="A18" s="195" t="s">
        <v>1880</v>
      </c>
      <c r="B18" s="195" t="s">
        <v>1881</v>
      </c>
      <c r="C18" s="195" t="s">
        <v>1882</v>
      </c>
      <c r="D18" s="116" t="str">
        <f t="shared" si="2"/>
        <v>NGCAPTCHA: A CAPTCHA Bridging the Past and the Future
Ziqi Ding, Shangzhi Xu, Wei Song and Yuekang Li
</v>
      </c>
      <c r="E18" s="115" t="s">
        <v>109</v>
      </c>
      <c r="J18" s="195"/>
      <c r="K18" s="195"/>
      <c r="L18" s="195"/>
    </row>
    <row r="19">
      <c r="A19" s="195" t="s">
        <v>1883</v>
      </c>
      <c r="B19" s="195" t="s">
        <v>1884</v>
      </c>
      <c r="C19" s="195" t="s">
        <v>1885</v>
      </c>
      <c r="D19" s="116" t="str">
        <f t="shared" si="2"/>
        <v>G-SEIR: A Graph-Enhanced Epidemic Forecasting System for Dengue Intervention
Cheng-Ru Chou, Shou-Po Tsai, Jing-Zhe Huang, Hsu-Han Tu, Pei-Xuan Li and Hsun-Ping Hsieh
</v>
      </c>
      <c r="E19" s="115" t="s">
        <v>109</v>
      </c>
      <c r="J19" s="195"/>
      <c r="K19" s="195"/>
      <c r="L19" s="195"/>
    </row>
    <row r="20">
      <c r="A20" s="195" t="s">
        <v>1886</v>
      </c>
      <c r="B20" s="195" t="s">
        <v>1887</v>
      </c>
      <c r="C20" s="195" t="s">
        <v>1888</v>
      </c>
      <c r="D20" s="116" t="str">
        <f t="shared" si="2"/>
        <v>SAMPLE: A Spatial/Channel-wise Attention GCN with MLP and Periodic Linear Encoding for Land Boundary Demarcation System
Min-Huan Tsai, Cheng-Ru Chou, Chia Chen Tsai, Yu-Yin Wang, Pei-Xuan Li, Hsun-Ping Hsieh and Tzu-Chang Lee
</v>
      </c>
      <c r="E20" s="115" t="s">
        <v>109</v>
      </c>
      <c r="J20" s="195"/>
      <c r="K20" s="195"/>
      <c r="L20" s="195"/>
    </row>
    <row r="21">
      <c r="A21" s="195" t="s">
        <v>1889</v>
      </c>
      <c r="B21" s="195" t="s">
        <v>1890</v>
      </c>
      <c r="C21" s="195" t="s">
        <v>1891</v>
      </c>
      <c r="D21" s="116" t="str">
        <f t="shared" si="2"/>
        <v>A Large Language Model-based Agent for Automated Machine Learning Workflow Construction
Yutian Xu, Yanhao Wang, Hui Li, Shengjie Xia and Shengtian Min
</v>
      </c>
      <c r="E21" s="115" t="s">
        <v>109</v>
      </c>
      <c r="J21" s="195"/>
      <c r="K21" s="195"/>
      <c r="L21" s="195"/>
    </row>
    <row r="22">
      <c r="A22" s="195" t="s">
        <v>1892</v>
      </c>
      <c r="B22" s="195" t="s">
        <v>1893</v>
      </c>
      <c r="C22" s="195" t="s">
        <v>1894</v>
      </c>
      <c r="D22" s="116" t="str">
        <f t="shared" si="2"/>
        <v>Deep Research Comparator: A Platform For Fine-grained Human Annotations of Deep Research Agents
Prahaladh Chandrahasan, Jiahe Jin, Zhihan Zhang, Tevin Wang, Andy Tang, Lucy Mo, Morteza Ziyadi, Leonardo F.R. Ribeiro, Zimeng Qiu, Markus Dreyer, Akari Asai and Chenyan Xiong
</v>
      </c>
      <c r="E22" s="115" t="s">
        <v>109</v>
      </c>
      <c r="J22" s="195"/>
      <c r="K22" s="195"/>
      <c r="L22" s="195"/>
    </row>
    <row r="23">
      <c r="A23" s="195" t="s">
        <v>1895</v>
      </c>
      <c r="B23" s="195" t="s">
        <v>1896</v>
      </c>
      <c r="C23" s="195" t="s">
        <v>1897</v>
      </c>
      <c r="D23" s="116" t="str">
        <f t="shared" si="2"/>
        <v>Docs2Synth: A Synthetic Data Tuned Retriever Framework for Documents Understanding
Yihao Ding, Qiang Sun, Puzhen Wu, Sirui Li, Siwen Luo and Wei Liu
</v>
      </c>
      <c r="E23" s="115" t="s">
        <v>109</v>
      </c>
      <c r="J23" s="195"/>
      <c r="K23" s="195"/>
      <c r="L23" s="195"/>
    </row>
    <row r="24">
      <c r="A24" s="195" t="s">
        <v>1898</v>
      </c>
      <c r="B24" s="195" t="s">
        <v>1899</v>
      </c>
      <c r="C24" s="195" t="s">
        <v>1900</v>
      </c>
      <c r="D24" s="116" t="str">
        <f t="shared" si="2"/>
        <v>GCAgent: Enhancing Group Chat Communication through Dialogue Agents System
Zijie Meng, Zheyong Xie, Zheyu Ye, Chonggang Lu, Zuozhu Liu, Zihan Niu, Yao Hu and Shaosheng Cao
</v>
      </c>
      <c r="E24" s="115" t="s">
        <v>109</v>
      </c>
      <c r="J24" s="195"/>
      <c r="K24" s="195"/>
      <c r="L24" s="195"/>
    </row>
    <row r="25">
      <c r="A25" s="195" t="s">
        <v>1901</v>
      </c>
      <c r="B25" s="195" t="s">
        <v>1902</v>
      </c>
      <c r="C25" s="195" t="s">
        <v>1903</v>
      </c>
      <c r="D25" s="116" t="str">
        <f t="shared" si="2"/>
        <v>CiteLLM: An Agentic Platform for Trustworthy Scientific Reference Discovery
Mengze Hong, Di Jiang, Chen Jason Zhang, Zichang Guo, Yawen Li, Jun Chen, Shaobo Cui and Zhiyang Su
</v>
      </c>
      <c r="E25" s="115" t="s">
        <v>140</v>
      </c>
      <c r="J25" s="195"/>
      <c r="K25" s="195"/>
      <c r="L25" s="195"/>
    </row>
    <row r="26">
      <c r="A26" s="195" t="s">
        <v>1904</v>
      </c>
      <c r="B26" s="195" t="s">
        <v>1905</v>
      </c>
      <c r="C26" s="195" t="s">
        <v>1906</v>
      </c>
      <c r="D26" s="116" t="str">
        <f t="shared" si="2"/>
        <v>A Framework for Continual Knowledge Graph Embedding
Gerard Pons, Besim Bilalli and Anna Queralt
</v>
      </c>
      <c r="E26" s="115" t="s">
        <v>140</v>
      </c>
      <c r="J26" s="195"/>
      <c r="K26" s="195"/>
      <c r="L26" s="195"/>
    </row>
    <row r="27">
      <c r="A27" s="195" t="s">
        <v>1907</v>
      </c>
      <c r="B27" s="195" t="s">
        <v>1908</v>
      </c>
      <c r="C27" s="195" t="s">
        <v>1909</v>
      </c>
      <c r="D27" s="116" t="str">
        <f t="shared" si="2"/>
        <v>Roamify: An Interactive Browser Extension for Real-Time LLM-Based Travel Itinerary Generation
Vikranth Udandarao, Muthuraj Vairamuthu, Noel Abraham Tiju, Harsh Mistry, Armaan Singh and Dhruv Kumar
</v>
      </c>
      <c r="E27" s="115" t="s">
        <v>140</v>
      </c>
      <c r="J27" s="195"/>
      <c r="K27" s="195"/>
      <c r="L27" s="195"/>
    </row>
    <row r="28">
      <c r="A28" s="195" t="s">
        <v>1910</v>
      </c>
      <c r="B28" s="195" t="s">
        <v>1911</v>
      </c>
      <c r="C28" s="195" t="s">
        <v>1912</v>
      </c>
      <c r="D28" s="116" t="str">
        <f t="shared" si="2"/>
        <v>PaperDebugger: A Plugin-Based Multi-Agent System for In-Editor Academic Writing, Review, and Editing
Junyi Hou, Andre Lin, Nuo Chen, Yiwei Gong and Bingsheng He
</v>
      </c>
      <c r="E28" s="115" t="s">
        <v>140</v>
      </c>
      <c r="J28" s="195"/>
      <c r="K28" s="195"/>
      <c r="L28" s="195"/>
    </row>
    <row r="29">
      <c r="A29" s="195" t="s">
        <v>1913</v>
      </c>
      <c r="B29" s="195" t="s">
        <v>1914</v>
      </c>
      <c r="C29" s="195" t="s">
        <v>1915</v>
      </c>
      <c r="D29" s="116" t="str">
        <f t="shared" si="2"/>
        <v>DriftNavi: Talk through Your Data Drift with LLMs
Zixin Wang, Junliang Yu, Tong Chen, Yadan Luo and Shazia Sadiq
</v>
      </c>
      <c r="E29" s="115" t="s">
        <v>140</v>
      </c>
      <c r="J29" s="195"/>
      <c r="K29" s="195"/>
      <c r="L29" s="195"/>
    </row>
    <row r="30">
      <c r="A30" s="195" t="s">
        <v>1916</v>
      </c>
      <c r="B30" s="195" t="s">
        <v>1917</v>
      </c>
      <c r="C30" s="195" t="s">
        <v>1918</v>
      </c>
      <c r="D30" s="116" t="str">
        <f t="shared" si="2"/>
        <v>Implementation of a Metacognition Framework for Self-Awareness and Self-Regulation in Ensembles of LLMs
Charles Courchaine, Ricky J. Sethi and Hefei Qiu
</v>
      </c>
      <c r="E30" s="115" t="s">
        <v>140</v>
      </c>
      <c r="J30" s="195"/>
      <c r="K30" s="195"/>
      <c r="L30" s="195"/>
    </row>
    <row r="31">
      <c r="A31" s="195" t="s">
        <v>1919</v>
      </c>
      <c r="B31" s="195" t="s">
        <v>1920</v>
      </c>
      <c r="C31" s="195" t="s">
        <v>1921</v>
      </c>
      <c r="D31" s="116" t="str">
        <f t="shared" si="2"/>
        <v>BaiJia: An Open Role-Playing Platform of Chinese Historical Characters
Ting Bai, Jiazheng Kang, Jiayang Fan, Hengzhi Lan and Yutian Zhong
</v>
      </c>
      <c r="E31" s="115" t="s">
        <v>140</v>
      </c>
      <c r="J31" s="195"/>
      <c r="K31" s="195"/>
      <c r="L31" s="195"/>
    </row>
    <row r="32">
      <c r="A32" s="195" t="s">
        <v>1922</v>
      </c>
      <c r="B32" s="195" t="s">
        <v>1923</v>
      </c>
      <c r="C32" s="195" t="s">
        <v>1924</v>
      </c>
      <c r="D32" s="116" t="str">
        <f t="shared" si="2"/>
        <v>LegalKit: A Modular Toolkit for Efficient Legal AI Evaluation
Shuo Miao, Haitao Li, Yueyue Wu, Qingyao Ai and Yiqun Liu
</v>
      </c>
      <c r="E32" s="115" t="s">
        <v>140</v>
      </c>
      <c r="J32" s="195"/>
      <c r="K32" s="195"/>
      <c r="L32" s="195"/>
    </row>
    <row r="33">
      <c r="A33" s="195" t="s">
        <v>1925</v>
      </c>
      <c r="B33" s="195" t="s">
        <v>1926</v>
      </c>
      <c r="C33" s="195" t="s">
        <v>1927</v>
      </c>
      <c r="D33" s="116" t="str">
        <f t="shared" si="2"/>
        <v>ECLAD: An Edge-Cloud Collaborative Agentic Framework for Interpretable Anomaly Detection in Predictive Maintenance
Songyuan Sui, Zhanqi Deng, Yamin Zhuang, Serena Liu, Leisheng Yu, Alfredo Costilla Reyes and Xia Hu
</v>
      </c>
      <c r="E33" s="115" t="s">
        <v>161</v>
      </c>
      <c r="J33" s="195"/>
      <c r="K33" s="195"/>
      <c r="L33" s="195"/>
    </row>
    <row r="34">
      <c r="A34" s="195" t="s">
        <v>1928</v>
      </c>
      <c r="B34" s="195" t="s">
        <v>1929</v>
      </c>
      <c r="C34" s="195" t="s">
        <v>1930</v>
      </c>
      <c r="D34" s="116" t="str">
        <f t="shared" si="2"/>
        <v>PeeriScope: A Multi-Faceted Framework for Evaluating Peer Review Quality
Sajad Ebrahimi, Soroush Sadeghian, Ali Ghorbanpour, Negar Arabzadeh, Sara Salamat, Seyed Mohammad Hosseini, Hai Son Le, Mahdi Bashari and Ebrahim Bagheri
</v>
      </c>
      <c r="E34" s="115" t="s">
        <v>161</v>
      </c>
      <c r="J34" s="195"/>
      <c r="K34" s="195"/>
      <c r="L34" s="195"/>
    </row>
    <row r="35">
      <c r="A35" s="195" t="s">
        <v>1931</v>
      </c>
      <c r="B35" s="195" t="s">
        <v>1932</v>
      </c>
      <c r="C35" s="195" t="s">
        <v>1933</v>
      </c>
      <c r="D35" s="116" t="str">
        <f t="shared" si="2"/>
        <v>ARC: A Tool to Rate AI Models for Robustness Through a Causal Lens for Enabling Trustworthy Model Selection
Kausik Lakkaraju, Siva Likitha Valluru, Biplav Srivastava and Marco Valtorta
</v>
      </c>
      <c r="E35" s="115" t="s">
        <v>161</v>
      </c>
      <c r="J35" s="195"/>
      <c r="K35" s="195"/>
      <c r="L35" s="195"/>
    </row>
    <row r="36">
      <c r="A36" s="195" t="s">
        <v>1934</v>
      </c>
      <c r="B36" s="195" t="s">
        <v>1935</v>
      </c>
      <c r="C36" s="195" t="s">
        <v>1936</v>
      </c>
      <c r="D36" s="116" t="str">
        <f t="shared" si="2"/>
        <v>IntraAI: Bridging Human-AI Understanding Through Intelligent Interface Design
Han Bao, Yue Huang, Xiangliang Zhang and Yanfang Ye
</v>
      </c>
      <c r="E36" s="115" t="s">
        <v>161</v>
      </c>
      <c r="J36" s="195"/>
      <c r="K36" s="195"/>
      <c r="L36" s="195"/>
    </row>
    <row r="37">
      <c r="A37" s="195" t="s">
        <v>1937</v>
      </c>
      <c r="B37" s="195" t="s">
        <v>1938</v>
      </c>
      <c r="C37" s="195" t="s">
        <v>1939</v>
      </c>
      <c r="D37" s="116" t="str">
        <f t="shared" si="2"/>
        <v>Sumo x PyPSA: Interactive Web Demo of Real-Time Urban Power-Traffic Co-Simulation with Vehicle-to-Grid
Marouane Benbrahim, Xin Fang and Zhiqian Chen
</v>
      </c>
      <c r="E37" s="115" t="s">
        <v>161</v>
      </c>
      <c r="J37" s="195"/>
      <c r="K37" s="195"/>
      <c r="L37" s="195"/>
    </row>
    <row r="38">
      <c r="A38" s="195" t="s">
        <v>1940</v>
      </c>
      <c r="B38" s="195" t="s">
        <v>1941</v>
      </c>
      <c r="C38" s="195" t="s">
        <v>1942</v>
      </c>
      <c r="D38" s="116" t="str">
        <f t="shared" si="2"/>
        <v>GreenWebInspector: A Tool for Real-Time Web Energy Efficiency Assessment
Muhammad Sohaib Ayub, Umair ul Hassan, Imdad Ullah Khan and Edward Curry
</v>
      </c>
      <c r="E38" s="115" t="s">
        <v>161</v>
      </c>
      <c r="J38" s="195"/>
      <c r="K38" s="195"/>
      <c r="L38" s="195"/>
    </row>
    <row r="39">
      <c r="A39" s="195" t="s">
        <v>1943</v>
      </c>
      <c r="B39" s="195" t="s">
        <v>1944</v>
      </c>
      <c r="C39" s="195" t="s">
        <v>1945</v>
      </c>
      <c r="D39" s="116" t="str">
        <f t="shared" si="2"/>
        <v>Swen: A Cross‑Platform Desktop Assistant for Instant and Personalized Large‑Language‑Model Interaction
Wenjun Feng, Rui Li, Zheng Zhang, Zhenya Huang and Qi Liu
</v>
      </c>
      <c r="E39" s="115" t="s">
        <v>161</v>
      </c>
      <c r="J39" s="195"/>
      <c r="K39" s="195"/>
      <c r="L39" s="195"/>
    </row>
    <row r="40">
      <c r="A40" s="195" t="s">
        <v>1946</v>
      </c>
      <c r="B40" s="195" t="s">
        <v>1947</v>
      </c>
      <c r="C40" s="195" t="s">
        <v>1948</v>
      </c>
      <c r="D40" s="116" t="str">
        <f t="shared" si="2"/>
        <v>Click-to-Ask: An AI Live Streaming Assistant with Offline Copywriting and Online Interactive Q&amp;A
Ruizhi Yu, Keyang Zhong, Peng Liu, Qi Wu, Haoran Zhang, Yanhao Zhang, Chen Chen and Haonan Lu
</v>
      </c>
      <c r="E40" s="115" t="s">
        <v>161</v>
      </c>
      <c r="J40" s="195"/>
      <c r="K40" s="195"/>
      <c r="L40" s="195"/>
    </row>
    <row r="41">
      <c r="A41" s="195" t="s">
        <v>1949</v>
      </c>
      <c r="B41" s="195" t="s">
        <v>1950</v>
      </c>
      <c r="C41" s="195" t="s">
        <v>1951</v>
      </c>
      <c r="D41" s="116" t="str">
        <f t="shared" si="2"/>
        <v>QueryGym: A Toolkit for Reproducible LLM-Based Query Reformulation
Amin Bigdeli, Radin Hamidi Rad, Mert Incesu, Negar Arabzadeh, Charles Clarke and Ebrahim Bagheri
</v>
      </c>
      <c r="E41" s="115" t="s">
        <v>178</v>
      </c>
      <c r="J41" s="195"/>
      <c r="K41" s="195"/>
      <c r="L41" s="195"/>
    </row>
    <row r="42">
      <c r="A42" s="195" t="s">
        <v>1952</v>
      </c>
      <c r="B42" s="195" t="s">
        <v>1953</v>
      </c>
      <c r="C42" s="195" t="s">
        <v>1954</v>
      </c>
      <c r="D42" s="116" t="str">
        <f t="shared" si="2"/>
        <v>MetriKG: Profiling Static and Evolving Knowledge Graphs
Hasan Hüseyin Günes, Milos Jovanovik and Katja Hose
</v>
      </c>
      <c r="E42" s="115" t="s">
        <v>178</v>
      </c>
      <c r="J42" s="195"/>
      <c r="K42" s="195"/>
      <c r="L42" s="195"/>
    </row>
    <row r="43">
      <c r="A43" s="195" t="s">
        <v>1955</v>
      </c>
      <c r="B43" s="195" t="s">
        <v>1956</v>
      </c>
      <c r="C43" s="195" t="s">
        <v>1957</v>
      </c>
      <c r="D43" s="116" t="str">
        <f t="shared" si="2"/>
        <v>TabTune: A Unified Library for Inference and Fine-Tuning Tabular Foundation Models
Aditya Tanna, Pratinav Seth, Mohamed Bouadi and Vinay Kumar Kumar Sankarapu
</v>
      </c>
      <c r="E43" s="115" t="s">
        <v>178</v>
      </c>
      <c r="J43" s="195"/>
      <c r="K43" s="195"/>
      <c r="L43" s="195"/>
    </row>
    <row r="44">
      <c r="A44" s="195" t="s">
        <v>1958</v>
      </c>
      <c r="B44" s="195" t="s">
        <v>1959</v>
      </c>
      <c r="C44" s="195" t="s">
        <v>1960</v>
      </c>
      <c r="D44" s="116" t="str">
        <f t="shared" si="2"/>
        <v>RobustReviewAI: A Robustness Evaluation System for AI-Powered Peer Review
Siming Yuan, Yuchen Liu, Qinan Zheng, Wangze Ni, Shimin Di, Lei Chen and Kui Ren
</v>
      </c>
      <c r="E44" s="115" t="s">
        <v>178</v>
      </c>
      <c r="J44" s="195"/>
      <c r="K44" s="195"/>
      <c r="L44" s="195"/>
    </row>
    <row r="45">
      <c r="A45" s="195" t="s">
        <v>1961</v>
      </c>
      <c r="B45" s="195" t="s">
        <v>1962</v>
      </c>
      <c r="C45" s="195" t="s">
        <v>1963</v>
      </c>
      <c r="D45" s="116" t="str">
        <f t="shared" si="2"/>
        <v>LLM-Powered Structurer: Normalizing Natural Language to Information Delivery Specification for Industrial Data Exchange
Jiqian Yang, Sujie Yan, Zhi Li, Mingyu Liu, Yousheng Wang and Wei He
</v>
      </c>
      <c r="E45" s="115" t="s">
        <v>178</v>
      </c>
      <c r="J45" s="195"/>
      <c r="K45" s="195"/>
      <c r="L45" s="195"/>
    </row>
    <row r="46">
      <c r="A46" s="195" t="s">
        <v>1964</v>
      </c>
      <c r="B46" s="195" t="s">
        <v>1965</v>
      </c>
      <c r="C46" s="195" t="s">
        <v>1966</v>
      </c>
      <c r="D46" s="116" t="str">
        <f t="shared" si="2"/>
        <v>OwlerLite: Scope- and Freshness-Aware Web Retrieval for LLM Assistants
Saber Zerhoudi, Michael Dinzinger, Michael Granitzer and Jelena Mitrovic
</v>
      </c>
      <c r="E46" s="115" t="s">
        <v>178</v>
      </c>
      <c r="J46" s="195"/>
      <c r="K46" s="195"/>
      <c r="L46" s="195"/>
    </row>
    <row r="47">
      <c r="A47" s="195" t="s">
        <v>1967</v>
      </c>
      <c r="B47" s="195" t="s">
        <v>1968</v>
      </c>
      <c r="C47" s="195" t="s">
        <v>1969</v>
      </c>
      <c r="D47" s="116" t="str">
        <f t="shared" si="2"/>
        <v>Weakly Supervised Multimodal Claim Verification with Entity-Graph Inference
Kiana Bagheri-Lotfabad, Amin Beheshti, Milad Mosharraf, Min Li, Pooyan Asgari and Guanfeng Liu
</v>
      </c>
      <c r="E47" s="115" t="s">
        <v>178</v>
      </c>
      <c r="J47" s="195"/>
      <c r="K47" s="195"/>
      <c r="L47" s="195"/>
    </row>
    <row r="48">
      <c r="A48" s="195" t="s">
        <v>1970</v>
      </c>
      <c r="B48" s="195" t="s">
        <v>1971</v>
      </c>
      <c r="C48" s="195" t="s">
        <v>1972</v>
      </c>
      <c r="D48" s="116" t="str">
        <f t="shared" si="2"/>
        <v>BLURR: A Boosted Low-Resource Inference for Vision-Language-Action Model
Xiaoyu Ma, Zhengqing Yuan, Zheyuan Zhang, Kaiwen Shi, Lichao Sun and Yanfang Ye
</v>
      </c>
      <c r="E48" s="115" t="s">
        <v>178</v>
      </c>
      <c r="J48" s="195"/>
      <c r="K48" s="195"/>
      <c r="L48" s="195"/>
    </row>
  </sheetData>
  <conditionalFormatting sqref="E9:E48">
    <cfRule type="cellIs" dxfId="1" priority="1" operator="equal">
      <formula>"TRUE"</formula>
    </cfRule>
  </conditionalFormatting>
  <dataValidations>
    <dataValidation type="list" allowBlank="1" showErrorMessage="1" sqref="E9:E48">
      <formula1>"Demos1,Demos2,Demos3,Demos4,Demos5"</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65.63"/>
    <col customWidth="1" min="4" max="4" width="82.0"/>
    <col customWidth="1" min="5" max="5" width="45.75"/>
  </cols>
  <sheetData>
    <row r="1">
      <c r="A1" s="230" t="s">
        <v>1053</v>
      </c>
      <c r="B1" s="230" t="s">
        <v>1973</v>
      </c>
      <c r="C1" s="231" t="s">
        <v>366</v>
      </c>
      <c r="D1" s="232" t="s">
        <v>1974</v>
      </c>
      <c r="E1" s="168" t="s">
        <v>1975</v>
      </c>
      <c r="F1" s="112"/>
      <c r="G1" s="112"/>
      <c r="H1" s="112"/>
      <c r="I1" s="112"/>
      <c r="J1" s="112"/>
      <c r="K1" s="112"/>
      <c r="L1" s="112"/>
      <c r="M1" s="112"/>
      <c r="N1" s="112"/>
      <c r="O1" s="112"/>
      <c r="P1" s="112"/>
      <c r="Q1" s="112"/>
      <c r="R1" s="112"/>
      <c r="S1" s="112"/>
      <c r="T1" s="112"/>
      <c r="U1" s="112"/>
      <c r="V1" s="112"/>
      <c r="W1" s="112"/>
      <c r="X1" s="112"/>
    </row>
    <row r="2">
      <c r="A2" s="115" t="s">
        <v>368</v>
      </c>
      <c r="B2" s="115">
        <v>110.0</v>
      </c>
      <c r="C2" s="115" t="s">
        <v>1976</v>
      </c>
      <c r="D2" s="115" t="s">
        <v>1977</v>
      </c>
      <c r="E2" s="115" t="s">
        <v>1978</v>
      </c>
    </row>
    <row r="3">
      <c r="A3" s="115" t="s">
        <v>373</v>
      </c>
      <c r="B3" s="115">
        <v>366.0</v>
      </c>
      <c r="C3" s="115" t="s">
        <v>1979</v>
      </c>
      <c r="D3" s="115" t="s">
        <v>1980</v>
      </c>
      <c r="E3" s="115" t="s">
        <v>1978</v>
      </c>
    </row>
    <row r="4">
      <c r="A4" s="115" t="s">
        <v>383</v>
      </c>
      <c r="B4" s="115">
        <v>434.0</v>
      </c>
      <c r="C4" s="115" t="s">
        <v>1981</v>
      </c>
      <c r="D4" s="115" t="s">
        <v>1982</v>
      </c>
      <c r="E4" s="115" t="s">
        <v>1978</v>
      </c>
    </row>
    <row r="5">
      <c r="A5" s="115" t="s">
        <v>374</v>
      </c>
      <c r="B5" s="115">
        <v>507.0</v>
      </c>
      <c r="C5" s="115" t="s">
        <v>1983</v>
      </c>
      <c r="D5" s="115" t="s">
        <v>1984</v>
      </c>
      <c r="E5" s="115" t="s">
        <v>1978</v>
      </c>
    </row>
    <row r="6">
      <c r="A6" s="115" t="s">
        <v>384</v>
      </c>
      <c r="B6" s="115">
        <v>730.0</v>
      </c>
      <c r="C6" s="115" t="s">
        <v>1985</v>
      </c>
      <c r="D6" s="115" t="s">
        <v>1986</v>
      </c>
      <c r="E6" s="115" t="s">
        <v>1978</v>
      </c>
      <c r="F6" s="115" t="s">
        <v>1987</v>
      </c>
    </row>
    <row r="7">
      <c r="A7" s="115" t="s">
        <v>385</v>
      </c>
      <c r="B7" s="115">
        <v>822.0</v>
      </c>
      <c r="C7" s="115" t="s">
        <v>1988</v>
      </c>
      <c r="D7" s="115" t="s">
        <v>1989</v>
      </c>
      <c r="E7" s="115" t="s">
        <v>1978</v>
      </c>
    </row>
    <row r="8">
      <c r="A8" s="115" t="s">
        <v>375</v>
      </c>
      <c r="B8" s="115">
        <v>939.0</v>
      </c>
      <c r="C8" s="115" t="s">
        <v>1990</v>
      </c>
      <c r="D8" s="115" t="s">
        <v>1991</v>
      </c>
      <c r="E8" s="115" t="s">
        <v>1978</v>
      </c>
    </row>
    <row r="9">
      <c r="A9" s="115" t="s">
        <v>376</v>
      </c>
      <c r="B9" s="115">
        <v>1107.0</v>
      </c>
      <c r="C9" s="115" t="s">
        <v>1992</v>
      </c>
      <c r="D9" s="115" t="s">
        <v>1993</v>
      </c>
      <c r="E9" s="115" t="s">
        <v>1978</v>
      </c>
    </row>
    <row r="10">
      <c r="A10" s="115" t="s">
        <v>378</v>
      </c>
      <c r="B10" s="115">
        <v>1225.0</v>
      </c>
      <c r="C10" s="115" t="s">
        <v>1994</v>
      </c>
      <c r="D10" s="115" t="s">
        <v>1995</v>
      </c>
      <c r="E10" s="115" t="s">
        <v>1978</v>
      </c>
    </row>
    <row r="11">
      <c r="A11" s="115" t="s">
        <v>386</v>
      </c>
      <c r="B11" s="115">
        <v>1229.0</v>
      </c>
      <c r="C11" s="115" t="s">
        <v>1996</v>
      </c>
      <c r="D11" s="115" t="s">
        <v>1997</v>
      </c>
      <c r="E11" s="115" t="s">
        <v>1978</v>
      </c>
    </row>
    <row r="12">
      <c r="A12" s="115" t="s">
        <v>369</v>
      </c>
      <c r="B12" s="115">
        <v>1286.0</v>
      </c>
      <c r="C12" s="115" t="s">
        <v>1998</v>
      </c>
      <c r="D12" s="115" t="s">
        <v>1999</v>
      </c>
      <c r="E12" s="115" t="s">
        <v>1978</v>
      </c>
    </row>
    <row r="13">
      <c r="A13" s="115" t="s">
        <v>370</v>
      </c>
      <c r="B13" s="115">
        <v>1311.0</v>
      </c>
      <c r="C13" s="115" t="s">
        <v>1998</v>
      </c>
      <c r="D13" s="115" t="s">
        <v>2000</v>
      </c>
      <c r="E13" s="115" t="s">
        <v>1978</v>
      </c>
    </row>
    <row r="14">
      <c r="A14" s="115" t="s">
        <v>387</v>
      </c>
      <c r="B14" s="115">
        <v>1455.0</v>
      </c>
      <c r="C14" s="115" t="s">
        <v>2001</v>
      </c>
      <c r="D14" s="115" t="s">
        <v>2002</v>
      </c>
      <c r="E14" s="115" t="s">
        <v>1978</v>
      </c>
    </row>
    <row r="15">
      <c r="A15" s="115" t="s">
        <v>388</v>
      </c>
      <c r="B15" s="115">
        <v>1474.0</v>
      </c>
      <c r="C15" s="115" t="s">
        <v>2003</v>
      </c>
      <c r="D15" s="115" t="s">
        <v>2004</v>
      </c>
      <c r="E15" s="115" t="s">
        <v>1978</v>
      </c>
    </row>
    <row r="16">
      <c r="A16" s="115" t="s">
        <v>379</v>
      </c>
      <c r="B16" s="115">
        <v>1495.0</v>
      </c>
      <c r="C16" s="115" t="s">
        <v>2005</v>
      </c>
      <c r="D16" s="115" t="s">
        <v>2006</v>
      </c>
      <c r="E16" s="115" t="s">
        <v>1978</v>
      </c>
    </row>
    <row r="17">
      <c r="A17" s="115" t="s">
        <v>377</v>
      </c>
      <c r="B17" s="115">
        <v>1558.0</v>
      </c>
      <c r="C17" s="115" t="s">
        <v>2007</v>
      </c>
      <c r="D17" s="115" t="s">
        <v>2008</v>
      </c>
      <c r="E17" s="115" t="s">
        <v>1978</v>
      </c>
    </row>
    <row r="18">
      <c r="A18" s="115" t="s">
        <v>389</v>
      </c>
      <c r="B18" s="115">
        <v>1698.0</v>
      </c>
      <c r="C18" s="115" t="s">
        <v>2009</v>
      </c>
      <c r="D18" s="115" t="s">
        <v>2010</v>
      </c>
      <c r="E18" s="115" t="s">
        <v>1978</v>
      </c>
    </row>
    <row r="19">
      <c r="A19" s="115" t="s">
        <v>390</v>
      </c>
      <c r="B19" s="115">
        <v>1825.0</v>
      </c>
      <c r="C19" s="115" t="s">
        <v>2011</v>
      </c>
      <c r="D19" s="115" t="s">
        <v>2012</v>
      </c>
      <c r="E19" s="115" t="s">
        <v>1978</v>
      </c>
    </row>
    <row r="20">
      <c r="A20" s="115" t="s">
        <v>391</v>
      </c>
      <c r="B20" s="115">
        <v>1841.0</v>
      </c>
      <c r="C20" s="115" t="s">
        <v>2013</v>
      </c>
      <c r="D20" s="115" t="s">
        <v>2014</v>
      </c>
      <c r="E20" s="115" t="s">
        <v>1978</v>
      </c>
    </row>
    <row r="21">
      <c r="A21" s="115" t="s">
        <v>392</v>
      </c>
      <c r="B21" s="115">
        <v>1865.0</v>
      </c>
      <c r="C21" s="115" t="s">
        <v>2015</v>
      </c>
      <c r="D21" s="115" t="s">
        <v>2016</v>
      </c>
      <c r="E21" s="115" t="s">
        <v>1978</v>
      </c>
    </row>
    <row r="22">
      <c r="A22" s="115" t="s">
        <v>393</v>
      </c>
      <c r="B22" s="115">
        <v>2135.0</v>
      </c>
      <c r="C22" s="115" t="s">
        <v>2017</v>
      </c>
      <c r="D22" s="115" t="s">
        <v>2018</v>
      </c>
      <c r="E22" s="115" t="s">
        <v>1978</v>
      </c>
    </row>
    <row r="23">
      <c r="A23" s="115" t="s">
        <v>380</v>
      </c>
      <c r="B23" s="115">
        <v>2292.0</v>
      </c>
      <c r="C23" s="115" t="s">
        <v>2019</v>
      </c>
      <c r="D23" s="115" t="s">
        <v>2020</v>
      </c>
      <c r="E23" s="115" t="s">
        <v>1978</v>
      </c>
    </row>
    <row r="24">
      <c r="A24" s="115" t="s">
        <v>381</v>
      </c>
      <c r="B24" s="115">
        <v>2506.0</v>
      </c>
      <c r="C24" s="115" t="s">
        <v>2021</v>
      </c>
      <c r="D24" s="115" t="s">
        <v>2022</v>
      </c>
      <c r="E24" s="115" t="s">
        <v>1978</v>
      </c>
    </row>
    <row r="25">
      <c r="A25" s="115" t="s">
        <v>394</v>
      </c>
      <c r="B25" s="115">
        <v>2508.0</v>
      </c>
      <c r="C25" s="115" t="s">
        <v>2023</v>
      </c>
      <c r="D25" s="115" t="s">
        <v>2024</v>
      </c>
      <c r="E25" s="115" t="s">
        <v>1978</v>
      </c>
    </row>
    <row r="26">
      <c r="A26" s="115" t="s">
        <v>382</v>
      </c>
      <c r="B26" s="115">
        <v>2518.0</v>
      </c>
      <c r="C26" s="115" t="s">
        <v>2025</v>
      </c>
      <c r="D26" s="115" t="s">
        <v>2026</v>
      </c>
      <c r="E26" s="115" t="s">
        <v>1978</v>
      </c>
    </row>
    <row r="27">
      <c r="A27" s="115" t="s">
        <v>395</v>
      </c>
      <c r="B27" s="115">
        <v>2539.0</v>
      </c>
      <c r="C27" s="115" t="s">
        <v>2027</v>
      </c>
      <c r="D27" s="115" t="s">
        <v>2028</v>
      </c>
      <c r="E27" s="115" t="s">
        <v>1978</v>
      </c>
    </row>
    <row r="28">
      <c r="A28" s="115" t="s">
        <v>396</v>
      </c>
      <c r="B28" s="115">
        <v>2547.0</v>
      </c>
      <c r="C28" s="115" t="s">
        <v>2029</v>
      </c>
      <c r="D28" s="115" t="s">
        <v>2030</v>
      </c>
      <c r="E28" s="115" t="s">
        <v>1978</v>
      </c>
    </row>
    <row r="29">
      <c r="A29" s="115" t="s">
        <v>371</v>
      </c>
      <c r="B29" s="115">
        <v>2666.0</v>
      </c>
      <c r="C29" s="115" t="s">
        <v>2031</v>
      </c>
      <c r="D29" s="115" t="s">
        <v>2032</v>
      </c>
      <c r="E29" s="115" t="s">
        <v>1978</v>
      </c>
    </row>
    <row r="30">
      <c r="A30" s="115" t="s">
        <v>397</v>
      </c>
      <c r="B30" s="115">
        <v>2834.0</v>
      </c>
      <c r="C30" s="115" t="s">
        <v>2033</v>
      </c>
      <c r="D30" s="115" t="s">
        <v>2034</v>
      </c>
      <c r="E30" s="115" t="s">
        <v>1978</v>
      </c>
    </row>
    <row r="31">
      <c r="A31" s="115" t="s">
        <v>398</v>
      </c>
      <c r="B31" s="115">
        <v>3242.0</v>
      </c>
      <c r="C31" s="115" t="s">
        <v>2035</v>
      </c>
      <c r="D31" s="115" t="s">
        <v>2036</v>
      </c>
      <c r="E31" s="115" t="s">
        <v>1978</v>
      </c>
    </row>
    <row r="32">
      <c r="A32" s="115" t="s">
        <v>399</v>
      </c>
      <c r="B32" s="115">
        <v>3267.0</v>
      </c>
      <c r="C32" s="115" t="s">
        <v>2037</v>
      </c>
      <c r="D32" s="115" t="s">
        <v>2038</v>
      </c>
      <c r="E32" s="115" t="s">
        <v>1978</v>
      </c>
    </row>
    <row r="33">
      <c r="A33" s="115" t="s">
        <v>400</v>
      </c>
      <c r="B33" s="115">
        <v>3426.0</v>
      </c>
      <c r="C33" s="115" t="s">
        <v>2039</v>
      </c>
      <c r="D33" s="115" t="s">
        <v>2040</v>
      </c>
      <c r="E33" s="115" t="s">
        <v>1978</v>
      </c>
    </row>
    <row r="34">
      <c r="A34" s="115" t="s">
        <v>372</v>
      </c>
      <c r="B34" s="115">
        <v>3609.0</v>
      </c>
      <c r="C34" s="115" t="s">
        <v>2041</v>
      </c>
      <c r="D34" s="115" t="s">
        <v>2042</v>
      </c>
      <c r="E34" s="115" t="s">
        <v>1978</v>
      </c>
    </row>
    <row r="35">
      <c r="A35" s="115" t="s">
        <v>401</v>
      </c>
      <c r="B35" s="115">
        <v>3786.0</v>
      </c>
      <c r="C35" s="115" t="s">
        <v>2043</v>
      </c>
      <c r="D35" s="115" t="s">
        <v>2044</v>
      </c>
      <c r="E35" s="115" t="s">
        <v>1978</v>
      </c>
    </row>
    <row r="36">
      <c r="A36" s="115" t="s">
        <v>402</v>
      </c>
      <c r="B36" s="115">
        <v>3842.0</v>
      </c>
      <c r="C36" s="115" t="s">
        <v>2045</v>
      </c>
      <c r="D36" s="115" t="s">
        <v>2046</v>
      </c>
      <c r="E36" s="115" t="s">
        <v>1978</v>
      </c>
    </row>
    <row r="37">
      <c r="A37" s="115" t="s">
        <v>403</v>
      </c>
      <c r="B37" s="115">
        <v>4490.0</v>
      </c>
      <c r="C37" s="115" t="s">
        <v>2047</v>
      </c>
      <c r="D37" s="115" t="s">
        <v>2048</v>
      </c>
      <c r="E37" s="115" t="s">
        <v>1978</v>
      </c>
    </row>
    <row r="38">
      <c r="A38" s="115" t="s">
        <v>455</v>
      </c>
      <c r="B38" s="115">
        <v>27.0</v>
      </c>
      <c r="C38" s="115" t="s">
        <v>2049</v>
      </c>
      <c r="D38" s="115" t="s">
        <v>2050</v>
      </c>
      <c r="E38" s="115" t="s">
        <v>2051</v>
      </c>
    </row>
    <row r="39">
      <c r="A39" s="115" t="s">
        <v>450</v>
      </c>
      <c r="B39" s="115">
        <v>68.0</v>
      </c>
      <c r="C39" s="115" t="s">
        <v>2052</v>
      </c>
      <c r="D39" s="115" t="s">
        <v>2053</v>
      </c>
      <c r="E39" s="115" t="s">
        <v>2051</v>
      </c>
    </row>
    <row r="40">
      <c r="A40" s="115" t="s">
        <v>435</v>
      </c>
      <c r="B40" s="115">
        <v>109.0</v>
      </c>
      <c r="C40" s="115" t="s">
        <v>2054</v>
      </c>
      <c r="D40" s="115" t="s">
        <v>2055</v>
      </c>
      <c r="E40" s="115" t="s">
        <v>2051</v>
      </c>
    </row>
    <row r="41">
      <c r="A41" s="115" t="s">
        <v>456</v>
      </c>
      <c r="B41" s="115">
        <v>161.0</v>
      </c>
      <c r="C41" s="115" t="s">
        <v>2056</v>
      </c>
      <c r="D41" s="115" t="s">
        <v>2057</v>
      </c>
      <c r="E41" s="115" t="s">
        <v>2051</v>
      </c>
    </row>
    <row r="42">
      <c r="A42" s="115" t="s">
        <v>445</v>
      </c>
      <c r="B42" s="115">
        <v>199.0</v>
      </c>
      <c r="C42" s="115" t="s">
        <v>2058</v>
      </c>
      <c r="D42" s="115" t="s">
        <v>2059</v>
      </c>
      <c r="E42" s="115" t="s">
        <v>2051</v>
      </c>
    </row>
    <row r="43">
      <c r="A43" s="115" t="s">
        <v>404</v>
      </c>
      <c r="B43" s="115">
        <v>207.0</v>
      </c>
      <c r="C43" s="115" t="s">
        <v>2060</v>
      </c>
      <c r="D43" s="115" t="s">
        <v>2061</v>
      </c>
      <c r="E43" s="115" t="s">
        <v>2051</v>
      </c>
    </row>
    <row r="44">
      <c r="A44" s="115" t="s">
        <v>457</v>
      </c>
      <c r="B44" s="115">
        <v>296.0</v>
      </c>
      <c r="C44" s="115" t="s">
        <v>2062</v>
      </c>
      <c r="D44" s="115" t="s">
        <v>2063</v>
      </c>
      <c r="E44" s="115" t="s">
        <v>2051</v>
      </c>
    </row>
    <row r="45">
      <c r="A45" s="115" t="s">
        <v>446</v>
      </c>
      <c r="B45" s="115">
        <v>318.0</v>
      </c>
      <c r="C45" s="115" t="s">
        <v>2064</v>
      </c>
      <c r="D45" s="115" t="s">
        <v>2065</v>
      </c>
      <c r="E45" s="115" t="s">
        <v>2051</v>
      </c>
    </row>
    <row r="46">
      <c r="A46" s="115" t="s">
        <v>447</v>
      </c>
      <c r="B46" s="115">
        <v>362.0</v>
      </c>
      <c r="C46" s="115" t="s">
        <v>2066</v>
      </c>
      <c r="D46" s="115" t="s">
        <v>2067</v>
      </c>
      <c r="E46" s="115" t="s">
        <v>2051</v>
      </c>
    </row>
    <row r="47">
      <c r="A47" s="115" t="s">
        <v>405</v>
      </c>
      <c r="B47" s="115">
        <v>364.0</v>
      </c>
      <c r="C47" s="115" t="s">
        <v>2068</v>
      </c>
      <c r="D47" s="115" t="s">
        <v>2069</v>
      </c>
      <c r="E47" s="115" t="s">
        <v>2051</v>
      </c>
    </row>
    <row r="48">
      <c r="A48" s="115" t="s">
        <v>458</v>
      </c>
      <c r="B48" s="115">
        <v>382.0</v>
      </c>
      <c r="C48" s="115" t="s">
        <v>2070</v>
      </c>
      <c r="D48" s="115" t="s">
        <v>2071</v>
      </c>
      <c r="E48" s="115" t="s">
        <v>2051</v>
      </c>
    </row>
    <row r="49">
      <c r="A49" s="115" t="s">
        <v>451</v>
      </c>
      <c r="B49" s="115">
        <v>383.0</v>
      </c>
      <c r="C49" s="115" t="s">
        <v>2072</v>
      </c>
      <c r="D49" s="115" t="s">
        <v>2073</v>
      </c>
      <c r="E49" s="115" t="s">
        <v>2051</v>
      </c>
    </row>
    <row r="50">
      <c r="A50" s="115" t="s">
        <v>459</v>
      </c>
      <c r="B50" s="115">
        <v>389.0</v>
      </c>
      <c r="C50" s="115" t="s">
        <v>2074</v>
      </c>
      <c r="D50" s="115" t="s">
        <v>2075</v>
      </c>
      <c r="E50" s="115" t="s">
        <v>2051</v>
      </c>
    </row>
    <row r="51">
      <c r="A51" s="115" t="s">
        <v>460</v>
      </c>
      <c r="B51" s="115">
        <v>409.0</v>
      </c>
      <c r="C51" s="115" t="s">
        <v>2076</v>
      </c>
      <c r="D51" s="115" t="s">
        <v>2077</v>
      </c>
      <c r="E51" s="115" t="s">
        <v>2051</v>
      </c>
    </row>
    <row r="52">
      <c r="A52" s="115" t="s">
        <v>409</v>
      </c>
      <c r="B52" s="115">
        <v>413.0</v>
      </c>
      <c r="C52" s="115" t="s">
        <v>2078</v>
      </c>
      <c r="D52" s="115" t="s">
        <v>2079</v>
      </c>
      <c r="E52" s="115" t="s">
        <v>2051</v>
      </c>
    </row>
    <row r="53">
      <c r="A53" s="115" t="s">
        <v>452</v>
      </c>
      <c r="B53" s="115">
        <v>432.0</v>
      </c>
      <c r="C53" s="115" t="s">
        <v>2080</v>
      </c>
      <c r="D53" s="115" t="s">
        <v>2081</v>
      </c>
      <c r="E53" s="115" t="s">
        <v>2051</v>
      </c>
    </row>
    <row r="54">
      <c r="A54" s="115" t="s">
        <v>461</v>
      </c>
      <c r="B54" s="115">
        <v>446.0</v>
      </c>
      <c r="C54" s="115" t="s">
        <v>2082</v>
      </c>
      <c r="D54" s="115" t="s">
        <v>2083</v>
      </c>
      <c r="E54" s="115" t="s">
        <v>2051</v>
      </c>
    </row>
    <row r="55">
      <c r="A55" s="115" t="s">
        <v>453</v>
      </c>
      <c r="B55" s="115">
        <v>498.0</v>
      </c>
      <c r="C55" s="115" t="s">
        <v>2084</v>
      </c>
      <c r="D55" s="115" t="s">
        <v>2085</v>
      </c>
      <c r="E55" s="115" t="s">
        <v>2051</v>
      </c>
    </row>
    <row r="56">
      <c r="A56" s="115" t="s">
        <v>406</v>
      </c>
      <c r="B56" s="115">
        <v>571.0</v>
      </c>
      <c r="C56" s="115" t="s">
        <v>2086</v>
      </c>
      <c r="D56" s="115" t="s">
        <v>2087</v>
      </c>
      <c r="E56" s="115" t="s">
        <v>2051</v>
      </c>
    </row>
    <row r="57">
      <c r="A57" s="115" t="s">
        <v>410</v>
      </c>
      <c r="B57" s="115">
        <v>608.0</v>
      </c>
      <c r="C57" s="115" t="s">
        <v>2088</v>
      </c>
      <c r="D57" s="115" t="s">
        <v>2089</v>
      </c>
      <c r="E57" s="115" t="s">
        <v>2051</v>
      </c>
    </row>
    <row r="58">
      <c r="A58" s="115" t="s">
        <v>462</v>
      </c>
      <c r="B58" s="115">
        <v>647.0</v>
      </c>
      <c r="C58" s="115" t="s">
        <v>2090</v>
      </c>
      <c r="D58" s="115" t="s">
        <v>2091</v>
      </c>
      <c r="E58" s="115" t="s">
        <v>2051</v>
      </c>
    </row>
    <row r="59">
      <c r="A59" s="115" t="s">
        <v>463</v>
      </c>
      <c r="B59" s="115">
        <v>664.0</v>
      </c>
      <c r="C59" s="115" t="s">
        <v>2092</v>
      </c>
      <c r="D59" s="115" t="s">
        <v>2093</v>
      </c>
      <c r="E59" s="115" t="s">
        <v>2051</v>
      </c>
    </row>
    <row r="60">
      <c r="A60" s="115" t="s">
        <v>411</v>
      </c>
      <c r="B60" s="115">
        <v>697.0</v>
      </c>
      <c r="C60" s="115" t="s">
        <v>2094</v>
      </c>
      <c r="D60" s="115" t="s">
        <v>2095</v>
      </c>
      <c r="E60" s="115" t="s">
        <v>2051</v>
      </c>
    </row>
    <row r="61">
      <c r="A61" s="115" t="s">
        <v>464</v>
      </c>
      <c r="B61" s="115">
        <v>698.0</v>
      </c>
      <c r="C61" s="115" t="s">
        <v>2096</v>
      </c>
      <c r="D61" s="115" t="s">
        <v>2097</v>
      </c>
      <c r="E61" s="115" t="s">
        <v>2051</v>
      </c>
    </row>
    <row r="62">
      <c r="A62" s="115" t="s">
        <v>436</v>
      </c>
      <c r="B62" s="115">
        <v>734.0</v>
      </c>
      <c r="C62" s="115" t="s">
        <v>2098</v>
      </c>
      <c r="D62" s="115" t="s">
        <v>2099</v>
      </c>
      <c r="E62" s="115" t="s">
        <v>2051</v>
      </c>
    </row>
    <row r="63">
      <c r="A63" s="115" t="s">
        <v>465</v>
      </c>
      <c r="B63" s="115">
        <v>797.0</v>
      </c>
      <c r="C63" s="115" t="s">
        <v>2100</v>
      </c>
      <c r="D63" s="115" t="s">
        <v>2101</v>
      </c>
      <c r="E63" s="115" t="s">
        <v>2051</v>
      </c>
    </row>
    <row r="64">
      <c r="A64" s="115" t="s">
        <v>466</v>
      </c>
      <c r="B64" s="115">
        <v>832.0</v>
      </c>
      <c r="C64" s="115" t="s">
        <v>2102</v>
      </c>
      <c r="D64" s="115" t="s">
        <v>2103</v>
      </c>
      <c r="E64" s="115" t="s">
        <v>2051</v>
      </c>
    </row>
    <row r="65">
      <c r="A65" s="115" t="s">
        <v>467</v>
      </c>
      <c r="B65" s="115">
        <v>851.0</v>
      </c>
      <c r="C65" s="115" t="s">
        <v>2104</v>
      </c>
      <c r="D65" s="115" t="s">
        <v>2105</v>
      </c>
      <c r="E65" s="115" t="s">
        <v>2051</v>
      </c>
    </row>
    <row r="66">
      <c r="A66" s="115" t="s">
        <v>412</v>
      </c>
      <c r="B66" s="115">
        <v>905.0</v>
      </c>
      <c r="C66" s="115" t="s">
        <v>2106</v>
      </c>
      <c r="D66" s="115" t="s">
        <v>2107</v>
      </c>
      <c r="E66" s="115" t="s">
        <v>2051</v>
      </c>
    </row>
    <row r="67">
      <c r="A67" s="115" t="s">
        <v>468</v>
      </c>
      <c r="B67" s="115">
        <v>950.0</v>
      </c>
      <c r="C67" s="115" t="s">
        <v>2108</v>
      </c>
      <c r="D67" s="115" t="s">
        <v>2109</v>
      </c>
      <c r="E67" s="115" t="s">
        <v>2051</v>
      </c>
    </row>
    <row r="68">
      <c r="A68" s="115" t="s">
        <v>469</v>
      </c>
      <c r="B68" s="115">
        <v>968.0</v>
      </c>
      <c r="C68" s="115" t="s">
        <v>2110</v>
      </c>
      <c r="D68" s="115" t="s">
        <v>2111</v>
      </c>
      <c r="E68" s="115" t="s">
        <v>2051</v>
      </c>
    </row>
    <row r="69">
      <c r="A69" s="115" t="s">
        <v>440</v>
      </c>
      <c r="B69" s="115">
        <v>1006.0</v>
      </c>
      <c r="C69" s="115" t="s">
        <v>2112</v>
      </c>
      <c r="D69" s="115" t="s">
        <v>2113</v>
      </c>
      <c r="E69" s="115" t="s">
        <v>2051</v>
      </c>
    </row>
    <row r="70">
      <c r="A70" s="115" t="s">
        <v>470</v>
      </c>
      <c r="B70" s="115">
        <v>1058.0</v>
      </c>
      <c r="C70" s="115" t="s">
        <v>2114</v>
      </c>
      <c r="D70" s="115" t="s">
        <v>2115</v>
      </c>
      <c r="E70" s="115" t="s">
        <v>2051</v>
      </c>
    </row>
    <row r="71">
      <c r="A71" s="115" t="s">
        <v>471</v>
      </c>
      <c r="B71" s="115">
        <v>1097.0</v>
      </c>
      <c r="C71" s="115" t="s">
        <v>2116</v>
      </c>
      <c r="D71" s="115" t="s">
        <v>2117</v>
      </c>
      <c r="E71" s="115" t="s">
        <v>2051</v>
      </c>
    </row>
    <row r="72">
      <c r="A72" s="115" t="s">
        <v>407</v>
      </c>
      <c r="B72" s="115">
        <v>1142.0</v>
      </c>
      <c r="C72" s="115" t="s">
        <v>2118</v>
      </c>
      <c r="D72" s="115" t="s">
        <v>2119</v>
      </c>
      <c r="E72" s="115" t="s">
        <v>2051</v>
      </c>
    </row>
    <row r="73">
      <c r="A73" s="115" t="s">
        <v>472</v>
      </c>
      <c r="B73" s="115">
        <v>1182.0</v>
      </c>
      <c r="C73" s="115" t="s">
        <v>2120</v>
      </c>
      <c r="D73" s="115" t="s">
        <v>2121</v>
      </c>
      <c r="E73" s="115" t="s">
        <v>2051</v>
      </c>
    </row>
    <row r="74">
      <c r="A74" s="115" t="s">
        <v>473</v>
      </c>
      <c r="B74" s="115">
        <v>1187.0</v>
      </c>
      <c r="C74" s="115" t="s">
        <v>2122</v>
      </c>
      <c r="D74" s="115" t="s">
        <v>2123</v>
      </c>
      <c r="E74" s="115" t="s">
        <v>2051</v>
      </c>
    </row>
    <row r="75">
      <c r="A75" s="115" t="s">
        <v>474</v>
      </c>
      <c r="B75" s="115">
        <v>1255.0</v>
      </c>
      <c r="C75" s="115" t="s">
        <v>2124</v>
      </c>
      <c r="D75" s="115" t="s">
        <v>2125</v>
      </c>
      <c r="E75" s="115" t="s">
        <v>2051</v>
      </c>
    </row>
    <row r="76">
      <c r="A76" s="115" t="s">
        <v>441</v>
      </c>
      <c r="B76" s="115">
        <v>1264.0</v>
      </c>
      <c r="C76" s="115" t="s">
        <v>2126</v>
      </c>
      <c r="D76" s="115" t="s">
        <v>2127</v>
      </c>
      <c r="E76" s="115" t="s">
        <v>2051</v>
      </c>
    </row>
    <row r="77">
      <c r="A77" s="115" t="s">
        <v>475</v>
      </c>
      <c r="B77" s="115">
        <v>1287.0</v>
      </c>
      <c r="C77" s="115" t="s">
        <v>2128</v>
      </c>
      <c r="D77" s="115" t="s">
        <v>2129</v>
      </c>
      <c r="E77" s="115" t="s">
        <v>2051</v>
      </c>
    </row>
    <row r="78">
      <c r="A78" s="115" t="s">
        <v>442</v>
      </c>
      <c r="B78" s="115">
        <v>1342.0</v>
      </c>
      <c r="C78" s="115" t="s">
        <v>2130</v>
      </c>
      <c r="D78" s="115" t="s">
        <v>2131</v>
      </c>
      <c r="E78" s="115" t="s">
        <v>2051</v>
      </c>
    </row>
    <row r="79">
      <c r="A79" s="115" t="s">
        <v>476</v>
      </c>
      <c r="B79" s="115">
        <v>1354.0</v>
      </c>
      <c r="C79" s="115" t="s">
        <v>2132</v>
      </c>
      <c r="D79" s="115" t="s">
        <v>2133</v>
      </c>
      <c r="E79" s="115" t="s">
        <v>2051</v>
      </c>
    </row>
    <row r="80">
      <c r="A80" s="115" t="s">
        <v>477</v>
      </c>
      <c r="B80" s="115">
        <v>1493.0</v>
      </c>
      <c r="C80" s="115" t="s">
        <v>2134</v>
      </c>
      <c r="D80" s="115" t="s">
        <v>2135</v>
      </c>
      <c r="E80" s="115" t="s">
        <v>2051</v>
      </c>
    </row>
    <row r="81">
      <c r="A81" s="115" t="s">
        <v>448</v>
      </c>
      <c r="B81" s="115">
        <v>1538.0</v>
      </c>
      <c r="C81" s="115" t="s">
        <v>2136</v>
      </c>
      <c r="D81" s="115" t="s">
        <v>2137</v>
      </c>
      <c r="E81" s="115" t="s">
        <v>2051</v>
      </c>
    </row>
    <row r="82">
      <c r="A82" s="115" t="s">
        <v>478</v>
      </c>
      <c r="B82" s="115">
        <v>1571.0</v>
      </c>
      <c r="C82" s="115" t="s">
        <v>2138</v>
      </c>
      <c r="D82" s="115" t="s">
        <v>2139</v>
      </c>
      <c r="E82" s="115" t="s">
        <v>2051</v>
      </c>
    </row>
    <row r="83">
      <c r="A83" s="115" t="s">
        <v>479</v>
      </c>
      <c r="B83" s="115">
        <v>1574.0</v>
      </c>
      <c r="C83" s="115" t="s">
        <v>2140</v>
      </c>
      <c r="D83" s="115" t="s">
        <v>2141</v>
      </c>
      <c r="E83" s="115" t="s">
        <v>2051</v>
      </c>
    </row>
    <row r="84">
      <c r="A84" s="115" t="s">
        <v>480</v>
      </c>
      <c r="B84" s="115">
        <v>1628.0</v>
      </c>
      <c r="C84" s="115" t="s">
        <v>2142</v>
      </c>
      <c r="D84" s="115" t="s">
        <v>2143</v>
      </c>
      <c r="E84" s="115" t="s">
        <v>2051</v>
      </c>
    </row>
    <row r="85">
      <c r="A85" s="115" t="s">
        <v>443</v>
      </c>
      <c r="B85" s="115">
        <v>1666.0</v>
      </c>
      <c r="C85" s="115" t="s">
        <v>2144</v>
      </c>
      <c r="D85" s="115" t="s">
        <v>2145</v>
      </c>
      <c r="E85" s="115" t="s">
        <v>2051</v>
      </c>
    </row>
    <row r="86">
      <c r="A86" s="115" t="s">
        <v>481</v>
      </c>
      <c r="B86" s="115">
        <v>1672.0</v>
      </c>
      <c r="C86" s="115" t="s">
        <v>2146</v>
      </c>
      <c r="D86" s="115" t="s">
        <v>2147</v>
      </c>
      <c r="E86" s="115" t="s">
        <v>2051</v>
      </c>
    </row>
    <row r="87">
      <c r="A87" s="115" t="s">
        <v>482</v>
      </c>
      <c r="B87" s="115">
        <v>1689.0</v>
      </c>
      <c r="C87" s="115" t="s">
        <v>2148</v>
      </c>
      <c r="D87" s="115" t="s">
        <v>2149</v>
      </c>
      <c r="E87" s="115" t="s">
        <v>2051</v>
      </c>
    </row>
    <row r="88">
      <c r="A88" s="115" t="s">
        <v>437</v>
      </c>
      <c r="B88" s="115">
        <v>1737.0</v>
      </c>
      <c r="C88" s="115" t="s">
        <v>2150</v>
      </c>
      <c r="D88" s="115" t="s">
        <v>2151</v>
      </c>
      <c r="E88" s="115" t="s">
        <v>2051</v>
      </c>
    </row>
    <row r="89">
      <c r="A89" s="115" t="s">
        <v>483</v>
      </c>
      <c r="B89" s="115">
        <v>1806.0</v>
      </c>
      <c r="C89" s="115" t="s">
        <v>2152</v>
      </c>
      <c r="D89" s="115" t="s">
        <v>2153</v>
      </c>
      <c r="E89" s="115" t="s">
        <v>2051</v>
      </c>
    </row>
    <row r="90">
      <c r="A90" s="115" t="s">
        <v>444</v>
      </c>
      <c r="B90" s="115">
        <v>1831.0</v>
      </c>
      <c r="C90" s="115" t="s">
        <v>2154</v>
      </c>
      <c r="D90" s="115" t="s">
        <v>2155</v>
      </c>
      <c r="E90" s="115" t="s">
        <v>2051</v>
      </c>
    </row>
    <row r="91">
      <c r="A91" s="115" t="s">
        <v>425</v>
      </c>
      <c r="B91" s="115">
        <v>1919.0</v>
      </c>
      <c r="C91" s="115" t="s">
        <v>2156</v>
      </c>
      <c r="D91" s="115" t="s">
        <v>2157</v>
      </c>
      <c r="E91" s="115" t="s">
        <v>2051</v>
      </c>
    </row>
    <row r="92">
      <c r="A92" s="115" t="s">
        <v>414</v>
      </c>
      <c r="B92" s="115">
        <v>2055.0</v>
      </c>
      <c r="C92" s="115" t="s">
        <v>2158</v>
      </c>
      <c r="D92" s="115" t="s">
        <v>2159</v>
      </c>
      <c r="E92" s="115" t="s">
        <v>2051</v>
      </c>
    </row>
    <row r="93">
      <c r="A93" s="115" t="s">
        <v>430</v>
      </c>
      <c r="B93" s="115">
        <v>2111.0</v>
      </c>
      <c r="C93" s="115" t="s">
        <v>2160</v>
      </c>
      <c r="D93" s="115" t="s">
        <v>2161</v>
      </c>
      <c r="E93" s="115" t="s">
        <v>2051</v>
      </c>
    </row>
    <row r="94">
      <c r="A94" s="115" t="s">
        <v>438</v>
      </c>
      <c r="B94" s="115">
        <v>2152.0</v>
      </c>
      <c r="C94" s="115" t="s">
        <v>2162</v>
      </c>
      <c r="D94" s="115" t="s">
        <v>2163</v>
      </c>
      <c r="E94" s="115" t="s">
        <v>2051</v>
      </c>
    </row>
    <row r="95">
      <c r="A95" s="115" t="s">
        <v>484</v>
      </c>
      <c r="B95" s="115">
        <v>2180.0</v>
      </c>
      <c r="C95" s="115" t="s">
        <v>2164</v>
      </c>
      <c r="D95" s="115" t="s">
        <v>2165</v>
      </c>
      <c r="E95" s="115" t="s">
        <v>2051</v>
      </c>
    </row>
    <row r="96">
      <c r="A96" s="115" t="s">
        <v>431</v>
      </c>
      <c r="B96" s="115">
        <v>2202.0</v>
      </c>
      <c r="C96" s="115" t="s">
        <v>2166</v>
      </c>
      <c r="D96" s="115" t="s">
        <v>2167</v>
      </c>
      <c r="E96" s="115" t="s">
        <v>2051</v>
      </c>
    </row>
    <row r="97">
      <c r="A97" s="115" t="s">
        <v>419</v>
      </c>
      <c r="B97" s="115">
        <v>2225.0</v>
      </c>
      <c r="C97" s="115" t="s">
        <v>2168</v>
      </c>
      <c r="D97" s="115" t="s">
        <v>2169</v>
      </c>
      <c r="E97" s="115" t="s">
        <v>2051</v>
      </c>
    </row>
    <row r="98">
      <c r="A98" s="115" t="s">
        <v>485</v>
      </c>
      <c r="B98" s="115">
        <v>2273.0</v>
      </c>
      <c r="C98" s="115" t="s">
        <v>2170</v>
      </c>
      <c r="D98" s="115" t="s">
        <v>2171</v>
      </c>
      <c r="E98" s="115" t="s">
        <v>2051</v>
      </c>
    </row>
    <row r="99">
      <c r="A99" s="115" t="s">
        <v>486</v>
      </c>
      <c r="B99" s="115">
        <v>2341.0</v>
      </c>
      <c r="C99" s="115" t="s">
        <v>2172</v>
      </c>
      <c r="D99" s="115" t="s">
        <v>2173</v>
      </c>
      <c r="E99" s="115" t="s">
        <v>2051</v>
      </c>
    </row>
    <row r="100">
      <c r="A100" s="115" t="s">
        <v>487</v>
      </c>
      <c r="B100" s="115">
        <v>2349.0</v>
      </c>
      <c r="C100" s="115" t="s">
        <v>2174</v>
      </c>
      <c r="D100" s="115" t="s">
        <v>2175</v>
      </c>
      <c r="E100" s="115" t="s">
        <v>2051</v>
      </c>
    </row>
    <row r="101">
      <c r="A101" s="115" t="s">
        <v>420</v>
      </c>
      <c r="B101" s="115">
        <v>2351.0</v>
      </c>
      <c r="C101" s="115" t="s">
        <v>2176</v>
      </c>
      <c r="D101" s="115" t="s">
        <v>2177</v>
      </c>
      <c r="E101" s="115" t="s">
        <v>2051</v>
      </c>
    </row>
    <row r="102">
      <c r="A102" s="115" t="s">
        <v>488</v>
      </c>
      <c r="B102" s="115">
        <v>2417.0</v>
      </c>
      <c r="C102" s="115" t="s">
        <v>2178</v>
      </c>
      <c r="D102" s="115" t="s">
        <v>2179</v>
      </c>
      <c r="E102" s="115" t="s">
        <v>2051</v>
      </c>
    </row>
    <row r="103">
      <c r="A103" s="115" t="s">
        <v>489</v>
      </c>
      <c r="B103" s="115">
        <v>2418.0</v>
      </c>
      <c r="C103" s="115" t="s">
        <v>2180</v>
      </c>
      <c r="D103" s="115" t="s">
        <v>2181</v>
      </c>
      <c r="E103" s="115" t="s">
        <v>2051</v>
      </c>
    </row>
    <row r="104">
      <c r="A104" s="115" t="s">
        <v>415</v>
      </c>
      <c r="B104" s="115">
        <v>2504.0</v>
      </c>
      <c r="C104" s="115" t="s">
        <v>2182</v>
      </c>
      <c r="D104" s="115" t="s">
        <v>2183</v>
      </c>
      <c r="E104" s="115" t="s">
        <v>2051</v>
      </c>
    </row>
    <row r="105">
      <c r="A105" s="115" t="s">
        <v>432</v>
      </c>
      <c r="B105" s="115">
        <v>2555.0</v>
      </c>
      <c r="C105" s="115" t="s">
        <v>2184</v>
      </c>
      <c r="D105" s="115" t="s">
        <v>2185</v>
      </c>
      <c r="E105" s="115" t="s">
        <v>2051</v>
      </c>
    </row>
    <row r="106">
      <c r="A106" s="115" t="s">
        <v>413</v>
      </c>
      <c r="B106" s="115">
        <v>2623.0</v>
      </c>
      <c r="C106" s="115" t="s">
        <v>2186</v>
      </c>
      <c r="D106" s="115" t="s">
        <v>2187</v>
      </c>
      <c r="E106" s="115" t="s">
        <v>2051</v>
      </c>
    </row>
    <row r="107">
      <c r="A107" s="115" t="s">
        <v>421</v>
      </c>
      <c r="B107" s="115">
        <v>2631.0</v>
      </c>
      <c r="C107" s="115" t="s">
        <v>2188</v>
      </c>
      <c r="D107" s="115" t="s">
        <v>2189</v>
      </c>
      <c r="E107" s="115" t="s">
        <v>2051</v>
      </c>
    </row>
    <row r="108">
      <c r="A108" s="115" t="s">
        <v>416</v>
      </c>
      <c r="B108" s="115">
        <v>2705.0</v>
      </c>
      <c r="C108" s="115" t="s">
        <v>2190</v>
      </c>
      <c r="D108" s="115" t="s">
        <v>2191</v>
      </c>
      <c r="E108" s="115" t="s">
        <v>2051</v>
      </c>
    </row>
    <row r="109">
      <c r="A109" s="115" t="s">
        <v>417</v>
      </c>
      <c r="B109" s="115">
        <v>2729.0</v>
      </c>
      <c r="C109" s="115" t="s">
        <v>2192</v>
      </c>
      <c r="D109" s="115" t="s">
        <v>2193</v>
      </c>
      <c r="E109" s="115" t="s">
        <v>2051</v>
      </c>
    </row>
    <row r="110">
      <c r="A110" s="115" t="s">
        <v>426</v>
      </c>
      <c r="B110" s="115">
        <v>2752.0</v>
      </c>
      <c r="C110" s="115" t="s">
        <v>2194</v>
      </c>
      <c r="D110" s="115" t="s">
        <v>2195</v>
      </c>
      <c r="E110" s="115" t="s">
        <v>2051</v>
      </c>
    </row>
    <row r="111">
      <c r="A111" s="115" t="s">
        <v>490</v>
      </c>
      <c r="B111" s="115">
        <v>2805.0</v>
      </c>
      <c r="C111" s="115" t="s">
        <v>2196</v>
      </c>
      <c r="D111" s="115" t="s">
        <v>2197</v>
      </c>
      <c r="E111" s="115" t="s">
        <v>2051</v>
      </c>
    </row>
    <row r="112">
      <c r="A112" s="115" t="s">
        <v>418</v>
      </c>
      <c r="B112" s="115">
        <v>2810.0</v>
      </c>
      <c r="C112" s="115" t="s">
        <v>2198</v>
      </c>
      <c r="D112" s="115" t="s">
        <v>2199</v>
      </c>
      <c r="E112" s="115" t="s">
        <v>2051</v>
      </c>
    </row>
    <row r="113">
      <c r="A113" s="115" t="s">
        <v>422</v>
      </c>
      <c r="B113" s="115">
        <v>2820.0</v>
      </c>
      <c r="C113" s="115" t="s">
        <v>2200</v>
      </c>
      <c r="D113" s="115" t="s">
        <v>2201</v>
      </c>
      <c r="E113" s="115" t="s">
        <v>2051</v>
      </c>
    </row>
    <row r="114">
      <c r="A114" s="115" t="s">
        <v>491</v>
      </c>
      <c r="B114" s="115">
        <v>2848.0</v>
      </c>
      <c r="C114" s="115" t="s">
        <v>2202</v>
      </c>
      <c r="D114" s="115" t="s">
        <v>2203</v>
      </c>
      <c r="E114" s="115" t="s">
        <v>2051</v>
      </c>
    </row>
    <row r="115">
      <c r="A115" s="115" t="s">
        <v>427</v>
      </c>
      <c r="B115" s="115">
        <v>2850.0</v>
      </c>
      <c r="C115" s="115" t="s">
        <v>2204</v>
      </c>
      <c r="D115" s="115" t="s">
        <v>2205</v>
      </c>
      <c r="E115" s="115" t="s">
        <v>2051</v>
      </c>
    </row>
    <row r="116">
      <c r="A116" s="115" t="s">
        <v>433</v>
      </c>
      <c r="B116" s="115">
        <v>2911.0</v>
      </c>
      <c r="C116" s="115" t="s">
        <v>2206</v>
      </c>
      <c r="D116" s="115" t="s">
        <v>2207</v>
      </c>
      <c r="E116" s="115" t="s">
        <v>2051</v>
      </c>
    </row>
    <row r="117">
      <c r="A117" s="115" t="s">
        <v>439</v>
      </c>
      <c r="B117" s="115">
        <v>2927.0</v>
      </c>
      <c r="C117" s="115" t="s">
        <v>2208</v>
      </c>
      <c r="D117" s="115" t="s">
        <v>2209</v>
      </c>
      <c r="E117" s="115" t="s">
        <v>2051</v>
      </c>
    </row>
    <row r="118">
      <c r="A118" s="115" t="s">
        <v>492</v>
      </c>
      <c r="B118" s="115">
        <v>2931.0</v>
      </c>
      <c r="C118" s="115" t="s">
        <v>2210</v>
      </c>
      <c r="D118" s="115" t="s">
        <v>2211</v>
      </c>
      <c r="E118" s="115" t="s">
        <v>2051</v>
      </c>
    </row>
    <row r="119">
      <c r="A119" s="115" t="s">
        <v>493</v>
      </c>
      <c r="B119" s="115">
        <v>2966.0</v>
      </c>
      <c r="C119" s="115" t="s">
        <v>2212</v>
      </c>
      <c r="D119" s="115" t="s">
        <v>2213</v>
      </c>
      <c r="E119" s="115" t="s">
        <v>2051</v>
      </c>
    </row>
    <row r="120">
      <c r="A120" s="115" t="s">
        <v>494</v>
      </c>
      <c r="B120" s="115">
        <v>2975.0</v>
      </c>
      <c r="C120" s="115" t="s">
        <v>2214</v>
      </c>
      <c r="D120" s="115" t="s">
        <v>2215</v>
      </c>
      <c r="E120" s="115" t="s">
        <v>2051</v>
      </c>
    </row>
    <row r="121">
      <c r="A121" s="115" t="s">
        <v>495</v>
      </c>
      <c r="B121" s="115">
        <v>3024.0</v>
      </c>
      <c r="C121" s="115" t="s">
        <v>2216</v>
      </c>
      <c r="D121" s="115" t="s">
        <v>2217</v>
      </c>
      <c r="E121" s="115" t="s">
        <v>2051</v>
      </c>
    </row>
    <row r="122">
      <c r="A122" s="115" t="s">
        <v>434</v>
      </c>
      <c r="B122" s="115">
        <v>3049.0</v>
      </c>
      <c r="C122" s="115" t="s">
        <v>2218</v>
      </c>
      <c r="D122" s="115" t="s">
        <v>2219</v>
      </c>
      <c r="E122" s="115" t="s">
        <v>2051</v>
      </c>
    </row>
    <row r="123">
      <c r="A123" s="115" t="s">
        <v>428</v>
      </c>
      <c r="B123" s="115">
        <v>3231.0</v>
      </c>
      <c r="C123" s="115" t="s">
        <v>2220</v>
      </c>
      <c r="D123" s="115" t="s">
        <v>2221</v>
      </c>
      <c r="E123" s="115" t="s">
        <v>2051</v>
      </c>
    </row>
    <row r="124">
      <c r="A124" s="115" t="s">
        <v>408</v>
      </c>
      <c r="B124" s="115">
        <v>3241.0</v>
      </c>
      <c r="C124" s="115" t="s">
        <v>2222</v>
      </c>
      <c r="D124" s="115" t="s">
        <v>2223</v>
      </c>
      <c r="E124" s="115" t="s">
        <v>2051</v>
      </c>
    </row>
    <row r="125">
      <c r="A125" s="115" t="s">
        <v>496</v>
      </c>
      <c r="B125" s="115">
        <v>3251.0</v>
      </c>
      <c r="C125" s="115" t="s">
        <v>2224</v>
      </c>
      <c r="D125" s="115" t="s">
        <v>2225</v>
      </c>
      <c r="E125" s="115" t="s">
        <v>2051</v>
      </c>
    </row>
    <row r="126">
      <c r="A126" s="115" t="s">
        <v>497</v>
      </c>
      <c r="B126" s="115">
        <v>3479.0</v>
      </c>
      <c r="C126" s="115" t="s">
        <v>2226</v>
      </c>
      <c r="D126" s="115" t="s">
        <v>2227</v>
      </c>
      <c r="E126" s="115" t="s">
        <v>2051</v>
      </c>
    </row>
    <row r="127">
      <c r="A127" s="115" t="s">
        <v>498</v>
      </c>
      <c r="B127" s="115">
        <v>3499.0</v>
      </c>
      <c r="C127" s="115" t="s">
        <v>2228</v>
      </c>
      <c r="D127" s="115" t="s">
        <v>2229</v>
      </c>
      <c r="E127" s="115" t="s">
        <v>2051</v>
      </c>
    </row>
    <row r="128">
      <c r="A128" s="115" t="s">
        <v>499</v>
      </c>
      <c r="B128" s="115">
        <v>3680.0</v>
      </c>
      <c r="C128" s="115" t="s">
        <v>2230</v>
      </c>
      <c r="D128" s="115" t="s">
        <v>2231</v>
      </c>
      <c r="E128" s="115" t="s">
        <v>2051</v>
      </c>
    </row>
    <row r="129">
      <c r="A129" s="115" t="s">
        <v>454</v>
      </c>
      <c r="B129" s="115">
        <v>3687.0</v>
      </c>
      <c r="C129" s="115" t="s">
        <v>2232</v>
      </c>
      <c r="D129" s="115" t="s">
        <v>2233</v>
      </c>
      <c r="E129" s="115" t="s">
        <v>2051</v>
      </c>
    </row>
    <row r="130">
      <c r="A130" s="115" t="s">
        <v>500</v>
      </c>
      <c r="B130" s="115">
        <v>3807.0</v>
      </c>
      <c r="C130" s="115" t="s">
        <v>2234</v>
      </c>
      <c r="D130" s="115" t="s">
        <v>2235</v>
      </c>
      <c r="E130" s="115" t="s">
        <v>2051</v>
      </c>
    </row>
    <row r="131">
      <c r="A131" s="115" t="s">
        <v>423</v>
      </c>
      <c r="B131" s="115">
        <v>3974.0</v>
      </c>
      <c r="C131" s="115" t="s">
        <v>2236</v>
      </c>
      <c r="D131" s="115" t="s">
        <v>2237</v>
      </c>
      <c r="E131" s="115" t="s">
        <v>2051</v>
      </c>
    </row>
    <row r="132">
      <c r="A132" s="115" t="s">
        <v>501</v>
      </c>
      <c r="B132" s="115">
        <v>4136.0</v>
      </c>
      <c r="C132" s="115" t="s">
        <v>2238</v>
      </c>
      <c r="D132" s="115" t="s">
        <v>2239</v>
      </c>
      <c r="E132" s="115" t="s">
        <v>2051</v>
      </c>
    </row>
    <row r="133">
      <c r="A133" s="115" t="s">
        <v>429</v>
      </c>
      <c r="B133" s="115">
        <v>4140.0</v>
      </c>
      <c r="C133" s="115" t="s">
        <v>2240</v>
      </c>
      <c r="D133" s="115" t="s">
        <v>2241</v>
      </c>
      <c r="E133" s="115" t="s">
        <v>2051</v>
      </c>
    </row>
    <row r="134">
      <c r="A134" s="115" t="s">
        <v>502</v>
      </c>
      <c r="B134" s="115">
        <v>4167.0</v>
      </c>
      <c r="C134" s="115" t="s">
        <v>2242</v>
      </c>
      <c r="D134" s="115" t="s">
        <v>2243</v>
      </c>
      <c r="E134" s="115" t="s">
        <v>2051</v>
      </c>
    </row>
    <row r="135">
      <c r="A135" s="115" t="s">
        <v>503</v>
      </c>
      <c r="B135" s="115">
        <v>4209.0</v>
      </c>
      <c r="C135" s="115" t="s">
        <v>2244</v>
      </c>
      <c r="D135" s="115" t="s">
        <v>2245</v>
      </c>
      <c r="E135" s="115" t="s">
        <v>2051</v>
      </c>
    </row>
    <row r="136">
      <c r="A136" s="115" t="s">
        <v>449</v>
      </c>
      <c r="B136" s="115">
        <v>4298.0</v>
      </c>
      <c r="C136" s="115" t="s">
        <v>2246</v>
      </c>
      <c r="D136" s="115" t="s">
        <v>2247</v>
      </c>
      <c r="E136" s="115" t="s">
        <v>2051</v>
      </c>
    </row>
    <row r="137">
      <c r="A137" s="115" t="s">
        <v>519</v>
      </c>
      <c r="B137" s="115">
        <v>672.0</v>
      </c>
      <c r="C137" s="115" t="s">
        <v>2248</v>
      </c>
      <c r="D137" s="115" t="s">
        <v>2249</v>
      </c>
      <c r="E137" s="115" t="s">
        <v>324</v>
      </c>
    </row>
    <row r="138">
      <c r="A138" s="115" t="s">
        <v>509</v>
      </c>
      <c r="B138" s="115">
        <v>808.0</v>
      </c>
      <c r="C138" s="115" t="s">
        <v>2250</v>
      </c>
      <c r="D138" s="115" t="s">
        <v>2251</v>
      </c>
      <c r="E138" s="115" t="s">
        <v>324</v>
      </c>
    </row>
    <row r="139">
      <c r="A139" s="115" t="s">
        <v>520</v>
      </c>
      <c r="B139" s="115">
        <v>1304.0</v>
      </c>
      <c r="C139" s="115" t="s">
        <v>2252</v>
      </c>
      <c r="D139" s="115" t="s">
        <v>2253</v>
      </c>
      <c r="E139" s="115" t="s">
        <v>324</v>
      </c>
    </row>
    <row r="140">
      <c r="A140" s="115" t="s">
        <v>514</v>
      </c>
      <c r="B140" s="115">
        <v>1310.0</v>
      </c>
      <c r="C140" s="115" t="s">
        <v>2254</v>
      </c>
      <c r="D140" s="115" t="s">
        <v>2255</v>
      </c>
      <c r="E140" s="115" t="s">
        <v>324</v>
      </c>
    </row>
    <row r="141">
      <c r="A141" s="115" t="s">
        <v>521</v>
      </c>
      <c r="B141" s="115">
        <v>1423.0</v>
      </c>
      <c r="C141" s="115" t="s">
        <v>2256</v>
      </c>
      <c r="D141" s="115" t="s">
        <v>2257</v>
      </c>
      <c r="E141" s="115" t="s">
        <v>324</v>
      </c>
    </row>
    <row r="142">
      <c r="A142" s="115" t="s">
        <v>504</v>
      </c>
      <c r="B142" s="115">
        <v>1518.0</v>
      </c>
      <c r="C142" s="115" t="s">
        <v>2258</v>
      </c>
      <c r="D142" s="115" t="s">
        <v>2259</v>
      </c>
      <c r="E142" s="115" t="s">
        <v>324</v>
      </c>
    </row>
    <row r="143">
      <c r="A143" s="115" t="s">
        <v>515</v>
      </c>
      <c r="B143" s="115">
        <v>2085.0</v>
      </c>
      <c r="C143" s="115" t="s">
        <v>2260</v>
      </c>
      <c r="D143" s="115" t="s">
        <v>2261</v>
      </c>
      <c r="E143" s="115" t="s">
        <v>324</v>
      </c>
    </row>
    <row r="144">
      <c r="A144" s="115" t="s">
        <v>510</v>
      </c>
      <c r="B144" s="115">
        <v>2102.0</v>
      </c>
      <c r="C144" s="115" t="s">
        <v>2262</v>
      </c>
      <c r="D144" s="115" t="s">
        <v>2263</v>
      </c>
      <c r="E144" s="115" t="s">
        <v>324</v>
      </c>
    </row>
    <row r="145">
      <c r="A145" s="115" t="s">
        <v>516</v>
      </c>
      <c r="B145" s="115">
        <v>2517.0</v>
      </c>
      <c r="C145" s="115" t="s">
        <v>2264</v>
      </c>
      <c r="D145" s="115" t="s">
        <v>2265</v>
      </c>
      <c r="E145" s="115" t="s">
        <v>324</v>
      </c>
    </row>
    <row r="146">
      <c r="A146" s="115" t="s">
        <v>522</v>
      </c>
      <c r="B146" s="115">
        <v>2540.0</v>
      </c>
      <c r="C146" s="115" t="s">
        <v>2266</v>
      </c>
      <c r="D146" s="115" t="s">
        <v>2267</v>
      </c>
      <c r="E146" s="115" t="s">
        <v>324</v>
      </c>
    </row>
    <row r="147">
      <c r="A147" s="115" t="s">
        <v>517</v>
      </c>
      <c r="B147" s="115">
        <v>2732.0</v>
      </c>
      <c r="C147" s="115" t="s">
        <v>2268</v>
      </c>
      <c r="D147" s="115" t="s">
        <v>2269</v>
      </c>
      <c r="E147" s="115" t="s">
        <v>324</v>
      </c>
    </row>
    <row r="148">
      <c r="A148" s="115" t="s">
        <v>523</v>
      </c>
      <c r="B148" s="115">
        <v>3145.0</v>
      </c>
      <c r="C148" s="115" t="s">
        <v>2270</v>
      </c>
      <c r="D148" s="115" t="s">
        <v>2271</v>
      </c>
      <c r="E148" s="115" t="s">
        <v>324</v>
      </c>
    </row>
    <row r="149">
      <c r="A149" s="115" t="s">
        <v>505</v>
      </c>
      <c r="B149" s="115">
        <v>3213.0</v>
      </c>
      <c r="C149" s="115" t="s">
        <v>2272</v>
      </c>
      <c r="D149" s="115" t="s">
        <v>2273</v>
      </c>
      <c r="E149" s="115" t="s">
        <v>324</v>
      </c>
    </row>
    <row r="150">
      <c r="A150" s="115" t="s">
        <v>511</v>
      </c>
      <c r="B150" s="115">
        <v>3220.0</v>
      </c>
      <c r="C150" s="115" t="s">
        <v>2274</v>
      </c>
      <c r="D150" s="115" t="s">
        <v>2275</v>
      </c>
      <c r="E150" s="115" t="s">
        <v>324</v>
      </c>
    </row>
    <row r="151">
      <c r="A151" s="115" t="s">
        <v>524</v>
      </c>
      <c r="B151" s="115">
        <v>3275.0</v>
      </c>
      <c r="C151" s="115" t="s">
        <v>2276</v>
      </c>
      <c r="D151" s="115" t="s">
        <v>2277</v>
      </c>
      <c r="E151" s="115" t="s">
        <v>324</v>
      </c>
    </row>
    <row r="152">
      <c r="A152" s="115" t="s">
        <v>525</v>
      </c>
      <c r="B152" s="115">
        <v>3335.0</v>
      </c>
      <c r="C152" s="115" t="s">
        <v>2278</v>
      </c>
      <c r="D152" s="115" t="s">
        <v>2279</v>
      </c>
      <c r="E152" s="115" t="s">
        <v>324</v>
      </c>
    </row>
    <row r="153">
      <c r="A153" s="115" t="s">
        <v>526</v>
      </c>
      <c r="B153" s="115">
        <v>3362.0</v>
      </c>
      <c r="C153" s="115" t="s">
        <v>2280</v>
      </c>
      <c r="D153" s="115" t="s">
        <v>2281</v>
      </c>
      <c r="E153" s="115" t="s">
        <v>324</v>
      </c>
    </row>
    <row r="154">
      <c r="A154" s="115" t="s">
        <v>527</v>
      </c>
      <c r="B154" s="115">
        <v>3417.0</v>
      </c>
      <c r="C154" s="115" t="s">
        <v>2282</v>
      </c>
      <c r="D154" s="115" t="s">
        <v>2283</v>
      </c>
      <c r="E154" s="115" t="s">
        <v>324</v>
      </c>
    </row>
    <row r="155">
      <c r="A155" s="115" t="s">
        <v>518</v>
      </c>
      <c r="B155" s="115">
        <v>3421.0</v>
      </c>
      <c r="C155" s="115" t="s">
        <v>2284</v>
      </c>
      <c r="D155" s="115" t="s">
        <v>2285</v>
      </c>
      <c r="E155" s="115" t="s">
        <v>324</v>
      </c>
    </row>
    <row r="156">
      <c r="A156" s="115" t="s">
        <v>512</v>
      </c>
      <c r="B156" s="115">
        <v>3519.0</v>
      </c>
      <c r="C156" s="115" t="s">
        <v>2286</v>
      </c>
      <c r="D156" s="115" t="s">
        <v>2287</v>
      </c>
      <c r="E156" s="115" t="s">
        <v>324</v>
      </c>
    </row>
    <row r="157">
      <c r="A157" s="115" t="s">
        <v>528</v>
      </c>
      <c r="B157" s="115">
        <v>3561.0</v>
      </c>
      <c r="C157" s="115" t="s">
        <v>2288</v>
      </c>
      <c r="D157" s="115" t="s">
        <v>2289</v>
      </c>
      <c r="E157" s="115" t="s">
        <v>324</v>
      </c>
    </row>
    <row r="158">
      <c r="A158" s="115" t="s">
        <v>529</v>
      </c>
      <c r="B158" s="115">
        <v>3734.0</v>
      </c>
      <c r="C158" s="115" t="s">
        <v>2290</v>
      </c>
      <c r="D158" s="115" t="s">
        <v>2291</v>
      </c>
      <c r="E158" s="115" t="s">
        <v>324</v>
      </c>
    </row>
    <row r="159">
      <c r="A159" s="115" t="s">
        <v>513</v>
      </c>
      <c r="B159" s="115">
        <v>3736.0</v>
      </c>
      <c r="C159" s="115" t="s">
        <v>2292</v>
      </c>
      <c r="D159" s="115" t="s">
        <v>2293</v>
      </c>
      <c r="E159" s="115" t="s">
        <v>324</v>
      </c>
    </row>
    <row r="160">
      <c r="A160" s="115" t="s">
        <v>530</v>
      </c>
      <c r="B160" s="115">
        <v>3748.0</v>
      </c>
      <c r="C160" s="115" t="s">
        <v>2294</v>
      </c>
      <c r="D160" s="115" t="s">
        <v>2295</v>
      </c>
      <c r="E160" s="115" t="s">
        <v>324</v>
      </c>
    </row>
    <row r="161">
      <c r="A161" s="115" t="s">
        <v>506</v>
      </c>
      <c r="B161" s="115">
        <v>3763.0</v>
      </c>
      <c r="C161" s="115" t="s">
        <v>2296</v>
      </c>
      <c r="D161" s="115" t="s">
        <v>2297</v>
      </c>
      <c r="E161" s="115" t="s">
        <v>324</v>
      </c>
    </row>
    <row r="162">
      <c r="A162" s="115" t="s">
        <v>531</v>
      </c>
      <c r="B162" s="115">
        <v>4081.0</v>
      </c>
      <c r="C162" s="115" t="s">
        <v>2298</v>
      </c>
      <c r="D162" s="115" t="s">
        <v>2299</v>
      </c>
      <c r="E162" s="115" t="s">
        <v>324</v>
      </c>
    </row>
    <row r="163">
      <c r="A163" s="115" t="s">
        <v>507</v>
      </c>
      <c r="B163" s="115">
        <v>4131.0</v>
      </c>
      <c r="C163" s="115" t="s">
        <v>2300</v>
      </c>
      <c r="D163" s="115" t="s">
        <v>2301</v>
      </c>
      <c r="E163" s="115" t="s">
        <v>324</v>
      </c>
    </row>
    <row r="164">
      <c r="A164" s="115" t="s">
        <v>562</v>
      </c>
      <c r="B164" s="115">
        <v>46.0</v>
      </c>
      <c r="C164" s="115" t="s">
        <v>2302</v>
      </c>
      <c r="D164" s="115" t="s">
        <v>2303</v>
      </c>
      <c r="E164" s="115" t="s">
        <v>2304</v>
      </c>
    </row>
    <row r="165">
      <c r="A165" s="115" t="s">
        <v>563</v>
      </c>
      <c r="B165" s="115">
        <v>61.0</v>
      </c>
      <c r="C165" s="115" t="s">
        <v>2305</v>
      </c>
      <c r="D165" s="115" t="s">
        <v>2306</v>
      </c>
      <c r="E165" s="115" t="s">
        <v>2304</v>
      </c>
    </row>
    <row r="166">
      <c r="A166" s="115" t="s">
        <v>564</v>
      </c>
      <c r="B166" s="115">
        <v>72.0</v>
      </c>
      <c r="C166" s="115" t="s">
        <v>2307</v>
      </c>
      <c r="D166" s="115" t="s">
        <v>2308</v>
      </c>
      <c r="E166" s="115" t="s">
        <v>2304</v>
      </c>
    </row>
    <row r="167">
      <c r="A167" s="115" t="s">
        <v>565</v>
      </c>
      <c r="B167" s="115">
        <v>147.0</v>
      </c>
      <c r="C167" s="115" t="s">
        <v>2309</v>
      </c>
      <c r="D167" s="115" t="s">
        <v>2310</v>
      </c>
      <c r="E167" s="115" t="s">
        <v>2304</v>
      </c>
    </row>
    <row r="168">
      <c r="A168" s="115" t="s">
        <v>566</v>
      </c>
      <c r="B168" s="115">
        <v>210.0</v>
      </c>
      <c r="C168" s="115" t="s">
        <v>2311</v>
      </c>
      <c r="D168" s="115" t="s">
        <v>2312</v>
      </c>
      <c r="E168" s="115" t="s">
        <v>2304</v>
      </c>
    </row>
    <row r="169">
      <c r="A169" s="115" t="s">
        <v>552</v>
      </c>
      <c r="B169" s="115">
        <v>291.0</v>
      </c>
      <c r="C169" s="115" t="s">
        <v>2313</v>
      </c>
      <c r="D169" s="115" t="s">
        <v>2314</v>
      </c>
      <c r="E169" s="115" t="s">
        <v>2304</v>
      </c>
    </row>
    <row r="170">
      <c r="A170" s="115" t="s">
        <v>547</v>
      </c>
      <c r="B170" s="115">
        <v>312.0</v>
      </c>
      <c r="C170" s="115" t="s">
        <v>2315</v>
      </c>
      <c r="D170" s="115" t="s">
        <v>2316</v>
      </c>
      <c r="E170" s="115" t="s">
        <v>2304</v>
      </c>
    </row>
    <row r="171">
      <c r="A171" s="115" t="s">
        <v>567</v>
      </c>
      <c r="B171" s="115">
        <v>535.0</v>
      </c>
      <c r="C171" s="115" t="s">
        <v>2317</v>
      </c>
      <c r="D171" s="115" t="s">
        <v>2318</v>
      </c>
      <c r="E171" s="115" t="s">
        <v>2304</v>
      </c>
    </row>
    <row r="172">
      <c r="A172" s="115" t="s">
        <v>532</v>
      </c>
      <c r="B172" s="115">
        <v>587.0</v>
      </c>
      <c r="C172" s="115" t="s">
        <v>2319</v>
      </c>
      <c r="D172" s="115" t="s">
        <v>2320</v>
      </c>
      <c r="E172" s="115" t="s">
        <v>2304</v>
      </c>
    </row>
    <row r="173">
      <c r="A173" s="115" t="s">
        <v>568</v>
      </c>
      <c r="B173" s="115">
        <v>643.0</v>
      </c>
      <c r="C173" s="115" t="s">
        <v>2321</v>
      </c>
      <c r="D173" s="115" t="s">
        <v>2322</v>
      </c>
      <c r="E173" s="115" t="s">
        <v>2304</v>
      </c>
    </row>
    <row r="174">
      <c r="A174" s="115" t="s">
        <v>569</v>
      </c>
      <c r="B174" s="115">
        <v>667.0</v>
      </c>
      <c r="C174" s="115" t="s">
        <v>2323</v>
      </c>
      <c r="D174" s="115" t="s">
        <v>2324</v>
      </c>
      <c r="E174" s="115" t="s">
        <v>2304</v>
      </c>
    </row>
    <row r="175">
      <c r="A175" s="115" t="s">
        <v>570</v>
      </c>
      <c r="B175" s="115">
        <v>776.0</v>
      </c>
      <c r="C175" s="115" t="s">
        <v>2325</v>
      </c>
      <c r="D175" s="115" t="s">
        <v>2326</v>
      </c>
      <c r="E175" s="115" t="s">
        <v>2304</v>
      </c>
    </row>
    <row r="176">
      <c r="A176" s="115" t="s">
        <v>548</v>
      </c>
      <c r="B176" s="115">
        <v>788.0</v>
      </c>
      <c r="C176" s="115" t="s">
        <v>2327</v>
      </c>
      <c r="D176" s="115" t="s">
        <v>2328</v>
      </c>
      <c r="E176" s="115" t="s">
        <v>2304</v>
      </c>
    </row>
    <row r="177">
      <c r="A177" s="115" t="s">
        <v>553</v>
      </c>
      <c r="B177" s="115">
        <v>791.0</v>
      </c>
      <c r="C177" s="115" t="s">
        <v>2329</v>
      </c>
      <c r="D177" s="115" t="s">
        <v>2330</v>
      </c>
      <c r="E177" s="115" t="s">
        <v>2304</v>
      </c>
    </row>
    <row r="178">
      <c r="A178" s="115" t="s">
        <v>554</v>
      </c>
      <c r="B178" s="115">
        <v>960.0</v>
      </c>
      <c r="C178" s="115" t="s">
        <v>2331</v>
      </c>
      <c r="D178" s="115" t="s">
        <v>2332</v>
      </c>
      <c r="E178" s="115" t="s">
        <v>2304</v>
      </c>
    </row>
    <row r="179">
      <c r="A179" s="115" t="s">
        <v>571</v>
      </c>
      <c r="B179" s="115">
        <v>973.0</v>
      </c>
      <c r="C179" s="115" t="s">
        <v>2333</v>
      </c>
      <c r="D179" s="115" t="s">
        <v>2334</v>
      </c>
      <c r="E179" s="115" t="s">
        <v>2304</v>
      </c>
    </row>
    <row r="180">
      <c r="A180" s="115" t="s">
        <v>549</v>
      </c>
      <c r="B180" s="115">
        <v>1120.0</v>
      </c>
      <c r="C180" s="115" t="s">
        <v>2335</v>
      </c>
      <c r="D180" s="115" t="s">
        <v>2336</v>
      </c>
      <c r="E180" s="115" t="s">
        <v>2304</v>
      </c>
    </row>
    <row r="181">
      <c r="A181" s="115" t="s">
        <v>572</v>
      </c>
      <c r="B181" s="115">
        <v>1138.0</v>
      </c>
      <c r="C181" s="115" t="s">
        <v>2337</v>
      </c>
      <c r="D181" s="115" t="s">
        <v>2338</v>
      </c>
      <c r="E181" s="115" t="s">
        <v>2304</v>
      </c>
    </row>
    <row r="182">
      <c r="A182" s="115" t="s">
        <v>537</v>
      </c>
      <c r="B182" s="115">
        <v>1148.0</v>
      </c>
      <c r="C182" s="115" t="s">
        <v>2339</v>
      </c>
      <c r="D182" s="115" t="s">
        <v>2340</v>
      </c>
      <c r="E182" s="115" t="s">
        <v>2304</v>
      </c>
    </row>
    <row r="183">
      <c r="A183" s="115" t="s">
        <v>573</v>
      </c>
      <c r="B183" s="115">
        <v>1316.0</v>
      </c>
      <c r="C183" s="115" t="s">
        <v>2341</v>
      </c>
      <c r="D183" s="115" t="s">
        <v>2342</v>
      </c>
      <c r="E183" s="115" t="s">
        <v>2304</v>
      </c>
    </row>
    <row r="184">
      <c r="A184" s="115" t="s">
        <v>574</v>
      </c>
      <c r="B184" s="115">
        <v>1318.0</v>
      </c>
      <c r="C184" s="115" t="s">
        <v>2343</v>
      </c>
      <c r="D184" s="115" t="s">
        <v>2344</v>
      </c>
      <c r="E184" s="115" t="s">
        <v>2304</v>
      </c>
    </row>
    <row r="185">
      <c r="A185" s="115" t="s">
        <v>575</v>
      </c>
      <c r="B185" s="115">
        <v>1353.0</v>
      </c>
      <c r="C185" s="115" t="s">
        <v>2345</v>
      </c>
      <c r="D185" s="115" t="s">
        <v>2346</v>
      </c>
      <c r="E185" s="115" t="s">
        <v>2304</v>
      </c>
    </row>
    <row r="186">
      <c r="A186" s="115" t="s">
        <v>557</v>
      </c>
      <c r="B186" s="115">
        <v>1370.0</v>
      </c>
      <c r="C186" s="115" t="s">
        <v>2347</v>
      </c>
      <c r="D186" s="115" t="s">
        <v>2348</v>
      </c>
      <c r="E186" s="115" t="s">
        <v>2304</v>
      </c>
    </row>
    <row r="187">
      <c r="A187" s="115" t="s">
        <v>576</v>
      </c>
      <c r="B187" s="115">
        <v>1390.0</v>
      </c>
      <c r="C187" s="115" t="s">
        <v>2349</v>
      </c>
      <c r="D187" s="115" t="s">
        <v>2350</v>
      </c>
      <c r="E187" s="115" t="s">
        <v>2304</v>
      </c>
    </row>
    <row r="188">
      <c r="A188" s="115" t="s">
        <v>538</v>
      </c>
      <c r="B188" s="115">
        <v>1459.0</v>
      </c>
      <c r="C188" s="115" t="s">
        <v>2351</v>
      </c>
      <c r="D188" s="115" t="s">
        <v>2352</v>
      </c>
      <c r="E188" s="115" t="s">
        <v>2304</v>
      </c>
    </row>
    <row r="189">
      <c r="A189" s="115" t="s">
        <v>577</v>
      </c>
      <c r="B189" s="115">
        <v>1547.0</v>
      </c>
      <c r="C189" s="115" t="s">
        <v>2353</v>
      </c>
      <c r="D189" s="115" t="s">
        <v>2354</v>
      </c>
      <c r="E189" s="115" t="s">
        <v>2304</v>
      </c>
    </row>
    <row r="190">
      <c r="A190" s="115" t="s">
        <v>533</v>
      </c>
      <c r="B190" s="115">
        <v>1663.0</v>
      </c>
      <c r="C190" s="115" t="s">
        <v>2355</v>
      </c>
      <c r="D190" s="115" t="s">
        <v>2356</v>
      </c>
      <c r="E190" s="115" t="s">
        <v>2304</v>
      </c>
    </row>
    <row r="191">
      <c r="A191" s="115" t="s">
        <v>534</v>
      </c>
      <c r="B191" s="115">
        <v>1790.0</v>
      </c>
      <c r="C191" s="115" t="s">
        <v>2357</v>
      </c>
      <c r="D191" s="115" t="s">
        <v>2358</v>
      </c>
      <c r="E191" s="115" t="s">
        <v>2304</v>
      </c>
    </row>
    <row r="192">
      <c r="A192" s="115" t="s">
        <v>578</v>
      </c>
      <c r="B192" s="115">
        <v>1960.0</v>
      </c>
      <c r="C192" s="115" t="s">
        <v>2359</v>
      </c>
      <c r="D192" s="115" t="s">
        <v>2360</v>
      </c>
      <c r="E192" s="115" t="s">
        <v>2304</v>
      </c>
    </row>
    <row r="193">
      <c r="A193" s="115" t="s">
        <v>558</v>
      </c>
      <c r="B193" s="115">
        <v>2004.0</v>
      </c>
      <c r="C193" s="115" t="s">
        <v>2361</v>
      </c>
      <c r="D193" s="115" t="s">
        <v>2362</v>
      </c>
      <c r="E193" s="115" t="s">
        <v>2304</v>
      </c>
    </row>
    <row r="194">
      <c r="A194" s="115" t="s">
        <v>535</v>
      </c>
      <c r="B194" s="115">
        <v>2187.0</v>
      </c>
      <c r="C194" s="115" t="s">
        <v>2363</v>
      </c>
      <c r="D194" s="115" t="s">
        <v>2364</v>
      </c>
      <c r="E194" s="115" t="s">
        <v>2304</v>
      </c>
    </row>
    <row r="195">
      <c r="A195" s="115" t="s">
        <v>539</v>
      </c>
      <c r="B195" s="115">
        <v>2217.0</v>
      </c>
      <c r="C195" s="115" t="s">
        <v>2365</v>
      </c>
      <c r="D195" s="115" t="s">
        <v>2366</v>
      </c>
      <c r="E195" s="115" t="s">
        <v>2304</v>
      </c>
    </row>
    <row r="196">
      <c r="A196" s="115" t="s">
        <v>540</v>
      </c>
      <c r="B196" s="115">
        <v>2385.0</v>
      </c>
      <c r="C196" s="115" t="s">
        <v>2367</v>
      </c>
      <c r="D196" s="115" t="s">
        <v>2368</v>
      </c>
      <c r="E196" s="115" t="s">
        <v>2304</v>
      </c>
    </row>
    <row r="197">
      <c r="A197" s="115" t="s">
        <v>559</v>
      </c>
      <c r="B197" s="115">
        <v>2692.0</v>
      </c>
      <c r="C197" s="115" t="s">
        <v>2369</v>
      </c>
      <c r="D197" s="115" t="s">
        <v>2370</v>
      </c>
      <c r="E197" s="115" t="s">
        <v>2304</v>
      </c>
    </row>
    <row r="198">
      <c r="A198" s="115" t="s">
        <v>542</v>
      </c>
      <c r="B198" s="115">
        <v>2781.0</v>
      </c>
      <c r="C198" s="115" t="s">
        <v>2371</v>
      </c>
      <c r="D198" s="115" t="s">
        <v>2372</v>
      </c>
      <c r="E198" s="115" t="s">
        <v>2304</v>
      </c>
    </row>
    <row r="199">
      <c r="A199" s="115" t="s">
        <v>555</v>
      </c>
      <c r="B199" s="115">
        <v>2863.0</v>
      </c>
      <c r="C199" s="115" t="s">
        <v>2373</v>
      </c>
      <c r="D199" s="115" t="s">
        <v>2374</v>
      </c>
      <c r="E199" s="115" t="s">
        <v>2304</v>
      </c>
    </row>
    <row r="200">
      <c r="A200" s="115" t="s">
        <v>579</v>
      </c>
      <c r="B200" s="115">
        <v>2878.0</v>
      </c>
      <c r="C200" s="115" t="s">
        <v>2375</v>
      </c>
      <c r="D200" s="115" t="s">
        <v>2376</v>
      </c>
      <c r="E200" s="115" t="s">
        <v>2304</v>
      </c>
    </row>
    <row r="201">
      <c r="A201" s="115" t="s">
        <v>560</v>
      </c>
      <c r="B201" s="115">
        <v>2899.0</v>
      </c>
      <c r="C201" s="115" t="s">
        <v>2377</v>
      </c>
      <c r="D201" s="115" t="s">
        <v>2378</v>
      </c>
      <c r="E201" s="115" t="s">
        <v>2304</v>
      </c>
    </row>
    <row r="202">
      <c r="A202" s="115" t="s">
        <v>580</v>
      </c>
      <c r="B202" s="115">
        <v>2935.0</v>
      </c>
      <c r="C202" s="115" t="s">
        <v>2379</v>
      </c>
      <c r="D202" s="115" t="s">
        <v>2380</v>
      </c>
      <c r="E202" s="115" t="s">
        <v>2304</v>
      </c>
    </row>
    <row r="203">
      <c r="A203" s="115" t="s">
        <v>581</v>
      </c>
      <c r="B203" s="115">
        <v>2959.0</v>
      </c>
      <c r="C203" s="115" t="s">
        <v>2381</v>
      </c>
      <c r="D203" s="115" t="s">
        <v>2382</v>
      </c>
      <c r="E203" s="115" t="s">
        <v>2304</v>
      </c>
    </row>
    <row r="204">
      <c r="A204" s="115" t="s">
        <v>543</v>
      </c>
      <c r="B204" s="115">
        <v>2973.0</v>
      </c>
      <c r="C204" s="115" t="s">
        <v>2383</v>
      </c>
      <c r="D204" s="115" t="s">
        <v>2384</v>
      </c>
      <c r="E204" s="115" t="s">
        <v>2304</v>
      </c>
    </row>
    <row r="205">
      <c r="A205" s="115" t="s">
        <v>582</v>
      </c>
      <c r="B205" s="115">
        <v>3139.0</v>
      </c>
      <c r="C205" s="115" t="s">
        <v>2385</v>
      </c>
      <c r="D205" s="115" t="s">
        <v>2386</v>
      </c>
      <c r="E205" s="115" t="s">
        <v>2304</v>
      </c>
    </row>
    <row r="206">
      <c r="A206" s="115" t="s">
        <v>583</v>
      </c>
      <c r="B206" s="115">
        <v>3285.0</v>
      </c>
      <c r="C206" s="115" t="s">
        <v>2387</v>
      </c>
      <c r="D206" s="115" t="s">
        <v>2388</v>
      </c>
      <c r="E206" s="115" t="s">
        <v>2304</v>
      </c>
    </row>
    <row r="207">
      <c r="A207" s="115" t="s">
        <v>584</v>
      </c>
      <c r="B207" s="115">
        <v>3293.0</v>
      </c>
      <c r="C207" s="115" t="s">
        <v>2389</v>
      </c>
      <c r="D207" s="115" t="s">
        <v>2390</v>
      </c>
      <c r="E207" s="115" t="s">
        <v>2304</v>
      </c>
    </row>
    <row r="208">
      <c r="A208" s="115" t="s">
        <v>556</v>
      </c>
      <c r="B208" s="115">
        <v>3297.0</v>
      </c>
      <c r="C208" s="115" t="s">
        <v>2391</v>
      </c>
      <c r="D208" s="115" t="s">
        <v>2392</v>
      </c>
      <c r="E208" s="115" t="s">
        <v>2304</v>
      </c>
    </row>
    <row r="209">
      <c r="A209" s="115" t="s">
        <v>585</v>
      </c>
      <c r="B209" s="115">
        <v>3465.0</v>
      </c>
      <c r="C209" s="115" t="s">
        <v>2393</v>
      </c>
      <c r="D209" s="115" t="s">
        <v>2394</v>
      </c>
      <c r="E209" s="115" t="s">
        <v>2304</v>
      </c>
    </row>
    <row r="210">
      <c r="A210" s="115" t="s">
        <v>550</v>
      </c>
      <c r="B210" s="115">
        <v>3538.0</v>
      </c>
      <c r="C210" s="115" t="s">
        <v>2395</v>
      </c>
      <c r="D210" s="115" t="s">
        <v>2396</v>
      </c>
      <c r="E210" s="115" t="s">
        <v>2304</v>
      </c>
    </row>
    <row r="211">
      <c r="A211" s="115" t="s">
        <v>544</v>
      </c>
      <c r="B211" s="115">
        <v>3649.0</v>
      </c>
      <c r="C211" s="115" t="s">
        <v>2397</v>
      </c>
      <c r="D211" s="115" t="s">
        <v>2398</v>
      </c>
      <c r="E211" s="115" t="s">
        <v>2304</v>
      </c>
    </row>
    <row r="212">
      <c r="A212" s="115" t="s">
        <v>551</v>
      </c>
      <c r="B212" s="115">
        <v>3690.0</v>
      </c>
      <c r="C212" s="115" t="s">
        <v>2399</v>
      </c>
      <c r="D212" s="115" t="s">
        <v>2400</v>
      </c>
      <c r="E212" s="115" t="s">
        <v>2304</v>
      </c>
    </row>
    <row r="213">
      <c r="A213" s="115" t="s">
        <v>541</v>
      </c>
      <c r="B213" s="115">
        <v>3899.0</v>
      </c>
      <c r="C213" s="115" t="s">
        <v>2401</v>
      </c>
      <c r="D213" s="115" t="s">
        <v>2402</v>
      </c>
      <c r="E213" s="115" t="s">
        <v>2304</v>
      </c>
    </row>
    <row r="214">
      <c r="A214" s="115" t="s">
        <v>545</v>
      </c>
      <c r="B214" s="115">
        <v>3988.0</v>
      </c>
      <c r="C214" s="115" t="s">
        <v>2403</v>
      </c>
      <c r="D214" s="115" t="s">
        <v>2404</v>
      </c>
      <c r="E214" s="115" t="s">
        <v>2304</v>
      </c>
      <c r="F214" s="115" t="s">
        <v>1987</v>
      </c>
    </row>
    <row r="215">
      <c r="A215" s="115" t="s">
        <v>561</v>
      </c>
      <c r="B215" s="115">
        <v>4011.0</v>
      </c>
      <c r="C215" s="115" t="s">
        <v>2405</v>
      </c>
      <c r="D215" s="115" t="s">
        <v>2406</v>
      </c>
      <c r="E215" s="115" t="s">
        <v>2304</v>
      </c>
    </row>
    <row r="216">
      <c r="A216" s="115" t="s">
        <v>586</v>
      </c>
      <c r="B216" s="115">
        <v>4094.0</v>
      </c>
      <c r="C216" s="115" t="s">
        <v>2407</v>
      </c>
      <c r="D216" s="115" t="s">
        <v>2408</v>
      </c>
      <c r="E216" s="115" t="s">
        <v>2304</v>
      </c>
    </row>
    <row r="217">
      <c r="A217" s="115" t="s">
        <v>587</v>
      </c>
      <c r="B217" s="115">
        <v>4129.0</v>
      </c>
      <c r="C217" s="115" t="s">
        <v>2409</v>
      </c>
      <c r="D217" s="115" t="s">
        <v>2410</v>
      </c>
      <c r="E217" s="115" t="s">
        <v>2304</v>
      </c>
    </row>
    <row r="218">
      <c r="A218" s="115" t="s">
        <v>536</v>
      </c>
      <c r="B218" s="115">
        <v>4146.0</v>
      </c>
      <c r="C218" s="115" t="s">
        <v>2411</v>
      </c>
      <c r="D218" s="115" t="s">
        <v>2412</v>
      </c>
      <c r="E218" s="115" t="s">
        <v>2304</v>
      </c>
    </row>
    <row r="219">
      <c r="A219" s="115" t="s">
        <v>588</v>
      </c>
      <c r="B219" s="115">
        <v>4281.0</v>
      </c>
      <c r="C219" s="115" t="s">
        <v>2413</v>
      </c>
      <c r="D219" s="115" t="s">
        <v>2414</v>
      </c>
      <c r="E219" s="115" t="s">
        <v>2304</v>
      </c>
    </row>
    <row r="220">
      <c r="A220" s="115" t="s">
        <v>589</v>
      </c>
      <c r="B220" s="115">
        <v>4321.0</v>
      </c>
      <c r="C220" s="115" t="s">
        <v>2415</v>
      </c>
      <c r="D220" s="115" t="s">
        <v>2416</v>
      </c>
      <c r="E220" s="115" t="s">
        <v>2304</v>
      </c>
    </row>
    <row r="221">
      <c r="A221" s="115" t="s">
        <v>590</v>
      </c>
      <c r="B221" s="115">
        <v>4333.0</v>
      </c>
      <c r="C221" s="115" t="s">
        <v>2417</v>
      </c>
      <c r="D221" s="115" t="s">
        <v>2418</v>
      </c>
      <c r="E221" s="115" t="s">
        <v>2304</v>
      </c>
    </row>
    <row r="222">
      <c r="A222" s="115" t="s">
        <v>546</v>
      </c>
      <c r="B222" s="115">
        <v>4372.0</v>
      </c>
      <c r="C222" s="115" t="s">
        <v>2419</v>
      </c>
      <c r="D222" s="115" t="s">
        <v>2420</v>
      </c>
      <c r="E222" s="115" t="s">
        <v>2304</v>
      </c>
    </row>
    <row r="223">
      <c r="A223" s="115" t="s">
        <v>591</v>
      </c>
      <c r="B223" s="115">
        <v>4486.0</v>
      </c>
      <c r="C223" s="115" t="s">
        <v>2421</v>
      </c>
      <c r="D223" s="115" t="s">
        <v>2422</v>
      </c>
      <c r="E223" s="115" t="s">
        <v>2304</v>
      </c>
    </row>
    <row r="224">
      <c r="A224" s="115" t="s">
        <v>708</v>
      </c>
      <c r="B224" s="115">
        <v>280.0</v>
      </c>
      <c r="C224" s="115" t="s">
        <v>2423</v>
      </c>
      <c r="D224" s="115" t="s">
        <v>2424</v>
      </c>
      <c r="E224" s="115" t="s">
        <v>2425</v>
      </c>
    </row>
    <row r="225">
      <c r="A225" s="115" t="s">
        <v>713</v>
      </c>
      <c r="B225" s="115">
        <v>334.0</v>
      </c>
      <c r="C225" s="115" t="s">
        <v>2426</v>
      </c>
      <c r="D225" s="115" t="s">
        <v>2427</v>
      </c>
      <c r="E225" s="115" t="s">
        <v>2425</v>
      </c>
    </row>
    <row r="226">
      <c r="A226" s="115" t="s">
        <v>714</v>
      </c>
      <c r="B226" s="115">
        <v>379.0</v>
      </c>
      <c r="C226" s="115" t="s">
        <v>2428</v>
      </c>
      <c r="D226" s="115" t="s">
        <v>2429</v>
      </c>
      <c r="E226" s="115" t="s">
        <v>2425</v>
      </c>
    </row>
    <row r="227">
      <c r="A227" s="115" t="s">
        <v>688</v>
      </c>
      <c r="B227" s="115">
        <v>405.0</v>
      </c>
      <c r="C227" s="115" t="s">
        <v>2430</v>
      </c>
      <c r="D227" s="115" t="s">
        <v>2431</v>
      </c>
      <c r="E227" s="115" t="s">
        <v>2425</v>
      </c>
    </row>
    <row r="228">
      <c r="A228" s="115" t="s">
        <v>715</v>
      </c>
      <c r="B228" s="115">
        <v>625.0</v>
      </c>
      <c r="C228" s="115" t="s">
        <v>2432</v>
      </c>
      <c r="D228" s="115" t="s">
        <v>2433</v>
      </c>
      <c r="E228" s="115" t="s">
        <v>2425</v>
      </c>
    </row>
    <row r="229">
      <c r="A229" s="115" t="s">
        <v>716</v>
      </c>
      <c r="B229" s="115">
        <v>642.0</v>
      </c>
      <c r="C229" s="115" t="s">
        <v>2434</v>
      </c>
      <c r="D229" s="115" t="s">
        <v>2435</v>
      </c>
      <c r="E229" s="115" t="s">
        <v>2425</v>
      </c>
    </row>
    <row r="230">
      <c r="A230" s="115" t="s">
        <v>689</v>
      </c>
      <c r="B230" s="115">
        <v>806.0</v>
      </c>
      <c r="C230" s="115" t="s">
        <v>2436</v>
      </c>
      <c r="D230" s="115" t="s">
        <v>2437</v>
      </c>
      <c r="E230" s="115" t="s">
        <v>2425</v>
      </c>
    </row>
    <row r="231">
      <c r="A231" s="115" t="s">
        <v>698</v>
      </c>
      <c r="B231" s="115">
        <v>819.0</v>
      </c>
      <c r="C231" s="115" t="s">
        <v>2438</v>
      </c>
      <c r="D231" s="115" t="s">
        <v>2439</v>
      </c>
      <c r="E231" s="115" t="s">
        <v>2425</v>
      </c>
    </row>
    <row r="232">
      <c r="A232" s="115" t="s">
        <v>717</v>
      </c>
      <c r="B232" s="115">
        <v>848.0</v>
      </c>
      <c r="C232" s="115" t="s">
        <v>2440</v>
      </c>
      <c r="D232" s="115" t="s">
        <v>2441</v>
      </c>
      <c r="E232" s="115" t="s">
        <v>2425</v>
      </c>
    </row>
    <row r="233">
      <c r="A233" s="115" t="s">
        <v>683</v>
      </c>
      <c r="B233" s="115">
        <v>907.0</v>
      </c>
      <c r="C233" s="115" t="s">
        <v>2442</v>
      </c>
      <c r="D233" s="115" t="s">
        <v>2443</v>
      </c>
      <c r="E233" s="115" t="s">
        <v>2425</v>
      </c>
    </row>
    <row r="234">
      <c r="A234" s="115" t="s">
        <v>718</v>
      </c>
      <c r="B234" s="115">
        <v>921.0</v>
      </c>
      <c r="C234" s="115" t="s">
        <v>2444</v>
      </c>
      <c r="D234" s="115" t="s">
        <v>2445</v>
      </c>
      <c r="E234" s="115" t="s">
        <v>2425</v>
      </c>
    </row>
    <row r="235">
      <c r="A235" s="115" t="s">
        <v>699</v>
      </c>
      <c r="B235" s="115">
        <v>923.0</v>
      </c>
      <c r="C235" s="115" t="s">
        <v>2446</v>
      </c>
      <c r="D235" s="115" t="s">
        <v>2447</v>
      </c>
      <c r="E235" s="115" t="s">
        <v>2425</v>
      </c>
    </row>
    <row r="236">
      <c r="A236" s="115" t="s">
        <v>719</v>
      </c>
      <c r="B236" s="115">
        <v>936.0</v>
      </c>
      <c r="C236" s="115" t="s">
        <v>2448</v>
      </c>
      <c r="D236" s="115" t="s">
        <v>2449</v>
      </c>
      <c r="E236" s="115" t="s">
        <v>2425</v>
      </c>
    </row>
    <row r="237">
      <c r="A237" s="115" t="s">
        <v>709</v>
      </c>
      <c r="B237" s="115">
        <v>946.0</v>
      </c>
      <c r="C237" s="115" t="s">
        <v>2450</v>
      </c>
      <c r="D237" s="115" t="s">
        <v>2451</v>
      </c>
      <c r="E237" s="115" t="s">
        <v>2425</v>
      </c>
    </row>
    <row r="238">
      <c r="A238" s="115" t="s">
        <v>720</v>
      </c>
      <c r="B238" s="115">
        <v>971.0</v>
      </c>
      <c r="C238" s="115" t="s">
        <v>2452</v>
      </c>
      <c r="D238" s="115" t="s">
        <v>2453</v>
      </c>
      <c r="E238" s="115" t="s">
        <v>2425</v>
      </c>
    </row>
    <row r="239">
      <c r="A239" s="115" t="s">
        <v>721</v>
      </c>
      <c r="B239" s="115">
        <v>1065.0</v>
      </c>
      <c r="C239" s="115" t="s">
        <v>2454</v>
      </c>
      <c r="D239" s="115" t="s">
        <v>2455</v>
      </c>
      <c r="E239" s="115" t="s">
        <v>2425</v>
      </c>
    </row>
    <row r="240">
      <c r="A240" s="115" t="s">
        <v>678</v>
      </c>
      <c r="B240" s="115">
        <v>1095.0</v>
      </c>
      <c r="C240" s="115" t="s">
        <v>2456</v>
      </c>
      <c r="D240" s="115" t="s">
        <v>2457</v>
      </c>
      <c r="E240" s="115" t="s">
        <v>2425</v>
      </c>
    </row>
    <row r="241">
      <c r="A241" s="115" t="s">
        <v>722</v>
      </c>
      <c r="B241" s="115">
        <v>1108.0</v>
      </c>
      <c r="C241" s="115" t="s">
        <v>2458</v>
      </c>
      <c r="D241" s="115" t="s">
        <v>2459</v>
      </c>
      <c r="E241" s="115" t="s">
        <v>2425</v>
      </c>
    </row>
    <row r="242">
      <c r="A242" s="115" t="s">
        <v>673</v>
      </c>
      <c r="B242" s="115">
        <v>1124.0</v>
      </c>
      <c r="C242" s="115" t="s">
        <v>2460</v>
      </c>
      <c r="D242" s="115" t="s">
        <v>2461</v>
      </c>
      <c r="E242" s="115" t="s">
        <v>2425</v>
      </c>
    </row>
    <row r="243">
      <c r="A243" s="115" t="s">
        <v>690</v>
      </c>
      <c r="B243" s="115">
        <v>1172.0</v>
      </c>
      <c r="C243" s="115" t="s">
        <v>2462</v>
      </c>
      <c r="D243" s="115" t="s">
        <v>2463</v>
      </c>
      <c r="E243" s="115" t="s">
        <v>2425</v>
      </c>
    </row>
    <row r="244">
      <c r="A244" s="115" t="s">
        <v>723</v>
      </c>
      <c r="B244" s="115">
        <v>1213.0</v>
      </c>
      <c r="C244" s="115" t="s">
        <v>2464</v>
      </c>
      <c r="D244" s="115" t="s">
        <v>2465</v>
      </c>
      <c r="E244" s="115" t="s">
        <v>2425</v>
      </c>
    </row>
    <row r="245">
      <c r="A245" s="115" t="s">
        <v>693</v>
      </c>
      <c r="B245" s="115">
        <v>1271.0</v>
      </c>
      <c r="C245" s="115" t="s">
        <v>2466</v>
      </c>
      <c r="D245" s="115" t="s">
        <v>2467</v>
      </c>
      <c r="E245" s="115" t="s">
        <v>2425</v>
      </c>
    </row>
    <row r="246">
      <c r="A246" s="115" t="s">
        <v>724</v>
      </c>
      <c r="B246" s="115">
        <v>1350.0</v>
      </c>
      <c r="C246" s="115" t="s">
        <v>2468</v>
      </c>
      <c r="D246" s="115" t="s">
        <v>2469</v>
      </c>
      <c r="E246" s="115" t="s">
        <v>2425</v>
      </c>
    </row>
    <row r="247">
      <c r="A247" s="115" t="s">
        <v>725</v>
      </c>
      <c r="B247" s="115">
        <v>1373.0</v>
      </c>
      <c r="C247" s="115" t="s">
        <v>2470</v>
      </c>
      <c r="D247" s="115" t="s">
        <v>2471</v>
      </c>
      <c r="E247" s="115" t="s">
        <v>2425</v>
      </c>
    </row>
    <row r="248">
      <c r="A248" s="115" t="s">
        <v>703</v>
      </c>
      <c r="B248" s="115">
        <v>1429.0</v>
      </c>
      <c r="C248" s="115" t="s">
        <v>2472</v>
      </c>
      <c r="D248" s="115" t="s">
        <v>2473</v>
      </c>
      <c r="E248" s="115" t="s">
        <v>2425</v>
      </c>
    </row>
    <row r="249">
      <c r="A249" s="115" t="s">
        <v>726</v>
      </c>
      <c r="B249" s="115">
        <v>1528.0</v>
      </c>
      <c r="C249" s="115" t="s">
        <v>2474</v>
      </c>
      <c r="D249" s="115" t="s">
        <v>2475</v>
      </c>
      <c r="E249" s="115" t="s">
        <v>2425</v>
      </c>
    </row>
    <row r="250">
      <c r="A250" s="115" t="s">
        <v>727</v>
      </c>
      <c r="B250" s="115">
        <v>1541.0</v>
      </c>
      <c r="C250" s="115" t="s">
        <v>2476</v>
      </c>
      <c r="D250" s="115" t="s">
        <v>2477</v>
      </c>
      <c r="E250" s="115" t="s">
        <v>2425</v>
      </c>
    </row>
    <row r="251">
      <c r="A251" s="115" t="s">
        <v>728</v>
      </c>
      <c r="B251" s="115">
        <v>1563.0</v>
      </c>
      <c r="C251" s="115" t="s">
        <v>2478</v>
      </c>
      <c r="D251" s="115" t="s">
        <v>2479</v>
      </c>
      <c r="E251" s="115" t="s">
        <v>2425</v>
      </c>
    </row>
    <row r="252">
      <c r="A252" s="115" t="s">
        <v>729</v>
      </c>
      <c r="B252" s="115">
        <v>1661.0</v>
      </c>
      <c r="C252" s="115" t="s">
        <v>2480</v>
      </c>
      <c r="D252" s="115" t="s">
        <v>2481</v>
      </c>
      <c r="E252" s="115" t="s">
        <v>2425</v>
      </c>
    </row>
    <row r="253">
      <c r="A253" s="115" t="s">
        <v>704</v>
      </c>
      <c r="B253" s="115">
        <v>1669.0</v>
      </c>
      <c r="C253" s="115" t="s">
        <v>2482</v>
      </c>
      <c r="D253" s="115" t="s">
        <v>2483</v>
      </c>
      <c r="E253" s="115" t="s">
        <v>2425</v>
      </c>
    </row>
    <row r="254">
      <c r="A254" s="115" t="s">
        <v>700</v>
      </c>
      <c r="B254" s="115">
        <v>1683.0</v>
      </c>
      <c r="C254" s="115" t="s">
        <v>2484</v>
      </c>
      <c r="D254" s="115" t="s">
        <v>2485</v>
      </c>
      <c r="E254" s="115" t="s">
        <v>2425</v>
      </c>
    </row>
    <row r="255">
      <c r="A255" s="115" t="s">
        <v>730</v>
      </c>
      <c r="B255" s="115">
        <v>1704.0</v>
      </c>
      <c r="C255" s="115" t="s">
        <v>2486</v>
      </c>
      <c r="D255" s="115" t="s">
        <v>2487</v>
      </c>
      <c r="E255" s="115" t="s">
        <v>2425</v>
      </c>
    </row>
    <row r="256">
      <c r="A256" s="115" t="s">
        <v>691</v>
      </c>
      <c r="B256" s="115">
        <v>1736.0</v>
      </c>
      <c r="C256" s="115" t="s">
        <v>2488</v>
      </c>
      <c r="D256" s="115" t="s">
        <v>2489</v>
      </c>
      <c r="E256" s="115" t="s">
        <v>2425</v>
      </c>
    </row>
    <row r="257">
      <c r="A257" s="115" t="s">
        <v>731</v>
      </c>
      <c r="B257" s="115">
        <v>1898.0</v>
      </c>
      <c r="C257" s="115" t="s">
        <v>2490</v>
      </c>
      <c r="D257" s="115" t="s">
        <v>2491</v>
      </c>
      <c r="E257" s="115" t="s">
        <v>2425</v>
      </c>
    </row>
    <row r="258">
      <c r="A258" s="115" t="s">
        <v>674</v>
      </c>
      <c r="B258" s="115">
        <v>1906.0</v>
      </c>
      <c r="C258" s="115" t="s">
        <v>2492</v>
      </c>
      <c r="D258" s="115" t="s">
        <v>2493</v>
      </c>
      <c r="E258" s="115" t="s">
        <v>2425</v>
      </c>
    </row>
    <row r="259">
      <c r="A259" s="115" t="s">
        <v>694</v>
      </c>
      <c r="B259" s="115">
        <v>1913.0</v>
      </c>
      <c r="C259" s="115" t="s">
        <v>2494</v>
      </c>
      <c r="D259" s="115" t="s">
        <v>2495</v>
      </c>
      <c r="E259" s="115" t="s">
        <v>2425</v>
      </c>
    </row>
    <row r="260">
      <c r="A260" s="115" t="s">
        <v>679</v>
      </c>
      <c r="B260" s="115">
        <v>1965.0</v>
      </c>
      <c r="C260" s="115" t="s">
        <v>2496</v>
      </c>
      <c r="D260" s="115" t="s">
        <v>2497</v>
      </c>
      <c r="E260" s="115" t="s">
        <v>2425</v>
      </c>
    </row>
    <row r="261">
      <c r="A261" s="115" t="s">
        <v>732</v>
      </c>
      <c r="B261" s="115">
        <v>2026.0</v>
      </c>
      <c r="C261" s="115" t="s">
        <v>2498</v>
      </c>
      <c r="D261" s="115" t="s">
        <v>2499</v>
      </c>
      <c r="E261" s="115" t="s">
        <v>2425</v>
      </c>
    </row>
    <row r="262">
      <c r="A262" s="115" t="s">
        <v>733</v>
      </c>
      <c r="B262" s="115">
        <v>2037.0</v>
      </c>
      <c r="C262" s="115" t="s">
        <v>2500</v>
      </c>
      <c r="D262" s="115" t="s">
        <v>2501</v>
      </c>
      <c r="E262" s="115" t="s">
        <v>2425</v>
      </c>
    </row>
    <row r="263">
      <c r="A263" s="115" t="s">
        <v>734</v>
      </c>
      <c r="B263" s="115">
        <v>2060.0</v>
      </c>
      <c r="C263" s="115" t="s">
        <v>2502</v>
      </c>
      <c r="D263" s="115" t="s">
        <v>2503</v>
      </c>
      <c r="E263" s="115" t="s">
        <v>2425</v>
      </c>
    </row>
    <row r="264">
      <c r="A264" s="115" t="s">
        <v>675</v>
      </c>
      <c r="B264" s="115">
        <v>2061.0</v>
      </c>
      <c r="C264" s="115" t="s">
        <v>2504</v>
      </c>
      <c r="D264" s="115" t="s">
        <v>2505</v>
      </c>
      <c r="E264" s="115" t="s">
        <v>2425</v>
      </c>
    </row>
    <row r="265">
      <c r="A265" s="115" t="s">
        <v>735</v>
      </c>
      <c r="B265" s="115">
        <v>2081.0</v>
      </c>
      <c r="C265" s="115" t="s">
        <v>2506</v>
      </c>
      <c r="D265" s="115" t="s">
        <v>2507</v>
      </c>
      <c r="E265" s="115" t="s">
        <v>2425</v>
      </c>
    </row>
    <row r="266">
      <c r="A266" s="115" t="s">
        <v>684</v>
      </c>
      <c r="B266" s="115">
        <v>2082.0</v>
      </c>
      <c r="C266" s="115" t="s">
        <v>2508</v>
      </c>
      <c r="D266" s="115" t="s">
        <v>2509</v>
      </c>
      <c r="E266" s="115" t="s">
        <v>2425</v>
      </c>
    </row>
    <row r="267">
      <c r="A267" s="115" t="s">
        <v>685</v>
      </c>
      <c r="B267" s="115">
        <v>2092.0</v>
      </c>
      <c r="C267" s="115" t="s">
        <v>2510</v>
      </c>
      <c r="D267" s="115" t="s">
        <v>2511</v>
      </c>
      <c r="E267" s="115" t="s">
        <v>2425</v>
      </c>
    </row>
    <row r="268">
      <c r="A268" s="115" t="s">
        <v>736</v>
      </c>
      <c r="B268" s="115">
        <v>2143.0</v>
      </c>
      <c r="C268" s="115" t="s">
        <v>2512</v>
      </c>
      <c r="D268" s="115" t="s">
        <v>2513</v>
      </c>
      <c r="E268" s="115" t="s">
        <v>2425</v>
      </c>
    </row>
    <row r="269">
      <c r="A269" s="115" t="s">
        <v>737</v>
      </c>
      <c r="B269" s="115">
        <v>2147.0</v>
      </c>
      <c r="C269" s="115" t="s">
        <v>2514</v>
      </c>
      <c r="D269" s="115" t="s">
        <v>2515</v>
      </c>
      <c r="E269" s="115" t="s">
        <v>2425</v>
      </c>
    </row>
    <row r="270">
      <c r="A270" s="115" t="s">
        <v>705</v>
      </c>
      <c r="B270" s="115">
        <v>2197.0</v>
      </c>
      <c r="C270" s="115" t="s">
        <v>2516</v>
      </c>
      <c r="D270" s="115" t="s">
        <v>2517</v>
      </c>
      <c r="E270" s="115" t="s">
        <v>2425</v>
      </c>
    </row>
    <row r="271">
      <c r="A271" s="115" t="s">
        <v>710</v>
      </c>
      <c r="B271" s="115">
        <v>2253.0</v>
      </c>
      <c r="C271" s="115" t="s">
        <v>2518</v>
      </c>
      <c r="D271" s="115" t="s">
        <v>2519</v>
      </c>
      <c r="E271" s="115" t="s">
        <v>2425</v>
      </c>
    </row>
    <row r="272">
      <c r="A272" s="115" t="s">
        <v>706</v>
      </c>
      <c r="B272" s="115">
        <v>2261.0</v>
      </c>
      <c r="C272" s="115" t="s">
        <v>2520</v>
      </c>
      <c r="D272" s="115" t="s">
        <v>2521</v>
      </c>
      <c r="E272" s="115" t="s">
        <v>2425</v>
      </c>
    </row>
    <row r="273">
      <c r="A273" s="115" t="s">
        <v>738</v>
      </c>
      <c r="B273" s="115">
        <v>2265.0</v>
      </c>
      <c r="C273" s="115" t="s">
        <v>2522</v>
      </c>
      <c r="D273" s="115" t="s">
        <v>2523</v>
      </c>
      <c r="E273" s="115" t="s">
        <v>2425</v>
      </c>
    </row>
    <row r="274">
      <c r="A274" s="115" t="s">
        <v>739</v>
      </c>
      <c r="B274" s="115">
        <v>2358.0</v>
      </c>
      <c r="C274" s="115" t="s">
        <v>2524</v>
      </c>
      <c r="D274" s="115" t="s">
        <v>2525</v>
      </c>
      <c r="E274" s="115" t="s">
        <v>2425</v>
      </c>
    </row>
    <row r="275">
      <c r="A275" s="115" t="s">
        <v>740</v>
      </c>
      <c r="B275" s="115">
        <v>2360.0</v>
      </c>
      <c r="C275" s="115" t="s">
        <v>2526</v>
      </c>
      <c r="D275" s="115" t="s">
        <v>2527</v>
      </c>
      <c r="E275" s="115" t="s">
        <v>2425</v>
      </c>
    </row>
    <row r="276">
      <c r="A276" s="115" t="s">
        <v>741</v>
      </c>
      <c r="B276" s="115">
        <v>2405.0</v>
      </c>
      <c r="C276" s="115" t="s">
        <v>2528</v>
      </c>
      <c r="D276" s="115" t="s">
        <v>2529</v>
      </c>
      <c r="E276" s="115" t="s">
        <v>2425</v>
      </c>
    </row>
    <row r="277">
      <c r="A277" s="115" t="s">
        <v>742</v>
      </c>
      <c r="B277" s="115">
        <v>2429.0</v>
      </c>
      <c r="C277" s="115" t="s">
        <v>2530</v>
      </c>
      <c r="D277" s="115" t="s">
        <v>2531</v>
      </c>
      <c r="E277" s="115" t="s">
        <v>2425</v>
      </c>
    </row>
    <row r="278">
      <c r="A278" s="115" t="s">
        <v>743</v>
      </c>
      <c r="B278" s="115">
        <v>2489.0</v>
      </c>
      <c r="C278" s="115" t="s">
        <v>2532</v>
      </c>
      <c r="D278" s="115" t="s">
        <v>2533</v>
      </c>
      <c r="E278" s="115" t="s">
        <v>2425</v>
      </c>
    </row>
    <row r="279">
      <c r="A279" s="115" t="s">
        <v>744</v>
      </c>
      <c r="B279" s="115">
        <v>2521.0</v>
      </c>
      <c r="C279" s="115" t="s">
        <v>2534</v>
      </c>
      <c r="D279" s="115" t="s">
        <v>2535</v>
      </c>
      <c r="E279" s="115" t="s">
        <v>2425</v>
      </c>
    </row>
    <row r="280">
      <c r="A280" s="115" t="s">
        <v>695</v>
      </c>
      <c r="B280" s="115">
        <v>2624.0</v>
      </c>
      <c r="C280" s="115" t="s">
        <v>2536</v>
      </c>
      <c r="D280" s="115" t="s">
        <v>2537</v>
      </c>
      <c r="E280" s="115" t="s">
        <v>2425</v>
      </c>
    </row>
    <row r="281">
      <c r="A281" s="115" t="s">
        <v>745</v>
      </c>
      <c r="B281" s="115">
        <v>2726.0</v>
      </c>
      <c r="C281" s="115" t="s">
        <v>2538</v>
      </c>
      <c r="D281" s="115" t="s">
        <v>2539</v>
      </c>
      <c r="E281" s="115" t="s">
        <v>2425</v>
      </c>
    </row>
    <row r="282">
      <c r="A282" s="115" t="s">
        <v>746</v>
      </c>
      <c r="B282" s="115">
        <v>2749.0</v>
      </c>
      <c r="C282" s="115" t="s">
        <v>2540</v>
      </c>
      <c r="D282" s="115" t="s">
        <v>2541</v>
      </c>
      <c r="E282" s="115" t="s">
        <v>2425</v>
      </c>
    </row>
    <row r="283">
      <c r="A283" s="115" t="s">
        <v>711</v>
      </c>
      <c r="B283" s="115">
        <v>2788.0</v>
      </c>
      <c r="C283" s="115" t="s">
        <v>2542</v>
      </c>
      <c r="D283" s="115" t="s">
        <v>2543</v>
      </c>
      <c r="E283" s="115" t="s">
        <v>2425</v>
      </c>
    </row>
    <row r="284">
      <c r="A284" s="115" t="s">
        <v>747</v>
      </c>
      <c r="B284" s="115">
        <v>2818.0</v>
      </c>
      <c r="C284" s="115" t="s">
        <v>2544</v>
      </c>
      <c r="D284" s="115" t="s">
        <v>2545</v>
      </c>
      <c r="E284" s="115" t="s">
        <v>2425</v>
      </c>
    </row>
    <row r="285">
      <c r="A285" s="115" t="s">
        <v>680</v>
      </c>
      <c r="B285" s="115">
        <v>2840.0</v>
      </c>
      <c r="C285" s="115" t="s">
        <v>2546</v>
      </c>
      <c r="D285" s="115" t="s">
        <v>2547</v>
      </c>
      <c r="E285" s="115" t="s">
        <v>2425</v>
      </c>
    </row>
    <row r="286">
      <c r="A286" s="115" t="s">
        <v>748</v>
      </c>
      <c r="B286" s="115">
        <v>2949.0</v>
      </c>
      <c r="C286" s="115" t="s">
        <v>2548</v>
      </c>
      <c r="D286" s="115" t="s">
        <v>2549</v>
      </c>
      <c r="E286" s="115" t="s">
        <v>2425</v>
      </c>
    </row>
    <row r="287">
      <c r="A287" s="115" t="s">
        <v>749</v>
      </c>
      <c r="B287" s="115">
        <v>2956.0</v>
      </c>
      <c r="C287" s="115" t="s">
        <v>2550</v>
      </c>
      <c r="D287" s="115" t="s">
        <v>2551</v>
      </c>
      <c r="E287" s="115" t="s">
        <v>2425</v>
      </c>
    </row>
    <row r="288">
      <c r="A288" s="115" t="s">
        <v>750</v>
      </c>
      <c r="B288" s="115">
        <v>2992.0</v>
      </c>
      <c r="C288" s="115" t="s">
        <v>2552</v>
      </c>
      <c r="D288" s="115" t="s">
        <v>2553</v>
      </c>
      <c r="E288" s="115" t="s">
        <v>2425</v>
      </c>
    </row>
    <row r="289">
      <c r="A289" s="115" t="s">
        <v>751</v>
      </c>
      <c r="B289" s="115">
        <v>3045.0</v>
      </c>
      <c r="C289" s="115" t="s">
        <v>2554</v>
      </c>
      <c r="D289" s="115" t="s">
        <v>2555</v>
      </c>
      <c r="E289" s="115" t="s">
        <v>2425</v>
      </c>
    </row>
    <row r="290">
      <c r="A290" s="115" t="s">
        <v>707</v>
      </c>
      <c r="B290" s="115">
        <v>3050.0</v>
      </c>
      <c r="C290" s="115" t="s">
        <v>2556</v>
      </c>
      <c r="D290" s="115" t="s">
        <v>2557</v>
      </c>
      <c r="E290" s="115" t="s">
        <v>2425</v>
      </c>
    </row>
    <row r="291">
      <c r="A291" s="115" t="s">
        <v>676</v>
      </c>
      <c r="B291" s="115">
        <v>3064.0</v>
      </c>
      <c r="C291" s="115" t="s">
        <v>2558</v>
      </c>
      <c r="D291" s="115" t="s">
        <v>2559</v>
      </c>
      <c r="E291" s="115" t="s">
        <v>2425</v>
      </c>
    </row>
    <row r="292">
      <c r="A292" s="115" t="s">
        <v>696</v>
      </c>
      <c r="B292" s="115">
        <v>3237.0</v>
      </c>
      <c r="C292" s="115" t="s">
        <v>2560</v>
      </c>
      <c r="D292" s="115" t="s">
        <v>2561</v>
      </c>
      <c r="E292" s="115" t="s">
        <v>2425</v>
      </c>
    </row>
    <row r="293">
      <c r="A293" s="115" t="s">
        <v>686</v>
      </c>
      <c r="B293" s="115">
        <v>3257.0</v>
      </c>
      <c r="C293" s="115" t="s">
        <v>2562</v>
      </c>
      <c r="D293" s="115" t="s">
        <v>2563</v>
      </c>
      <c r="E293" s="115" t="s">
        <v>2425</v>
      </c>
    </row>
    <row r="294">
      <c r="A294" s="115" t="s">
        <v>677</v>
      </c>
      <c r="B294" s="115">
        <v>3320.0</v>
      </c>
      <c r="C294" s="115" t="s">
        <v>2564</v>
      </c>
      <c r="D294" s="115" t="s">
        <v>2565</v>
      </c>
      <c r="E294" s="115" t="s">
        <v>2425</v>
      </c>
    </row>
    <row r="295">
      <c r="A295" s="115" t="s">
        <v>692</v>
      </c>
      <c r="B295" s="115">
        <v>3328.0</v>
      </c>
      <c r="C295" s="115" t="s">
        <v>2566</v>
      </c>
      <c r="D295" s="115" t="s">
        <v>2567</v>
      </c>
      <c r="E295" s="115" t="s">
        <v>2425</v>
      </c>
    </row>
    <row r="296">
      <c r="A296" s="115" t="s">
        <v>752</v>
      </c>
      <c r="B296" s="115">
        <v>3386.0</v>
      </c>
      <c r="C296" s="115" t="s">
        <v>2568</v>
      </c>
      <c r="D296" s="115" t="s">
        <v>2569</v>
      </c>
      <c r="E296" s="115" t="s">
        <v>2425</v>
      </c>
    </row>
    <row r="297">
      <c r="A297" s="115" t="s">
        <v>753</v>
      </c>
      <c r="B297" s="115">
        <v>3425.0</v>
      </c>
      <c r="C297" s="115" t="s">
        <v>2570</v>
      </c>
      <c r="D297" s="115" t="s">
        <v>2571</v>
      </c>
      <c r="E297" s="115" t="s">
        <v>2425</v>
      </c>
    </row>
    <row r="298">
      <c r="A298" s="115" t="s">
        <v>754</v>
      </c>
      <c r="B298" s="115">
        <v>3447.0</v>
      </c>
      <c r="C298" s="115" t="s">
        <v>2572</v>
      </c>
      <c r="D298" s="115" t="s">
        <v>2573</v>
      </c>
      <c r="E298" s="115" t="s">
        <v>2425</v>
      </c>
    </row>
    <row r="299">
      <c r="A299" s="115" t="s">
        <v>755</v>
      </c>
      <c r="B299" s="115">
        <v>3464.0</v>
      </c>
      <c r="C299" s="115" t="s">
        <v>2574</v>
      </c>
      <c r="D299" s="115" t="s">
        <v>2575</v>
      </c>
      <c r="E299" s="115" t="s">
        <v>2425</v>
      </c>
    </row>
    <row r="300">
      <c r="A300" s="115" t="s">
        <v>701</v>
      </c>
      <c r="B300" s="115">
        <v>3504.0</v>
      </c>
      <c r="C300" s="115" t="s">
        <v>2576</v>
      </c>
      <c r="D300" s="115" t="s">
        <v>2577</v>
      </c>
      <c r="E300" s="115" t="s">
        <v>2425</v>
      </c>
    </row>
    <row r="301">
      <c r="A301" s="115" t="s">
        <v>756</v>
      </c>
      <c r="B301" s="115">
        <v>3599.0</v>
      </c>
      <c r="C301" s="115" t="s">
        <v>2578</v>
      </c>
      <c r="D301" s="115" t="s">
        <v>2579</v>
      </c>
      <c r="E301" s="115" t="s">
        <v>2425</v>
      </c>
    </row>
    <row r="302">
      <c r="A302" s="115" t="s">
        <v>681</v>
      </c>
      <c r="B302" s="115">
        <v>3717.0</v>
      </c>
      <c r="C302" s="115" t="s">
        <v>2580</v>
      </c>
      <c r="D302" s="115" t="s">
        <v>2581</v>
      </c>
      <c r="E302" s="115" t="s">
        <v>2425</v>
      </c>
    </row>
    <row r="303">
      <c r="A303" s="115" t="s">
        <v>757</v>
      </c>
      <c r="B303" s="115">
        <v>3755.0</v>
      </c>
      <c r="C303" s="115" t="s">
        <v>2582</v>
      </c>
      <c r="D303" s="115" t="s">
        <v>2583</v>
      </c>
      <c r="E303" s="115" t="s">
        <v>2425</v>
      </c>
    </row>
    <row r="304">
      <c r="A304" s="115" t="s">
        <v>712</v>
      </c>
      <c r="B304" s="115">
        <v>3759.0</v>
      </c>
      <c r="C304" s="115" t="s">
        <v>2584</v>
      </c>
      <c r="D304" s="115" t="s">
        <v>2585</v>
      </c>
      <c r="E304" s="115" t="s">
        <v>2425</v>
      </c>
    </row>
    <row r="305">
      <c r="A305" s="115" t="s">
        <v>702</v>
      </c>
      <c r="B305" s="115">
        <v>3783.0</v>
      </c>
      <c r="C305" s="115" t="s">
        <v>2586</v>
      </c>
      <c r="D305" s="115" t="s">
        <v>2587</v>
      </c>
      <c r="E305" s="115" t="s">
        <v>2425</v>
      </c>
    </row>
    <row r="306">
      <c r="A306" s="115" t="s">
        <v>687</v>
      </c>
      <c r="B306" s="115">
        <v>3911.0</v>
      </c>
      <c r="C306" s="115" t="s">
        <v>2588</v>
      </c>
      <c r="D306" s="115" t="s">
        <v>2589</v>
      </c>
      <c r="E306" s="115" t="s">
        <v>2425</v>
      </c>
    </row>
    <row r="307">
      <c r="A307" s="115" t="s">
        <v>697</v>
      </c>
      <c r="B307" s="115">
        <v>4197.0</v>
      </c>
      <c r="C307" s="115" t="s">
        <v>2590</v>
      </c>
      <c r="D307" s="115" t="s">
        <v>2591</v>
      </c>
      <c r="E307" s="115" t="s">
        <v>2425</v>
      </c>
    </row>
    <row r="308">
      <c r="A308" s="115" t="s">
        <v>758</v>
      </c>
      <c r="B308" s="115">
        <v>4227.0</v>
      </c>
      <c r="C308" s="115" t="s">
        <v>2592</v>
      </c>
      <c r="D308" s="115" t="s">
        <v>2593</v>
      </c>
      <c r="E308" s="115" t="s">
        <v>2425</v>
      </c>
    </row>
    <row r="309">
      <c r="A309" s="115" t="s">
        <v>682</v>
      </c>
      <c r="B309" s="115">
        <v>4426.0</v>
      </c>
      <c r="C309" s="115" t="s">
        <v>2594</v>
      </c>
      <c r="D309" s="115" t="s">
        <v>2595</v>
      </c>
      <c r="E309" s="115" t="s">
        <v>2425</v>
      </c>
    </row>
    <row r="310">
      <c r="A310" s="115" t="s">
        <v>759</v>
      </c>
      <c r="B310" s="115">
        <v>4474.0</v>
      </c>
      <c r="C310" s="115" t="s">
        <v>2596</v>
      </c>
      <c r="D310" s="115" t="s">
        <v>2597</v>
      </c>
      <c r="E310" s="115" t="s">
        <v>2425</v>
      </c>
    </row>
    <row r="311">
      <c r="A311" s="115" t="s">
        <v>760</v>
      </c>
      <c r="B311" s="115">
        <v>4558.0</v>
      </c>
      <c r="C311" s="115" t="s">
        <v>2598</v>
      </c>
      <c r="D311" s="115" t="s">
        <v>2599</v>
      </c>
      <c r="E311" s="115" t="s">
        <v>2425</v>
      </c>
    </row>
    <row r="312">
      <c r="A312" s="115" t="s">
        <v>632</v>
      </c>
      <c r="B312" s="115">
        <v>134.0</v>
      </c>
      <c r="C312" s="115" t="s">
        <v>2600</v>
      </c>
      <c r="D312" s="115" t="s">
        <v>2601</v>
      </c>
      <c r="E312" s="115" t="s">
        <v>330</v>
      </c>
    </row>
    <row r="313">
      <c r="A313" s="115" t="s">
        <v>592</v>
      </c>
      <c r="B313" s="115">
        <v>153.0</v>
      </c>
      <c r="C313" s="115" t="s">
        <v>2602</v>
      </c>
      <c r="D313" s="115" t="s">
        <v>2603</v>
      </c>
      <c r="E313" s="115" t="s">
        <v>330</v>
      </c>
    </row>
    <row r="314">
      <c r="A314" s="115" t="s">
        <v>633</v>
      </c>
      <c r="B314" s="115">
        <v>188.0</v>
      </c>
      <c r="C314" s="115" t="s">
        <v>2604</v>
      </c>
      <c r="D314" s="115" t="s">
        <v>2605</v>
      </c>
      <c r="E314" s="115" t="s">
        <v>330</v>
      </c>
    </row>
    <row r="315">
      <c r="A315" s="115" t="s">
        <v>617</v>
      </c>
      <c r="B315" s="115">
        <v>376.0</v>
      </c>
      <c r="C315" s="115" t="s">
        <v>2606</v>
      </c>
      <c r="D315" s="115" t="s">
        <v>2607</v>
      </c>
      <c r="E315" s="115" t="s">
        <v>330</v>
      </c>
    </row>
    <row r="316">
      <c r="A316" s="115" t="s">
        <v>602</v>
      </c>
      <c r="B316" s="115">
        <v>524.0</v>
      </c>
      <c r="C316" s="115" t="s">
        <v>2608</v>
      </c>
      <c r="D316" s="115" t="s">
        <v>2609</v>
      </c>
      <c r="E316" s="115" t="s">
        <v>330</v>
      </c>
    </row>
    <row r="317">
      <c r="A317" s="115" t="s">
        <v>634</v>
      </c>
      <c r="B317" s="115">
        <v>564.0</v>
      </c>
      <c r="C317" s="115" t="s">
        <v>2610</v>
      </c>
      <c r="D317" s="115" t="s">
        <v>2611</v>
      </c>
      <c r="E317" s="115" t="s">
        <v>330</v>
      </c>
    </row>
    <row r="318">
      <c r="A318" s="115" t="s">
        <v>635</v>
      </c>
      <c r="B318" s="115">
        <v>632.0</v>
      </c>
      <c r="C318" s="115" t="s">
        <v>2612</v>
      </c>
      <c r="D318" s="115" t="s">
        <v>2613</v>
      </c>
      <c r="E318" s="115" t="s">
        <v>330</v>
      </c>
    </row>
    <row r="319">
      <c r="A319" s="115" t="s">
        <v>603</v>
      </c>
      <c r="B319" s="115">
        <v>685.0</v>
      </c>
      <c r="C319" s="115" t="s">
        <v>2614</v>
      </c>
      <c r="D319" s="115" t="s">
        <v>2615</v>
      </c>
      <c r="E319" s="115" t="s">
        <v>330</v>
      </c>
    </row>
    <row r="320">
      <c r="A320" s="115" t="s">
        <v>627</v>
      </c>
      <c r="B320" s="115">
        <v>711.0</v>
      </c>
      <c r="C320" s="115" t="s">
        <v>2616</v>
      </c>
      <c r="D320" s="115" t="s">
        <v>2617</v>
      </c>
      <c r="E320" s="115" t="s">
        <v>330</v>
      </c>
    </row>
    <row r="321">
      <c r="A321" s="115" t="s">
        <v>636</v>
      </c>
      <c r="B321" s="115">
        <v>726.0</v>
      </c>
      <c r="C321" s="115" t="s">
        <v>2618</v>
      </c>
      <c r="D321" s="115" t="s">
        <v>2619</v>
      </c>
      <c r="E321" s="115" t="s">
        <v>330</v>
      </c>
    </row>
    <row r="322">
      <c r="A322" s="115" t="s">
        <v>628</v>
      </c>
      <c r="B322" s="115">
        <v>857.0</v>
      </c>
      <c r="C322" s="115" t="s">
        <v>2620</v>
      </c>
      <c r="D322" s="115" t="s">
        <v>2621</v>
      </c>
      <c r="E322" s="115" t="s">
        <v>330</v>
      </c>
    </row>
    <row r="323">
      <c r="A323" s="115" t="s">
        <v>622</v>
      </c>
      <c r="B323" s="115">
        <v>955.0</v>
      </c>
      <c r="C323" s="115" t="s">
        <v>2622</v>
      </c>
      <c r="D323" s="115" t="s">
        <v>2623</v>
      </c>
      <c r="E323" s="115" t="s">
        <v>330</v>
      </c>
    </row>
    <row r="324">
      <c r="A324" s="115" t="s">
        <v>604</v>
      </c>
      <c r="B324" s="115">
        <v>991.0</v>
      </c>
      <c r="C324" s="115" t="s">
        <v>2624</v>
      </c>
      <c r="D324" s="115" t="s">
        <v>2625</v>
      </c>
      <c r="E324" s="115" t="s">
        <v>330</v>
      </c>
    </row>
    <row r="325">
      <c r="A325" s="115" t="s">
        <v>637</v>
      </c>
      <c r="B325" s="115">
        <v>1144.0</v>
      </c>
      <c r="C325" s="115" t="s">
        <v>2626</v>
      </c>
      <c r="D325" s="115" t="s">
        <v>2627</v>
      </c>
      <c r="E325" s="115" t="s">
        <v>330</v>
      </c>
    </row>
    <row r="326">
      <c r="A326" s="115" t="s">
        <v>623</v>
      </c>
      <c r="B326" s="115">
        <v>1145.0</v>
      </c>
      <c r="C326" s="115" t="s">
        <v>2628</v>
      </c>
      <c r="D326" s="115" t="s">
        <v>2629</v>
      </c>
      <c r="E326" s="115" t="s">
        <v>330</v>
      </c>
    </row>
    <row r="327">
      <c r="A327" s="115" t="s">
        <v>618</v>
      </c>
      <c r="B327" s="115">
        <v>1151.0</v>
      </c>
      <c r="C327" s="115" t="s">
        <v>2630</v>
      </c>
      <c r="D327" s="115" t="s">
        <v>2631</v>
      </c>
      <c r="E327" s="115" t="s">
        <v>330</v>
      </c>
    </row>
    <row r="328">
      <c r="A328" s="115" t="s">
        <v>638</v>
      </c>
      <c r="B328" s="115">
        <v>1157.0</v>
      </c>
      <c r="C328" s="115" t="s">
        <v>2632</v>
      </c>
      <c r="D328" s="115" t="s">
        <v>2633</v>
      </c>
      <c r="E328" s="115" t="s">
        <v>330</v>
      </c>
    </row>
    <row r="329">
      <c r="A329" s="115" t="s">
        <v>619</v>
      </c>
      <c r="B329" s="115">
        <v>1188.0</v>
      </c>
      <c r="C329" s="115" t="s">
        <v>2634</v>
      </c>
      <c r="D329" s="115" t="s">
        <v>2635</v>
      </c>
      <c r="E329" s="115" t="s">
        <v>330</v>
      </c>
    </row>
    <row r="330">
      <c r="A330" s="115" t="s">
        <v>639</v>
      </c>
      <c r="B330" s="115">
        <v>1246.0</v>
      </c>
      <c r="C330" s="115" t="s">
        <v>2636</v>
      </c>
      <c r="D330" s="115" t="s">
        <v>2637</v>
      </c>
      <c r="E330" s="115" t="s">
        <v>330</v>
      </c>
    </row>
    <row r="331">
      <c r="A331" s="115" t="s">
        <v>640</v>
      </c>
      <c r="B331" s="115">
        <v>1329.0</v>
      </c>
      <c r="C331" s="115" t="s">
        <v>2638</v>
      </c>
      <c r="D331" s="115" t="s">
        <v>2639</v>
      </c>
      <c r="E331" s="115" t="s">
        <v>330</v>
      </c>
    </row>
    <row r="332">
      <c r="A332" s="115" t="s">
        <v>641</v>
      </c>
      <c r="B332" s="115">
        <v>1398.0</v>
      </c>
      <c r="C332" s="115" t="s">
        <v>2640</v>
      </c>
      <c r="D332" s="115" t="s">
        <v>2641</v>
      </c>
      <c r="E332" s="115" t="s">
        <v>330</v>
      </c>
    </row>
    <row r="333">
      <c r="A333" s="115" t="s">
        <v>642</v>
      </c>
      <c r="B333" s="115">
        <v>1402.0</v>
      </c>
      <c r="C333" s="115" t="s">
        <v>2642</v>
      </c>
      <c r="D333" s="115" t="s">
        <v>2643</v>
      </c>
      <c r="E333" s="115" t="s">
        <v>330</v>
      </c>
    </row>
    <row r="334">
      <c r="A334" s="115" t="s">
        <v>612</v>
      </c>
      <c r="B334" s="115">
        <v>1508.0</v>
      </c>
      <c r="C334" s="115" t="s">
        <v>2644</v>
      </c>
      <c r="D334" s="115" t="s">
        <v>2645</v>
      </c>
      <c r="E334" s="115" t="s">
        <v>330</v>
      </c>
    </row>
    <row r="335">
      <c r="A335" s="115" t="s">
        <v>605</v>
      </c>
      <c r="B335" s="115">
        <v>1524.0</v>
      </c>
      <c r="C335" s="115" t="s">
        <v>2646</v>
      </c>
      <c r="D335" s="115" t="s">
        <v>2647</v>
      </c>
      <c r="E335" s="115" t="s">
        <v>330</v>
      </c>
    </row>
    <row r="336">
      <c r="A336" s="115" t="s">
        <v>643</v>
      </c>
      <c r="B336" s="115">
        <v>1651.0</v>
      </c>
      <c r="C336" s="115" t="s">
        <v>2648</v>
      </c>
      <c r="D336" s="115" t="s">
        <v>2649</v>
      </c>
      <c r="E336" s="115" t="s">
        <v>330</v>
      </c>
    </row>
    <row r="337">
      <c r="A337" s="115" t="s">
        <v>644</v>
      </c>
      <c r="B337" s="115">
        <v>1656.0</v>
      </c>
      <c r="C337" s="115" t="s">
        <v>2650</v>
      </c>
      <c r="D337" s="115" t="s">
        <v>2651</v>
      </c>
      <c r="E337" s="115" t="s">
        <v>330</v>
      </c>
    </row>
    <row r="338">
      <c r="A338" s="115" t="s">
        <v>607</v>
      </c>
      <c r="B338" s="115">
        <v>1751.0</v>
      </c>
      <c r="C338" s="115" t="s">
        <v>2652</v>
      </c>
      <c r="D338" s="115" t="s">
        <v>2653</v>
      </c>
      <c r="E338" s="115" t="s">
        <v>330</v>
      </c>
    </row>
    <row r="339">
      <c r="A339" s="115" t="s">
        <v>645</v>
      </c>
      <c r="B339" s="115">
        <v>1779.0</v>
      </c>
      <c r="C339" s="115" t="s">
        <v>2654</v>
      </c>
      <c r="D339" s="115" t="s">
        <v>2655</v>
      </c>
      <c r="E339" s="115" t="s">
        <v>330</v>
      </c>
      <c r="F339" s="115" t="s">
        <v>1987</v>
      </c>
    </row>
    <row r="340">
      <c r="A340" s="115" t="s">
        <v>646</v>
      </c>
      <c r="B340" s="115">
        <v>1811.0</v>
      </c>
      <c r="C340" s="115" t="s">
        <v>2656</v>
      </c>
      <c r="D340" s="115" t="s">
        <v>2657</v>
      </c>
      <c r="E340" s="115" t="s">
        <v>330</v>
      </c>
    </row>
    <row r="341">
      <c r="A341" s="115" t="s">
        <v>593</v>
      </c>
      <c r="B341" s="115">
        <v>1818.0</v>
      </c>
      <c r="C341" s="115" t="s">
        <v>2658</v>
      </c>
      <c r="D341" s="115" t="s">
        <v>2659</v>
      </c>
      <c r="E341" s="115" t="s">
        <v>330</v>
      </c>
    </row>
    <row r="342">
      <c r="A342" s="115" t="s">
        <v>594</v>
      </c>
      <c r="B342" s="115">
        <v>1843.0</v>
      </c>
      <c r="C342" s="115" t="s">
        <v>2660</v>
      </c>
      <c r="D342" s="115" t="s">
        <v>2661</v>
      </c>
      <c r="E342" s="115" t="s">
        <v>330</v>
      </c>
    </row>
    <row r="343">
      <c r="A343" s="115" t="s">
        <v>647</v>
      </c>
      <c r="B343" s="115">
        <v>1899.0</v>
      </c>
      <c r="C343" s="115" t="s">
        <v>2662</v>
      </c>
      <c r="D343" s="115" t="s">
        <v>2663</v>
      </c>
      <c r="E343" s="115" t="s">
        <v>330</v>
      </c>
    </row>
    <row r="344">
      <c r="A344" s="115" t="s">
        <v>648</v>
      </c>
      <c r="B344" s="115">
        <v>1900.0</v>
      </c>
      <c r="C344" s="115" t="s">
        <v>2664</v>
      </c>
      <c r="D344" s="115" t="s">
        <v>2665</v>
      </c>
      <c r="E344" s="115" t="s">
        <v>330</v>
      </c>
    </row>
    <row r="345">
      <c r="A345" s="115" t="s">
        <v>595</v>
      </c>
      <c r="B345" s="115">
        <v>1957.0</v>
      </c>
      <c r="C345" s="115" t="s">
        <v>2666</v>
      </c>
      <c r="D345" s="115" t="s">
        <v>2667</v>
      </c>
      <c r="E345" s="115" t="s">
        <v>330</v>
      </c>
    </row>
    <row r="346">
      <c r="A346" s="115" t="s">
        <v>613</v>
      </c>
      <c r="B346" s="115">
        <v>1977.0</v>
      </c>
      <c r="C346" s="115" t="s">
        <v>2668</v>
      </c>
      <c r="D346" s="115" t="s">
        <v>2669</v>
      </c>
      <c r="E346" s="115" t="s">
        <v>330</v>
      </c>
    </row>
    <row r="347">
      <c r="A347" s="115" t="s">
        <v>606</v>
      </c>
      <c r="B347" s="115">
        <v>1994.0</v>
      </c>
      <c r="C347" s="115" t="s">
        <v>2670</v>
      </c>
      <c r="D347" s="115" t="s">
        <v>2671</v>
      </c>
      <c r="E347" s="115" t="s">
        <v>330</v>
      </c>
    </row>
    <row r="348">
      <c r="A348" s="115" t="s">
        <v>614</v>
      </c>
      <c r="B348" s="115">
        <v>2018.0</v>
      </c>
      <c r="C348" s="115" t="s">
        <v>2672</v>
      </c>
      <c r="D348" s="115" t="s">
        <v>2673</v>
      </c>
      <c r="E348" s="115" t="s">
        <v>330</v>
      </c>
    </row>
    <row r="349">
      <c r="A349" s="115" t="s">
        <v>649</v>
      </c>
      <c r="B349" s="115">
        <v>2100.0</v>
      </c>
      <c r="C349" s="115" t="s">
        <v>2674</v>
      </c>
      <c r="D349" s="115" t="s">
        <v>2675</v>
      </c>
      <c r="E349" s="115" t="s">
        <v>330</v>
      </c>
    </row>
    <row r="350">
      <c r="A350" s="115" t="s">
        <v>608</v>
      </c>
      <c r="B350" s="115">
        <v>2161.0</v>
      </c>
      <c r="C350" s="115" t="s">
        <v>2676</v>
      </c>
      <c r="D350" s="115" t="s">
        <v>2677</v>
      </c>
      <c r="E350" s="115" t="s">
        <v>330</v>
      </c>
    </row>
    <row r="351">
      <c r="A351" s="115" t="s">
        <v>597</v>
      </c>
      <c r="B351" s="115">
        <v>2246.0</v>
      </c>
      <c r="C351" s="115" t="s">
        <v>2678</v>
      </c>
      <c r="D351" s="115" t="s">
        <v>2679</v>
      </c>
      <c r="E351" s="115" t="s">
        <v>330</v>
      </c>
    </row>
    <row r="352">
      <c r="A352" s="115" t="s">
        <v>650</v>
      </c>
      <c r="B352" s="115">
        <v>2275.0</v>
      </c>
      <c r="C352" s="115" t="s">
        <v>2680</v>
      </c>
      <c r="D352" s="115" t="s">
        <v>2681</v>
      </c>
      <c r="E352" s="115" t="s">
        <v>330</v>
      </c>
    </row>
    <row r="353">
      <c r="A353" s="115" t="s">
        <v>651</v>
      </c>
      <c r="B353" s="115">
        <v>2287.0</v>
      </c>
      <c r="C353" s="115" t="s">
        <v>2682</v>
      </c>
      <c r="D353" s="115" t="s">
        <v>2683</v>
      </c>
      <c r="E353" s="115" t="s">
        <v>330</v>
      </c>
    </row>
    <row r="354">
      <c r="A354" s="115" t="s">
        <v>615</v>
      </c>
      <c r="B354" s="115">
        <v>2311.0</v>
      </c>
      <c r="C354" s="115" t="s">
        <v>2684</v>
      </c>
      <c r="D354" s="115" t="s">
        <v>2685</v>
      </c>
      <c r="E354" s="115" t="s">
        <v>330</v>
      </c>
    </row>
    <row r="355">
      <c r="A355" s="115" t="s">
        <v>609</v>
      </c>
      <c r="B355" s="115">
        <v>2324.0</v>
      </c>
      <c r="C355" s="115" t="s">
        <v>2686</v>
      </c>
      <c r="D355" s="115" t="s">
        <v>2687</v>
      </c>
      <c r="E355" s="115" t="s">
        <v>330</v>
      </c>
    </row>
    <row r="356">
      <c r="A356" s="115" t="s">
        <v>624</v>
      </c>
      <c r="B356" s="115">
        <v>2337.0</v>
      </c>
      <c r="C356" s="115" t="s">
        <v>2688</v>
      </c>
      <c r="D356" s="115" t="s">
        <v>2689</v>
      </c>
      <c r="E356" s="115" t="s">
        <v>330</v>
      </c>
    </row>
    <row r="357">
      <c r="A357" s="115" t="s">
        <v>652</v>
      </c>
      <c r="B357" s="115">
        <v>2375.0</v>
      </c>
      <c r="C357" s="115" t="s">
        <v>2690</v>
      </c>
      <c r="D357" s="115" t="s">
        <v>2691</v>
      </c>
      <c r="E357" s="115" t="s">
        <v>330</v>
      </c>
    </row>
    <row r="358">
      <c r="A358" s="115" t="s">
        <v>598</v>
      </c>
      <c r="B358" s="115">
        <v>2533.0</v>
      </c>
      <c r="C358" s="115" t="s">
        <v>2692</v>
      </c>
      <c r="D358" s="115" t="s">
        <v>2693</v>
      </c>
      <c r="E358" s="115" t="s">
        <v>330</v>
      </c>
    </row>
    <row r="359">
      <c r="A359" s="115" t="s">
        <v>625</v>
      </c>
      <c r="B359" s="115">
        <v>2548.0</v>
      </c>
      <c r="C359" s="115" t="s">
        <v>2694</v>
      </c>
      <c r="D359" s="115" t="s">
        <v>2695</v>
      </c>
      <c r="E359" s="115" t="s">
        <v>330</v>
      </c>
    </row>
    <row r="360">
      <c r="A360" s="115" t="s">
        <v>653</v>
      </c>
      <c r="B360" s="115">
        <v>2632.0</v>
      </c>
      <c r="C360" s="115" t="s">
        <v>2696</v>
      </c>
      <c r="D360" s="115" t="s">
        <v>2697</v>
      </c>
      <c r="E360" s="115" t="s">
        <v>330</v>
      </c>
    </row>
    <row r="361">
      <c r="A361" s="115" t="s">
        <v>654</v>
      </c>
      <c r="B361" s="115">
        <v>2703.0</v>
      </c>
      <c r="C361" s="115" t="s">
        <v>2698</v>
      </c>
      <c r="D361" s="115" t="s">
        <v>2699</v>
      </c>
      <c r="E361" s="115" t="s">
        <v>330</v>
      </c>
    </row>
    <row r="362">
      <c r="A362" s="115" t="s">
        <v>655</v>
      </c>
      <c r="B362" s="115">
        <v>2724.0</v>
      </c>
      <c r="C362" s="115" t="s">
        <v>2700</v>
      </c>
      <c r="D362" s="115" t="s">
        <v>2701</v>
      </c>
      <c r="E362" s="115" t="s">
        <v>330</v>
      </c>
    </row>
    <row r="363">
      <c r="A363" s="115" t="s">
        <v>656</v>
      </c>
      <c r="B363" s="115">
        <v>2893.0</v>
      </c>
      <c r="C363" s="115" t="s">
        <v>2702</v>
      </c>
      <c r="D363" s="115" t="s">
        <v>2703</v>
      </c>
      <c r="E363" s="115" t="s">
        <v>330</v>
      </c>
    </row>
    <row r="364">
      <c r="A364" s="115" t="s">
        <v>610</v>
      </c>
      <c r="B364" s="115">
        <v>2908.0</v>
      </c>
      <c r="C364" s="115" t="s">
        <v>2704</v>
      </c>
      <c r="D364" s="115" t="s">
        <v>2705</v>
      </c>
      <c r="E364" s="115" t="s">
        <v>330</v>
      </c>
    </row>
    <row r="365">
      <c r="A365" s="115" t="s">
        <v>657</v>
      </c>
      <c r="B365" s="115">
        <v>2914.0</v>
      </c>
      <c r="C365" s="115" t="s">
        <v>2706</v>
      </c>
      <c r="D365" s="115" t="s">
        <v>2707</v>
      </c>
      <c r="E365" s="115" t="s">
        <v>330</v>
      </c>
    </row>
    <row r="366">
      <c r="A366" s="115" t="s">
        <v>658</v>
      </c>
      <c r="B366" s="115">
        <v>2915.0</v>
      </c>
      <c r="C366" s="115" t="s">
        <v>2708</v>
      </c>
      <c r="D366" s="115" t="s">
        <v>2709</v>
      </c>
      <c r="E366" s="115" t="s">
        <v>330</v>
      </c>
    </row>
    <row r="367">
      <c r="A367" s="115" t="s">
        <v>620</v>
      </c>
      <c r="B367" s="115">
        <v>3003.0</v>
      </c>
      <c r="C367" s="115" t="s">
        <v>2710</v>
      </c>
      <c r="D367" s="115" t="s">
        <v>2711</v>
      </c>
      <c r="E367" s="115" t="s">
        <v>330</v>
      </c>
    </row>
    <row r="368">
      <c r="A368" s="115" t="s">
        <v>659</v>
      </c>
      <c r="B368" s="115">
        <v>3005.0</v>
      </c>
      <c r="C368" s="115" t="s">
        <v>2712</v>
      </c>
      <c r="D368" s="115" t="s">
        <v>2713</v>
      </c>
      <c r="E368" s="115" t="s">
        <v>330</v>
      </c>
    </row>
    <row r="369">
      <c r="A369" s="115" t="s">
        <v>660</v>
      </c>
      <c r="B369" s="115">
        <v>3136.0</v>
      </c>
      <c r="C369" s="115" t="s">
        <v>2714</v>
      </c>
      <c r="D369" s="115" t="s">
        <v>2715</v>
      </c>
      <c r="E369" s="115" t="s">
        <v>330</v>
      </c>
    </row>
    <row r="370">
      <c r="A370" s="115" t="s">
        <v>661</v>
      </c>
      <c r="B370" s="115">
        <v>3141.0</v>
      </c>
      <c r="C370" s="115" t="s">
        <v>2716</v>
      </c>
      <c r="D370" s="115" t="s">
        <v>2717</v>
      </c>
      <c r="E370" s="115" t="s">
        <v>330</v>
      </c>
    </row>
    <row r="371">
      <c r="A371" s="115" t="s">
        <v>629</v>
      </c>
      <c r="B371" s="115">
        <v>3199.0</v>
      </c>
      <c r="C371" s="115" t="s">
        <v>2718</v>
      </c>
      <c r="D371" s="115" t="s">
        <v>2719</v>
      </c>
      <c r="E371" s="115" t="s">
        <v>330</v>
      </c>
    </row>
    <row r="372">
      <c r="A372" s="115" t="s">
        <v>626</v>
      </c>
      <c r="B372" s="115">
        <v>3315.0</v>
      </c>
      <c r="C372" s="115" t="s">
        <v>2720</v>
      </c>
      <c r="D372" s="115" t="s">
        <v>2721</v>
      </c>
      <c r="E372" s="115" t="s">
        <v>330</v>
      </c>
    </row>
    <row r="373">
      <c r="A373" s="115" t="s">
        <v>662</v>
      </c>
      <c r="B373" s="115">
        <v>3329.0</v>
      </c>
      <c r="C373" s="115" t="s">
        <v>2722</v>
      </c>
      <c r="D373" s="115" t="s">
        <v>2723</v>
      </c>
      <c r="E373" s="115" t="s">
        <v>330</v>
      </c>
    </row>
    <row r="374">
      <c r="A374" s="115" t="s">
        <v>630</v>
      </c>
      <c r="B374" s="115">
        <v>3367.0</v>
      </c>
      <c r="C374" s="115" t="s">
        <v>2724</v>
      </c>
      <c r="D374" s="115" t="s">
        <v>2725</v>
      </c>
      <c r="E374" s="115" t="s">
        <v>330</v>
      </c>
    </row>
    <row r="375">
      <c r="A375" s="115" t="s">
        <v>663</v>
      </c>
      <c r="B375" s="115">
        <v>3389.0</v>
      </c>
      <c r="C375" s="115" t="s">
        <v>2726</v>
      </c>
      <c r="D375" s="115" t="s">
        <v>2727</v>
      </c>
      <c r="E375" s="115" t="s">
        <v>330</v>
      </c>
    </row>
    <row r="376">
      <c r="A376" s="115" t="s">
        <v>664</v>
      </c>
      <c r="B376" s="115">
        <v>3526.0</v>
      </c>
      <c r="C376" s="115" t="s">
        <v>2728</v>
      </c>
      <c r="D376" s="115" t="s">
        <v>2729</v>
      </c>
      <c r="E376" s="115" t="s">
        <v>330</v>
      </c>
    </row>
    <row r="377">
      <c r="A377" s="115" t="s">
        <v>599</v>
      </c>
      <c r="B377" s="115">
        <v>3671.0</v>
      </c>
      <c r="C377" s="115" t="s">
        <v>2730</v>
      </c>
      <c r="D377" s="115" t="s">
        <v>2731</v>
      </c>
      <c r="E377" s="115" t="s">
        <v>330</v>
      </c>
    </row>
    <row r="378">
      <c r="A378" s="115" t="s">
        <v>665</v>
      </c>
      <c r="B378" s="115">
        <v>3728.0</v>
      </c>
      <c r="C378" s="115" t="s">
        <v>2732</v>
      </c>
      <c r="D378" s="115" t="s">
        <v>2733</v>
      </c>
      <c r="E378" s="115" t="s">
        <v>330</v>
      </c>
    </row>
    <row r="379">
      <c r="A379" s="115" t="s">
        <v>621</v>
      </c>
      <c r="B379" s="115">
        <v>3788.0</v>
      </c>
      <c r="C379" s="115" t="s">
        <v>2734</v>
      </c>
      <c r="D379" s="115" t="s">
        <v>2735</v>
      </c>
      <c r="E379" s="115" t="s">
        <v>330</v>
      </c>
    </row>
    <row r="380">
      <c r="A380" s="115" t="s">
        <v>600</v>
      </c>
      <c r="B380" s="115">
        <v>3795.0</v>
      </c>
      <c r="C380" s="115" t="s">
        <v>2736</v>
      </c>
      <c r="D380" s="115" t="s">
        <v>2737</v>
      </c>
      <c r="E380" s="115" t="s">
        <v>330</v>
      </c>
    </row>
    <row r="381">
      <c r="A381" s="115" t="s">
        <v>666</v>
      </c>
      <c r="B381" s="115">
        <v>3839.0</v>
      </c>
      <c r="C381" s="115" t="s">
        <v>2738</v>
      </c>
      <c r="D381" s="115" t="s">
        <v>2739</v>
      </c>
      <c r="E381" s="115" t="s">
        <v>330</v>
      </c>
    </row>
    <row r="382">
      <c r="A382" s="115" t="s">
        <v>667</v>
      </c>
      <c r="B382" s="115">
        <v>3851.0</v>
      </c>
      <c r="C382" s="115" t="s">
        <v>2740</v>
      </c>
      <c r="D382" s="115" t="s">
        <v>2741</v>
      </c>
      <c r="E382" s="115" t="s">
        <v>330</v>
      </c>
    </row>
    <row r="383">
      <c r="A383" s="115" t="s">
        <v>668</v>
      </c>
      <c r="B383" s="115">
        <v>3901.0</v>
      </c>
      <c r="C383" s="115" t="s">
        <v>2742</v>
      </c>
      <c r="D383" s="115" t="s">
        <v>2743</v>
      </c>
      <c r="E383" s="115" t="s">
        <v>330</v>
      </c>
    </row>
    <row r="384">
      <c r="A384" s="115" t="s">
        <v>616</v>
      </c>
      <c r="B384" s="115">
        <v>4002.0</v>
      </c>
      <c r="C384" s="115" t="s">
        <v>2744</v>
      </c>
      <c r="D384" s="115" t="s">
        <v>2745</v>
      </c>
      <c r="E384" s="115" t="s">
        <v>330</v>
      </c>
    </row>
    <row r="385">
      <c r="A385" s="115" t="s">
        <v>669</v>
      </c>
      <c r="B385" s="115">
        <v>4030.0</v>
      </c>
      <c r="C385" s="115" t="s">
        <v>2746</v>
      </c>
      <c r="D385" s="115" t="s">
        <v>2747</v>
      </c>
      <c r="E385" s="115" t="s">
        <v>330</v>
      </c>
    </row>
    <row r="386">
      <c r="A386" s="115" t="s">
        <v>611</v>
      </c>
      <c r="B386" s="115">
        <v>4039.0</v>
      </c>
      <c r="C386" s="115" t="s">
        <v>2748</v>
      </c>
      <c r="D386" s="115" t="s">
        <v>2749</v>
      </c>
      <c r="E386" s="115" t="s">
        <v>330</v>
      </c>
    </row>
    <row r="387">
      <c r="A387" s="115" t="s">
        <v>670</v>
      </c>
      <c r="B387" s="115">
        <v>4054.0</v>
      </c>
      <c r="C387" s="115" t="s">
        <v>2750</v>
      </c>
      <c r="D387" s="115" t="s">
        <v>2751</v>
      </c>
      <c r="E387" s="115" t="s">
        <v>330</v>
      </c>
    </row>
    <row r="388">
      <c r="A388" s="115" t="s">
        <v>601</v>
      </c>
      <c r="B388" s="115">
        <v>4128.0</v>
      </c>
      <c r="C388" s="115" t="s">
        <v>2752</v>
      </c>
      <c r="D388" s="115" t="s">
        <v>2753</v>
      </c>
      <c r="E388" s="115" t="s">
        <v>330</v>
      </c>
    </row>
    <row r="389">
      <c r="A389" s="115" t="s">
        <v>596</v>
      </c>
      <c r="B389" s="115">
        <v>4268.0</v>
      </c>
      <c r="C389" s="115" t="s">
        <v>2754</v>
      </c>
      <c r="D389" s="115" t="s">
        <v>2755</v>
      </c>
      <c r="E389" s="115" t="s">
        <v>330</v>
      </c>
    </row>
    <row r="390">
      <c r="A390" s="115" t="s">
        <v>671</v>
      </c>
      <c r="B390" s="115">
        <v>4371.0</v>
      </c>
      <c r="C390" s="115" t="s">
        <v>2756</v>
      </c>
      <c r="D390" s="115" t="s">
        <v>2757</v>
      </c>
      <c r="E390" s="115" t="s">
        <v>330</v>
      </c>
    </row>
    <row r="391">
      <c r="A391" s="115" t="s">
        <v>672</v>
      </c>
      <c r="B391" s="115">
        <v>4498.0</v>
      </c>
      <c r="C391" s="115" t="s">
        <v>2758</v>
      </c>
      <c r="D391" s="115" t="s">
        <v>2759</v>
      </c>
      <c r="E391" s="115" t="s">
        <v>330</v>
      </c>
    </row>
    <row r="392">
      <c r="A392" s="115" t="s">
        <v>631</v>
      </c>
      <c r="B392" s="115">
        <v>4567.0</v>
      </c>
      <c r="C392" s="115" t="s">
        <v>2760</v>
      </c>
      <c r="D392" s="115" t="s">
        <v>2761</v>
      </c>
      <c r="E392" s="115" t="s">
        <v>330</v>
      </c>
    </row>
    <row r="393">
      <c r="A393" s="115" t="s">
        <v>766</v>
      </c>
      <c r="B393" s="115">
        <v>126.0</v>
      </c>
      <c r="C393" s="115" t="s">
        <v>2762</v>
      </c>
      <c r="D393" s="115" t="s">
        <v>2763</v>
      </c>
      <c r="E393" s="115" t="s">
        <v>2764</v>
      </c>
    </row>
    <row r="394">
      <c r="A394" s="115" t="s">
        <v>781</v>
      </c>
      <c r="B394" s="115">
        <v>282.0</v>
      </c>
      <c r="C394" s="115" t="s">
        <v>2765</v>
      </c>
      <c r="D394" s="115" t="s">
        <v>2766</v>
      </c>
      <c r="E394" s="115" t="s">
        <v>2764</v>
      </c>
    </row>
    <row r="395">
      <c r="A395" s="115" t="s">
        <v>782</v>
      </c>
      <c r="B395" s="115">
        <v>310.0</v>
      </c>
      <c r="C395" s="115" t="s">
        <v>2767</v>
      </c>
      <c r="D395" s="115" t="s">
        <v>2768</v>
      </c>
      <c r="E395" s="115" t="s">
        <v>2764</v>
      </c>
    </row>
    <row r="396">
      <c r="A396" s="115" t="s">
        <v>771</v>
      </c>
      <c r="B396" s="115">
        <v>347.0</v>
      </c>
      <c r="C396" s="115" t="s">
        <v>2769</v>
      </c>
      <c r="D396" s="115" t="s">
        <v>2770</v>
      </c>
      <c r="E396" s="115" t="s">
        <v>2764</v>
      </c>
    </row>
    <row r="397">
      <c r="A397" s="115" t="s">
        <v>783</v>
      </c>
      <c r="B397" s="115">
        <v>381.0</v>
      </c>
      <c r="C397" s="115" t="s">
        <v>2771</v>
      </c>
      <c r="D397" s="115" t="s">
        <v>2772</v>
      </c>
      <c r="E397" s="115" t="s">
        <v>2764</v>
      </c>
    </row>
    <row r="398">
      <c r="A398" s="115" t="s">
        <v>776</v>
      </c>
      <c r="B398" s="115">
        <v>570.0</v>
      </c>
      <c r="C398" s="115" t="s">
        <v>2773</v>
      </c>
      <c r="D398" s="115" t="s">
        <v>2774</v>
      </c>
      <c r="E398" s="115" t="s">
        <v>2764</v>
      </c>
    </row>
    <row r="399">
      <c r="A399" s="115" t="s">
        <v>784</v>
      </c>
      <c r="B399" s="115">
        <v>729.0</v>
      </c>
      <c r="C399" s="115" t="s">
        <v>2775</v>
      </c>
      <c r="D399" s="115" t="s">
        <v>2776</v>
      </c>
      <c r="E399" s="115" t="s">
        <v>2764</v>
      </c>
    </row>
    <row r="400">
      <c r="A400" s="115" t="s">
        <v>785</v>
      </c>
      <c r="B400" s="115">
        <v>747.0</v>
      </c>
      <c r="C400" s="115" t="s">
        <v>2777</v>
      </c>
      <c r="D400" s="115" t="s">
        <v>2778</v>
      </c>
      <c r="E400" s="115" t="s">
        <v>2764</v>
      </c>
    </row>
    <row r="401">
      <c r="A401" s="115" t="s">
        <v>786</v>
      </c>
      <c r="B401" s="115">
        <v>920.0</v>
      </c>
      <c r="C401" s="115" t="s">
        <v>2779</v>
      </c>
      <c r="D401" s="115" t="s">
        <v>2780</v>
      </c>
      <c r="E401" s="115" t="s">
        <v>2764</v>
      </c>
    </row>
    <row r="402">
      <c r="A402" s="115" t="s">
        <v>767</v>
      </c>
      <c r="B402" s="115">
        <v>1085.0</v>
      </c>
      <c r="C402" s="115" t="s">
        <v>2781</v>
      </c>
      <c r="D402" s="115" t="s">
        <v>2782</v>
      </c>
      <c r="E402" s="115" t="s">
        <v>2764</v>
      </c>
    </row>
    <row r="403">
      <c r="A403" s="115" t="s">
        <v>787</v>
      </c>
      <c r="B403" s="115">
        <v>1127.0</v>
      </c>
      <c r="C403" s="115" t="s">
        <v>2783</v>
      </c>
      <c r="D403" s="115" t="s">
        <v>2784</v>
      </c>
      <c r="E403" s="115" t="s">
        <v>2764</v>
      </c>
    </row>
    <row r="404">
      <c r="A404" s="115" t="s">
        <v>777</v>
      </c>
      <c r="B404" s="115">
        <v>1133.0</v>
      </c>
      <c r="C404" s="115" t="s">
        <v>2783</v>
      </c>
      <c r="D404" s="115" t="s">
        <v>2785</v>
      </c>
      <c r="E404" s="115" t="s">
        <v>2764</v>
      </c>
    </row>
    <row r="405">
      <c r="A405" s="115" t="s">
        <v>761</v>
      </c>
      <c r="B405" s="115">
        <v>1466.0</v>
      </c>
      <c r="C405" s="115" t="s">
        <v>2786</v>
      </c>
      <c r="D405" s="115" t="s">
        <v>2787</v>
      </c>
      <c r="E405" s="115" t="s">
        <v>2764</v>
      </c>
    </row>
    <row r="406">
      <c r="A406" s="115" t="s">
        <v>788</v>
      </c>
      <c r="B406" s="115">
        <v>1934.0</v>
      </c>
      <c r="C406" s="115" t="s">
        <v>2788</v>
      </c>
      <c r="D406" s="115" t="s">
        <v>2789</v>
      </c>
      <c r="E406" s="115" t="s">
        <v>2764</v>
      </c>
    </row>
    <row r="407">
      <c r="A407" s="115" t="s">
        <v>778</v>
      </c>
      <c r="B407" s="115">
        <v>1982.0</v>
      </c>
      <c r="C407" s="115" t="s">
        <v>2790</v>
      </c>
      <c r="D407" s="115" t="s">
        <v>2791</v>
      </c>
      <c r="E407" s="115" t="s">
        <v>2764</v>
      </c>
    </row>
    <row r="408">
      <c r="A408" s="115" t="s">
        <v>772</v>
      </c>
      <c r="B408" s="115">
        <v>2045.0</v>
      </c>
      <c r="C408" s="115" t="s">
        <v>2792</v>
      </c>
      <c r="D408" s="115" t="s">
        <v>2793</v>
      </c>
      <c r="E408" s="115" t="s">
        <v>2764</v>
      </c>
    </row>
    <row r="409">
      <c r="A409" s="115" t="s">
        <v>789</v>
      </c>
      <c r="B409" s="115">
        <v>2049.0</v>
      </c>
      <c r="C409" s="115" t="s">
        <v>2794</v>
      </c>
      <c r="D409" s="115" t="s">
        <v>2795</v>
      </c>
      <c r="E409" s="115" t="s">
        <v>2764</v>
      </c>
    </row>
    <row r="410">
      <c r="A410" s="115" t="s">
        <v>790</v>
      </c>
      <c r="B410" s="115">
        <v>2136.0</v>
      </c>
      <c r="C410" s="115" t="s">
        <v>2796</v>
      </c>
      <c r="D410" s="115" t="s">
        <v>2797</v>
      </c>
      <c r="E410" s="115" t="s">
        <v>2764</v>
      </c>
    </row>
    <row r="411">
      <c r="A411" s="115" t="s">
        <v>791</v>
      </c>
      <c r="B411" s="115">
        <v>2272.0</v>
      </c>
      <c r="C411" s="115" t="s">
        <v>2798</v>
      </c>
      <c r="D411" s="115" t="s">
        <v>2799</v>
      </c>
      <c r="E411" s="115" t="s">
        <v>2764</v>
      </c>
    </row>
    <row r="412">
      <c r="A412" s="115" t="s">
        <v>792</v>
      </c>
      <c r="B412" s="115">
        <v>2316.0</v>
      </c>
      <c r="C412" s="115" t="s">
        <v>2800</v>
      </c>
      <c r="D412" s="115" t="s">
        <v>2801</v>
      </c>
      <c r="E412" s="115" t="s">
        <v>2764</v>
      </c>
    </row>
    <row r="413">
      <c r="A413" s="115" t="s">
        <v>779</v>
      </c>
      <c r="B413" s="115">
        <v>2437.0</v>
      </c>
      <c r="C413" s="115" t="s">
        <v>2802</v>
      </c>
      <c r="D413" s="115" t="s">
        <v>2803</v>
      </c>
      <c r="E413" s="115" t="s">
        <v>2764</v>
      </c>
    </row>
    <row r="414">
      <c r="A414" s="115" t="s">
        <v>773</v>
      </c>
      <c r="B414" s="115">
        <v>2581.0</v>
      </c>
      <c r="C414" s="115" t="s">
        <v>2804</v>
      </c>
      <c r="D414" s="115" t="s">
        <v>2805</v>
      </c>
      <c r="E414" s="115" t="s">
        <v>2764</v>
      </c>
    </row>
    <row r="415">
      <c r="A415" s="115" t="s">
        <v>793</v>
      </c>
      <c r="B415" s="115">
        <v>2584.0</v>
      </c>
      <c r="C415" s="115" t="s">
        <v>2806</v>
      </c>
      <c r="D415" s="115" t="s">
        <v>2807</v>
      </c>
      <c r="E415" s="115" t="s">
        <v>2764</v>
      </c>
    </row>
    <row r="416">
      <c r="A416" s="115" t="s">
        <v>794</v>
      </c>
      <c r="B416" s="115">
        <v>2642.0</v>
      </c>
      <c r="C416" s="115" t="s">
        <v>2808</v>
      </c>
      <c r="D416" s="115" t="s">
        <v>2809</v>
      </c>
      <c r="E416" s="115" t="s">
        <v>2764</v>
      </c>
    </row>
    <row r="417">
      <c r="A417" s="115" t="s">
        <v>795</v>
      </c>
      <c r="B417" s="115">
        <v>2669.0</v>
      </c>
      <c r="C417" s="115" t="s">
        <v>2810</v>
      </c>
      <c r="D417" s="115" t="s">
        <v>2811</v>
      </c>
      <c r="E417" s="115" t="s">
        <v>2764</v>
      </c>
    </row>
    <row r="418">
      <c r="A418" s="115" t="s">
        <v>796</v>
      </c>
      <c r="B418" s="115">
        <v>2723.0</v>
      </c>
      <c r="C418" s="115" t="s">
        <v>2812</v>
      </c>
      <c r="D418" s="115" t="s">
        <v>2813</v>
      </c>
      <c r="E418" s="115" t="s">
        <v>2764</v>
      </c>
    </row>
    <row r="419">
      <c r="A419" s="115" t="s">
        <v>774</v>
      </c>
      <c r="B419" s="115">
        <v>2962.0</v>
      </c>
      <c r="C419" s="115" t="s">
        <v>2814</v>
      </c>
      <c r="D419" s="115" t="s">
        <v>2815</v>
      </c>
      <c r="E419" s="115" t="s">
        <v>2764</v>
      </c>
    </row>
    <row r="420">
      <c r="A420" s="115" t="s">
        <v>762</v>
      </c>
      <c r="B420" s="115">
        <v>3028.0</v>
      </c>
      <c r="C420" s="115" t="s">
        <v>2816</v>
      </c>
      <c r="D420" s="115" t="s">
        <v>2817</v>
      </c>
      <c r="E420" s="115" t="s">
        <v>2764</v>
      </c>
    </row>
    <row r="421">
      <c r="A421" s="115" t="s">
        <v>797</v>
      </c>
      <c r="B421" s="115">
        <v>3159.0</v>
      </c>
      <c r="C421" s="115" t="s">
        <v>2818</v>
      </c>
      <c r="D421" s="115" t="s">
        <v>2819</v>
      </c>
      <c r="E421" s="115" t="s">
        <v>2764</v>
      </c>
    </row>
    <row r="422">
      <c r="A422" s="115" t="s">
        <v>798</v>
      </c>
      <c r="B422" s="115">
        <v>3193.0</v>
      </c>
      <c r="C422" s="115" t="s">
        <v>2820</v>
      </c>
      <c r="D422" s="115" t="s">
        <v>2821</v>
      </c>
      <c r="E422" s="115" t="s">
        <v>2764</v>
      </c>
    </row>
    <row r="423">
      <c r="A423" s="115" t="s">
        <v>780</v>
      </c>
      <c r="B423" s="115">
        <v>3266.0</v>
      </c>
      <c r="C423" s="115" t="s">
        <v>2822</v>
      </c>
      <c r="D423" s="115" t="s">
        <v>2823</v>
      </c>
      <c r="E423" s="115" t="s">
        <v>2764</v>
      </c>
    </row>
    <row r="424">
      <c r="A424" s="115" t="s">
        <v>768</v>
      </c>
      <c r="B424" s="115">
        <v>3570.0</v>
      </c>
      <c r="C424" s="115" t="s">
        <v>2824</v>
      </c>
      <c r="D424" s="115" t="s">
        <v>2825</v>
      </c>
      <c r="E424" s="115" t="s">
        <v>2764</v>
      </c>
    </row>
    <row r="425">
      <c r="A425" s="115" t="s">
        <v>799</v>
      </c>
      <c r="B425" s="115">
        <v>3590.0</v>
      </c>
      <c r="C425" s="115" t="s">
        <v>2826</v>
      </c>
      <c r="D425" s="115" t="s">
        <v>2827</v>
      </c>
      <c r="E425" s="115" t="s">
        <v>2764</v>
      </c>
    </row>
    <row r="426">
      <c r="A426" s="115" t="s">
        <v>769</v>
      </c>
      <c r="B426" s="115">
        <v>3643.0</v>
      </c>
      <c r="C426" s="115" t="s">
        <v>2828</v>
      </c>
      <c r="D426" s="115" t="s">
        <v>2829</v>
      </c>
      <c r="E426" s="115" t="s">
        <v>2764</v>
      </c>
    </row>
    <row r="427">
      <c r="A427" s="115" t="s">
        <v>800</v>
      </c>
      <c r="B427" s="115">
        <v>3714.0</v>
      </c>
      <c r="C427" s="115" t="s">
        <v>2830</v>
      </c>
      <c r="D427" s="115" t="s">
        <v>2831</v>
      </c>
      <c r="E427" s="115" t="s">
        <v>2764</v>
      </c>
    </row>
    <row r="428">
      <c r="A428" s="115" t="s">
        <v>763</v>
      </c>
      <c r="B428" s="115">
        <v>3715.0</v>
      </c>
      <c r="C428" s="115" t="s">
        <v>2832</v>
      </c>
      <c r="D428" s="115" t="s">
        <v>2833</v>
      </c>
      <c r="E428" s="115" t="s">
        <v>2764</v>
      </c>
    </row>
    <row r="429">
      <c r="A429" s="115" t="s">
        <v>764</v>
      </c>
      <c r="B429" s="115">
        <v>3862.0</v>
      </c>
      <c r="C429" s="115" t="s">
        <v>2834</v>
      </c>
      <c r="D429" s="115" t="s">
        <v>2835</v>
      </c>
      <c r="E429" s="115" t="s">
        <v>2764</v>
      </c>
    </row>
    <row r="430">
      <c r="A430" s="115" t="s">
        <v>765</v>
      </c>
      <c r="B430" s="115">
        <v>4070.0</v>
      </c>
      <c r="C430" s="115" t="s">
        <v>2836</v>
      </c>
      <c r="D430" s="115" t="s">
        <v>2837</v>
      </c>
      <c r="E430" s="115" t="s">
        <v>2764</v>
      </c>
    </row>
    <row r="431">
      <c r="A431" s="115" t="s">
        <v>775</v>
      </c>
      <c r="B431" s="115">
        <v>4260.0</v>
      </c>
      <c r="C431" s="115" t="s">
        <v>2838</v>
      </c>
      <c r="D431" s="115" t="s">
        <v>2839</v>
      </c>
      <c r="E431" s="115" t="s">
        <v>2764</v>
      </c>
    </row>
    <row r="432">
      <c r="A432" s="115" t="s">
        <v>801</v>
      </c>
      <c r="B432" s="115">
        <v>4425.0</v>
      </c>
      <c r="C432" s="115" t="s">
        <v>2840</v>
      </c>
      <c r="D432" s="115" t="s">
        <v>2841</v>
      </c>
      <c r="E432" s="115" t="s">
        <v>2764</v>
      </c>
    </row>
    <row r="433">
      <c r="A433" s="115" t="s">
        <v>802</v>
      </c>
      <c r="B433" s="115">
        <v>4488.0</v>
      </c>
      <c r="C433" s="115" t="s">
        <v>2842</v>
      </c>
      <c r="D433" s="115" t="s">
        <v>2843</v>
      </c>
      <c r="E433" s="115" t="s">
        <v>2764</v>
      </c>
    </row>
    <row r="434">
      <c r="A434" s="115" t="s">
        <v>770</v>
      </c>
      <c r="B434" s="115">
        <v>4499.0</v>
      </c>
      <c r="C434" s="115" t="s">
        <v>2844</v>
      </c>
      <c r="D434" s="115" t="s">
        <v>2845</v>
      </c>
      <c r="E434" s="115" t="s">
        <v>2764</v>
      </c>
    </row>
    <row r="435">
      <c r="A435" s="115" t="s">
        <v>833</v>
      </c>
      <c r="B435" s="115">
        <v>28.0</v>
      </c>
      <c r="C435" s="115" t="s">
        <v>2846</v>
      </c>
      <c r="D435" s="115" t="s">
        <v>2847</v>
      </c>
      <c r="E435" s="115" t="s">
        <v>2848</v>
      </c>
    </row>
    <row r="436">
      <c r="A436" s="115" t="s">
        <v>818</v>
      </c>
      <c r="B436" s="115">
        <v>42.0</v>
      </c>
      <c r="C436" s="115" t="s">
        <v>2849</v>
      </c>
      <c r="D436" s="115" t="s">
        <v>2850</v>
      </c>
      <c r="E436" s="115" t="s">
        <v>2848</v>
      </c>
    </row>
    <row r="437">
      <c r="A437" s="115" t="s">
        <v>803</v>
      </c>
      <c r="B437" s="115">
        <v>137.0</v>
      </c>
      <c r="C437" s="115" t="s">
        <v>2851</v>
      </c>
      <c r="D437" s="115" t="s">
        <v>2852</v>
      </c>
      <c r="E437" s="115" t="s">
        <v>2848</v>
      </c>
    </row>
    <row r="438">
      <c r="A438" s="115" t="s">
        <v>828</v>
      </c>
      <c r="B438" s="115">
        <v>263.0</v>
      </c>
      <c r="C438" s="115" t="s">
        <v>2853</v>
      </c>
      <c r="D438" s="115" t="s">
        <v>2854</v>
      </c>
      <c r="E438" s="115" t="s">
        <v>2848</v>
      </c>
    </row>
    <row r="439">
      <c r="A439" s="115" t="s">
        <v>819</v>
      </c>
      <c r="B439" s="115">
        <v>368.0</v>
      </c>
      <c r="C439" s="115" t="s">
        <v>2855</v>
      </c>
      <c r="D439" s="115" t="s">
        <v>2856</v>
      </c>
      <c r="E439" s="115" t="s">
        <v>2848</v>
      </c>
    </row>
    <row r="440">
      <c r="A440" s="115" t="s">
        <v>834</v>
      </c>
      <c r="B440" s="115">
        <v>491.0</v>
      </c>
      <c r="C440" s="115" t="s">
        <v>2857</v>
      </c>
      <c r="D440" s="115" t="s">
        <v>2858</v>
      </c>
      <c r="E440" s="115" t="s">
        <v>2848</v>
      </c>
    </row>
    <row r="441">
      <c r="A441" s="115" t="s">
        <v>835</v>
      </c>
      <c r="B441" s="115">
        <v>500.0</v>
      </c>
      <c r="C441" s="115" t="s">
        <v>2859</v>
      </c>
      <c r="D441" s="115" t="s">
        <v>2860</v>
      </c>
      <c r="E441" s="115" t="s">
        <v>2848</v>
      </c>
    </row>
    <row r="442">
      <c r="A442" s="115" t="s">
        <v>836</v>
      </c>
      <c r="B442" s="115">
        <v>513.0</v>
      </c>
      <c r="C442" s="115" t="s">
        <v>2861</v>
      </c>
      <c r="D442" s="115" t="s">
        <v>2862</v>
      </c>
      <c r="E442" s="115" t="s">
        <v>2848</v>
      </c>
    </row>
    <row r="443">
      <c r="A443" s="115" t="s">
        <v>829</v>
      </c>
      <c r="B443" s="115">
        <v>521.0</v>
      </c>
      <c r="C443" s="115" t="s">
        <v>2863</v>
      </c>
      <c r="D443" s="115" t="s">
        <v>2864</v>
      </c>
      <c r="E443" s="115" t="s">
        <v>2848</v>
      </c>
    </row>
    <row r="444">
      <c r="A444" s="115" t="s">
        <v>837</v>
      </c>
      <c r="B444" s="115">
        <v>542.0</v>
      </c>
      <c r="C444" s="115" t="s">
        <v>2865</v>
      </c>
      <c r="D444" s="115" t="s">
        <v>2866</v>
      </c>
      <c r="E444" s="115" t="s">
        <v>2848</v>
      </c>
    </row>
    <row r="445">
      <c r="A445" s="115" t="s">
        <v>838</v>
      </c>
      <c r="B445" s="115">
        <v>561.0</v>
      </c>
      <c r="C445" s="115" t="s">
        <v>2867</v>
      </c>
      <c r="D445" s="115" t="s">
        <v>2868</v>
      </c>
      <c r="E445" s="115" t="s">
        <v>2848</v>
      </c>
    </row>
    <row r="446">
      <c r="A446" s="115" t="s">
        <v>839</v>
      </c>
      <c r="B446" s="115">
        <v>589.0</v>
      </c>
      <c r="C446" s="115" t="s">
        <v>2869</v>
      </c>
      <c r="D446" s="115" t="s">
        <v>2870</v>
      </c>
      <c r="E446" s="115" t="s">
        <v>2848</v>
      </c>
    </row>
    <row r="447">
      <c r="A447" s="115" t="s">
        <v>808</v>
      </c>
      <c r="B447" s="115">
        <v>595.0</v>
      </c>
      <c r="C447" s="115" t="s">
        <v>2871</v>
      </c>
      <c r="D447" s="115" t="s">
        <v>2872</v>
      </c>
      <c r="E447" s="115" t="s">
        <v>2848</v>
      </c>
    </row>
    <row r="448">
      <c r="A448" s="115" t="s">
        <v>809</v>
      </c>
      <c r="B448" s="115">
        <v>613.0</v>
      </c>
      <c r="C448" s="115" t="s">
        <v>2873</v>
      </c>
      <c r="D448" s="115" t="s">
        <v>2874</v>
      </c>
      <c r="E448" s="115" t="s">
        <v>2848</v>
      </c>
    </row>
    <row r="449">
      <c r="A449" s="115" t="s">
        <v>840</v>
      </c>
      <c r="B449" s="115">
        <v>628.0</v>
      </c>
      <c r="C449" s="115" t="s">
        <v>2875</v>
      </c>
      <c r="D449" s="115" t="s">
        <v>2876</v>
      </c>
      <c r="E449" s="115" t="s">
        <v>2848</v>
      </c>
    </row>
    <row r="450">
      <c r="A450" s="115" t="s">
        <v>841</v>
      </c>
      <c r="B450" s="115">
        <v>705.0</v>
      </c>
      <c r="C450" s="115" t="s">
        <v>2877</v>
      </c>
      <c r="D450" s="115" t="s">
        <v>2878</v>
      </c>
      <c r="E450" s="115" t="s">
        <v>2848</v>
      </c>
    </row>
    <row r="451">
      <c r="A451" s="115" t="s">
        <v>820</v>
      </c>
      <c r="B451" s="115">
        <v>739.0</v>
      </c>
      <c r="C451" s="115" t="s">
        <v>2879</v>
      </c>
      <c r="D451" s="115" t="s">
        <v>2880</v>
      </c>
      <c r="E451" s="115" t="s">
        <v>2848</v>
      </c>
    </row>
    <row r="452">
      <c r="A452" s="115" t="s">
        <v>842</v>
      </c>
      <c r="B452" s="115">
        <v>893.0</v>
      </c>
      <c r="C452" s="115" t="s">
        <v>2881</v>
      </c>
      <c r="D452" s="115" t="s">
        <v>2882</v>
      </c>
      <c r="E452" s="115" t="s">
        <v>2848</v>
      </c>
    </row>
    <row r="453">
      <c r="A453" s="115" t="s">
        <v>843</v>
      </c>
      <c r="B453" s="115">
        <v>1024.0</v>
      </c>
      <c r="C453" s="115" t="s">
        <v>2883</v>
      </c>
      <c r="D453" s="115" t="s">
        <v>2884</v>
      </c>
      <c r="E453" s="115" t="s">
        <v>2848</v>
      </c>
    </row>
    <row r="454">
      <c r="A454" s="115" t="s">
        <v>823</v>
      </c>
      <c r="B454" s="115">
        <v>1111.0</v>
      </c>
      <c r="C454" s="115" t="s">
        <v>2885</v>
      </c>
      <c r="D454" s="115" t="s">
        <v>2886</v>
      </c>
      <c r="E454" s="115" t="s">
        <v>2848</v>
      </c>
    </row>
    <row r="455">
      <c r="A455" s="115" t="s">
        <v>821</v>
      </c>
      <c r="B455" s="115">
        <v>1131.0</v>
      </c>
      <c r="C455" s="115" t="s">
        <v>2887</v>
      </c>
      <c r="D455" s="115" t="s">
        <v>2888</v>
      </c>
      <c r="E455" s="115" t="s">
        <v>2848</v>
      </c>
    </row>
    <row r="456">
      <c r="A456" s="115" t="s">
        <v>844</v>
      </c>
      <c r="B456" s="115">
        <v>1199.0</v>
      </c>
      <c r="C456" s="115" t="s">
        <v>2889</v>
      </c>
      <c r="D456" s="115" t="s">
        <v>2890</v>
      </c>
      <c r="E456" s="115" t="s">
        <v>2848</v>
      </c>
    </row>
    <row r="457">
      <c r="A457" s="115" t="s">
        <v>845</v>
      </c>
      <c r="B457" s="115">
        <v>1220.0</v>
      </c>
      <c r="C457" s="115" t="s">
        <v>2891</v>
      </c>
      <c r="D457" s="115" t="s">
        <v>2892</v>
      </c>
      <c r="E457" s="115" t="s">
        <v>2848</v>
      </c>
    </row>
    <row r="458">
      <c r="A458" s="115" t="s">
        <v>810</v>
      </c>
      <c r="B458" s="115">
        <v>1247.0</v>
      </c>
      <c r="C458" s="115" t="s">
        <v>2893</v>
      </c>
      <c r="D458" s="115" t="s">
        <v>2894</v>
      </c>
      <c r="E458" s="115" t="s">
        <v>2848</v>
      </c>
    </row>
    <row r="459">
      <c r="A459" s="115" t="s">
        <v>824</v>
      </c>
      <c r="B459" s="115">
        <v>1250.0</v>
      </c>
      <c r="C459" s="115" t="s">
        <v>2895</v>
      </c>
      <c r="D459" s="115" t="s">
        <v>2896</v>
      </c>
      <c r="E459" s="115" t="s">
        <v>2848</v>
      </c>
    </row>
    <row r="460">
      <c r="A460" s="115" t="s">
        <v>846</v>
      </c>
      <c r="B460" s="115">
        <v>1339.0</v>
      </c>
      <c r="C460" s="115" t="s">
        <v>2897</v>
      </c>
      <c r="D460" s="115" t="s">
        <v>2898</v>
      </c>
      <c r="E460" s="115" t="s">
        <v>2848</v>
      </c>
    </row>
    <row r="461">
      <c r="A461" s="115" t="s">
        <v>804</v>
      </c>
      <c r="B461" s="115">
        <v>1410.0</v>
      </c>
      <c r="C461" s="115" t="s">
        <v>2899</v>
      </c>
      <c r="D461" s="115" t="s">
        <v>2900</v>
      </c>
      <c r="E461" s="115" t="s">
        <v>2848</v>
      </c>
    </row>
    <row r="462">
      <c r="A462" s="115" t="s">
        <v>813</v>
      </c>
      <c r="B462" s="115">
        <v>1502.0</v>
      </c>
      <c r="C462" s="115" t="s">
        <v>2901</v>
      </c>
      <c r="D462" s="115" t="s">
        <v>2902</v>
      </c>
      <c r="E462" s="115" t="s">
        <v>2848</v>
      </c>
    </row>
    <row r="463">
      <c r="A463" s="115" t="s">
        <v>847</v>
      </c>
      <c r="B463" s="115">
        <v>1539.0</v>
      </c>
      <c r="C463" s="115" t="s">
        <v>2903</v>
      </c>
      <c r="D463" s="115" t="s">
        <v>2904</v>
      </c>
      <c r="E463" s="115" t="s">
        <v>2848</v>
      </c>
    </row>
    <row r="464">
      <c r="A464" s="115" t="s">
        <v>805</v>
      </c>
      <c r="B464" s="115">
        <v>1556.0</v>
      </c>
      <c r="C464" s="115" t="s">
        <v>2905</v>
      </c>
      <c r="D464" s="115" t="s">
        <v>2906</v>
      </c>
      <c r="E464" s="115" t="s">
        <v>2848</v>
      </c>
    </row>
    <row r="465">
      <c r="A465" s="115" t="s">
        <v>848</v>
      </c>
      <c r="B465" s="115">
        <v>1562.0</v>
      </c>
      <c r="C465" s="115" t="s">
        <v>2907</v>
      </c>
      <c r="D465" s="115" t="s">
        <v>2908</v>
      </c>
      <c r="E465" s="115" t="s">
        <v>2848</v>
      </c>
    </row>
    <row r="466">
      <c r="A466" s="115" t="s">
        <v>811</v>
      </c>
      <c r="B466" s="115">
        <v>1610.0</v>
      </c>
      <c r="C466" s="115" t="s">
        <v>2909</v>
      </c>
      <c r="D466" s="115" t="s">
        <v>2910</v>
      </c>
      <c r="E466" s="115" t="s">
        <v>2848</v>
      </c>
    </row>
    <row r="467">
      <c r="A467" s="115" t="s">
        <v>849</v>
      </c>
      <c r="B467" s="115">
        <v>1622.0</v>
      </c>
      <c r="C467" s="115" t="s">
        <v>2911</v>
      </c>
      <c r="D467" s="115" t="s">
        <v>2912</v>
      </c>
      <c r="E467" s="115" t="s">
        <v>2848</v>
      </c>
    </row>
    <row r="468">
      <c r="A468" s="115" t="s">
        <v>850</v>
      </c>
      <c r="B468" s="115">
        <v>1631.0</v>
      </c>
      <c r="C468" s="115" t="s">
        <v>2913</v>
      </c>
      <c r="D468" s="115" t="s">
        <v>2914</v>
      </c>
      <c r="E468" s="115" t="s">
        <v>2848</v>
      </c>
    </row>
    <row r="469">
      <c r="A469" s="115" t="s">
        <v>851</v>
      </c>
      <c r="B469" s="115">
        <v>1659.0</v>
      </c>
      <c r="C469" s="115" t="s">
        <v>2915</v>
      </c>
      <c r="D469" s="115" t="s">
        <v>2916</v>
      </c>
      <c r="E469" s="115" t="s">
        <v>2848</v>
      </c>
    </row>
    <row r="470">
      <c r="A470" s="115" t="s">
        <v>852</v>
      </c>
      <c r="B470" s="115">
        <v>1675.0</v>
      </c>
      <c r="C470" s="115" t="s">
        <v>2917</v>
      </c>
      <c r="D470" s="115" t="s">
        <v>2918</v>
      </c>
      <c r="E470" s="115" t="s">
        <v>2848</v>
      </c>
    </row>
    <row r="471">
      <c r="A471" s="115" t="s">
        <v>853</v>
      </c>
      <c r="B471" s="115">
        <v>1700.0</v>
      </c>
      <c r="C471" s="115" t="s">
        <v>2919</v>
      </c>
      <c r="D471" s="115" t="s">
        <v>2920</v>
      </c>
      <c r="E471" s="115" t="s">
        <v>2848</v>
      </c>
    </row>
    <row r="472">
      <c r="A472" s="115" t="s">
        <v>830</v>
      </c>
      <c r="B472" s="115">
        <v>1707.0</v>
      </c>
      <c r="C472" s="115" t="s">
        <v>2921</v>
      </c>
      <c r="D472" s="115" t="s">
        <v>2922</v>
      </c>
      <c r="E472" s="115" t="s">
        <v>2848</v>
      </c>
    </row>
    <row r="473">
      <c r="A473" s="115" t="s">
        <v>854</v>
      </c>
      <c r="B473" s="115">
        <v>1813.0</v>
      </c>
      <c r="C473" s="115" t="s">
        <v>2923</v>
      </c>
      <c r="D473" s="115" t="s">
        <v>2924</v>
      </c>
      <c r="E473" s="115" t="s">
        <v>2848</v>
      </c>
    </row>
    <row r="474">
      <c r="A474" s="115" t="s">
        <v>855</v>
      </c>
      <c r="B474" s="115">
        <v>1861.0</v>
      </c>
      <c r="C474" s="115" t="s">
        <v>2925</v>
      </c>
      <c r="D474" s="115" t="s">
        <v>2926</v>
      </c>
      <c r="E474" s="115" t="s">
        <v>2848</v>
      </c>
    </row>
    <row r="475">
      <c r="A475" s="115" t="s">
        <v>814</v>
      </c>
      <c r="B475" s="115">
        <v>1912.0</v>
      </c>
      <c r="C475" s="115" t="s">
        <v>2927</v>
      </c>
      <c r="D475" s="115" t="s">
        <v>2928</v>
      </c>
      <c r="E475" s="115" t="s">
        <v>2848</v>
      </c>
    </row>
    <row r="476">
      <c r="A476" s="115" t="s">
        <v>812</v>
      </c>
      <c r="B476" s="115">
        <v>1937.0</v>
      </c>
      <c r="C476" s="115" t="s">
        <v>2929</v>
      </c>
      <c r="D476" s="115" t="s">
        <v>2930</v>
      </c>
      <c r="E476" s="115" t="s">
        <v>2848</v>
      </c>
    </row>
    <row r="477">
      <c r="A477" s="115" t="s">
        <v>815</v>
      </c>
      <c r="B477" s="115">
        <v>1985.0</v>
      </c>
      <c r="C477" s="115" t="s">
        <v>2931</v>
      </c>
      <c r="D477" s="115" t="s">
        <v>2932</v>
      </c>
      <c r="E477" s="115" t="s">
        <v>2848</v>
      </c>
    </row>
    <row r="478">
      <c r="A478" s="115" t="s">
        <v>831</v>
      </c>
      <c r="B478" s="115">
        <v>2064.0</v>
      </c>
      <c r="C478" s="115" t="s">
        <v>2933</v>
      </c>
      <c r="D478" s="115" t="s">
        <v>2934</v>
      </c>
      <c r="E478" s="115" t="s">
        <v>2848</v>
      </c>
    </row>
    <row r="479">
      <c r="A479" s="115" t="s">
        <v>856</v>
      </c>
      <c r="B479" s="115">
        <v>2104.0</v>
      </c>
      <c r="C479" s="115" t="s">
        <v>2935</v>
      </c>
      <c r="D479" s="115" t="s">
        <v>2936</v>
      </c>
      <c r="E479" s="115" t="s">
        <v>2848</v>
      </c>
    </row>
    <row r="480">
      <c r="A480" s="115" t="s">
        <v>857</v>
      </c>
      <c r="B480" s="115">
        <v>2120.0</v>
      </c>
      <c r="C480" s="115" t="s">
        <v>2937</v>
      </c>
      <c r="D480" s="115" t="s">
        <v>2938</v>
      </c>
      <c r="E480" s="115" t="s">
        <v>2848</v>
      </c>
    </row>
    <row r="481">
      <c r="A481" s="115" t="s">
        <v>858</v>
      </c>
      <c r="B481" s="115">
        <v>2308.0</v>
      </c>
      <c r="C481" s="115" t="s">
        <v>2939</v>
      </c>
      <c r="D481" s="115" t="s">
        <v>2940</v>
      </c>
      <c r="E481" s="115" t="s">
        <v>2848</v>
      </c>
    </row>
    <row r="482">
      <c r="A482" s="115" t="s">
        <v>832</v>
      </c>
      <c r="B482" s="115">
        <v>2391.0</v>
      </c>
      <c r="C482" s="115" t="s">
        <v>2941</v>
      </c>
      <c r="D482" s="115" t="s">
        <v>2942</v>
      </c>
      <c r="E482" s="115" t="s">
        <v>2848</v>
      </c>
    </row>
    <row r="483">
      <c r="A483" s="115" t="s">
        <v>859</v>
      </c>
      <c r="B483" s="115">
        <v>2443.0</v>
      </c>
      <c r="C483" s="115" t="s">
        <v>2943</v>
      </c>
      <c r="D483" s="115" t="s">
        <v>2944</v>
      </c>
      <c r="E483" s="115" t="s">
        <v>2848</v>
      </c>
    </row>
    <row r="484">
      <c r="A484" s="115" t="s">
        <v>860</v>
      </c>
      <c r="B484" s="115">
        <v>2577.0</v>
      </c>
      <c r="C484" s="115" t="s">
        <v>2945</v>
      </c>
      <c r="D484" s="115" t="s">
        <v>2946</v>
      </c>
      <c r="E484" s="115" t="s">
        <v>2848</v>
      </c>
    </row>
    <row r="485">
      <c r="A485" s="115" t="s">
        <v>816</v>
      </c>
      <c r="B485" s="115">
        <v>2587.0</v>
      </c>
      <c r="C485" s="115" t="s">
        <v>2947</v>
      </c>
      <c r="D485" s="115" t="s">
        <v>2948</v>
      </c>
      <c r="E485" s="115" t="s">
        <v>2848</v>
      </c>
    </row>
    <row r="486">
      <c r="A486" s="115" t="s">
        <v>861</v>
      </c>
      <c r="B486" s="115">
        <v>2601.0</v>
      </c>
      <c r="C486" s="115" t="s">
        <v>2949</v>
      </c>
      <c r="D486" s="115" t="s">
        <v>2950</v>
      </c>
      <c r="E486" s="115" t="s">
        <v>2848</v>
      </c>
    </row>
    <row r="487">
      <c r="A487" s="115" t="s">
        <v>862</v>
      </c>
      <c r="B487" s="115">
        <v>2880.0</v>
      </c>
      <c r="C487" s="115" t="s">
        <v>2951</v>
      </c>
      <c r="D487" s="115" t="s">
        <v>2952</v>
      </c>
      <c r="E487" s="115" t="s">
        <v>2848</v>
      </c>
    </row>
    <row r="488">
      <c r="A488" s="115" t="s">
        <v>863</v>
      </c>
      <c r="B488" s="115">
        <v>2901.0</v>
      </c>
      <c r="C488" s="115" t="s">
        <v>2953</v>
      </c>
      <c r="D488" s="115" t="s">
        <v>2954</v>
      </c>
      <c r="E488" s="115" t="s">
        <v>2848</v>
      </c>
    </row>
    <row r="489">
      <c r="A489" s="115" t="s">
        <v>825</v>
      </c>
      <c r="B489" s="115">
        <v>2924.0</v>
      </c>
      <c r="C489" s="115" t="s">
        <v>2955</v>
      </c>
      <c r="D489" s="115" t="s">
        <v>2956</v>
      </c>
      <c r="E489" s="115" t="s">
        <v>2848</v>
      </c>
    </row>
    <row r="490">
      <c r="A490" s="115" t="s">
        <v>864</v>
      </c>
      <c r="B490" s="115">
        <v>3034.0</v>
      </c>
      <c r="C490" s="115" t="s">
        <v>2957</v>
      </c>
      <c r="D490" s="115" t="s">
        <v>2958</v>
      </c>
      <c r="E490" s="115" t="s">
        <v>2848</v>
      </c>
    </row>
    <row r="491">
      <c r="A491" s="115" t="s">
        <v>826</v>
      </c>
      <c r="B491" s="115">
        <v>3091.0</v>
      </c>
      <c r="C491" s="115" t="s">
        <v>2959</v>
      </c>
      <c r="D491" s="115" t="s">
        <v>2960</v>
      </c>
      <c r="E491" s="115" t="s">
        <v>2848</v>
      </c>
    </row>
    <row r="492">
      <c r="A492" s="115" t="s">
        <v>806</v>
      </c>
      <c r="B492" s="115">
        <v>3384.0</v>
      </c>
      <c r="C492" s="115" t="s">
        <v>2961</v>
      </c>
      <c r="D492" s="115" t="s">
        <v>2962</v>
      </c>
      <c r="E492" s="115" t="s">
        <v>2848</v>
      </c>
    </row>
    <row r="493">
      <c r="A493" s="115" t="s">
        <v>807</v>
      </c>
      <c r="B493" s="115">
        <v>3405.0</v>
      </c>
      <c r="C493" s="115" t="s">
        <v>2963</v>
      </c>
      <c r="D493" s="115" t="s">
        <v>2964</v>
      </c>
      <c r="E493" s="115" t="s">
        <v>2848</v>
      </c>
    </row>
    <row r="494">
      <c r="A494" s="115" t="s">
        <v>865</v>
      </c>
      <c r="B494" s="115">
        <v>3467.0</v>
      </c>
      <c r="C494" s="115" t="s">
        <v>2965</v>
      </c>
      <c r="D494" s="115" t="s">
        <v>2966</v>
      </c>
      <c r="E494" s="115" t="s">
        <v>2848</v>
      </c>
    </row>
    <row r="495">
      <c r="A495" s="115" t="s">
        <v>866</v>
      </c>
      <c r="B495" s="115">
        <v>3520.0</v>
      </c>
      <c r="C495" s="115" t="s">
        <v>2967</v>
      </c>
      <c r="D495" s="115" t="s">
        <v>2968</v>
      </c>
      <c r="E495" s="115" t="s">
        <v>2848</v>
      </c>
    </row>
    <row r="496">
      <c r="A496" s="115" t="s">
        <v>822</v>
      </c>
      <c r="B496" s="115">
        <v>3531.0</v>
      </c>
      <c r="C496" s="115" t="s">
        <v>2969</v>
      </c>
      <c r="D496" s="115" t="s">
        <v>2970</v>
      </c>
      <c r="E496" s="115" t="s">
        <v>2848</v>
      </c>
    </row>
    <row r="497">
      <c r="A497" s="115" t="s">
        <v>867</v>
      </c>
      <c r="B497" s="115">
        <v>3556.0</v>
      </c>
      <c r="C497" s="115" t="s">
        <v>2971</v>
      </c>
      <c r="D497" s="115" t="s">
        <v>2972</v>
      </c>
      <c r="E497" s="115" t="s">
        <v>2848</v>
      </c>
    </row>
    <row r="498">
      <c r="A498" s="115" t="s">
        <v>868</v>
      </c>
      <c r="B498" s="115">
        <v>3575.0</v>
      </c>
      <c r="C498" s="115" t="s">
        <v>2973</v>
      </c>
      <c r="D498" s="115" t="s">
        <v>2974</v>
      </c>
      <c r="E498" s="115" t="s">
        <v>2848</v>
      </c>
    </row>
    <row r="499">
      <c r="A499" s="115" t="s">
        <v>817</v>
      </c>
      <c r="B499" s="115">
        <v>3866.0</v>
      </c>
      <c r="C499" s="115" t="s">
        <v>2975</v>
      </c>
      <c r="D499" s="115" t="s">
        <v>2976</v>
      </c>
      <c r="E499" s="115" t="s">
        <v>2848</v>
      </c>
    </row>
    <row r="500">
      <c r="A500" s="115" t="s">
        <v>827</v>
      </c>
      <c r="B500" s="115">
        <v>3981.0</v>
      </c>
      <c r="C500" s="115" t="s">
        <v>2977</v>
      </c>
      <c r="D500" s="115" t="s">
        <v>2978</v>
      </c>
      <c r="E500" s="115" t="s">
        <v>2848</v>
      </c>
    </row>
    <row r="501">
      <c r="A501" s="115" t="s">
        <v>869</v>
      </c>
      <c r="B501" s="115">
        <v>4535.0</v>
      </c>
      <c r="C501" s="115" t="s">
        <v>2979</v>
      </c>
      <c r="D501" s="115" t="s">
        <v>2980</v>
      </c>
      <c r="E501" s="115" t="s">
        <v>2848</v>
      </c>
    </row>
    <row r="502">
      <c r="A502" s="115" t="s">
        <v>870</v>
      </c>
      <c r="B502" s="115">
        <v>16.0</v>
      </c>
      <c r="C502" s="115" t="s">
        <v>2981</v>
      </c>
      <c r="D502" s="115" t="s">
        <v>2982</v>
      </c>
      <c r="E502" s="115" t="s">
        <v>2983</v>
      </c>
    </row>
    <row r="503">
      <c r="A503" s="115" t="s">
        <v>885</v>
      </c>
      <c r="B503" s="115">
        <v>111.0</v>
      </c>
      <c r="C503" s="115" t="s">
        <v>2984</v>
      </c>
      <c r="D503" s="115" t="s">
        <v>2985</v>
      </c>
      <c r="E503" s="115" t="s">
        <v>2983</v>
      </c>
    </row>
    <row r="504">
      <c r="A504" s="115" t="s">
        <v>920</v>
      </c>
      <c r="B504" s="115">
        <v>151.0</v>
      </c>
      <c r="C504" s="115" t="s">
        <v>2986</v>
      </c>
      <c r="D504" s="115" t="s">
        <v>2987</v>
      </c>
      <c r="E504" s="115" t="s">
        <v>2983</v>
      </c>
    </row>
    <row r="505">
      <c r="A505" s="115" t="s">
        <v>900</v>
      </c>
      <c r="B505" s="115">
        <v>208.0</v>
      </c>
      <c r="C505" s="115" t="s">
        <v>2988</v>
      </c>
      <c r="D505" s="115" t="s">
        <v>2989</v>
      </c>
      <c r="E505" s="115" t="s">
        <v>2983</v>
      </c>
    </row>
    <row r="506">
      <c r="A506" s="115" t="s">
        <v>910</v>
      </c>
      <c r="B506" s="115">
        <v>294.0</v>
      </c>
      <c r="C506" s="115" t="s">
        <v>2990</v>
      </c>
      <c r="D506" s="115" t="s">
        <v>2991</v>
      </c>
      <c r="E506" s="115" t="s">
        <v>2983</v>
      </c>
    </row>
    <row r="507">
      <c r="A507" s="115" t="s">
        <v>871</v>
      </c>
      <c r="B507" s="115">
        <v>450.0</v>
      </c>
      <c r="C507" s="115" t="s">
        <v>2992</v>
      </c>
      <c r="D507" s="115" t="s">
        <v>2993</v>
      </c>
      <c r="E507" s="115" t="s">
        <v>2983</v>
      </c>
    </row>
    <row r="508">
      <c r="A508" s="115" t="s">
        <v>880</v>
      </c>
      <c r="B508" s="115">
        <v>478.0</v>
      </c>
      <c r="C508" s="115" t="s">
        <v>2994</v>
      </c>
      <c r="D508" s="115" t="s">
        <v>2995</v>
      </c>
      <c r="E508" s="115" t="s">
        <v>2983</v>
      </c>
    </row>
    <row r="509">
      <c r="A509" s="115" t="s">
        <v>921</v>
      </c>
      <c r="B509" s="115">
        <v>505.0</v>
      </c>
      <c r="C509" s="115" t="s">
        <v>2996</v>
      </c>
      <c r="D509" s="115" t="s">
        <v>2997</v>
      </c>
      <c r="E509" s="115" t="s">
        <v>2983</v>
      </c>
    </row>
    <row r="510">
      <c r="A510" s="115" t="s">
        <v>872</v>
      </c>
      <c r="B510" s="115">
        <v>512.0</v>
      </c>
      <c r="C510" s="115" t="s">
        <v>2998</v>
      </c>
      <c r="D510" s="115" t="s">
        <v>2999</v>
      </c>
      <c r="E510" s="115" t="s">
        <v>2983</v>
      </c>
    </row>
    <row r="511">
      <c r="A511" s="115" t="s">
        <v>922</v>
      </c>
      <c r="B511" s="115">
        <v>576.0</v>
      </c>
      <c r="C511" s="115" t="s">
        <v>3000</v>
      </c>
      <c r="D511" s="115" t="s">
        <v>3001</v>
      </c>
      <c r="E511" s="115" t="s">
        <v>2983</v>
      </c>
    </row>
    <row r="512">
      <c r="A512" s="115" t="s">
        <v>895</v>
      </c>
      <c r="B512" s="115">
        <v>594.0</v>
      </c>
      <c r="C512" s="115" t="s">
        <v>3002</v>
      </c>
      <c r="D512" s="115" t="s">
        <v>3003</v>
      </c>
      <c r="E512" s="115" t="s">
        <v>2983</v>
      </c>
    </row>
    <row r="513">
      <c r="A513" s="115" t="s">
        <v>875</v>
      </c>
      <c r="B513" s="115">
        <v>606.0</v>
      </c>
      <c r="C513" s="115" t="s">
        <v>3004</v>
      </c>
      <c r="D513" s="115" t="s">
        <v>3005</v>
      </c>
      <c r="E513" s="115" t="s">
        <v>2983</v>
      </c>
    </row>
    <row r="514">
      <c r="A514" s="115" t="s">
        <v>923</v>
      </c>
      <c r="B514" s="115">
        <v>619.0</v>
      </c>
      <c r="C514" s="115" t="s">
        <v>3006</v>
      </c>
      <c r="D514" s="115" t="s">
        <v>3007</v>
      </c>
      <c r="E514" s="115" t="s">
        <v>2983</v>
      </c>
    </row>
    <row r="515">
      <c r="A515" s="115" t="s">
        <v>924</v>
      </c>
      <c r="B515" s="115">
        <v>637.0</v>
      </c>
      <c r="C515" s="115" t="s">
        <v>3008</v>
      </c>
      <c r="D515" s="115" t="s">
        <v>3009</v>
      </c>
      <c r="E515" s="115" t="s">
        <v>2983</v>
      </c>
    </row>
    <row r="516">
      <c r="A516" s="115" t="s">
        <v>905</v>
      </c>
      <c r="B516" s="115">
        <v>649.0</v>
      </c>
      <c r="C516" s="115" t="s">
        <v>3010</v>
      </c>
      <c r="D516" s="115" t="s">
        <v>3011</v>
      </c>
      <c r="E516" s="115" t="s">
        <v>2983</v>
      </c>
    </row>
    <row r="517">
      <c r="A517" s="115" t="s">
        <v>886</v>
      </c>
      <c r="B517" s="115">
        <v>679.0</v>
      </c>
      <c r="C517" s="115" t="s">
        <v>3012</v>
      </c>
      <c r="D517" s="115" t="s">
        <v>3013</v>
      </c>
      <c r="E517" s="115" t="s">
        <v>2983</v>
      </c>
    </row>
    <row r="518">
      <c r="A518" s="115" t="s">
        <v>925</v>
      </c>
      <c r="B518" s="115">
        <v>716.0</v>
      </c>
      <c r="C518" s="115" t="s">
        <v>3014</v>
      </c>
      <c r="D518" s="115" t="s">
        <v>3015</v>
      </c>
      <c r="E518" s="115" t="s">
        <v>2983</v>
      </c>
    </row>
    <row r="519">
      <c r="A519" s="115" t="s">
        <v>926</v>
      </c>
      <c r="B519" s="115">
        <v>731.0</v>
      </c>
      <c r="C519" s="115" t="s">
        <v>3016</v>
      </c>
      <c r="D519" s="115" t="s">
        <v>3017</v>
      </c>
      <c r="E519" s="115" t="s">
        <v>2983</v>
      </c>
    </row>
    <row r="520">
      <c r="A520" s="115" t="s">
        <v>890</v>
      </c>
      <c r="B520" s="115">
        <v>757.0</v>
      </c>
      <c r="C520" s="115" t="s">
        <v>3018</v>
      </c>
      <c r="D520" s="115" t="s">
        <v>3019</v>
      </c>
      <c r="E520" s="115" t="s">
        <v>2983</v>
      </c>
    </row>
    <row r="521">
      <c r="A521" s="115" t="s">
        <v>927</v>
      </c>
      <c r="B521" s="115">
        <v>804.0</v>
      </c>
      <c r="C521" s="115" t="s">
        <v>3020</v>
      </c>
      <c r="D521" s="115" t="s">
        <v>3021</v>
      </c>
      <c r="E521" s="115" t="s">
        <v>2983</v>
      </c>
    </row>
    <row r="522">
      <c r="A522" s="115" t="s">
        <v>873</v>
      </c>
      <c r="B522" s="115">
        <v>833.0</v>
      </c>
      <c r="C522" s="115" t="s">
        <v>3022</v>
      </c>
      <c r="D522" s="115" t="s">
        <v>3023</v>
      </c>
      <c r="E522" s="115" t="s">
        <v>2983</v>
      </c>
    </row>
    <row r="523">
      <c r="A523" s="115" t="s">
        <v>928</v>
      </c>
      <c r="B523" s="115">
        <v>850.0</v>
      </c>
      <c r="C523" s="115" t="s">
        <v>3024</v>
      </c>
      <c r="D523" s="115" t="s">
        <v>3025</v>
      </c>
      <c r="E523" s="115" t="s">
        <v>2983</v>
      </c>
    </row>
    <row r="524">
      <c r="A524" s="115" t="s">
        <v>929</v>
      </c>
      <c r="B524" s="115">
        <v>882.0</v>
      </c>
      <c r="C524" s="115" t="s">
        <v>1331</v>
      </c>
      <c r="D524" s="115" t="s">
        <v>3026</v>
      </c>
      <c r="E524" s="115" t="s">
        <v>2983</v>
      </c>
    </row>
    <row r="525">
      <c r="A525" s="115" t="s">
        <v>930</v>
      </c>
      <c r="B525" s="115">
        <v>941.0</v>
      </c>
      <c r="C525" s="115" t="s">
        <v>3027</v>
      </c>
      <c r="D525" s="115" t="s">
        <v>3028</v>
      </c>
      <c r="E525" s="115" t="s">
        <v>2983</v>
      </c>
    </row>
    <row r="526">
      <c r="A526" s="115" t="s">
        <v>931</v>
      </c>
      <c r="B526" s="115">
        <v>957.0</v>
      </c>
      <c r="C526" s="115" t="s">
        <v>3029</v>
      </c>
      <c r="D526" s="115" t="s">
        <v>3030</v>
      </c>
      <c r="E526" s="115" t="s">
        <v>2983</v>
      </c>
    </row>
    <row r="527">
      <c r="A527" s="115" t="s">
        <v>932</v>
      </c>
      <c r="B527" s="115">
        <v>963.0</v>
      </c>
      <c r="C527" s="115" t="s">
        <v>3031</v>
      </c>
      <c r="D527" s="115" t="s">
        <v>3032</v>
      </c>
      <c r="E527" s="115" t="s">
        <v>2983</v>
      </c>
    </row>
    <row r="528">
      <c r="A528" s="115" t="s">
        <v>933</v>
      </c>
      <c r="B528" s="115">
        <v>1012.0</v>
      </c>
      <c r="C528" s="115" t="s">
        <v>3033</v>
      </c>
      <c r="D528" s="115" t="s">
        <v>3034</v>
      </c>
      <c r="E528" s="115" t="s">
        <v>2983</v>
      </c>
    </row>
    <row r="529">
      <c r="A529" s="115" t="s">
        <v>876</v>
      </c>
      <c r="B529" s="115">
        <v>1018.0</v>
      </c>
      <c r="C529" s="115" t="s">
        <v>3035</v>
      </c>
      <c r="D529" s="115" t="s">
        <v>3036</v>
      </c>
      <c r="E529" s="115" t="s">
        <v>2983</v>
      </c>
    </row>
    <row r="530">
      <c r="A530" s="115" t="s">
        <v>887</v>
      </c>
      <c r="B530" s="115">
        <v>1119.0</v>
      </c>
      <c r="C530" s="115" t="s">
        <v>3037</v>
      </c>
      <c r="D530" s="115" t="s">
        <v>3038</v>
      </c>
      <c r="E530" s="115" t="s">
        <v>2983</v>
      </c>
    </row>
    <row r="531">
      <c r="A531" s="115" t="s">
        <v>934</v>
      </c>
      <c r="B531" s="115">
        <v>1121.0</v>
      </c>
      <c r="C531" s="115" t="s">
        <v>3039</v>
      </c>
      <c r="D531" s="115" t="s">
        <v>3040</v>
      </c>
      <c r="E531" s="115" t="s">
        <v>2983</v>
      </c>
    </row>
    <row r="532">
      <c r="A532" s="115" t="s">
        <v>935</v>
      </c>
      <c r="B532" s="115">
        <v>1147.0</v>
      </c>
      <c r="C532" s="115" t="s">
        <v>3041</v>
      </c>
      <c r="D532" s="115" t="s">
        <v>3042</v>
      </c>
      <c r="E532" s="115" t="s">
        <v>2983</v>
      </c>
    </row>
    <row r="533">
      <c r="A533" s="115" t="s">
        <v>936</v>
      </c>
      <c r="B533" s="115">
        <v>1150.0</v>
      </c>
      <c r="C533" s="115" t="s">
        <v>3043</v>
      </c>
      <c r="D533" s="115" t="s">
        <v>3044</v>
      </c>
      <c r="E533" s="115" t="s">
        <v>2983</v>
      </c>
    </row>
    <row r="534">
      <c r="A534" s="115" t="s">
        <v>937</v>
      </c>
      <c r="B534" s="115">
        <v>1155.0</v>
      </c>
      <c r="C534" s="115" t="s">
        <v>3045</v>
      </c>
      <c r="D534" s="115" t="s">
        <v>3046</v>
      </c>
      <c r="E534" s="115" t="s">
        <v>2983</v>
      </c>
    </row>
    <row r="535">
      <c r="A535" s="115" t="s">
        <v>938</v>
      </c>
      <c r="B535" s="115">
        <v>1160.0</v>
      </c>
      <c r="C535" s="115" t="s">
        <v>3047</v>
      </c>
      <c r="D535" s="115" t="s">
        <v>3048</v>
      </c>
      <c r="E535" s="115" t="s">
        <v>2983</v>
      </c>
    </row>
    <row r="536">
      <c r="A536" s="115" t="s">
        <v>915</v>
      </c>
      <c r="B536" s="115">
        <v>1174.0</v>
      </c>
      <c r="C536" s="115" t="s">
        <v>3049</v>
      </c>
      <c r="D536" s="115" t="s">
        <v>3050</v>
      </c>
      <c r="E536" s="115" t="s">
        <v>2983</v>
      </c>
    </row>
    <row r="537">
      <c r="A537" s="115" t="s">
        <v>939</v>
      </c>
      <c r="B537" s="115">
        <v>1179.0</v>
      </c>
      <c r="C537" s="115" t="s">
        <v>3051</v>
      </c>
      <c r="D537" s="115" t="s">
        <v>3052</v>
      </c>
      <c r="E537" s="115" t="s">
        <v>2983</v>
      </c>
    </row>
    <row r="538">
      <c r="A538" s="115" t="s">
        <v>911</v>
      </c>
      <c r="B538" s="115">
        <v>1190.0</v>
      </c>
      <c r="C538" s="115" t="s">
        <v>3053</v>
      </c>
      <c r="D538" s="115" t="s">
        <v>3054</v>
      </c>
      <c r="E538" s="115" t="s">
        <v>2983</v>
      </c>
    </row>
    <row r="539">
      <c r="A539" s="115" t="s">
        <v>940</v>
      </c>
      <c r="B539" s="115">
        <v>1228.0</v>
      </c>
      <c r="C539" s="115" t="s">
        <v>3055</v>
      </c>
      <c r="D539" s="115" t="s">
        <v>3056</v>
      </c>
      <c r="E539" s="115" t="s">
        <v>2983</v>
      </c>
    </row>
    <row r="540">
      <c r="A540" s="115" t="s">
        <v>877</v>
      </c>
      <c r="B540" s="115">
        <v>1234.0</v>
      </c>
      <c r="C540" s="115" t="s">
        <v>3057</v>
      </c>
      <c r="D540" s="115" t="s">
        <v>3058</v>
      </c>
      <c r="E540" s="115" t="s">
        <v>2983</v>
      </c>
    </row>
    <row r="541">
      <c r="A541" s="115" t="s">
        <v>941</v>
      </c>
      <c r="B541" s="115">
        <v>1262.0</v>
      </c>
      <c r="C541" s="115" t="s">
        <v>3059</v>
      </c>
      <c r="D541" s="115" t="s">
        <v>3060</v>
      </c>
      <c r="E541" s="115" t="s">
        <v>2983</v>
      </c>
    </row>
    <row r="542">
      <c r="A542" s="115" t="s">
        <v>942</v>
      </c>
      <c r="B542" s="115">
        <v>1317.0</v>
      </c>
      <c r="C542" s="115" t="s">
        <v>3061</v>
      </c>
      <c r="D542" s="115" t="s">
        <v>3062</v>
      </c>
      <c r="E542" s="115" t="s">
        <v>2983</v>
      </c>
    </row>
    <row r="543">
      <c r="A543" s="115" t="s">
        <v>881</v>
      </c>
      <c r="B543" s="115">
        <v>1325.0</v>
      </c>
      <c r="C543" s="115" t="s">
        <v>3063</v>
      </c>
      <c r="D543" s="115" t="s">
        <v>3064</v>
      </c>
      <c r="E543" s="115" t="s">
        <v>2983</v>
      </c>
    </row>
    <row r="544">
      <c r="A544" s="115" t="s">
        <v>943</v>
      </c>
      <c r="B544" s="115">
        <v>1345.0</v>
      </c>
      <c r="C544" s="115" t="s">
        <v>3065</v>
      </c>
      <c r="D544" s="115" t="s">
        <v>3066</v>
      </c>
      <c r="E544" s="115" t="s">
        <v>2983</v>
      </c>
    </row>
    <row r="545">
      <c r="A545" s="115" t="s">
        <v>944</v>
      </c>
      <c r="B545" s="115">
        <v>1394.0</v>
      </c>
      <c r="C545" s="115" t="s">
        <v>3067</v>
      </c>
      <c r="D545" s="115" t="s">
        <v>3068</v>
      </c>
      <c r="E545" s="115" t="s">
        <v>2983</v>
      </c>
    </row>
    <row r="546">
      <c r="A546" s="115" t="s">
        <v>888</v>
      </c>
      <c r="B546" s="115">
        <v>1401.0</v>
      </c>
      <c r="C546" s="115" t="s">
        <v>3069</v>
      </c>
      <c r="D546" s="115" t="s">
        <v>3070</v>
      </c>
      <c r="E546" s="115" t="s">
        <v>2983</v>
      </c>
    </row>
    <row r="547">
      <c r="A547" s="115" t="s">
        <v>945</v>
      </c>
      <c r="B547" s="115">
        <v>1404.0</v>
      </c>
      <c r="C547" s="115" t="s">
        <v>3071</v>
      </c>
      <c r="D547" s="115" t="s">
        <v>3072</v>
      </c>
      <c r="E547" s="115" t="s">
        <v>2983</v>
      </c>
    </row>
    <row r="548">
      <c r="A548" s="115" t="s">
        <v>946</v>
      </c>
      <c r="B548" s="115">
        <v>1461.0</v>
      </c>
      <c r="C548" s="115" t="s">
        <v>3073</v>
      </c>
      <c r="D548" s="115" t="s">
        <v>3074</v>
      </c>
      <c r="E548" s="115" t="s">
        <v>2983</v>
      </c>
    </row>
    <row r="549">
      <c r="A549" s="115" t="s">
        <v>878</v>
      </c>
      <c r="B549" s="115">
        <v>1471.0</v>
      </c>
      <c r="C549" s="115" t="s">
        <v>3075</v>
      </c>
      <c r="D549" s="115" t="s">
        <v>3076</v>
      </c>
      <c r="E549" s="115" t="s">
        <v>2983</v>
      </c>
    </row>
    <row r="550">
      <c r="A550" s="115" t="s">
        <v>947</v>
      </c>
      <c r="B550" s="115">
        <v>1519.0</v>
      </c>
      <c r="C550" s="115" t="s">
        <v>3077</v>
      </c>
      <c r="D550" s="115" t="s">
        <v>3078</v>
      </c>
      <c r="E550" s="115" t="s">
        <v>2983</v>
      </c>
    </row>
    <row r="551">
      <c r="A551" s="115" t="s">
        <v>948</v>
      </c>
      <c r="B551" s="115">
        <v>1586.0</v>
      </c>
      <c r="C551" s="115" t="s">
        <v>3079</v>
      </c>
      <c r="D551" s="115" t="s">
        <v>3080</v>
      </c>
      <c r="E551" s="115" t="s">
        <v>2983</v>
      </c>
    </row>
    <row r="552">
      <c r="A552" s="115" t="s">
        <v>891</v>
      </c>
      <c r="B552" s="115">
        <v>1636.0</v>
      </c>
      <c r="C552" s="115" t="s">
        <v>3081</v>
      </c>
      <c r="D552" s="115" t="s">
        <v>3082</v>
      </c>
      <c r="E552" s="115" t="s">
        <v>2983</v>
      </c>
    </row>
    <row r="553">
      <c r="A553" s="115" t="s">
        <v>916</v>
      </c>
      <c r="B553" s="115">
        <v>1647.0</v>
      </c>
      <c r="C553" s="115" t="s">
        <v>3083</v>
      </c>
      <c r="D553" s="115" t="s">
        <v>3084</v>
      </c>
      <c r="E553" s="115" t="s">
        <v>2983</v>
      </c>
    </row>
    <row r="554">
      <c r="A554" s="115" t="s">
        <v>949</v>
      </c>
      <c r="B554" s="115">
        <v>1687.0</v>
      </c>
      <c r="C554" s="115" t="s">
        <v>3085</v>
      </c>
      <c r="D554" s="115" t="s">
        <v>3086</v>
      </c>
      <c r="E554" s="115" t="s">
        <v>2983</v>
      </c>
    </row>
    <row r="555">
      <c r="A555" s="115" t="s">
        <v>950</v>
      </c>
      <c r="B555" s="115">
        <v>1695.0</v>
      </c>
      <c r="C555" s="115" t="s">
        <v>3087</v>
      </c>
      <c r="D555" s="115" t="s">
        <v>3088</v>
      </c>
      <c r="E555" s="115" t="s">
        <v>2983</v>
      </c>
    </row>
    <row r="556">
      <c r="A556" s="115" t="s">
        <v>951</v>
      </c>
      <c r="B556" s="115">
        <v>1746.0</v>
      </c>
      <c r="C556" s="115" t="s">
        <v>3089</v>
      </c>
      <c r="D556" s="115" t="s">
        <v>3090</v>
      </c>
      <c r="E556" s="115" t="s">
        <v>2983</v>
      </c>
    </row>
    <row r="557">
      <c r="A557" s="115" t="s">
        <v>952</v>
      </c>
      <c r="B557" s="115">
        <v>1748.0</v>
      </c>
      <c r="C557" s="115" t="s">
        <v>3091</v>
      </c>
      <c r="D557" s="115" t="s">
        <v>3092</v>
      </c>
      <c r="E557" s="115" t="s">
        <v>2983</v>
      </c>
    </row>
    <row r="558">
      <c r="A558" s="115" t="s">
        <v>953</v>
      </c>
      <c r="B558" s="115">
        <v>1782.0</v>
      </c>
      <c r="C558" s="115" t="s">
        <v>3093</v>
      </c>
      <c r="D558" s="115" t="s">
        <v>3094</v>
      </c>
      <c r="E558" s="115" t="s">
        <v>2983</v>
      </c>
    </row>
    <row r="559">
      <c r="A559" s="115" t="s">
        <v>882</v>
      </c>
      <c r="B559" s="115">
        <v>1812.0</v>
      </c>
      <c r="C559" s="115" t="s">
        <v>3095</v>
      </c>
      <c r="D559" s="115" t="s">
        <v>3096</v>
      </c>
      <c r="E559" s="115" t="s">
        <v>2983</v>
      </c>
    </row>
    <row r="560">
      <c r="A560" s="115" t="s">
        <v>917</v>
      </c>
      <c r="B560" s="115">
        <v>1853.0</v>
      </c>
      <c r="C560" s="115" t="s">
        <v>3097</v>
      </c>
      <c r="D560" s="115" t="s">
        <v>3098</v>
      </c>
      <c r="E560" s="115" t="s">
        <v>2983</v>
      </c>
    </row>
    <row r="561">
      <c r="A561" s="115" t="s">
        <v>912</v>
      </c>
      <c r="B561" s="115">
        <v>1942.0</v>
      </c>
      <c r="C561" s="115" t="s">
        <v>3099</v>
      </c>
      <c r="D561" s="115" t="s">
        <v>3100</v>
      </c>
      <c r="E561" s="115" t="s">
        <v>2983</v>
      </c>
    </row>
    <row r="562">
      <c r="A562" s="115" t="s">
        <v>901</v>
      </c>
      <c r="B562" s="115">
        <v>2073.0</v>
      </c>
      <c r="C562" s="115" t="s">
        <v>3101</v>
      </c>
      <c r="D562" s="115" t="s">
        <v>3102</v>
      </c>
      <c r="E562" s="115" t="s">
        <v>2983</v>
      </c>
    </row>
    <row r="563">
      <c r="A563" s="115" t="s">
        <v>892</v>
      </c>
      <c r="B563" s="115">
        <v>2079.0</v>
      </c>
      <c r="C563" s="115" t="s">
        <v>3103</v>
      </c>
      <c r="D563" s="115" t="s">
        <v>3104</v>
      </c>
      <c r="E563" s="115" t="s">
        <v>2983</v>
      </c>
    </row>
    <row r="564">
      <c r="A564" s="115" t="s">
        <v>906</v>
      </c>
      <c r="B564" s="115">
        <v>2124.0</v>
      </c>
      <c r="C564" s="115" t="s">
        <v>3105</v>
      </c>
      <c r="D564" s="115" t="s">
        <v>3106</v>
      </c>
      <c r="E564" s="115" t="s">
        <v>2983</v>
      </c>
    </row>
    <row r="565">
      <c r="A565" s="115" t="s">
        <v>954</v>
      </c>
      <c r="B565" s="115">
        <v>2130.0</v>
      </c>
      <c r="C565" s="115" t="s">
        <v>3107</v>
      </c>
      <c r="D565" s="115" t="s">
        <v>3108</v>
      </c>
      <c r="E565" s="115" t="s">
        <v>2983</v>
      </c>
    </row>
    <row r="566">
      <c r="A566" s="115" t="s">
        <v>955</v>
      </c>
      <c r="B566" s="115">
        <v>2148.0</v>
      </c>
      <c r="C566" s="115" t="s">
        <v>3109</v>
      </c>
      <c r="D566" s="115" t="s">
        <v>3110</v>
      </c>
      <c r="E566" s="115" t="s">
        <v>2983</v>
      </c>
    </row>
    <row r="567">
      <c r="A567" s="115" t="s">
        <v>956</v>
      </c>
      <c r="B567" s="115">
        <v>2354.0</v>
      </c>
      <c r="C567" s="115" t="s">
        <v>3111</v>
      </c>
      <c r="D567" s="115" t="s">
        <v>3112</v>
      </c>
      <c r="E567" s="115" t="s">
        <v>2983</v>
      </c>
    </row>
    <row r="568">
      <c r="A568" s="115" t="s">
        <v>957</v>
      </c>
      <c r="B568" s="115">
        <v>2407.0</v>
      </c>
      <c r="C568" s="115" t="s">
        <v>3113</v>
      </c>
      <c r="D568" s="115" t="s">
        <v>3114</v>
      </c>
      <c r="E568" s="115" t="s">
        <v>2983</v>
      </c>
    </row>
    <row r="569">
      <c r="A569" s="115" t="s">
        <v>918</v>
      </c>
      <c r="B569" s="115">
        <v>2419.0</v>
      </c>
      <c r="C569" s="115" t="s">
        <v>3115</v>
      </c>
      <c r="D569" s="115" t="s">
        <v>3116</v>
      </c>
      <c r="E569" s="115" t="s">
        <v>2983</v>
      </c>
    </row>
    <row r="570">
      <c r="A570" s="115" t="s">
        <v>893</v>
      </c>
      <c r="B570" s="115">
        <v>2571.0</v>
      </c>
      <c r="C570" s="115" t="s">
        <v>3117</v>
      </c>
      <c r="D570" s="115" t="s">
        <v>3118</v>
      </c>
      <c r="E570" s="115" t="s">
        <v>2983</v>
      </c>
    </row>
    <row r="571">
      <c r="A571" s="115" t="s">
        <v>907</v>
      </c>
      <c r="B571" s="115">
        <v>2646.0</v>
      </c>
      <c r="C571" s="115" t="s">
        <v>3119</v>
      </c>
      <c r="D571" s="115" t="s">
        <v>3120</v>
      </c>
      <c r="E571" s="115" t="s">
        <v>2983</v>
      </c>
    </row>
    <row r="572">
      <c r="A572" s="115" t="s">
        <v>958</v>
      </c>
      <c r="B572" s="115">
        <v>2791.0</v>
      </c>
      <c r="C572" s="115" t="s">
        <v>3121</v>
      </c>
      <c r="D572" s="115" t="s">
        <v>3122</v>
      </c>
      <c r="E572" s="115" t="s">
        <v>2983</v>
      </c>
    </row>
    <row r="573">
      <c r="A573" s="115" t="s">
        <v>959</v>
      </c>
      <c r="B573" s="115">
        <v>2858.0</v>
      </c>
      <c r="C573" s="115" t="s">
        <v>3123</v>
      </c>
      <c r="D573" s="115" t="s">
        <v>3124</v>
      </c>
      <c r="E573" s="115" t="s">
        <v>2983</v>
      </c>
    </row>
    <row r="574">
      <c r="A574" s="115" t="s">
        <v>960</v>
      </c>
      <c r="B574" s="115">
        <v>2955.0</v>
      </c>
      <c r="C574" s="115" t="s">
        <v>3125</v>
      </c>
      <c r="D574" s="115" t="s">
        <v>3126</v>
      </c>
      <c r="E574" s="115" t="s">
        <v>2983</v>
      </c>
    </row>
    <row r="575">
      <c r="A575" s="115" t="s">
        <v>961</v>
      </c>
      <c r="B575" s="115">
        <v>3020.0</v>
      </c>
      <c r="C575" s="115" t="s">
        <v>3127</v>
      </c>
      <c r="D575" s="115" t="s">
        <v>3128</v>
      </c>
      <c r="E575" s="115" t="s">
        <v>2983</v>
      </c>
    </row>
    <row r="576">
      <c r="A576" s="115" t="s">
        <v>908</v>
      </c>
      <c r="B576" s="115">
        <v>3023.0</v>
      </c>
      <c r="C576" s="115" t="s">
        <v>3129</v>
      </c>
      <c r="D576" s="115" t="s">
        <v>3130</v>
      </c>
      <c r="E576" s="115" t="s">
        <v>2983</v>
      </c>
    </row>
    <row r="577">
      <c r="A577" s="115" t="s">
        <v>913</v>
      </c>
      <c r="B577" s="115">
        <v>3074.0</v>
      </c>
      <c r="C577" s="115" t="s">
        <v>3131</v>
      </c>
      <c r="D577" s="115" t="s">
        <v>3132</v>
      </c>
      <c r="E577" s="115" t="s">
        <v>2983</v>
      </c>
    </row>
    <row r="578">
      <c r="A578" s="115" t="s">
        <v>962</v>
      </c>
      <c r="B578" s="115">
        <v>3075.0</v>
      </c>
      <c r="C578" s="115" t="s">
        <v>3133</v>
      </c>
      <c r="D578" s="115" t="s">
        <v>3134</v>
      </c>
      <c r="E578" s="115" t="s">
        <v>2983</v>
      </c>
    </row>
    <row r="579">
      <c r="A579" s="115" t="s">
        <v>902</v>
      </c>
      <c r="B579" s="115">
        <v>3118.0</v>
      </c>
      <c r="C579" s="115" t="s">
        <v>3135</v>
      </c>
      <c r="D579" s="115" t="s">
        <v>3136</v>
      </c>
      <c r="E579" s="115" t="s">
        <v>2983</v>
      </c>
    </row>
    <row r="580">
      <c r="A580" s="115" t="s">
        <v>963</v>
      </c>
      <c r="B580" s="115">
        <v>3149.0</v>
      </c>
      <c r="C580" s="115" t="s">
        <v>3137</v>
      </c>
      <c r="D580" s="115" t="s">
        <v>3138</v>
      </c>
      <c r="E580" s="115" t="s">
        <v>2983</v>
      </c>
    </row>
    <row r="581">
      <c r="A581" s="115" t="s">
        <v>919</v>
      </c>
      <c r="B581" s="115">
        <v>3157.0</v>
      </c>
      <c r="C581" s="115" t="s">
        <v>3139</v>
      </c>
      <c r="D581" s="115" t="s">
        <v>3140</v>
      </c>
      <c r="E581" s="115" t="s">
        <v>2983</v>
      </c>
    </row>
    <row r="582">
      <c r="A582" s="115" t="s">
        <v>896</v>
      </c>
      <c r="B582" s="115">
        <v>3166.0</v>
      </c>
      <c r="C582" s="115" t="s">
        <v>3141</v>
      </c>
      <c r="D582" s="115" t="s">
        <v>3142</v>
      </c>
      <c r="E582" s="115" t="s">
        <v>2983</v>
      </c>
    </row>
    <row r="583">
      <c r="A583" s="115" t="s">
        <v>964</v>
      </c>
      <c r="B583" s="115">
        <v>3170.0</v>
      </c>
      <c r="C583" s="115" t="s">
        <v>3143</v>
      </c>
      <c r="D583" s="115" t="s">
        <v>3144</v>
      </c>
      <c r="E583" s="115" t="s">
        <v>2983</v>
      </c>
    </row>
    <row r="584">
      <c r="A584" s="115" t="s">
        <v>965</v>
      </c>
      <c r="B584" s="115">
        <v>3189.0</v>
      </c>
      <c r="C584" s="115" t="s">
        <v>3145</v>
      </c>
      <c r="D584" s="115" t="s">
        <v>3146</v>
      </c>
      <c r="E584" s="115" t="s">
        <v>2983</v>
      </c>
    </row>
    <row r="585">
      <c r="A585" s="115" t="s">
        <v>903</v>
      </c>
      <c r="B585" s="115">
        <v>3235.0</v>
      </c>
      <c r="C585" s="115" t="s">
        <v>3147</v>
      </c>
      <c r="D585" s="115" t="s">
        <v>3148</v>
      </c>
      <c r="E585" s="115" t="s">
        <v>2983</v>
      </c>
    </row>
    <row r="586">
      <c r="A586" s="115" t="s">
        <v>966</v>
      </c>
      <c r="B586" s="115">
        <v>3258.0</v>
      </c>
      <c r="C586" s="115" t="s">
        <v>3149</v>
      </c>
      <c r="D586" s="115" t="s">
        <v>3150</v>
      </c>
      <c r="E586" s="115" t="s">
        <v>2983</v>
      </c>
    </row>
    <row r="587">
      <c r="A587" s="115" t="s">
        <v>967</v>
      </c>
      <c r="B587" s="115">
        <v>3321.0</v>
      </c>
      <c r="C587" s="115" t="s">
        <v>3151</v>
      </c>
      <c r="D587" s="115" t="s">
        <v>3152</v>
      </c>
      <c r="E587" s="115" t="s">
        <v>2983</v>
      </c>
    </row>
    <row r="588">
      <c r="A588" s="115" t="s">
        <v>909</v>
      </c>
      <c r="B588" s="115">
        <v>3326.0</v>
      </c>
      <c r="C588" s="115" t="s">
        <v>3153</v>
      </c>
      <c r="D588" s="115" t="s">
        <v>3154</v>
      </c>
      <c r="E588" s="115" t="s">
        <v>2983</v>
      </c>
    </row>
    <row r="589">
      <c r="A589" s="115" t="s">
        <v>879</v>
      </c>
      <c r="B589" s="115">
        <v>3346.0</v>
      </c>
      <c r="C589" s="115" t="s">
        <v>3155</v>
      </c>
      <c r="D589" s="115" t="s">
        <v>3156</v>
      </c>
      <c r="E589" s="115" t="s">
        <v>2983</v>
      </c>
    </row>
    <row r="590">
      <c r="A590" s="115" t="s">
        <v>968</v>
      </c>
      <c r="B590" s="115">
        <v>3365.0</v>
      </c>
      <c r="C590" s="115" t="s">
        <v>3157</v>
      </c>
      <c r="D590" s="115" t="s">
        <v>3158</v>
      </c>
      <c r="E590" s="115" t="s">
        <v>2983</v>
      </c>
    </row>
    <row r="591">
      <c r="A591" s="115" t="s">
        <v>914</v>
      </c>
      <c r="B591" s="115">
        <v>3372.0</v>
      </c>
      <c r="C591" s="115" t="s">
        <v>3159</v>
      </c>
      <c r="D591" s="115" t="s">
        <v>3160</v>
      </c>
      <c r="E591" s="115" t="s">
        <v>2983</v>
      </c>
    </row>
    <row r="592">
      <c r="A592" s="115" t="s">
        <v>969</v>
      </c>
      <c r="B592" s="115">
        <v>3396.0</v>
      </c>
      <c r="C592" s="115" t="s">
        <v>3161</v>
      </c>
      <c r="D592" s="115" t="s">
        <v>3162</v>
      </c>
      <c r="E592" s="115" t="s">
        <v>2983</v>
      </c>
    </row>
    <row r="593">
      <c r="A593" s="115" t="s">
        <v>874</v>
      </c>
      <c r="B593" s="115">
        <v>3398.0</v>
      </c>
      <c r="C593" s="115" t="s">
        <v>3163</v>
      </c>
      <c r="D593" s="115" t="s">
        <v>3164</v>
      </c>
      <c r="E593" s="115" t="s">
        <v>2983</v>
      </c>
    </row>
    <row r="594">
      <c r="A594" s="115" t="s">
        <v>897</v>
      </c>
      <c r="B594" s="115">
        <v>3456.0</v>
      </c>
      <c r="C594" s="115" t="s">
        <v>3165</v>
      </c>
      <c r="D594" s="115" t="s">
        <v>3166</v>
      </c>
      <c r="E594" s="115" t="s">
        <v>2983</v>
      </c>
    </row>
    <row r="595">
      <c r="A595" s="115" t="s">
        <v>898</v>
      </c>
      <c r="B595" s="115">
        <v>3458.0</v>
      </c>
      <c r="C595" s="115" t="s">
        <v>3167</v>
      </c>
      <c r="D595" s="115" t="s">
        <v>3168</v>
      </c>
      <c r="E595" s="115" t="s">
        <v>2983</v>
      </c>
    </row>
    <row r="596">
      <c r="A596" s="115" t="s">
        <v>970</v>
      </c>
      <c r="B596" s="115">
        <v>3533.0</v>
      </c>
      <c r="C596" s="115" t="s">
        <v>3169</v>
      </c>
      <c r="D596" s="115" t="s">
        <v>3170</v>
      </c>
      <c r="E596" s="115" t="s">
        <v>2983</v>
      </c>
    </row>
    <row r="597">
      <c r="A597" s="115" t="s">
        <v>971</v>
      </c>
      <c r="B597" s="115">
        <v>3549.0</v>
      </c>
      <c r="C597" s="115" t="s">
        <v>3171</v>
      </c>
      <c r="D597" s="115" t="s">
        <v>3172</v>
      </c>
      <c r="E597" s="115" t="s">
        <v>2983</v>
      </c>
    </row>
    <row r="598">
      <c r="A598" s="115" t="s">
        <v>972</v>
      </c>
      <c r="B598" s="115">
        <v>3583.0</v>
      </c>
      <c r="C598" s="115" t="s">
        <v>3173</v>
      </c>
      <c r="D598" s="115" t="s">
        <v>3174</v>
      </c>
      <c r="E598" s="115" t="s">
        <v>2983</v>
      </c>
    </row>
    <row r="599">
      <c r="A599" s="115" t="s">
        <v>883</v>
      </c>
      <c r="B599" s="115">
        <v>3616.0</v>
      </c>
      <c r="C599" s="115" t="s">
        <v>3175</v>
      </c>
      <c r="D599" s="115" t="s">
        <v>3176</v>
      </c>
      <c r="E599" s="115" t="s">
        <v>2983</v>
      </c>
    </row>
    <row r="600">
      <c r="A600" s="115" t="s">
        <v>973</v>
      </c>
      <c r="B600" s="115">
        <v>3723.0</v>
      </c>
      <c r="C600" s="115" t="s">
        <v>3177</v>
      </c>
      <c r="D600" s="115" t="s">
        <v>3178</v>
      </c>
      <c r="E600" s="115" t="s">
        <v>2983</v>
      </c>
    </row>
    <row r="601">
      <c r="A601" s="115" t="s">
        <v>974</v>
      </c>
      <c r="B601" s="115">
        <v>3771.0</v>
      </c>
      <c r="C601" s="115" t="s">
        <v>3179</v>
      </c>
      <c r="D601" s="115" t="s">
        <v>3180</v>
      </c>
      <c r="E601" s="115" t="s">
        <v>2983</v>
      </c>
    </row>
    <row r="602">
      <c r="A602" s="115" t="s">
        <v>975</v>
      </c>
      <c r="B602" s="115">
        <v>3846.0</v>
      </c>
      <c r="C602" s="115" t="s">
        <v>3181</v>
      </c>
      <c r="D602" s="115" t="s">
        <v>3182</v>
      </c>
      <c r="E602" s="115" t="s">
        <v>2983</v>
      </c>
    </row>
    <row r="603">
      <c r="A603" s="115" t="s">
        <v>976</v>
      </c>
      <c r="B603" s="115">
        <v>3909.0</v>
      </c>
      <c r="C603" s="115" t="s">
        <v>3183</v>
      </c>
      <c r="D603" s="115" t="s">
        <v>3184</v>
      </c>
      <c r="E603" s="115" t="s">
        <v>2983</v>
      </c>
    </row>
    <row r="604">
      <c r="A604" s="115" t="s">
        <v>977</v>
      </c>
      <c r="B604" s="115">
        <v>3926.0</v>
      </c>
      <c r="C604" s="115" t="s">
        <v>3185</v>
      </c>
      <c r="D604" s="115" t="s">
        <v>3186</v>
      </c>
      <c r="E604" s="115" t="s">
        <v>2983</v>
      </c>
    </row>
    <row r="605">
      <c r="A605" s="115" t="s">
        <v>884</v>
      </c>
      <c r="B605" s="115">
        <v>4124.0</v>
      </c>
      <c r="C605" s="115" t="s">
        <v>3187</v>
      </c>
      <c r="D605" s="115" t="s">
        <v>3188</v>
      </c>
      <c r="E605" s="115" t="s">
        <v>2983</v>
      </c>
    </row>
    <row r="606">
      <c r="A606" s="115" t="s">
        <v>889</v>
      </c>
      <c r="B606" s="115">
        <v>4139.0</v>
      </c>
      <c r="C606" s="115" t="s">
        <v>3189</v>
      </c>
      <c r="D606" s="115" t="s">
        <v>3190</v>
      </c>
      <c r="E606" s="115" t="s">
        <v>2983</v>
      </c>
    </row>
    <row r="607">
      <c r="A607" s="115" t="s">
        <v>894</v>
      </c>
      <c r="B607" s="115">
        <v>4239.0</v>
      </c>
      <c r="C607" s="115" t="s">
        <v>3191</v>
      </c>
      <c r="D607" s="115" t="s">
        <v>3192</v>
      </c>
      <c r="E607" s="115" t="s">
        <v>2983</v>
      </c>
    </row>
    <row r="608">
      <c r="A608" s="115" t="s">
        <v>978</v>
      </c>
      <c r="B608" s="115">
        <v>4245.0</v>
      </c>
      <c r="C608" s="115" t="s">
        <v>3193</v>
      </c>
      <c r="D608" s="115" t="s">
        <v>3194</v>
      </c>
      <c r="E608" s="115" t="s">
        <v>2983</v>
      </c>
    </row>
    <row r="609">
      <c r="A609" s="115" t="s">
        <v>904</v>
      </c>
      <c r="B609" s="115">
        <v>4340.0</v>
      </c>
      <c r="C609" s="115" t="s">
        <v>3195</v>
      </c>
      <c r="D609" s="115" t="s">
        <v>3196</v>
      </c>
      <c r="E609" s="115" t="s">
        <v>2983</v>
      </c>
    </row>
    <row r="610">
      <c r="A610" s="115" t="s">
        <v>899</v>
      </c>
      <c r="B610" s="115">
        <v>4414.0</v>
      </c>
      <c r="C610" s="115" t="s">
        <v>3197</v>
      </c>
      <c r="D610" s="115" t="s">
        <v>3198</v>
      </c>
      <c r="E610" s="115" t="s">
        <v>2983</v>
      </c>
    </row>
    <row r="611">
      <c r="A611" s="115" t="s">
        <v>979</v>
      </c>
      <c r="B611" s="115">
        <v>4450.0</v>
      </c>
      <c r="C611" s="115" t="s">
        <v>3199</v>
      </c>
      <c r="D611" s="115" t="s">
        <v>3200</v>
      </c>
      <c r="E611" s="115" t="s">
        <v>2983</v>
      </c>
    </row>
    <row r="612">
      <c r="A612" s="115" t="s">
        <v>1011</v>
      </c>
      <c r="B612" s="115">
        <v>17.0</v>
      </c>
      <c r="C612" s="115" t="s">
        <v>3201</v>
      </c>
      <c r="D612" s="115" t="s">
        <v>3202</v>
      </c>
      <c r="E612" s="115" t="s">
        <v>350</v>
      </c>
    </row>
    <row r="613">
      <c r="A613" s="115" t="s">
        <v>1006</v>
      </c>
      <c r="B613" s="115">
        <v>241.0</v>
      </c>
      <c r="C613" s="115" t="s">
        <v>3203</v>
      </c>
      <c r="D613" s="115" t="s">
        <v>3204</v>
      </c>
      <c r="E613" s="115" t="s">
        <v>350</v>
      </c>
    </row>
    <row r="614">
      <c r="A614" s="115" t="s">
        <v>1007</v>
      </c>
      <c r="B614" s="115">
        <v>255.0</v>
      </c>
      <c r="C614" s="115" t="s">
        <v>3205</v>
      </c>
      <c r="D614" s="115" t="s">
        <v>3206</v>
      </c>
      <c r="E614" s="115" t="s">
        <v>350</v>
      </c>
    </row>
    <row r="615">
      <c r="A615" s="115" t="s">
        <v>990</v>
      </c>
      <c r="B615" s="115">
        <v>713.0</v>
      </c>
      <c r="C615" s="115" t="s">
        <v>3207</v>
      </c>
      <c r="D615" s="115" t="s">
        <v>3208</v>
      </c>
      <c r="E615" s="115" t="s">
        <v>350</v>
      </c>
    </row>
    <row r="616">
      <c r="A616" s="115" t="s">
        <v>996</v>
      </c>
      <c r="B616" s="115">
        <v>751.0</v>
      </c>
      <c r="C616" s="115" t="s">
        <v>3209</v>
      </c>
      <c r="D616" s="115" t="s">
        <v>3210</v>
      </c>
      <c r="E616" s="115" t="s">
        <v>350</v>
      </c>
    </row>
    <row r="617">
      <c r="A617" s="115" t="s">
        <v>997</v>
      </c>
      <c r="B617" s="115">
        <v>901.0</v>
      </c>
      <c r="C617" s="115" t="s">
        <v>3211</v>
      </c>
      <c r="D617" s="115" t="s">
        <v>3212</v>
      </c>
      <c r="E617" s="115" t="s">
        <v>350</v>
      </c>
    </row>
    <row r="618">
      <c r="A618" s="115" t="s">
        <v>1012</v>
      </c>
      <c r="B618" s="115">
        <v>915.0</v>
      </c>
      <c r="C618" s="115" t="s">
        <v>3213</v>
      </c>
      <c r="D618" s="115" t="s">
        <v>3214</v>
      </c>
      <c r="E618" s="115" t="s">
        <v>350</v>
      </c>
    </row>
    <row r="619">
      <c r="A619" s="115" t="s">
        <v>1008</v>
      </c>
      <c r="B619" s="115">
        <v>1009.0</v>
      </c>
      <c r="C619" s="115" t="s">
        <v>3215</v>
      </c>
      <c r="D619" s="115" t="s">
        <v>3216</v>
      </c>
      <c r="E619" s="115" t="s">
        <v>350</v>
      </c>
    </row>
    <row r="620">
      <c r="A620" s="115" t="s">
        <v>1013</v>
      </c>
      <c r="B620" s="115">
        <v>1074.0</v>
      </c>
      <c r="C620" s="115" t="s">
        <v>3217</v>
      </c>
      <c r="D620" s="115" t="s">
        <v>3218</v>
      </c>
      <c r="E620" s="115" t="s">
        <v>350</v>
      </c>
    </row>
    <row r="621">
      <c r="A621" s="115" t="s">
        <v>1014</v>
      </c>
      <c r="B621" s="115">
        <v>1166.0</v>
      </c>
      <c r="C621" s="115" t="s">
        <v>3219</v>
      </c>
      <c r="D621" s="115" t="s">
        <v>3220</v>
      </c>
      <c r="E621" s="115" t="s">
        <v>350</v>
      </c>
    </row>
    <row r="622">
      <c r="A622" s="115" t="s">
        <v>1015</v>
      </c>
      <c r="B622" s="115">
        <v>1204.0</v>
      </c>
      <c r="C622" s="115" t="s">
        <v>3221</v>
      </c>
      <c r="D622" s="115" t="s">
        <v>3222</v>
      </c>
      <c r="E622" s="115" t="s">
        <v>350</v>
      </c>
    </row>
    <row r="623">
      <c r="A623" s="115" t="s">
        <v>985</v>
      </c>
      <c r="B623" s="115">
        <v>1237.0</v>
      </c>
      <c r="C623" s="115" t="s">
        <v>3223</v>
      </c>
      <c r="D623" s="115" t="s">
        <v>3224</v>
      </c>
      <c r="E623" s="115" t="s">
        <v>350</v>
      </c>
    </row>
    <row r="624">
      <c r="A624" s="115" t="s">
        <v>980</v>
      </c>
      <c r="B624" s="115">
        <v>1290.0</v>
      </c>
      <c r="C624" s="115" t="s">
        <v>3225</v>
      </c>
      <c r="D624" s="115" t="s">
        <v>3226</v>
      </c>
      <c r="E624" s="115" t="s">
        <v>350</v>
      </c>
    </row>
    <row r="625">
      <c r="A625" s="115" t="s">
        <v>1016</v>
      </c>
      <c r="B625" s="115">
        <v>1432.0</v>
      </c>
      <c r="C625" s="115" t="s">
        <v>3227</v>
      </c>
      <c r="D625" s="115" t="s">
        <v>3228</v>
      </c>
      <c r="E625" s="115" t="s">
        <v>350</v>
      </c>
    </row>
    <row r="626">
      <c r="A626" s="115" t="s">
        <v>1017</v>
      </c>
      <c r="B626" s="115">
        <v>1447.0</v>
      </c>
      <c r="C626" s="115" t="s">
        <v>3229</v>
      </c>
      <c r="D626" s="115" t="s">
        <v>3230</v>
      </c>
      <c r="E626" s="115" t="s">
        <v>350</v>
      </c>
    </row>
    <row r="627">
      <c r="A627" s="115" t="s">
        <v>1018</v>
      </c>
      <c r="B627" s="115">
        <v>1481.0</v>
      </c>
      <c r="C627" s="115" t="s">
        <v>3231</v>
      </c>
      <c r="D627" s="115" t="s">
        <v>3232</v>
      </c>
      <c r="E627" s="115" t="s">
        <v>350</v>
      </c>
    </row>
    <row r="628">
      <c r="A628" s="115" t="s">
        <v>1019</v>
      </c>
      <c r="B628" s="115">
        <v>1512.0</v>
      </c>
      <c r="C628" s="115" t="s">
        <v>3233</v>
      </c>
      <c r="D628" s="115" t="s">
        <v>3234</v>
      </c>
      <c r="E628" s="115" t="s">
        <v>350</v>
      </c>
    </row>
    <row r="629">
      <c r="A629" s="115" t="s">
        <v>1020</v>
      </c>
      <c r="B629" s="115">
        <v>1553.0</v>
      </c>
      <c r="C629" s="115" t="s">
        <v>3235</v>
      </c>
      <c r="D629" s="115" t="s">
        <v>3236</v>
      </c>
      <c r="E629" s="115" t="s">
        <v>350</v>
      </c>
    </row>
    <row r="630">
      <c r="A630" s="115" t="s">
        <v>998</v>
      </c>
      <c r="B630" s="115">
        <v>1588.0</v>
      </c>
      <c r="C630" s="115" t="s">
        <v>3237</v>
      </c>
      <c r="D630" s="115" t="s">
        <v>3238</v>
      </c>
      <c r="E630" s="115" t="s">
        <v>350</v>
      </c>
    </row>
    <row r="631">
      <c r="A631" s="115" t="s">
        <v>1021</v>
      </c>
      <c r="B631" s="115">
        <v>1686.0</v>
      </c>
      <c r="C631" s="115" t="s">
        <v>3239</v>
      </c>
      <c r="D631" s="115" t="s">
        <v>3240</v>
      </c>
      <c r="E631" s="115" t="s">
        <v>350</v>
      </c>
    </row>
    <row r="632">
      <c r="A632" s="115" t="s">
        <v>1022</v>
      </c>
      <c r="B632" s="115">
        <v>1781.0</v>
      </c>
      <c r="C632" s="115" t="s">
        <v>3241</v>
      </c>
      <c r="D632" s="115" t="s">
        <v>3242</v>
      </c>
      <c r="E632" s="115" t="s">
        <v>350</v>
      </c>
    </row>
    <row r="633">
      <c r="A633" s="115" t="s">
        <v>991</v>
      </c>
      <c r="B633" s="115">
        <v>1800.0</v>
      </c>
      <c r="C633" s="115" t="s">
        <v>3243</v>
      </c>
      <c r="D633" s="115" t="s">
        <v>3244</v>
      </c>
      <c r="E633" s="115" t="s">
        <v>350</v>
      </c>
    </row>
    <row r="634">
      <c r="A634" s="115" t="s">
        <v>1023</v>
      </c>
      <c r="B634" s="115">
        <v>1845.0</v>
      </c>
      <c r="C634" s="115" t="s">
        <v>3245</v>
      </c>
      <c r="D634" s="115" t="s">
        <v>3246</v>
      </c>
      <c r="E634" s="115" t="s">
        <v>350</v>
      </c>
    </row>
    <row r="635">
      <c r="A635" s="115" t="s">
        <v>999</v>
      </c>
      <c r="B635" s="115">
        <v>1846.0</v>
      </c>
      <c r="C635" s="115" t="s">
        <v>3247</v>
      </c>
      <c r="D635" s="115" t="s">
        <v>3248</v>
      </c>
      <c r="E635" s="115" t="s">
        <v>350</v>
      </c>
    </row>
    <row r="636">
      <c r="A636" s="115" t="s">
        <v>1024</v>
      </c>
      <c r="B636" s="115">
        <v>1849.0</v>
      </c>
      <c r="C636" s="115" t="s">
        <v>3249</v>
      </c>
      <c r="D636" s="115" t="s">
        <v>3250</v>
      </c>
      <c r="E636" s="115" t="s">
        <v>350</v>
      </c>
    </row>
    <row r="637">
      <c r="A637" s="115" t="s">
        <v>981</v>
      </c>
      <c r="B637" s="115">
        <v>1980.0</v>
      </c>
      <c r="C637" s="115" t="s">
        <v>3251</v>
      </c>
      <c r="D637" s="115" t="s">
        <v>3252</v>
      </c>
      <c r="E637" s="115" t="s">
        <v>350</v>
      </c>
    </row>
    <row r="638">
      <c r="A638" s="115" t="s">
        <v>1025</v>
      </c>
      <c r="B638" s="115">
        <v>2019.0</v>
      </c>
      <c r="C638" s="115" t="s">
        <v>3253</v>
      </c>
      <c r="D638" s="115" t="s">
        <v>3254</v>
      </c>
      <c r="E638" s="115" t="s">
        <v>350</v>
      </c>
    </row>
    <row r="639">
      <c r="A639" s="115" t="s">
        <v>986</v>
      </c>
      <c r="B639" s="115">
        <v>2115.0</v>
      </c>
      <c r="C639" s="115" t="s">
        <v>3255</v>
      </c>
      <c r="D639" s="115" t="s">
        <v>3256</v>
      </c>
      <c r="E639" s="115" t="s">
        <v>350</v>
      </c>
    </row>
    <row r="640">
      <c r="A640" s="115" t="s">
        <v>1026</v>
      </c>
      <c r="B640" s="115">
        <v>2163.0</v>
      </c>
      <c r="C640" s="115" t="s">
        <v>3257</v>
      </c>
      <c r="D640" s="115" t="s">
        <v>3258</v>
      </c>
      <c r="E640" s="115" t="s">
        <v>350</v>
      </c>
    </row>
    <row r="641">
      <c r="A641" s="115" t="s">
        <v>1027</v>
      </c>
      <c r="B641" s="115">
        <v>2218.0</v>
      </c>
      <c r="C641" s="115" t="s">
        <v>3259</v>
      </c>
      <c r="D641" s="115" t="s">
        <v>3260</v>
      </c>
      <c r="E641" s="115" t="s">
        <v>350</v>
      </c>
    </row>
    <row r="642">
      <c r="A642" s="115" t="s">
        <v>1028</v>
      </c>
      <c r="B642" s="115">
        <v>2245.0</v>
      </c>
      <c r="C642" s="115" t="s">
        <v>3261</v>
      </c>
      <c r="D642" s="115" t="s">
        <v>3262</v>
      </c>
      <c r="E642" s="115" t="s">
        <v>350</v>
      </c>
    </row>
    <row r="643">
      <c r="A643" s="115" t="s">
        <v>1029</v>
      </c>
      <c r="B643" s="115">
        <v>2263.0</v>
      </c>
      <c r="C643" s="115" t="s">
        <v>3263</v>
      </c>
      <c r="D643" s="115" t="s">
        <v>3264</v>
      </c>
      <c r="E643" s="115" t="s">
        <v>350</v>
      </c>
    </row>
    <row r="644">
      <c r="A644" s="115" t="s">
        <v>1009</v>
      </c>
      <c r="B644" s="115">
        <v>2303.0</v>
      </c>
      <c r="C644" s="115" t="s">
        <v>3265</v>
      </c>
      <c r="D644" s="115" t="s">
        <v>3266</v>
      </c>
      <c r="E644" s="115" t="s">
        <v>350</v>
      </c>
    </row>
    <row r="645">
      <c r="A645" s="115" t="s">
        <v>987</v>
      </c>
      <c r="B645" s="115">
        <v>2630.0</v>
      </c>
      <c r="C645" s="115" t="s">
        <v>3267</v>
      </c>
      <c r="D645" s="115" t="s">
        <v>3268</v>
      </c>
      <c r="E645" s="115" t="s">
        <v>350</v>
      </c>
    </row>
    <row r="646">
      <c r="A646" s="115" t="s">
        <v>1001</v>
      </c>
      <c r="B646" s="115">
        <v>2679.0</v>
      </c>
      <c r="C646" s="115" t="s">
        <v>3269</v>
      </c>
      <c r="D646" s="115" t="s">
        <v>3270</v>
      </c>
      <c r="E646" s="115" t="s">
        <v>350</v>
      </c>
    </row>
    <row r="647">
      <c r="A647" s="115" t="s">
        <v>1002</v>
      </c>
      <c r="B647" s="115">
        <v>2700.0</v>
      </c>
      <c r="C647" s="115" t="s">
        <v>3271</v>
      </c>
      <c r="D647" s="115" t="s">
        <v>3272</v>
      </c>
      <c r="E647" s="115" t="s">
        <v>350</v>
      </c>
    </row>
    <row r="648">
      <c r="A648" s="115" t="s">
        <v>982</v>
      </c>
      <c r="B648" s="115">
        <v>2712.0</v>
      </c>
      <c r="C648" s="115" t="s">
        <v>3273</v>
      </c>
      <c r="D648" s="115" t="s">
        <v>3274</v>
      </c>
      <c r="E648" s="115" t="s">
        <v>350</v>
      </c>
    </row>
    <row r="649">
      <c r="A649" s="115" t="s">
        <v>1030</v>
      </c>
      <c r="B649" s="115">
        <v>2763.0</v>
      </c>
      <c r="C649" s="115" t="s">
        <v>3275</v>
      </c>
      <c r="D649" s="115" t="s">
        <v>3276</v>
      </c>
      <c r="E649" s="115" t="s">
        <v>350</v>
      </c>
    </row>
    <row r="650">
      <c r="A650" s="115" t="s">
        <v>1031</v>
      </c>
      <c r="B650" s="115">
        <v>2864.0</v>
      </c>
      <c r="C650" s="115" t="s">
        <v>3277</v>
      </c>
      <c r="D650" s="115" t="s">
        <v>3278</v>
      </c>
      <c r="E650" s="115" t="s">
        <v>350</v>
      </c>
    </row>
    <row r="651">
      <c r="A651" s="115" t="s">
        <v>1032</v>
      </c>
      <c r="B651" s="115">
        <v>2946.0</v>
      </c>
      <c r="C651" s="115" t="s">
        <v>3279</v>
      </c>
      <c r="D651" s="115" t="s">
        <v>3280</v>
      </c>
      <c r="E651" s="115" t="s">
        <v>350</v>
      </c>
    </row>
    <row r="652">
      <c r="A652" s="115" t="s">
        <v>1003</v>
      </c>
      <c r="B652" s="115">
        <v>2947.0</v>
      </c>
      <c r="C652" s="115" t="s">
        <v>3281</v>
      </c>
      <c r="D652" s="115" t="s">
        <v>3282</v>
      </c>
      <c r="E652" s="115" t="s">
        <v>350</v>
      </c>
    </row>
    <row r="653">
      <c r="A653" s="115" t="s">
        <v>1033</v>
      </c>
      <c r="B653" s="115">
        <v>3040.0</v>
      </c>
      <c r="C653" s="115" t="s">
        <v>3283</v>
      </c>
      <c r="D653" s="115" t="s">
        <v>3284</v>
      </c>
      <c r="E653" s="115" t="s">
        <v>350</v>
      </c>
    </row>
    <row r="654">
      <c r="A654" s="115" t="s">
        <v>988</v>
      </c>
      <c r="B654" s="115">
        <v>3143.0</v>
      </c>
      <c r="C654" s="115" t="s">
        <v>3285</v>
      </c>
      <c r="D654" s="115" t="s">
        <v>3286</v>
      </c>
      <c r="E654" s="115" t="s">
        <v>350</v>
      </c>
    </row>
    <row r="655">
      <c r="A655" s="115" t="s">
        <v>1034</v>
      </c>
      <c r="B655" s="115">
        <v>3152.0</v>
      </c>
      <c r="C655" s="115" t="s">
        <v>3287</v>
      </c>
      <c r="D655" s="115" t="s">
        <v>3288</v>
      </c>
      <c r="E655" s="115" t="s">
        <v>350</v>
      </c>
    </row>
    <row r="656">
      <c r="A656" s="115" t="s">
        <v>989</v>
      </c>
      <c r="B656" s="115">
        <v>3179.0</v>
      </c>
      <c r="C656" s="115" t="s">
        <v>3289</v>
      </c>
      <c r="D656" s="115" t="s">
        <v>3290</v>
      </c>
      <c r="E656" s="115" t="s">
        <v>350</v>
      </c>
    </row>
    <row r="657">
      <c r="A657" s="115" t="s">
        <v>1035</v>
      </c>
      <c r="B657" s="115">
        <v>3186.0</v>
      </c>
      <c r="C657" s="115" t="s">
        <v>3291</v>
      </c>
      <c r="D657" s="115" t="s">
        <v>3292</v>
      </c>
      <c r="E657" s="115" t="s">
        <v>350</v>
      </c>
    </row>
    <row r="658">
      <c r="A658" s="115" t="s">
        <v>1036</v>
      </c>
      <c r="B658" s="115">
        <v>3214.0</v>
      </c>
      <c r="C658" s="115" t="s">
        <v>3293</v>
      </c>
      <c r="D658" s="115" t="s">
        <v>3294</v>
      </c>
      <c r="E658" s="115" t="s">
        <v>350</v>
      </c>
    </row>
    <row r="659">
      <c r="A659" s="115" t="s">
        <v>1037</v>
      </c>
      <c r="B659" s="115">
        <v>3215.0</v>
      </c>
      <c r="C659" s="115" t="s">
        <v>3295</v>
      </c>
      <c r="D659" s="115" t="s">
        <v>3296</v>
      </c>
      <c r="E659" s="115" t="s">
        <v>350</v>
      </c>
    </row>
    <row r="660">
      <c r="A660" s="115" t="s">
        <v>1038</v>
      </c>
      <c r="B660" s="115">
        <v>3358.0</v>
      </c>
      <c r="C660" s="115" t="s">
        <v>3297</v>
      </c>
      <c r="D660" s="115" t="s">
        <v>3298</v>
      </c>
      <c r="E660" s="115" t="s">
        <v>350</v>
      </c>
    </row>
    <row r="661">
      <c r="A661" s="115" t="s">
        <v>983</v>
      </c>
      <c r="B661" s="115">
        <v>3401.0</v>
      </c>
      <c r="C661" s="115" t="s">
        <v>3299</v>
      </c>
      <c r="D661" s="115" t="s">
        <v>3300</v>
      </c>
      <c r="E661" s="115" t="s">
        <v>350</v>
      </c>
    </row>
    <row r="662">
      <c r="A662" s="115" t="s">
        <v>992</v>
      </c>
      <c r="B662" s="115">
        <v>3450.0</v>
      </c>
      <c r="C662" s="115" t="s">
        <v>3301</v>
      </c>
      <c r="D662" s="115" t="s">
        <v>3302</v>
      </c>
      <c r="E662" s="115" t="s">
        <v>350</v>
      </c>
    </row>
    <row r="663">
      <c r="A663" s="115" t="s">
        <v>1039</v>
      </c>
      <c r="B663" s="115">
        <v>3457.0</v>
      </c>
      <c r="C663" s="115" t="s">
        <v>3303</v>
      </c>
      <c r="D663" s="115" t="s">
        <v>3304</v>
      </c>
      <c r="E663" s="115" t="s">
        <v>350</v>
      </c>
    </row>
    <row r="664">
      <c r="A664" s="115" t="s">
        <v>1004</v>
      </c>
      <c r="B664" s="115">
        <v>3488.0</v>
      </c>
      <c r="C664" s="115" t="s">
        <v>3305</v>
      </c>
      <c r="D664" s="115" t="s">
        <v>3306</v>
      </c>
      <c r="E664" s="115" t="s">
        <v>350</v>
      </c>
    </row>
    <row r="665">
      <c r="A665" s="115" t="s">
        <v>984</v>
      </c>
      <c r="B665" s="115">
        <v>3729.0</v>
      </c>
      <c r="C665" s="115" t="s">
        <v>3307</v>
      </c>
      <c r="D665" s="115" t="s">
        <v>3308</v>
      </c>
      <c r="E665" s="115" t="s">
        <v>350</v>
      </c>
    </row>
    <row r="666">
      <c r="A666" s="115" t="s">
        <v>1040</v>
      </c>
      <c r="B666" s="115">
        <v>3841.0</v>
      </c>
      <c r="C666" s="115" t="s">
        <v>3309</v>
      </c>
      <c r="D666" s="115" t="s">
        <v>3310</v>
      </c>
      <c r="E666" s="115" t="s">
        <v>350</v>
      </c>
    </row>
    <row r="667">
      <c r="A667" s="115" t="s">
        <v>1005</v>
      </c>
      <c r="B667" s="115">
        <v>3893.0</v>
      </c>
      <c r="C667" s="115" t="s">
        <v>3311</v>
      </c>
      <c r="D667" s="115" t="s">
        <v>3312</v>
      </c>
      <c r="E667" s="115" t="s">
        <v>350</v>
      </c>
    </row>
    <row r="668">
      <c r="A668" s="115" t="s">
        <v>1041</v>
      </c>
      <c r="B668" s="115">
        <v>4073.0</v>
      </c>
      <c r="C668" s="115" t="s">
        <v>3313</v>
      </c>
      <c r="D668" s="115" t="s">
        <v>3314</v>
      </c>
      <c r="E668" s="115" t="s">
        <v>350</v>
      </c>
    </row>
    <row r="669">
      <c r="A669" s="115" t="s">
        <v>1010</v>
      </c>
      <c r="B669" s="115">
        <v>4097.0</v>
      </c>
      <c r="C669" s="115" t="s">
        <v>3315</v>
      </c>
      <c r="D669" s="115" t="s">
        <v>3316</v>
      </c>
      <c r="E669" s="115" t="s">
        <v>350</v>
      </c>
    </row>
    <row r="670">
      <c r="A670" s="115" t="s">
        <v>1042</v>
      </c>
      <c r="B670" s="115">
        <v>4098.0</v>
      </c>
      <c r="C670" s="115" t="s">
        <v>3317</v>
      </c>
      <c r="D670" s="115" t="s">
        <v>3318</v>
      </c>
      <c r="E670" s="115" t="s">
        <v>350</v>
      </c>
    </row>
    <row r="671">
      <c r="A671" s="115" t="s">
        <v>1043</v>
      </c>
      <c r="B671" s="115">
        <v>4172.0</v>
      </c>
      <c r="C671" s="115" t="s">
        <v>3319</v>
      </c>
      <c r="D671" s="115" t="s">
        <v>3320</v>
      </c>
      <c r="E671" s="115" t="s">
        <v>350</v>
      </c>
    </row>
    <row r="672">
      <c r="A672" s="115" t="s">
        <v>993</v>
      </c>
      <c r="B672" s="115">
        <v>4295.0</v>
      </c>
      <c r="C672" s="115" t="s">
        <v>3321</v>
      </c>
      <c r="D672" s="115" t="s">
        <v>3322</v>
      </c>
      <c r="E672" s="115" t="s">
        <v>350</v>
      </c>
    </row>
    <row r="673">
      <c r="A673" s="115" t="s">
        <v>1044</v>
      </c>
      <c r="B673" s="115">
        <v>4319.0</v>
      </c>
      <c r="C673" s="115" t="s">
        <v>3323</v>
      </c>
      <c r="D673" s="115" t="s">
        <v>3324</v>
      </c>
      <c r="E673" s="115" t="s">
        <v>350</v>
      </c>
    </row>
    <row r="674">
      <c r="A674" s="115" t="s">
        <v>1045</v>
      </c>
      <c r="B674" s="115">
        <v>4332.0</v>
      </c>
      <c r="C674" s="115" t="s">
        <v>3325</v>
      </c>
      <c r="D674" s="115" t="s">
        <v>3326</v>
      </c>
      <c r="E674" s="115" t="s">
        <v>350</v>
      </c>
    </row>
    <row r="675">
      <c r="A675" s="115" t="s">
        <v>1046</v>
      </c>
      <c r="B675" s="115">
        <v>4367.0</v>
      </c>
      <c r="C675" s="115" t="s">
        <v>3327</v>
      </c>
      <c r="D675" s="115" t="s">
        <v>3328</v>
      </c>
      <c r="E675" s="115" t="s">
        <v>350</v>
      </c>
    </row>
    <row r="676">
      <c r="A676" s="115" t="s">
        <v>1047</v>
      </c>
      <c r="B676" s="115">
        <v>4373.0</v>
      </c>
      <c r="C676" s="115" t="s">
        <v>3329</v>
      </c>
      <c r="D676" s="115" t="s">
        <v>3330</v>
      </c>
      <c r="E676" s="115" t="s">
        <v>350</v>
      </c>
    </row>
    <row r="677">
      <c r="A677" s="115" t="s">
        <v>1048</v>
      </c>
      <c r="B677" s="115">
        <v>4424.0</v>
      </c>
      <c r="C677" s="115" t="s">
        <v>3331</v>
      </c>
      <c r="D677" s="115" t="s">
        <v>3332</v>
      </c>
      <c r="E677" s="115" t="s">
        <v>350</v>
      </c>
    </row>
    <row r="678">
      <c r="A678" s="233" t="s">
        <v>1000</v>
      </c>
      <c r="B678" s="234" t="s">
        <v>3333</v>
      </c>
      <c r="C678" s="235" t="s">
        <v>3334</v>
      </c>
      <c r="D678" s="115" t="s">
        <v>3335</v>
      </c>
      <c r="E678" s="115" t="s">
        <v>350</v>
      </c>
    </row>
    <row r="679">
      <c r="A679" s="233" t="s">
        <v>994</v>
      </c>
      <c r="B679" s="234" t="s">
        <v>3333</v>
      </c>
      <c r="C679" s="115" t="s">
        <v>3336</v>
      </c>
      <c r="D679" s="115" t="s">
        <v>3337</v>
      </c>
      <c r="E679" s="115" t="s">
        <v>350</v>
      </c>
    </row>
    <row r="680">
      <c r="A680" s="233" t="s">
        <v>508</v>
      </c>
      <c r="B680" s="234" t="s">
        <v>3333</v>
      </c>
      <c r="C680" s="115" t="s">
        <v>3338</v>
      </c>
      <c r="D680" s="115" t="s">
        <v>3339</v>
      </c>
      <c r="E680" s="115" t="s">
        <v>324</v>
      </c>
    </row>
  </sheetData>
  <autoFilter ref="$A$1:$E$681"/>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4.5"/>
    <col customWidth="1" min="3" max="4" width="74.38"/>
  </cols>
  <sheetData>
    <row r="1">
      <c r="A1" s="236" t="s">
        <v>3340</v>
      </c>
      <c r="B1" s="236" t="s">
        <v>3341</v>
      </c>
      <c r="C1" s="236" t="s">
        <v>366</v>
      </c>
      <c r="D1" s="237" t="s">
        <v>3342</v>
      </c>
      <c r="E1" s="120"/>
      <c r="F1" s="120"/>
      <c r="G1" s="120"/>
      <c r="H1" s="120"/>
      <c r="I1" s="120"/>
      <c r="J1" s="120"/>
      <c r="K1" s="120"/>
      <c r="L1" s="120"/>
      <c r="M1" s="120"/>
    </row>
    <row r="2">
      <c r="A2" s="179" t="s">
        <v>1077</v>
      </c>
      <c r="B2" s="179" t="s">
        <v>1076</v>
      </c>
      <c r="C2" s="179" t="s">
        <v>3343</v>
      </c>
      <c r="D2" s="179" t="str">
        <f>IFERROR(__xludf.DUMMYFUNCTION("SUBSTITUTE(REGEXREPLACE(REGEXREPLACE(C2, "":[^;]+"", """"), "";([^;]+)$"", "" and $1""), "";"", "", "")"),"Shaoqing Wang, Yingcai Ma, Kairui Fu, Ziyang Wang, Dunxian Huang, Yuliang Yan and Jian Wu")</f>
        <v>Shaoqing Wang, Yingcai Ma, Kairui Fu, Ziyang Wang, Dunxian Huang, Yuliang Yan and Jian Wu</v>
      </c>
      <c r="E2" s="120"/>
      <c r="F2" s="120"/>
      <c r="G2" s="120"/>
      <c r="H2" s="120"/>
      <c r="I2" s="120"/>
      <c r="J2" s="120"/>
      <c r="K2" s="120"/>
      <c r="L2" s="120"/>
      <c r="M2" s="120"/>
    </row>
    <row r="3">
      <c r="A3" s="179" t="s">
        <v>1107</v>
      </c>
      <c r="B3" s="179" t="s">
        <v>1106</v>
      </c>
      <c r="C3" s="179" t="s">
        <v>3344</v>
      </c>
      <c r="D3" s="179" t="str">
        <f>IFERROR(__xludf.DUMMYFUNCTION("SUBSTITUTE(REGEXREPLACE(REGEXREPLACE(C3, "":[^;]+"", """"), "";([^;]+)$"", "" and $1""), "";"", "", "")"),"Maolin Wang, Lang Fu, Jun Chu, Kai Guo, Chenjie Qin, Xinxin Wang, Siyu Wu, Wen Jiang and Xiangyu Zhao")</f>
        <v>Maolin Wang, Lang Fu, Jun Chu, Kai Guo, Chenjie Qin, Xinxin Wang, Siyu Wu, Wen Jiang and Xiangyu Zhao</v>
      </c>
      <c r="E3" s="120"/>
      <c r="F3" s="120"/>
      <c r="G3" s="120"/>
      <c r="H3" s="120"/>
      <c r="I3" s="120"/>
      <c r="J3" s="120"/>
      <c r="K3" s="120"/>
      <c r="L3" s="120"/>
      <c r="M3" s="120"/>
    </row>
    <row r="4">
      <c r="A4" s="179" t="s">
        <v>1097</v>
      </c>
      <c r="B4" s="179" t="s">
        <v>1096</v>
      </c>
      <c r="C4" s="179" t="s">
        <v>3345</v>
      </c>
      <c r="D4" s="179" t="str">
        <f>IFERROR(__xludf.DUMMYFUNCTION("SUBSTITUTE(REGEXREPLACE(REGEXREPLACE(C4, "":[^;]+"", """"), "";([^;]+)$"", "" and $1""), "";"", "", "")"),"Ziheng Ni, Congcong Liu, Cai Shang, Yiming Sun, Junjie Li, Zhiwei Fang, Guangpeng Chen, Li Jian, Zehua Zhang, Changping Peng, Zhangang Lin, Ching Law and Jingping Shao")</f>
        <v>Ziheng Ni, Congcong Liu, Cai Shang, Yiming Sun, Junjie Li, Zhiwei Fang, Guangpeng Chen, Li Jian, Zehua Zhang, Changping Peng, Zhangang Lin, Ching Law and Jingping Shao</v>
      </c>
      <c r="E4" s="120"/>
      <c r="F4" s="120"/>
      <c r="G4" s="120"/>
      <c r="H4" s="120"/>
      <c r="I4" s="120"/>
      <c r="J4" s="120"/>
      <c r="K4" s="120"/>
      <c r="L4" s="120"/>
      <c r="M4" s="120"/>
    </row>
    <row r="5">
      <c r="A5" s="179" t="s">
        <v>1087</v>
      </c>
      <c r="B5" s="179" t="s">
        <v>1086</v>
      </c>
      <c r="C5" s="179" t="s">
        <v>3346</v>
      </c>
      <c r="D5" s="179" t="str">
        <f>IFERROR(__xludf.DUMMYFUNCTION("SUBSTITUTE(REGEXREPLACE(REGEXREPLACE(C5, "":[^;]+"", """"), "";([^;]+)$"", "" and $1""), "";"", "", "")"),"Jiazheng Kang, Le Huang, Cheng Hou, Zhe Zhao, ZhenXiang Yan and Ting Bai")</f>
        <v>Jiazheng Kang, Le Huang, Cheng Hou, Zhe Zhao, ZhenXiang Yan and Ting Bai</v>
      </c>
      <c r="E5" s="120"/>
      <c r="F5" s="120"/>
      <c r="G5" s="120"/>
      <c r="H5" s="120"/>
      <c r="I5" s="120"/>
      <c r="J5" s="120"/>
      <c r="K5" s="120"/>
      <c r="L5" s="120"/>
      <c r="M5" s="120"/>
    </row>
    <row r="6">
      <c r="A6" s="179" t="s">
        <v>1057</v>
      </c>
      <c r="B6" s="179" t="s">
        <v>1056</v>
      </c>
      <c r="C6" s="179" t="s">
        <v>3347</v>
      </c>
      <c r="D6" s="179" t="str">
        <f>IFERROR(__xludf.DUMMYFUNCTION("SUBSTITUTE(REGEXREPLACE(REGEXREPLACE(C6, "":[^;]+"", """"), "";([^;]+)$"", "" and $1""), "";"", "", "")"),"Zhongjian Zhang, Mengmei Zhang, Dehua Xu, Rongjun Shi, Jianfeng Liu, Fuli Meng, Huajian Xu, Xiao Wang, Ruijia Wang, Junze Chen, Minwei Tang and Chuan Shi")</f>
        <v>Zhongjian Zhang, Mengmei Zhang, Dehua Xu, Rongjun Shi, Jianfeng Liu, Fuli Meng, Huajian Xu, Xiao Wang, Ruijia Wang, Junze Chen, Minwei Tang and Chuan Shi</v>
      </c>
      <c r="E6" s="120"/>
      <c r="F6" s="120"/>
      <c r="G6" s="120"/>
      <c r="H6" s="120"/>
      <c r="I6" s="120"/>
      <c r="J6" s="120"/>
      <c r="K6" s="120"/>
      <c r="L6" s="120"/>
      <c r="M6" s="120"/>
    </row>
    <row r="7">
      <c r="A7" s="179" t="s">
        <v>1137</v>
      </c>
      <c r="B7" s="179" t="s">
        <v>1136</v>
      </c>
      <c r="C7" s="179" t="s">
        <v>3348</v>
      </c>
      <c r="D7" s="179" t="str">
        <f>IFERROR(__xludf.DUMMYFUNCTION("SUBSTITUTE(REGEXREPLACE(REGEXREPLACE(C7, "":[^;]+"", """"), "";([^;]+)$"", "" and $1""), "";"", "", "")"),"Wei Wang, Fanyu Han, Shengyu Zhao, Xuan Zhou, Weining Qian, Aoying Zhou, Xiaoya Xia, Liyun Yang, Rong Wang, Ning Jiang and Moming Duan")</f>
        <v>Wei Wang, Fanyu Han, Shengyu Zhao, Xuan Zhou, Weining Qian, Aoying Zhou, Xiaoya Xia, Liyun Yang, Rong Wang, Ning Jiang and Moming Duan</v>
      </c>
      <c r="E7" s="120"/>
      <c r="F7" s="120"/>
      <c r="G7" s="120"/>
      <c r="H7" s="120"/>
      <c r="I7" s="120"/>
      <c r="J7" s="120"/>
      <c r="K7" s="120"/>
      <c r="L7" s="120"/>
      <c r="M7" s="120"/>
    </row>
    <row r="8">
      <c r="A8" s="179" t="s">
        <v>1059</v>
      </c>
      <c r="B8" s="179" t="s">
        <v>1058</v>
      </c>
      <c r="C8" s="179" t="s">
        <v>3349</v>
      </c>
      <c r="D8" s="179" t="str">
        <f>IFERROR(__xludf.DUMMYFUNCTION("SUBSTITUTE(REGEXREPLACE(REGEXREPLACE(C8, "":[^;]+"", """"), "";([^;]+)$"", "" and $1""), "";"", "", "")"),"Zhenghan Tai, Hanwei Wu, Qingchen Hu, Jijun Chi, Hailin He, Lei Ding, Tung Sum Thomas Kwok, Bohuai Xiao, Yuchen Hua, Suyuchen Wang, Peng Lu, Muzhi Li, Yihong Wu, Liheng Ma, Jerry Huang, Jiayi Zhang, Gonghao Zhang, Chaolong Jiang, Jingrui Tian, Sicheng Lyu"&amp;", Zeyu Li, Boyu Han, Fengran Mo, Xinyue Yu, Yufei Cui, Ling Zhou and Xinyu Wang")</f>
        <v>Zhenghan Tai, Hanwei Wu, Qingchen Hu, Jijun Chi, Hailin He, Lei Ding, Tung Sum Thomas Kwok, Bohuai Xiao, Yuchen Hua, Suyuchen Wang, Peng Lu, Muzhi Li, Yihong Wu, Liheng Ma, Jerry Huang, Jiayi Zhang, Gonghao Zhang, Chaolong Jiang, Jingrui Tian, Sicheng Lyu, Zeyu Li, Boyu Han, Fengran Mo, Xinyue Yu, Yufei Cui, Ling Zhou and Xinyu Wang</v>
      </c>
      <c r="E8" s="120"/>
      <c r="F8" s="120"/>
      <c r="G8" s="120"/>
      <c r="H8" s="120"/>
      <c r="I8" s="120"/>
      <c r="J8" s="120"/>
      <c r="K8" s="120"/>
      <c r="L8" s="120"/>
      <c r="M8" s="120"/>
    </row>
    <row r="9">
      <c r="A9" s="179" t="s">
        <v>1139</v>
      </c>
      <c r="B9" s="179" t="s">
        <v>1138</v>
      </c>
      <c r="C9" s="179" t="s">
        <v>3350</v>
      </c>
      <c r="D9" s="179" t="str">
        <f>IFERROR(__xludf.DUMMYFUNCTION("SUBSTITUTE(REGEXREPLACE(REGEXREPLACE(C9, "":[^;]+"", """"), "";([^;]+)$"", "" and $1""), "";"", "", "")"),"Zhuoning Guo, Guangxing Chen, Qian Gao, Xiaochao Liao, Jianjia Zheng, Lu Shen and Hao Liu")</f>
        <v>Zhuoning Guo, Guangxing Chen, Qian Gao, Xiaochao Liao, Jianjia Zheng, Lu Shen and Hao Liu</v>
      </c>
      <c r="E9" s="120"/>
      <c r="F9" s="120"/>
      <c r="G9" s="120"/>
      <c r="H9" s="120"/>
      <c r="I9" s="120"/>
      <c r="J9" s="120"/>
      <c r="K9" s="120"/>
      <c r="L9" s="120"/>
      <c r="M9" s="120"/>
    </row>
    <row r="10">
      <c r="A10" s="179" t="s">
        <v>1141</v>
      </c>
      <c r="B10" s="179" t="s">
        <v>1140</v>
      </c>
      <c r="C10" s="179" t="s">
        <v>3351</v>
      </c>
      <c r="D10" s="179" t="str">
        <f>IFERROR(__xludf.DUMMYFUNCTION("SUBSTITUTE(REGEXREPLACE(REGEXREPLACE(C10, "":[^;]+"", """"), "";([^;]+)$"", "" and $1""), "";"", "", "")"),"Zhao Li, FengYang Qi, Chuanyu Xu, Tao Zhang, Chengfu Huo and Peng Zhang")</f>
        <v>Zhao Li, FengYang Qi, Chuanyu Xu, Tao Zhang, Chengfu Huo and Peng Zhang</v>
      </c>
      <c r="E10" s="120"/>
      <c r="F10" s="120"/>
      <c r="G10" s="120"/>
      <c r="H10" s="120"/>
      <c r="I10" s="120"/>
      <c r="J10" s="120"/>
      <c r="K10" s="120"/>
      <c r="L10" s="120"/>
      <c r="M10" s="120"/>
    </row>
    <row r="11">
      <c r="A11" s="179" t="s">
        <v>1117</v>
      </c>
      <c r="B11" s="179" t="s">
        <v>1116</v>
      </c>
      <c r="C11" s="179" t="s">
        <v>3352</v>
      </c>
      <c r="D11" s="179" t="str">
        <f>IFERROR(__xludf.DUMMYFUNCTION("SUBSTITUTE(REGEXREPLACE(REGEXREPLACE(C11, "":[^;]+"", """"), "";([^;]+)$"", "" and $1""), "";"", "", "")"),"Huabin Chen, Xinao Wang, Huiping Chu, Keqin Xu, Chenhao Zhai, Chenyi Wang, Kai Meng and Yuning Jiang")</f>
        <v>Huabin Chen, Xinao Wang, Huiping Chu, Keqin Xu, Chenhao Zhai, Chenyi Wang, Kai Meng and Yuning Jiang</v>
      </c>
      <c r="E11" s="120"/>
      <c r="F11" s="120"/>
      <c r="G11" s="120"/>
      <c r="H11" s="120"/>
      <c r="I11" s="120"/>
      <c r="J11" s="120"/>
      <c r="K11" s="120"/>
      <c r="L11" s="120"/>
      <c r="M11" s="120"/>
    </row>
    <row r="12">
      <c r="A12" s="179" t="s">
        <v>1143</v>
      </c>
      <c r="B12" s="179" t="s">
        <v>1142</v>
      </c>
      <c r="C12" s="179" t="s">
        <v>3353</v>
      </c>
      <c r="D12" s="179" t="str">
        <f>IFERROR(__xludf.DUMMYFUNCTION("SUBSTITUTE(REGEXREPLACE(REGEXREPLACE(C12, "":[^;]+"", """"), "";([^;]+)$"", "" and $1""), "";"", "", "")"),"Yijia Sun, Shanshan Huang, Zhiyuan Guan, Qiang Luo, Ruiming Tang, Kun Gai and Guorui Zhou")</f>
        <v>Yijia Sun, Shanshan Huang, Zhiyuan Guan, Qiang Luo, Ruiming Tang, Kun Gai and Guorui Zhou</v>
      </c>
      <c r="E12" s="120"/>
      <c r="F12" s="120"/>
      <c r="G12" s="120"/>
      <c r="H12" s="120"/>
      <c r="I12" s="120"/>
      <c r="J12" s="120"/>
      <c r="K12" s="120"/>
      <c r="L12" s="120"/>
      <c r="M12" s="120"/>
    </row>
    <row r="13">
      <c r="A13" s="179" t="s">
        <v>1127</v>
      </c>
      <c r="B13" s="179" t="s">
        <v>1126</v>
      </c>
      <c r="C13" s="179" t="s">
        <v>3354</v>
      </c>
      <c r="D13" s="179" t="str">
        <f>IFERROR(__xludf.DUMMYFUNCTION("SUBSTITUTE(REGEXREPLACE(REGEXREPLACE(C13, "":[^;]+"", """"), "";([^;]+)$"", "" and $1""), "";"", "", "")"),"Junshen Xu, Jiayun Zhang and Yi Fan")</f>
        <v>Junshen Xu, Jiayun Zhang and Yi Fan</v>
      </c>
      <c r="E13" s="120"/>
      <c r="F13" s="120"/>
      <c r="G13" s="120"/>
      <c r="H13" s="120"/>
      <c r="I13" s="120"/>
      <c r="J13" s="120"/>
      <c r="K13" s="120"/>
      <c r="L13" s="120"/>
      <c r="M13" s="120"/>
    </row>
    <row r="14">
      <c r="A14" s="179" t="s">
        <v>1145</v>
      </c>
      <c r="B14" s="179" t="s">
        <v>1144</v>
      </c>
      <c r="C14" s="179" t="s">
        <v>3355</v>
      </c>
      <c r="D14" s="179" t="str">
        <f>IFERROR(__xludf.DUMMYFUNCTION("SUBSTITUTE(REGEXREPLACE(REGEXREPLACE(C14, "":[^;]+"", """"), "";([^;]+)$"", "" and $1""), "";"", "", "")"),"Xing Tang, Hao Chen, Shiwei Li, Fuyuan Lyu, Weijie Shi, Lingjie Li, Dugang Liu, Weihong Luo, Xiku Du and Xiuqiang He")</f>
        <v>Xing Tang, Hao Chen, Shiwei Li, Fuyuan Lyu, Weijie Shi, Lingjie Li, Dugang Liu, Weihong Luo, Xiku Du and Xiuqiang He</v>
      </c>
      <c r="E14" s="120"/>
      <c r="F14" s="120"/>
      <c r="G14" s="120"/>
      <c r="H14" s="120"/>
      <c r="I14" s="120"/>
      <c r="J14" s="120"/>
      <c r="K14" s="120"/>
      <c r="L14" s="120"/>
      <c r="M14" s="120"/>
    </row>
    <row r="15">
      <c r="A15" s="179" t="s">
        <v>1061</v>
      </c>
      <c r="B15" s="179" t="s">
        <v>1060</v>
      </c>
      <c r="C15" s="179" t="s">
        <v>3356</v>
      </c>
      <c r="D15" s="179" t="str">
        <f>IFERROR(__xludf.DUMMYFUNCTION("SUBSTITUTE(REGEXREPLACE(REGEXREPLACE(C15, "":[^;]+"", """"), "";([^;]+)$"", "" and $1""), "";"", "", "")"),"Lingfei Qian, Xueqing Peng, Hanley Smith, Yi Han, Yueru He, Haohang Li, Yupeng Cao, Yangyang Yu, Guojun Xiong, Peng Lu, Yan Wang, Vincent Jim Zhang, Huan He, Alejandro Lopez-Lira, Jimin Huang, Jian-Yun Nie and Sophia Ananiadou")</f>
        <v>Lingfei Qian, Xueqing Peng, Hanley Smith, Yi Han, Yueru He, Haohang Li, Yupeng Cao, Yangyang Yu, Guojun Xiong, Peng Lu, Yan Wang, Vincent Jim Zhang, Huan He, Alejandro Lopez-Lira, Jimin Huang, Jian-Yun Nie and Sophia Ananiadou</v>
      </c>
      <c r="E15" s="120"/>
      <c r="F15" s="120"/>
      <c r="G15" s="120"/>
      <c r="H15" s="120"/>
      <c r="I15" s="120"/>
      <c r="J15" s="120"/>
      <c r="K15" s="120"/>
      <c r="L15" s="120"/>
      <c r="M15" s="120"/>
    </row>
    <row r="16">
      <c r="A16" s="179" t="s">
        <v>1099</v>
      </c>
      <c r="B16" s="179" t="s">
        <v>1098</v>
      </c>
      <c r="C16" s="179" t="s">
        <v>3357</v>
      </c>
      <c r="D16" s="179" t="str">
        <f>IFERROR(__xludf.DUMMYFUNCTION("SUBSTITUTE(REGEXREPLACE(REGEXREPLACE(C16, "":[^;]+"", """"), "";([^;]+)$"", "" and $1""), "";"", "", "")"),"Fuling Wang, Le Zhang, Jingbo Zhou, Jindong Han, Ying Sun, Chuan Qin, Hengshu Zhu and Hui Xiong")</f>
        <v>Fuling Wang, Le Zhang, Jingbo Zhou, Jindong Han, Ying Sun, Chuan Qin, Hengshu Zhu and Hui Xiong</v>
      </c>
      <c r="E16" s="120"/>
      <c r="F16" s="120"/>
      <c r="G16" s="120"/>
      <c r="H16" s="120"/>
      <c r="I16" s="120"/>
      <c r="J16" s="120"/>
      <c r="K16" s="120"/>
      <c r="L16" s="120"/>
      <c r="M16" s="120"/>
    </row>
    <row r="17">
      <c r="A17" s="179" t="s">
        <v>1067</v>
      </c>
      <c r="B17" s="179" t="s">
        <v>1066</v>
      </c>
      <c r="C17" s="179" t="s">
        <v>3358</v>
      </c>
      <c r="D17" s="179" t="str">
        <f>IFERROR(__xludf.DUMMYFUNCTION("SUBSTITUTE(REGEXREPLACE(REGEXREPLACE(C17, "":[^;]+"", """"), "";([^;]+)$"", "" and $1""), "";"", "", "")"),"Minmao Wang, Xingchen Liu, Shijie Yi, Likang Wu, Hongke Zhao, Fei Pan, Qingpeng Cai and Peng Jiang")</f>
        <v>Minmao Wang, Xingchen Liu, Shijie Yi, Likang Wu, Hongke Zhao, Fei Pan, Qingpeng Cai and Peng Jiang</v>
      </c>
      <c r="E17" s="120"/>
      <c r="F17" s="120"/>
      <c r="G17" s="120"/>
      <c r="H17" s="120"/>
      <c r="I17" s="120"/>
      <c r="J17" s="120"/>
      <c r="K17" s="120"/>
      <c r="L17" s="120"/>
      <c r="M17" s="120"/>
    </row>
    <row r="18">
      <c r="A18" s="179" t="s">
        <v>1129</v>
      </c>
      <c r="B18" s="179" t="s">
        <v>1128</v>
      </c>
      <c r="C18" s="179" t="s">
        <v>3359</v>
      </c>
      <c r="D18" s="179" t="str">
        <f>IFERROR(__xludf.DUMMYFUNCTION("SUBSTITUTE(REGEXREPLACE(REGEXREPLACE(C18, "":[^;]+"", """"), "";([^;]+)$"", "" and $1""), "";"", "", "")"),"Changhua Pei, Hang Cui, Jingjing Li, Yuxuan Li, Zihan Liu, Xinyuan Liao, Cenjie Hu, Jiabao Wang, Zheyuan Li, Zexin Wang, Haotian Si, Ke Xiang, Gaogang Xie and Dan Pei")</f>
        <v>Changhua Pei, Hang Cui, Jingjing Li, Yuxuan Li, Zihan Liu, Xinyuan Liao, Cenjie Hu, Jiabao Wang, Zheyuan Li, Zexin Wang, Haotian Si, Ke Xiang, Gaogang Xie and Dan Pei</v>
      </c>
      <c r="E18" s="120"/>
      <c r="F18" s="120"/>
      <c r="G18" s="120"/>
      <c r="H18" s="120"/>
      <c r="I18" s="120"/>
      <c r="J18" s="120"/>
      <c r="K18" s="120"/>
      <c r="L18" s="120"/>
      <c r="M18" s="120"/>
    </row>
    <row r="19">
      <c r="A19" s="179" t="s">
        <v>1079</v>
      </c>
      <c r="B19" s="179" t="s">
        <v>1078</v>
      </c>
      <c r="C19" s="179" t="s">
        <v>3360</v>
      </c>
      <c r="D19" s="179" t="str">
        <f>IFERROR(__xludf.DUMMYFUNCTION("SUBSTITUTE(REGEXREPLACE(REGEXREPLACE(C19, "":[^;]+"", """"), "";([^;]+)$"", "" and $1""), "";"", "", "")"),"Qijie Shen, Yuanchen Bei, Zihong Huang, Xixian Wang, Zhibo Xiao, Dimin Wang, Jialin Zhu, Yuning Jiang, Feiran Huang and Hao Chen")</f>
        <v>Qijie Shen, Yuanchen Bei, Zihong Huang, Xixian Wang, Zhibo Xiao, Dimin Wang, Jialin Zhu, Yuning Jiang, Feiran Huang and Hao Chen</v>
      </c>
      <c r="E19" s="120"/>
      <c r="F19" s="120"/>
      <c r="G19" s="120"/>
      <c r="H19" s="120"/>
      <c r="I19" s="120"/>
      <c r="J19" s="120"/>
      <c r="K19" s="120"/>
      <c r="L19" s="120"/>
      <c r="M19" s="120"/>
    </row>
    <row r="20">
      <c r="A20" s="179" t="s">
        <v>1147</v>
      </c>
      <c r="B20" s="179" t="s">
        <v>1146</v>
      </c>
      <c r="C20" s="179" t="s">
        <v>3361</v>
      </c>
      <c r="D20" s="179" t="str">
        <f>IFERROR(__xludf.DUMMYFUNCTION("SUBSTITUTE(REGEXREPLACE(REGEXREPLACE(C20, "":[^;]+"", """"), "";([^;]+)$"", "" and $1""), "";"", "", "")"),"Qingyang Liu, Jiangtong Li, Zelin Peng, Shaobo Wang, Zhaohe Liao, Shuochen Chang, Bingjie Gao, Haonan Zhao, Mu Liu, Jidong Jiang and Li Niu")</f>
        <v>Qingyang Liu, Jiangtong Li, Zelin Peng, Shaobo Wang, Zhaohe Liao, Shuochen Chang, Bingjie Gao, Haonan Zhao, Mu Liu, Jidong Jiang and Li Niu</v>
      </c>
      <c r="E20" s="120"/>
      <c r="F20" s="120"/>
      <c r="G20" s="120"/>
      <c r="H20" s="120"/>
      <c r="I20" s="120"/>
      <c r="J20" s="120"/>
      <c r="K20" s="120"/>
      <c r="L20" s="120"/>
      <c r="M20" s="120"/>
    </row>
    <row r="21">
      <c r="A21" s="179" t="s">
        <v>1149</v>
      </c>
      <c r="B21" s="179" t="s">
        <v>1148</v>
      </c>
      <c r="C21" s="179" t="s">
        <v>3362</v>
      </c>
      <c r="D21" s="179" t="str">
        <f>IFERROR(__xludf.DUMMYFUNCTION("SUBSTITUTE(REGEXREPLACE(REGEXREPLACE(C21, "":[^;]+"", """"), "";([^;]+)$"", "" and $1""), "";"", "", "")"),"Xu Chu, Angela Li, Jiaming Zhang, Wei Li, Zhijie Tan, Dawei Yin, Shuaiqiang Wang and Daiting Shi")</f>
        <v>Xu Chu, Angela Li, Jiaming Zhang, Wei Li, Zhijie Tan, Dawei Yin, Shuaiqiang Wang and Daiting Shi</v>
      </c>
      <c r="E21" s="120"/>
      <c r="F21" s="120"/>
      <c r="G21" s="120"/>
      <c r="H21" s="120"/>
      <c r="I21" s="120"/>
      <c r="J21" s="120"/>
      <c r="K21" s="120"/>
      <c r="L21" s="120"/>
      <c r="M21" s="120"/>
    </row>
    <row r="22">
      <c r="A22" s="179" t="s">
        <v>1131</v>
      </c>
      <c r="B22" s="179" t="s">
        <v>1130</v>
      </c>
      <c r="C22" s="179" t="s">
        <v>3363</v>
      </c>
      <c r="D22" s="179" t="str">
        <f>IFERROR(__xludf.DUMMYFUNCTION("SUBSTITUTE(REGEXREPLACE(REGEXREPLACE(C22, "":[^;]+"", """"), "";([^;]+)$"", "" and $1""), "";"", "", "")"),"Felipe Marineli, Valerio Cetorelli, Valter Crescenzi, Tim Furche and Xiaonan Guo")</f>
        <v>Felipe Marineli, Valerio Cetorelli, Valter Crescenzi, Tim Furche and Xiaonan Guo</v>
      </c>
      <c r="E22" s="120"/>
      <c r="F22" s="120"/>
      <c r="G22" s="120"/>
      <c r="H22" s="120"/>
      <c r="I22" s="120"/>
      <c r="J22" s="120"/>
      <c r="K22" s="120"/>
      <c r="L22" s="120"/>
      <c r="M22" s="120"/>
    </row>
    <row r="23">
      <c r="A23" s="179" t="s">
        <v>1081</v>
      </c>
      <c r="B23" s="179" t="s">
        <v>1080</v>
      </c>
      <c r="C23" s="179" t="s">
        <v>3364</v>
      </c>
      <c r="D23" s="179" t="str">
        <f>IFERROR(__xludf.DUMMYFUNCTION("SUBSTITUTE(REGEXREPLACE(REGEXREPLACE(C23, "":[^;]+"", """"), "";([^;]+)$"", "" and $1""), "";"", "", "")"),"Phuc Nguyen, Benjamin Zelditch, Joyce Chen, Rohit K Patra and Changshuai Wei")</f>
        <v>Phuc Nguyen, Benjamin Zelditch, Joyce Chen, Rohit K Patra and Changshuai Wei</v>
      </c>
      <c r="E23" s="120"/>
      <c r="F23" s="120"/>
      <c r="G23" s="120"/>
      <c r="H23" s="120"/>
      <c r="I23" s="120"/>
      <c r="J23" s="120"/>
      <c r="K23" s="120"/>
      <c r="L23" s="120"/>
      <c r="M23" s="120"/>
    </row>
    <row r="24">
      <c r="A24" s="179" t="s">
        <v>1109</v>
      </c>
      <c r="B24" s="179" t="s">
        <v>1108</v>
      </c>
      <c r="C24" s="179" t="s">
        <v>3365</v>
      </c>
      <c r="D24" s="179" t="str">
        <f>IFERROR(__xludf.DUMMYFUNCTION("SUBSTITUTE(REGEXREPLACE(REGEXREPLACE(C24, "":[^;]+"", """"), "";([^;]+)$"", "" and $1""), "";"", "", "")"),"Ruize Ou, Kai Wang, Jianzhi Shao, Tao Zhang and Chengfu Huo")</f>
        <v>Ruize Ou, Kai Wang, Jianzhi Shao, Tao Zhang and Chengfu Huo</v>
      </c>
      <c r="E24" s="120"/>
      <c r="F24" s="120"/>
      <c r="G24" s="120"/>
      <c r="H24" s="120"/>
      <c r="I24" s="120"/>
      <c r="J24" s="120"/>
      <c r="K24" s="120"/>
      <c r="L24" s="120"/>
      <c r="M24" s="120"/>
    </row>
    <row r="25">
      <c r="A25" s="179" t="s">
        <v>1151</v>
      </c>
      <c r="B25" s="179" t="s">
        <v>1150</v>
      </c>
      <c r="C25" s="179" t="s">
        <v>3366</v>
      </c>
      <c r="D25" s="179" t="str">
        <f>IFERROR(__xludf.DUMMYFUNCTION("SUBSTITUTE(REGEXREPLACE(REGEXREPLACE(C25, "":[^;]+"", """"), "";([^;]+)$"", "" and $1""), "";"", "", "")"),"Yuting Huang, Ziquan Fang, Zhengjie Zhou, Tinghui Luo, Lu Chen, Surun Ji, Huimei Zheng, Mingfan Lu, Fangshu Chen and Yunjun Gao")</f>
        <v>Yuting Huang, Ziquan Fang, Zhengjie Zhou, Tinghui Luo, Lu Chen, Surun Ji, Huimei Zheng, Mingfan Lu, Fangshu Chen and Yunjun Gao</v>
      </c>
      <c r="E25" s="120"/>
      <c r="F25" s="120"/>
      <c r="G25" s="120"/>
      <c r="H25" s="120"/>
      <c r="I25" s="120"/>
      <c r="J25" s="120"/>
      <c r="K25" s="120"/>
      <c r="L25" s="120"/>
      <c r="M25" s="120"/>
    </row>
    <row r="26">
      <c r="A26" s="179" t="s">
        <v>1111</v>
      </c>
      <c r="B26" s="179" t="s">
        <v>1110</v>
      </c>
      <c r="C26" s="179" t="s">
        <v>3367</v>
      </c>
      <c r="D26" s="179" t="str">
        <f>IFERROR(__xludf.DUMMYFUNCTION("SUBSTITUTE(REGEXREPLACE(REGEXREPLACE(C26, "":[^;]+"", """"), "";([^;]+)$"", "" and $1""), "";"", "", "")"),"Jianhui Yang, Yiming Jin, Pengkun Jiao, Chenhe Dong, Zerui Huang, Shaowei Yao, Xiaojiang Zhou, Dan Ou and Haihong Tang")</f>
        <v>Jianhui Yang, Yiming Jin, Pengkun Jiao, Chenhe Dong, Zerui Huang, Shaowei Yao, Xiaojiang Zhou, Dan Ou and Haihong Tang</v>
      </c>
      <c r="E26" s="120"/>
      <c r="F26" s="120"/>
      <c r="G26" s="120"/>
      <c r="H26" s="120"/>
      <c r="I26" s="120"/>
      <c r="J26" s="120"/>
      <c r="K26" s="120"/>
      <c r="L26" s="120"/>
      <c r="M26" s="120"/>
    </row>
    <row r="27">
      <c r="A27" s="179" t="s">
        <v>1153</v>
      </c>
      <c r="B27" s="179" t="s">
        <v>1152</v>
      </c>
      <c r="C27" s="179" t="s">
        <v>3368</v>
      </c>
      <c r="D27" s="179" t="str">
        <f>IFERROR(__xludf.DUMMYFUNCTION("SUBSTITUTE(REGEXREPLACE(REGEXREPLACE(C27, "":[^;]+"", """"), "";([^;]+)$"", "" and $1""), "";"", "", "")"),"Mingjie You, Dawei Cheng, Meilin Zhang, Peng Zhu and Yuqi Liang")</f>
        <v>Mingjie You, Dawei Cheng, Meilin Zhang, Peng Zhu and Yuqi Liang</v>
      </c>
      <c r="E27" s="120"/>
      <c r="F27" s="120"/>
      <c r="G27" s="120"/>
      <c r="H27" s="120"/>
      <c r="I27" s="120"/>
      <c r="J27" s="120"/>
      <c r="K27" s="120"/>
      <c r="L27" s="120"/>
      <c r="M27" s="120"/>
    </row>
    <row r="28">
      <c r="A28" s="179" t="s">
        <v>1119</v>
      </c>
      <c r="B28" s="179" t="s">
        <v>1118</v>
      </c>
      <c r="C28" s="179" t="s">
        <v>3369</v>
      </c>
      <c r="D28" s="179" t="str">
        <f>IFERROR(__xludf.DUMMYFUNCTION("SUBSTITUTE(REGEXREPLACE(REGEXREPLACE(C28, "":[^;]+"", """"), "";([^;]+)$"", "" and $1""), "";"", "", "")"),"Yuejia Dou, Shuai Dou, Yuchao Ma, Bingzhe Wang, Tianyu Wang, Zhilin Zhang, Chuan Yu, Jian Xu and Qi Qi")</f>
        <v>Yuejia Dou, Shuai Dou, Yuchao Ma, Bingzhe Wang, Tianyu Wang, Zhilin Zhang, Chuan Yu, Jian Xu and Qi Qi</v>
      </c>
      <c r="E28" s="120"/>
      <c r="F28" s="120"/>
      <c r="G28" s="120"/>
      <c r="H28" s="120"/>
      <c r="I28" s="120"/>
      <c r="J28" s="120"/>
      <c r="K28" s="120"/>
      <c r="L28" s="120"/>
      <c r="M28" s="120"/>
    </row>
    <row r="29">
      <c r="A29" s="179" t="s">
        <v>1121</v>
      </c>
      <c r="B29" s="179" t="s">
        <v>1120</v>
      </c>
      <c r="C29" s="179" t="s">
        <v>3370</v>
      </c>
      <c r="D29" s="179" t="str">
        <f>IFERROR(__xludf.DUMMYFUNCTION("SUBSTITUTE(REGEXREPLACE(REGEXREPLACE(C29, "":[^;]+"", """"), "";([^;]+)$"", "" and $1""), "";"", "", "")"),"Lin Guan, Jia-Qi Yang, Zhishan Zhao, Beichuan Zhang, Bo Sun, Xuanyuan Luo, Jinan Ni, Xiaowen Li, Yuhang Qi, Zhifang Fan, Hangyu Wang, Qiwei Chen, Yi Cheng, Feng Zhang and Xiao Yang")</f>
        <v>Lin Guan, Jia-Qi Yang, Zhishan Zhao, Beichuan Zhang, Bo Sun, Xuanyuan Luo, Jinan Ni, Xiaowen Li, Yuhang Qi, Zhifang Fan, Hangyu Wang, Qiwei Chen, Yi Cheng, Feng Zhang and Xiao Yang</v>
      </c>
      <c r="E29" s="120"/>
      <c r="F29" s="120"/>
      <c r="G29" s="120"/>
      <c r="H29" s="120"/>
      <c r="I29" s="120"/>
      <c r="J29" s="120"/>
      <c r="K29" s="120"/>
      <c r="L29" s="120"/>
      <c r="M29" s="120"/>
    </row>
    <row r="30">
      <c r="A30" s="179" t="s">
        <v>1069</v>
      </c>
      <c r="B30" s="179" t="s">
        <v>1068</v>
      </c>
      <c r="C30" s="179" t="s">
        <v>3371</v>
      </c>
      <c r="D30" s="179" t="str">
        <f>IFERROR(__xludf.DUMMYFUNCTION("SUBSTITUTE(REGEXREPLACE(REGEXREPLACE(C30, "":[^;]+"", """"), "";([^;]+)$"", "" and $1""), "";"", "", "")"),"Zerui Chen, Heng Chang, Tianying Liu, Chuantian Zhou, Yi Cao, Jiandong Ding, Ming Liu and Bing Qin")</f>
        <v>Zerui Chen, Heng Chang, Tianying Liu, Chuantian Zhou, Yi Cao, Jiandong Ding, Ming Liu and Bing Qin</v>
      </c>
      <c r="E30" s="120"/>
      <c r="F30" s="120"/>
      <c r="G30" s="120"/>
      <c r="H30" s="120"/>
      <c r="I30" s="120"/>
      <c r="J30" s="120"/>
      <c r="K30" s="120"/>
      <c r="L30" s="120"/>
      <c r="M30" s="120"/>
    </row>
    <row r="31">
      <c r="A31" s="179" t="s">
        <v>1123</v>
      </c>
      <c r="B31" s="179" t="s">
        <v>1122</v>
      </c>
      <c r="C31" s="179" t="s">
        <v>3372</v>
      </c>
      <c r="D31" s="179" t="str">
        <f>IFERROR(__xludf.DUMMYFUNCTION("SUBSTITUTE(REGEXREPLACE(REGEXREPLACE(C31, "":[^;]+"", """"), "";([^;]+)$"", "" and $1""), "";"", "", "")"),"Chenghui Yu, Hongwei Wang, Junwen Chen, Zixuan Wang, Bingfeng Deng, Zhuolin Hao, Hongyu Xiong and Yang Song")</f>
        <v>Chenghui Yu, Hongwei Wang, Junwen Chen, Zixuan Wang, Bingfeng Deng, Zhuolin Hao, Hongyu Xiong and Yang Song</v>
      </c>
      <c r="E31" s="120"/>
      <c r="F31" s="120"/>
      <c r="G31" s="120"/>
      <c r="H31" s="120"/>
      <c r="I31" s="120"/>
      <c r="J31" s="120"/>
      <c r="K31" s="120"/>
      <c r="L31" s="120"/>
      <c r="M31" s="120"/>
    </row>
    <row r="32">
      <c r="A32" s="179" t="s">
        <v>1101</v>
      </c>
      <c r="B32" s="179" t="s">
        <v>1100</v>
      </c>
      <c r="C32" s="179" t="s">
        <v>3373</v>
      </c>
      <c r="D32" s="179" t="str">
        <f>IFERROR(__xludf.DUMMYFUNCTION("SUBSTITUTE(REGEXREPLACE(REGEXREPLACE(C32, "":[^;]+"", """"), "";([^;]+)$"", "" and $1""), "";"", "", "")"),"Omer Madmon, Shiran Golan, Eran Fainman, Ofri Kleinfeld and Moran Beladev")</f>
        <v>Omer Madmon, Shiran Golan, Eran Fainman, Ofri Kleinfeld and Moran Beladev</v>
      </c>
      <c r="E32" s="120"/>
      <c r="F32" s="120"/>
      <c r="G32" s="120"/>
      <c r="H32" s="120"/>
      <c r="I32" s="120"/>
      <c r="J32" s="120"/>
      <c r="K32" s="120"/>
      <c r="L32" s="120"/>
      <c r="M32" s="120"/>
    </row>
    <row r="33">
      <c r="A33" s="179" t="s">
        <v>1155</v>
      </c>
      <c r="B33" s="179" t="s">
        <v>1154</v>
      </c>
      <c r="C33" s="179" t="s">
        <v>3374</v>
      </c>
      <c r="D33" s="179" t="str">
        <f>IFERROR(__xludf.DUMMYFUNCTION("SUBSTITUTE(REGEXREPLACE(REGEXREPLACE(C33, "":[^;]+"", """"), "";([^;]+)$"", "" and $1""), "";"", "", "")"),"Peiyuan Gong, Feiran Zhu, Yaqi Yin, ChengLei Dai, Chao Zhang, Kai Zheng, Wentian Bao, Jiaxin Mao and Yi Zhang")</f>
        <v>Peiyuan Gong, Feiran Zhu, Yaqi Yin, ChengLei Dai, Chao Zhang, Kai Zheng, Wentian Bao, Jiaxin Mao and Yi Zhang</v>
      </c>
      <c r="E33" s="120"/>
      <c r="F33" s="120"/>
      <c r="G33" s="120"/>
      <c r="H33" s="120"/>
      <c r="I33" s="120"/>
      <c r="J33" s="120"/>
      <c r="K33" s="120"/>
      <c r="L33" s="120"/>
      <c r="M33" s="120"/>
    </row>
    <row r="34">
      <c r="A34" s="179" t="s">
        <v>1083</v>
      </c>
      <c r="B34" s="179" t="s">
        <v>1082</v>
      </c>
      <c r="C34" s="179" t="s">
        <v>3375</v>
      </c>
      <c r="D34" s="179" t="str">
        <f>IFERROR(__xludf.DUMMYFUNCTION("SUBSTITUTE(REGEXREPLACE(REGEXREPLACE(C34, "":[^;]+"", """"), "";([^;]+)$"", "" and $1""), "";"", "", "")"),"Weijiang Lai, Beihong Jin, Di Zhang, Siru Chen, Jiongyan Zhang, Yuhang Gou, Jian Dong and Xingxing Wang")</f>
        <v>Weijiang Lai, Beihong Jin, Di Zhang, Siru Chen, Jiongyan Zhang, Yuhang Gou, Jian Dong and Xingxing Wang</v>
      </c>
      <c r="E34" s="120"/>
      <c r="F34" s="120"/>
      <c r="G34" s="120"/>
      <c r="H34" s="120"/>
      <c r="I34" s="120"/>
      <c r="J34" s="120"/>
      <c r="K34" s="120"/>
      <c r="L34" s="120"/>
      <c r="M34" s="120"/>
    </row>
    <row r="35">
      <c r="A35" s="179" t="s">
        <v>1157</v>
      </c>
      <c r="B35" s="179" t="s">
        <v>1156</v>
      </c>
      <c r="C35" s="179" t="s">
        <v>3376</v>
      </c>
      <c r="D35" s="179" t="str">
        <f>IFERROR(__xludf.DUMMYFUNCTION("SUBSTITUTE(REGEXREPLACE(REGEXREPLACE(C35, "":[^;]+"", """"), "";([^;]+)$"", "" and $1""), "";"", "", "")"),"Pengfei Tong, Siyuan Chen, Chenwei Zhang, Bo Wang, Qi Pi, Pixun Li and Zuotao Liu")</f>
        <v>Pengfei Tong, Siyuan Chen, Chenwei Zhang, Bo Wang, Qi Pi, Pixun Li and Zuotao Liu</v>
      </c>
      <c r="E35" s="120"/>
      <c r="F35" s="120"/>
      <c r="G35" s="120"/>
      <c r="H35" s="120"/>
      <c r="I35" s="120"/>
      <c r="J35" s="120"/>
      <c r="K35" s="120"/>
      <c r="L35" s="120"/>
      <c r="M35" s="120"/>
    </row>
    <row r="36">
      <c r="A36" s="179" t="s">
        <v>1103</v>
      </c>
      <c r="B36" s="179" t="s">
        <v>1102</v>
      </c>
      <c r="C36" s="179" t="s">
        <v>3377</v>
      </c>
      <c r="D36" s="179" t="str">
        <f>IFERROR(__xludf.DUMMYFUNCTION("SUBSTITUTE(REGEXREPLACE(REGEXREPLACE(C36, "":[^;]+"", """"), "";([^;]+)$"", "" and $1""), "";"", "", "")"),"Fanwei Zhu, Zhuoran Zhuang, Detao Lv, Manwei Li and Yao Yu")</f>
        <v>Fanwei Zhu, Zhuoran Zhuang, Detao Lv, Manwei Li and Yao Yu</v>
      </c>
      <c r="E36" s="120"/>
      <c r="F36" s="120"/>
      <c r="G36" s="120"/>
      <c r="H36" s="120"/>
      <c r="I36" s="120"/>
      <c r="J36" s="120"/>
      <c r="K36" s="120"/>
      <c r="L36" s="120"/>
      <c r="M36" s="120"/>
    </row>
    <row r="37">
      <c r="A37" s="179" t="s">
        <v>1071</v>
      </c>
      <c r="B37" s="179" t="s">
        <v>1070</v>
      </c>
      <c r="C37" s="179" t="s">
        <v>3378</v>
      </c>
      <c r="D37" s="179" t="str">
        <f>IFERROR(__xludf.DUMMYFUNCTION("SUBSTITUTE(REGEXREPLACE(REGEXREPLACE(C37, "":[^;]+"", """"), "";([^;]+)$"", "" and $1""), "";"", "", "")"),"Yejing Wang, Shengyu Zhou, Jinyu Lu, Ziwei Liu, Langming Liu, Maolin Wang, Wenlin Zhang, Feng Li, Wenbo Su, Pengjie Wang, Jian Xu and Xiangyu Zhao")</f>
        <v>Yejing Wang, Shengyu Zhou, Jinyu Lu, Ziwei Liu, Langming Liu, Maolin Wang, Wenlin Zhang, Feng Li, Wenbo Su, Pengjie Wang, Jian Xu and Xiangyu Zhao</v>
      </c>
      <c r="E37" s="120"/>
      <c r="F37" s="120"/>
      <c r="G37" s="120"/>
      <c r="H37" s="120"/>
      <c r="I37" s="120"/>
      <c r="J37" s="120"/>
      <c r="K37" s="120"/>
      <c r="L37" s="120"/>
      <c r="M37" s="120"/>
    </row>
    <row r="38">
      <c r="A38" s="179" t="s">
        <v>1063</v>
      </c>
      <c r="B38" s="179" t="s">
        <v>1062</v>
      </c>
      <c r="C38" s="179" t="s">
        <v>3379</v>
      </c>
      <c r="D38" s="179" t="str">
        <f>IFERROR(__xludf.DUMMYFUNCTION("SUBSTITUTE(REGEXREPLACE(REGEXREPLACE(C38, "":[^;]+"", """"), "";([^;]+)$"", "" and $1""), "";"", "", "")"),"Bokai Cao, Xueyuan Lin, Yiyan Qi, Chengjin Xu, Cehao Yang and Jian Guo")</f>
        <v>Bokai Cao, Xueyuan Lin, Yiyan Qi, Chengjin Xu, Cehao Yang and Jian Guo</v>
      </c>
      <c r="E38" s="120"/>
      <c r="F38" s="120"/>
      <c r="G38" s="120"/>
      <c r="H38" s="120"/>
      <c r="I38" s="120"/>
      <c r="J38" s="120"/>
      <c r="K38" s="120"/>
      <c r="L38" s="120"/>
      <c r="M38" s="120"/>
    </row>
    <row r="39">
      <c r="A39" s="179" t="s">
        <v>1159</v>
      </c>
      <c r="B39" s="179" t="s">
        <v>1158</v>
      </c>
      <c r="C39" s="179" t="s">
        <v>3380</v>
      </c>
      <c r="D39" s="179" t="str">
        <f>IFERROR(__xludf.DUMMYFUNCTION("SUBSTITUTE(REGEXREPLACE(REGEXREPLACE(C39, "":[^;]+"", """"), "";([^;]+)$"", "" and $1""), "";"", "", "")"),"Ruining He, Lukasz Heldt, Lichan Hong, Raghunandan Keshavan, Shifan Mao, Nikhil Mehta, Zhengyang Su, Alicia Tsai, Yueqi Wang, Shao-Chuan Wang, Xinyang Yi, Lexi Baugher, Baykal Cakici, Ed Chi, Cristos Goodrow, Ningren Han, He Ma, Romer Rosales, Abby Van So"&amp;"est, Devansh Tandon, Su-Lin Wu, Weilong Yang and Yilin Zheng")</f>
        <v>Ruining He, Lukasz Heldt, Lichan Hong, Raghunandan Keshavan, Shifan Mao, Nikhil Mehta, Zhengyang Su, Alicia Tsai, Yueqi Wang, Shao-Chuan Wang, Xinyang Yi, Lexi Baugher, Baykal Cakici, Ed Chi, Cristos Goodrow, Ningren Han, He Ma, Romer Rosales, Abby Van Soest, Devansh Tandon, Su-Lin Wu, Weilong Yang and Yilin Zheng</v>
      </c>
      <c r="E39" s="120"/>
      <c r="F39" s="120"/>
      <c r="G39" s="120"/>
      <c r="H39" s="120"/>
      <c r="I39" s="120"/>
      <c r="J39" s="120"/>
      <c r="K39" s="120"/>
      <c r="L39" s="120"/>
      <c r="M39" s="120"/>
    </row>
    <row r="40">
      <c r="A40" s="179" t="s">
        <v>1161</v>
      </c>
      <c r="B40" s="179" t="s">
        <v>1160</v>
      </c>
      <c r="C40" s="179" t="s">
        <v>3381</v>
      </c>
      <c r="D40" s="179" t="str">
        <f>IFERROR(__xludf.DUMMYFUNCTION("SUBSTITUTE(REGEXREPLACE(REGEXREPLACE(C40, "":[^;]+"", """"), "";([^;]+)$"", "" and $1""), "";"", "", "")"),"Saeed Ebrahimi, Weijie Jiang, Jaewon Yang, Olafur Gudmundsson, Yucheng Tu and Huizhong Duan")</f>
        <v>Saeed Ebrahimi, Weijie Jiang, Jaewon Yang, Olafur Gudmundsson, Yucheng Tu and Huizhong Duan</v>
      </c>
      <c r="E40" s="120"/>
      <c r="F40" s="120"/>
      <c r="G40" s="120"/>
      <c r="H40" s="120"/>
      <c r="I40" s="120"/>
      <c r="J40" s="120"/>
      <c r="K40" s="120"/>
      <c r="L40" s="120"/>
      <c r="M40" s="120"/>
    </row>
    <row r="41">
      <c r="A41" s="179" t="s">
        <v>1089</v>
      </c>
      <c r="B41" s="179" t="s">
        <v>1088</v>
      </c>
      <c r="C41" s="179" t="s">
        <v>3382</v>
      </c>
      <c r="D41" s="179" t="str">
        <f>IFERROR(__xludf.DUMMYFUNCTION("SUBSTITUTE(REGEXREPLACE(REGEXREPLACE(C41, "":[^;]+"", """"), "";([^;]+)$"", "" and $1""), "";"", "", "")"),"Jianting Tang, Dongshuai Li, Tao Wen, Fuyu Lv, Dan Ou and Linli Xu")</f>
        <v>Jianting Tang, Dongshuai Li, Tao Wen, Fuyu Lv, Dan Ou and Linli Xu</v>
      </c>
      <c r="E41" s="120"/>
      <c r="F41" s="120"/>
      <c r="G41" s="120"/>
      <c r="H41" s="120"/>
      <c r="I41" s="120"/>
      <c r="J41" s="120"/>
      <c r="K41" s="120"/>
      <c r="L41" s="120"/>
      <c r="M41" s="120"/>
    </row>
    <row r="42">
      <c r="A42" s="179" t="s">
        <v>1091</v>
      </c>
      <c r="B42" s="179" t="s">
        <v>1090</v>
      </c>
      <c r="C42" s="179" t="s">
        <v>3383</v>
      </c>
      <c r="D42" s="179" t="str">
        <f>IFERROR(__xludf.DUMMYFUNCTION("SUBSTITUTE(REGEXREPLACE(REGEXREPLACE(C42, "":[^;]+"", """"), "";([^;]+)$"", "" and $1""), "";"", "", "")"),"Yuchen Li, Rui Kong, Xinran Chen, Chengzhe Zhang, Jiamin Chen, Cheng Deng, Xinyu Ma, Haojie Zhang, Tianhao Peng, Hengyi Cai, Shuaiqiang Wang, Jiashu Zhao, Yongqi Zhang, Haoyi Xiong, Jimmy Xiangji Huang, Lei Chen, Jun Wang and Dawei Yin")</f>
        <v>Yuchen Li, Rui Kong, Xinran Chen, Chengzhe Zhang, Jiamin Chen, Cheng Deng, Xinyu Ma, Haojie Zhang, Tianhao Peng, Hengyi Cai, Shuaiqiang Wang, Jiashu Zhao, Yongqi Zhang, Haoyi Xiong, Jimmy Xiangji Huang, Lei Chen, Jun Wang and Dawei Yin</v>
      </c>
      <c r="E42" s="120"/>
      <c r="F42" s="120"/>
      <c r="G42" s="120"/>
      <c r="H42" s="120"/>
      <c r="I42" s="120"/>
      <c r="J42" s="120"/>
      <c r="K42" s="120"/>
      <c r="L42" s="120"/>
      <c r="M42" s="120"/>
    </row>
    <row r="43">
      <c r="A43" s="179" t="s">
        <v>1133</v>
      </c>
      <c r="B43" s="179" t="s">
        <v>1132</v>
      </c>
      <c r="C43" s="179" t="s">
        <v>3384</v>
      </c>
      <c r="D43" s="179" t="str">
        <f>IFERROR(__xludf.DUMMYFUNCTION("SUBSTITUTE(REGEXREPLACE(REGEXREPLACE(C43, "":[^;]+"", """"), "";([^;]+)$"", "" and $1""), "";"", "", "")"),"Mengze Hong, Chen Jason Zhang, Zichang Guo, Hanlin Gu, Di Jiang and Qing Li")</f>
        <v>Mengze Hong, Chen Jason Zhang, Zichang Guo, Hanlin Gu, Di Jiang and Qing Li</v>
      </c>
      <c r="E43" s="120"/>
      <c r="F43" s="120"/>
      <c r="G43" s="120"/>
      <c r="H43" s="120"/>
      <c r="I43" s="120"/>
      <c r="J43" s="120"/>
      <c r="K43" s="120"/>
      <c r="L43" s="120"/>
      <c r="M43" s="120"/>
    </row>
    <row r="44">
      <c r="A44" s="179" t="s">
        <v>1163</v>
      </c>
      <c r="B44" s="179" t="s">
        <v>1162</v>
      </c>
      <c r="C44" s="179" t="s">
        <v>3385</v>
      </c>
      <c r="D44" s="179" t="str">
        <f>IFERROR(__xludf.DUMMYFUNCTION("SUBSTITUTE(REGEXREPLACE(REGEXREPLACE(C44, "":[^;]+"", """"), "";([^;]+)$"", "" and $1""), "";"", "", "")"),"Hebin Liang, Jianye Hao, Jinyi Liu, Yi Ma, Zilin Cao, Jing Liang, Kun Shao, Zhaocheng Du, Fei Ni, Yifu Yuan and Yan Zheng")</f>
        <v>Hebin Liang, Jianye Hao, Jinyi Liu, Yi Ma, Zilin Cao, Jing Liang, Kun Shao, Zhaocheng Du, Fei Ni, Yifu Yuan and Yan Zheng</v>
      </c>
      <c r="E44" s="120"/>
      <c r="F44" s="120"/>
      <c r="G44" s="120"/>
      <c r="H44" s="120"/>
      <c r="I44" s="120"/>
      <c r="J44" s="120"/>
      <c r="K44" s="120"/>
      <c r="L44" s="120"/>
      <c r="M44" s="120"/>
    </row>
    <row r="45">
      <c r="A45" s="179" t="s">
        <v>1073</v>
      </c>
      <c r="B45" s="179" t="s">
        <v>1072</v>
      </c>
      <c r="C45" s="179" t="s">
        <v>3386</v>
      </c>
      <c r="D45" s="179" t="str">
        <f>IFERROR(__xludf.DUMMYFUNCTION("SUBSTITUTE(REGEXREPLACE(REGEXREPLACE(C45, "":[^;]+"", """"), "";([^;]+)$"", "" and $1""), "";"", "", "")"),"Zhaoqi Zhang, Haolei Pei, Jun Guo, Tianyu Wang, Yufei Feng, Hui Sun, Shaowei Liu and Aixin Sun")</f>
        <v>Zhaoqi Zhang, Haolei Pei, Jun Guo, Tianyu Wang, Yufei Feng, Hui Sun, Shaowei Liu and Aixin Sun</v>
      </c>
      <c r="E45" s="120"/>
      <c r="F45" s="120"/>
      <c r="G45" s="120"/>
      <c r="H45" s="120"/>
      <c r="I45" s="120"/>
      <c r="J45" s="120"/>
      <c r="K45" s="120"/>
      <c r="L45" s="120"/>
      <c r="M45" s="120"/>
    </row>
    <row r="46">
      <c r="A46" s="179" t="s">
        <v>1113</v>
      </c>
      <c r="B46" s="179" t="s">
        <v>1112</v>
      </c>
      <c r="C46" s="179" t="s">
        <v>3387</v>
      </c>
      <c r="D46" s="179" t="str">
        <f>IFERROR(__xludf.DUMMYFUNCTION("SUBSTITUTE(REGEXREPLACE(REGEXREPLACE(C46, "":[^;]+"", """"), "";([^;]+)$"", "" and $1""), "";"", "", "")"),"Baopu Qiu, Hao Chen, Yuanrong Wu, Changtong Zan, Chao Wei, Weiru Zhang and Xiaoyi Zeng")</f>
        <v>Baopu Qiu, Hao Chen, Yuanrong Wu, Changtong Zan, Chao Wei, Weiru Zhang and Xiaoyi Zeng</v>
      </c>
      <c r="E46" s="120"/>
      <c r="F46" s="120"/>
      <c r="G46" s="120"/>
      <c r="H46" s="120"/>
      <c r="I46" s="120"/>
      <c r="J46" s="120"/>
      <c r="K46" s="120"/>
      <c r="L46" s="120"/>
      <c r="M46" s="120"/>
    </row>
    <row r="47">
      <c r="A47" s="179" t="s">
        <v>1165</v>
      </c>
      <c r="B47" s="179" t="s">
        <v>1164</v>
      </c>
      <c r="C47" s="179" t="s">
        <v>3388</v>
      </c>
      <c r="D47" s="179" t="str">
        <f>IFERROR(__xludf.DUMMYFUNCTION("SUBSTITUTE(REGEXREPLACE(REGEXREPLACE(C47, "":[^;]+"", """"), "";([^;]+)$"", "" and $1""), "";"", "", "")"),"Xiaofeng Liu, Wenliang Li, Tao Yu, Guanliang Song, Zhen Chen, Jing Zhou, Dongyue Wang, Xiwei Zhao and Sulong Xu")</f>
        <v>Xiaofeng Liu, Wenliang Li, Tao Yu, Guanliang Song, Zhen Chen, Jing Zhou, Dongyue Wang, Xiwei Zhao and Sulong Xu</v>
      </c>
      <c r="E47" s="120"/>
      <c r="F47" s="120"/>
      <c r="G47" s="120"/>
      <c r="H47" s="120"/>
      <c r="I47" s="120"/>
      <c r="J47" s="120"/>
      <c r="K47" s="120"/>
      <c r="L47" s="120"/>
      <c r="M47" s="120"/>
    </row>
    <row r="48">
      <c r="A48" s="179" t="s">
        <v>1135</v>
      </c>
      <c r="B48" s="179" t="s">
        <v>1134</v>
      </c>
      <c r="C48" s="179" t="s">
        <v>3389</v>
      </c>
      <c r="D48" s="179" t="str">
        <f>IFERROR(__xludf.DUMMYFUNCTION("SUBSTITUTE(REGEXREPLACE(REGEXREPLACE(C48, "":[^;]+"", """"), "";([^;]+)$"", "" and $1""), "";"", "", "")"),"Aitolkyn Baigutanova, Francisco Navas, Pablo Aragon, Mykola Trokhymovych, Muniza Aslam, Ai-Jou Chou, Miriam Redi and Diego Saez Trumper")</f>
        <v>Aitolkyn Baigutanova, Francisco Navas, Pablo Aragon, Mykola Trokhymovych, Muniza Aslam, Ai-Jou Chou, Miriam Redi and Diego Saez Trumper</v>
      </c>
      <c r="E48" s="120"/>
      <c r="F48" s="120"/>
      <c r="G48" s="120"/>
      <c r="H48" s="120"/>
      <c r="I48" s="120"/>
      <c r="J48" s="120"/>
      <c r="K48" s="120"/>
      <c r="L48" s="120"/>
      <c r="M48" s="120"/>
    </row>
    <row r="49">
      <c r="A49" s="179" t="s">
        <v>1105</v>
      </c>
      <c r="B49" s="179" t="s">
        <v>1104</v>
      </c>
      <c r="C49" s="179" t="s">
        <v>3390</v>
      </c>
      <c r="D49" s="179" t="str">
        <f>IFERROR(__xludf.DUMMYFUNCTION("SUBSTITUTE(REGEXREPLACE(REGEXREPLACE(C49, "":[^;]+"", """"), "";([^;]+)$"", "" and $1""), "";"", "", "")"),"Xixuan Hao, Guicheng Li, Daiqiang Wu, Xusen Guo, Yumeng Zhu, Zhichao Zou, Peng Zhen, Yao Yao and Yuxuan Liang")</f>
        <v>Xixuan Hao, Guicheng Li, Daiqiang Wu, Xusen Guo, Yumeng Zhu, Zhichao Zou, Peng Zhen, Yao Yao and Yuxuan Liang</v>
      </c>
      <c r="E49" s="120"/>
      <c r="F49" s="120"/>
      <c r="G49" s="120"/>
      <c r="H49" s="120"/>
      <c r="I49" s="120"/>
      <c r="J49" s="120"/>
      <c r="K49" s="120"/>
      <c r="L49" s="120"/>
      <c r="M49" s="120"/>
    </row>
    <row r="50">
      <c r="A50" s="179" t="s">
        <v>1167</v>
      </c>
      <c r="B50" s="179" t="s">
        <v>1166</v>
      </c>
      <c r="C50" s="179" t="s">
        <v>3391</v>
      </c>
      <c r="D50" s="179" t="str">
        <f>IFERROR(__xludf.DUMMYFUNCTION("SUBSTITUTE(REGEXREPLACE(REGEXREPLACE(C50, "":[^;]+"", """"), "";([^;]+)$"", "" and $1""), "";"", "", "")"),"Wenyi Xu, Feiran Zhu, Songyang Li, Renzhe Zhou, Chao Zhang, ChengLei Dai, Yuren Mao, Yunjun Gao and Yi Zhang")</f>
        <v>Wenyi Xu, Feiran Zhu, Songyang Li, Renzhe Zhou, Chao Zhang, ChengLei Dai, Yuren Mao, Yunjun Gao and Yi Zhang</v>
      </c>
      <c r="E50" s="120"/>
      <c r="F50" s="120"/>
      <c r="G50" s="120"/>
      <c r="H50" s="120"/>
      <c r="I50" s="120"/>
      <c r="J50" s="120"/>
      <c r="K50" s="120"/>
      <c r="L50" s="120"/>
      <c r="M50" s="120"/>
    </row>
    <row r="51">
      <c r="A51" s="179" t="s">
        <v>1115</v>
      </c>
      <c r="B51" s="179" t="s">
        <v>1114</v>
      </c>
      <c r="C51" s="179" t="s">
        <v>3392</v>
      </c>
      <c r="D51" s="179" t="str">
        <f>IFERROR(__xludf.DUMMYFUNCTION("SUBSTITUTE(REGEXREPLACE(REGEXREPLACE(C51, "":[^;]+"", """"), "";([^;]+)$"", "" and $1""), "";"", "", "")"),"Runze Xia, Yupeng Ji, Yuxi Zhou, Haodong Liu, Teng Zhang and Piji Li")</f>
        <v>Runze Xia, Yupeng Ji, Yuxi Zhou, Haodong Liu, Teng Zhang and Piji Li</v>
      </c>
      <c r="E51" s="120"/>
      <c r="F51" s="120"/>
      <c r="G51" s="120"/>
      <c r="H51" s="120"/>
      <c r="I51" s="120"/>
      <c r="J51" s="120"/>
      <c r="K51" s="120"/>
      <c r="L51" s="120"/>
      <c r="M51" s="120"/>
    </row>
    <row r="52">
      <c r="A52" s="179" t="s">
        <v>1075</v>
      </c>
      <c r="B52" s="179" t="s">
        <v>1074</v>
      </c>
      <c r="C52" s="179" t="s">
        <v>3393</v>
      </c>
      <c r="D52" s="179" t="str">
        <f>IFERROR(__xludf.DUMMYFUNCTION("SUBSTITUTE(REGEXREPLACE(REGEXREPLACE(C52, "":[^;]+"", """"), "";([^;]+)$"", "" and $1""), "";"", "", "")"),"Tingfeng Hong, Pingye Ren, Xinlong Xiao, Chao Wang, Chenyi Lei, Wenwu Ou and Han Li")</f>
        <v>Tingfeng Hong, Pingye Ren, Xinlong Xiao, Chao Wang, Chenyi Lei, Wenwu Ou and Han Li</v>
      </c>
      <c r="E52" s="120"/>
      <c r="F52" s="120"/>
      <c r="G52" s="120"/>
      <c r="H52" s="120"/>
      <c r="I52" s="120"/>
      <c r="J52" s="120"/>
      <c r="K52" s="120"/>
      <c r="L52" s="120"/>
      <c r="M52" s="120"/>
    </row>
    <row r="53">
      <c r="A53" s="179" t="s">
        <v>1125</v>
      </c>
      <c r="B53" s="179" t="s">
        <v>1124</v>
      </c>
      <c r="C53" s="179" t="s">
        <v>3394</v>
      </c>
      <c r="D53" s="179" t="str">
        <f>IFERROR(__xludf.DUMMYFUNCTION("SUBSTITUTE(REGEXREPLACE(REGEXREPLACE(C53, "":[^;]+"", """"), "";([^;]+)$"", "" and $1""), "";"", "", "")"),"Maria Ljubičić, Emanuel Lacić and Denis Helić")</f>
        <v>Maria Ljubičić, Emanuel Lacić and Denis Helić</v>
      </c>
      <c r="E53" s="120"/>
      <c r="F53" s="120"/>
      <c r="G53" s="120"/>
      <c r="H53" s="120"/>
      <c r="I53" s="120"/>
      <c r="J53" s="120"/>
      <c r="K53" s="120"/>
      <c r="L53" s="120"/>
      <c r="M53" s="120"/>
    </row>
    <row r="54">
      <c r="A54" s="179" t="s">
        <v>1093</v>
      </c>
      <c r="B54" s="179" t="s">
        <v>1092</v>
      </c>
      <c r="C54" s="179" t="s">
        <v>3395</v>
      </c>
      <c r="D54" s="179" t="str">
        <f>IFERROR(__xludf.DUMMYFUNCTION("SUBSTITUTE(REGEXREPLACE(REGEXREPLACE(C54, "":[^;]+"", """"), "";([^;]+)$"", "" and $1""), "";"", "", "")"),"Benshuo Lin, Jiayu Ding, Yuelei Li, Peng Wu, Yun Xue and Yiping Song")</f>
        <v>Benshuo Lin, Jiayu Ding, Yuelei Li, Peng Wu, Yun Xue and Yiping Song</v>
      </c>
      <c r="E54" s="120"/>
      <c r="F54" s="120"/>
      <c r="G54" s="120"/>
      <c r="H54" s="120"/>
      <c r="I54" s="120"/>
      <c r="J54" s="120"/>
      <c r="K54" s="120"/>
      <c r="L54" s="120"/>
      <c r="M54" s="120"/>
    </row>
    <row r="55">
      <c r="A55" s="179" t="s">
        <v>1095</v>
      </c>
      <c r="B55" s="179" t="s">
        <v>1094</v>
      </c>
      <c r="C55" s="179" t="s">
        <v>3396</v>
      </c>
      <c r="D55" s="179" t="str">
        <f>IFERROR(__xludf.DUMMYFUNCTION("SUBSTITUTE(REGEXREPLACE(REGEXREPLACE(C55, "":[^;]+"", """"), "";([^;]+)$"", "" and $1""), "";"", "", "")"),"Jing Huang, Zhiya Tan, Shutao Gong, Fanwei Zeng, Joey Tianyi Zhou, Changtao Miao, Huazhe Tan, Weibin Yao and Jianshu Li")</f>
        <v>Jing Huang, Zhiya Tan, Shutao Gong, Fanwei Zeng, Joey Tianyi Zhou, Changtao Miao, Huazhe Tan, Weibin Yao and Jianshu Li</v>
      </c>
      <c r="E55" s="120"/>
      <c r="F55" s="120"/>
      <c r="G55" s="120"/>
      <c r="H55" s="120"/>
      <c r="I55" s="120"/>
      <c r="J55" s="120"/>
      <c r="K55" s="120"/>
      <c r="L55" s="120"/>
      <c r="M55" s="120"/>
    </row>
    <row r="56">
      <c r="A56" s="179" t="s">
        <v>1169</v>
      </c>
      <c r="B56" s="179" t="s">
        <v>1168</v>
      </c>
      <c r="C56" s="179" t="s">
        <v>3397</v>
      </c>
      <c r="D56" s="179" t="str">
        <f>IFERROR(__xludf.DUMMYFUNCTION("SUBSTITUTE(REGEXREPLACE(REGEXREPLACE(C56, "":[^;]+"", """"), "";([^;]+)$"", "" and $1""), "";"", "", "")"),"Wenjing Li, Jiang Rong, Yao Hu, Zhenzhe Zheng and Fan Wu")</f>
        <v>Wenjing Li, Jiang Rong, Yao Hu, Zhenzhe Zheng and Fan Wu</v>
      </c>
      <c r="E56" s="120"/>
      <c r="F56" s="120"/>
      <c r="G56" s="120"/>
      <c r="H56" s="120"/>
      <c r="I56" s="120"/>
      <c r="J56" s="120"/>
      <c r="K56" s="120"/>
      <c r="L56" s="120"/>
      <c r="M56" s="120"/>
    </row>
    <row r="57">
      <c r="A57" s="179" t="s">
        <v>1065</v>
      </c>
      <c r="B57" s="179" t="s">
        <v>1064</v>
      </c>
      <c r="C57" s="179" t="s">
        <v>3398</v>
      </c>
      <c r="D57" s="179" t="str">
        <f>IFERROR(__xludf.DUMMYFUNCTION("SUBSTITUTE(REGEXREPLACE(REGEXREPLACE(C57, "":[^;]+"", """"), "";([^;]+)$"", "" and $1""), "";"", "", "")"),"Kakam Chong, Xu Yan, Shuai Xiao, Ming Chen, Chen Ju, Fei Huang, Yuantao Gu, Shuguang Han and Jufeng Chen")</f>
        <v>Kakam Chong, Xu Yan, Shuai Xiao, Ming Chen, Chen Ju, Fei Huang, Yuantao Gu, Shuguang Han and Jufeng Chen</v>
      </c>
      <c r="E57" s="120"/>
      <c r="F57" s="120"/>
      <c r="G57" s="120"/>
      <c r="H57" s="120"/>
      <c r="I57" s="120"/>
      <c r="J57" s="120"/>
      <c r="K57" s="120"/>
      <c r="L57" s="120"/>
      <c r="M57" s="120"/>
    </row>
    <row r="58">
      <c r="A58" s="179" t="s">
        <v>1085</v>
      </c>
      <c r="B58" s="179" t="s">
        <v>1084</v>
      </c>
      <c r="C58" s="179" t="s">
        <v>3399</v>
      </c>
      <c r="D58" s="179" t="str">
        <f>IFERROR(__xludf.DUMMYFUNCTION("SUBSTITUTE(REGEXREPLACE(REGEXREPLACE(C58, "":[^;]+"", """"), "";([^;]+)$"", "" and $1""), "";"", "", "")"),"Abhinav Naikawadi, Hedi Xia, Dafang He, Yichu Zhou, Xue Xia, Piyush Maheshwari, Bella Huang, Bowen Deng, James Li, Dhruvil Deven Badani and Yijie Dylan Wang")</f>
        <v>Abhinav Naikawadi, Hedi Xia, Dafang He, Yichu Zhou, Xue Xia, Piyush Maheshwari, Bella Huang, Bowen Deng, James Li, Dhruvil Deven Badani and Yijie Dylan Wang</v>
      </c>
      <c r="E58" s="120"/>
      <c r="F58" s="120"/>
      <c r="G58" s="120"/>
      <c r="H58" s="120"/>
      <c r="I58" s="120"/>
      <c r="J58" s="120"/>
      <c r="K58" s="120"/>
      <c r="L58" s="120"/>
      <c r="M58" s="120"/>
    </row>
    <row r="59">
      <c r="A59" s="120"/>
      <c r="B59" s="120"/>
      <c r="C59" s="120"/>
      <c r="D59" s="120"/>
      <c r="E59" s="120"/>
      <c r="F59" s="120"/>
      <c r="G59" s="120"/>
      <c r="H59" s="120"/>
      <c r="I59" s="120"/>
      <c r="J59" s="120"/>
      <c r="K59" s="120"/>
      <c r="L59" s="120"/>
      <c r="M59" s="120"/>
    </row>
    <row r="60">
      <c r="A60" s="120"/>
      <c r="B60" s="120"/>
      <c r="C60" s="120"/>
      <c r="D60" s="120"/>
      <c r="E60" s="120"/>
      <c r="F60" s="120"/>
      <c r="G60" s="120"/>
      <c r="H60" s="120"/>
      <c r="I60" s="120"/>
      <c r="J60" s="120"/>
      <c r="K60" s="120"/>
      <c r="L60" s="120"/>
      <c r="M60" s="120"/>
    </row>
    <row r="61">
      <c r="A61" s="120"/>
      <c r="B61" s="120"/>
      <c r="C61" s="120"/>
      <c r="D61" s="120"/>
      <c r="E61" s="120"/>
      <c r="F61" s="120"/>
      <c r="G61" s="120"/>
      <c r="H61" s="120"/>
      <c r="I61" s="120"/>
      <c r="J61" s="120"/>
      <c r="K61" s="120"/>
      <c r="L61" s="120"/>
      <c r="M61" s="120"/>
    </row>
    <row r="62">
      <c r="A62" s="120"/>
      <c r="B62" s="120"/>
      <c r="C62" s="120"/>
      <c r="D62" s="120"/>
      <c r="E62" s="120"/>
      <c r="F62" s="120"/>
      <c r="G62" s="120"/>
      <c r="H62" s="120"/>
      <c r="I62" s="120"/>
      <c r="J62" s="120"/>
      <c r="K62" s="120"/>
      <c r="L62" s="120"/>
      <c r="M62" s="120"/>
    </row>
    <row r="63">
      <c r="A63" s="120"/>
      <c r="B63" s="120"/>
      <c r="C63" s="120"/>
      <c r="D63" s="120"/>
      <c r="E63" s="120"/>
      <c r="F63" s="120"/>
      <c r="G63" s="120"/>
      <c r="H63" s="120"/>
      <c r="I63" s="120"/>
      <c r="J63" s="120"/>
      <c r="K63" s="120"/>
      <c r="L63" s="120"/>
      <c r="M63" s="120"/>
    </row>
    <row r="64">
      <c r="A64" s="120"/>
      <c r="B64" s="120"/>
      <c r="C64" s="120"/>
      <c r="D64" s="120"/>
      <c r="E64" s="120"/>
      <c r="F64" s="120"/>
      <c r="G64" s="120"/>
      <c r="H64" s="120"/>
      <c r="I64" s="120"/>
      <c r="J64" s="120"/>
      <c r="K64" s="120"/>
      <c r="L64" s="120"/>
      <c r="M64" s="120"/>
    </row>
    <row r="65">
      <c r="A65" s="120"/>
      <c r="B65" s="120"/>
      <c r="C65" s="120"/>
      <c r="D65" s="120"/>
      <c r="E65" s="120"/>
      <c r="F65" s="120"/>
      <c r="G65" s="120"/>
      <c r="H65" s="120"/>
      <c r="I65" s="120"/>
      <c r="J65" s="120"/>
      <c r="K65" s="120"/>
      <c r="L65" s="120"/>
      <c r="M65" s="120"/>
    </row>
    <row r="66">
      <c r="A66" s="120"/>
      <c r="B66" s="120"/>
      <c r="C66" s="120"/>
      <c r="D66" s="120"/>
      <c r="E66" s="120"/>
      <c r="F66" s="120"/>
      <c r="G66" s="120"/>
      <c r="H66" s="120"/>
      <c r="I66" s="120"/>
      <c r="J66" s="120"/>
      <c r="K66" s="120"/>
      <c r="L66" s="120"/>
      <c r="M66" s="120"/>
    </row>
    <row r="67">
      <c r="A67" s="120"/>
      <c r="B67" s="120"/>
      <c r="C67" s="120"/>
      <c r="D67" s="120"/>
      <c r="E67" s="120"/>
      <c r="F67" s="120"/>
      <c r="G67" s="120"/>
      <c r="H67" s="120"/>
      <c r="I67" s="120"/>
      <c r="J67" s="120"/>
      <c r="K67" s="120"/>
      <c r="L67" s="120"/>
      <c r="M67" s="120"/>
    </row>
    <row r="68">
      <c r="A68" s="120"/>
      <c r="B68" s="120"/>
      <c r="C68" s="120"/>
      <c r="D68" s="120"/>
      <c r="E68" s="120"/>
      <c r="F68" s="120"/>
      <c r="G68" s="120"/>
      <c r="H68" s="120"/>
      <c r="I68" s="120"/>
      <c r="J68" s="120"/>
      <c r="K68" s="120"/>
      <c r="L68" s="120"/>
      <c r="M68" s="120"/>
    </row>
    <row r="69">
      <c r="A69" s="120"/>
      <c r="B69" s="120"/>
      <c r="C69" s="120"/>
      <c r="D69" s="120"/>
      <c r="E69" s="120"/>
      <c r="F69" s="120"/>
      <c r="G69" s="120"/>
      <c r="H69" s="120"/>
      <c r="I69" s="120"/>
      <c r="J69" s="120"/>
      <c r="K69" s="120"/>
      <c r="L69" s="120"/>
      <c r="M69" s="120"/>
    </row>
    <row r="70">
      <c r="A70" s="120"/>
      <c r="B70" s="120"/>
      <c r="C70" s="120"/>
      <c r="D70" s="120"/>
      <c r="E70" s="120"/>
      <c r="F70" s="120"/>
      <c r="G70" s="120"/>
      <c r="H70" s="120"/>
      <c r="I70" s="120"/>
      <c r="J70" s="120"/>
      <c r="K70" s="120"/>
      <c r="L70" s="120"/>
      <c r="M70" s="120"/>
    </row>
    <row r="71">
      <c r="A71" s="120"/>
      <c r="B71" s="120"/>
      <c r="C71" s="120"/>
      <c r="D71" s="120"/>
      <c r="E71" s="120"/>
      <c r="F71" s="120"/>
      <c r="G71" s="120"/>
      <c r="H71" s="120"/>
      <c r="I71" s="120"/>
      <c r="J71" s="120"/>
      <c r="K71" s="120"/>
      <c r="L71" s="120"/>
      <c r="M71" s="120"/>
    </row>
    <row r="72">
      <c r="A72" s="120"/>
      <c r="B72" s="120"/>
      <c r="C72" s="120"/>
      <c r="D72" s="120"/>
      <c r="E72" s="120"/>
      <c r="F72" s="120"/>
      <c r="G72" s="120"/>
      <c r="H72" s="120"/>
      <c r="I72" s="120"/>
      <c r="J72" s="120"/>
      <c r="K72" s="120"/>
      <c r="L72" s="120"/>
      <c r="M72" s="120"/>
    </row>
    <row r="73">
      <c r="A73" s="120"/>
      <c r="B73" s="120"/>
      <c r="C73" s="120"/>
      <c r="D73" s="120"/>
      <c r="E73" s="120"/>
      <c r="F73" s="120"/>
      <c r="G73" s="120"/>
      <c r="H73" s="120"/>
      <c r="I73" s="120"/>
      <c r="J73" s="120"/>
      <c r="K73" s="120"/>
      <c r="L73" s="120"/>
      <c r="M73" s="120"/>
    </row>
    <row r="74">
      <c r="A74" s="120"/>
      <c r="B74" s="120"/>
      <c r="C74" s="120"/>
      <c r="D74" s="120"/>
      <c r="E74" s="120"/>
      <c r="F74" s="120"/>
      <c r="G74" s="120"/>
      <c r="H74" s="120"/>
      <c r="I74" s="120"/>
      <c r="J74" s="120"/>
      <c r="K74" s="120"/>
      <c r="L74" s="120"/>
      <c r="M74" s="120"/>
    </row>
    <row r="75">
      <c r="A75" s="120"/>
      <c r="B75" s="120"/>
      <c r="C75" s="120"/>
      <c r="D75" s="120"/>
      <c r="E75" s="120"/>
      <c r="F75" s="120"/>
      <c r="G75" s="120"/>
      <c r="H75" s="120"/>
      <c r="I75" s="120"/>
      <c r="J75" s="120"/>
      <c r="K75" s="120"/>
      <c r="L75" s="120"/>
      <c r="M75" s="120"/>
    </row>
    <row r="76">
      <c r="A76" s="120"/>
      <c r="B76" s="120"/>
      <c r="C76" s="120"/>
      <c r="D76" s="120"/>
      <c r="E76" s="120"/>
      <c r="F76" s="120"/>
      <c r="G76" s="120"/>
      <c r="H76" s="120"/>
      <c r="I76" s="120"/>
      <c r="J76" s="120"/>
      <c r="K76" s="120"/>
      <c r="L76" s="120"/>
      <c r="M76" s="120"/>
    </row>
    <row r="77">
      <c r="A77" s="120"/>
      <c r="B77" s="120"/>
      <c r="C77" s="120"/>
      <c r="D77" s="120"/>
      <c r="E77" s="120"/>
      <c r="F77" s="120"/>
      <c r="G77" s="120"/>
      <c r="H77" s="120"/>
      <c r="I77" s="120"/>
      <c r="J77" s="120"/>
      <c r="K77" s="120"/>
      <c r="L77" s="120"/>
      <c r="M77" s="120"/>
    </row>
    <row r="78">
      <c r="A78" s="120"/>
      <c r="B78" s="120"/>
      <c r="C78" s="120"/>
      <c r="D78" s="120"/>
      <c r="E78" s="120"/>
      <c r="F78" s="120"/>
      <c r="G78" s="120"/>
      <c r="H78" s="120"/>
      <c r="I78" s="120"/>
      <c r="J78" s="120"/>
      <c r="K78" s="120"/>
      <c r="L78" s="120"/>
      <c r="M78" s="120"/>
    </row>
    <row r="79">
      <c r="A79" s="120"/>
      <c r="B79" s="120"/>
      <c r="C79" s="120"/>
      <c r="D79" s="120"/>
      <c r="E79" s="120"/>
      <c r="F79" s="120"/>
      <c r="G79" s="120"/>
      <c r="H79" s="120"/>
      <c r="I79" s="120"/>
      <c r="J79" s="120"/>
      <c r="K79" s="120"/>
      <c r="L79" s="120"/>
      <c r="M79" s="120"/>
    </row>
    <row r="80">
      <c r="A80" s="120"/>
      <c r="B80" s="120"/>
      <c r="C80" s="120"/>
      <c r="D80" s="120"/>
      <c r="E80" s="120"/>
      <c r="F80" s="120"/>
      <c r="G80" s="120"/>
      <c r="H80" s="120"/>
      <c r="I80" s="120"/>
      <c r="J80" s="120"/>
      <c r="K80" s="120"/>
      <c r="L80" s="120"/>
      <c r="M80" s="120"/>
    </row>
    <row r="81">
      <c r="A81" s="120"/>
      <c r="B81" s="120"/>
      <c r="C81" s="120"/>
      <c r="D81" s="120"/>
      <c r="E81" s="120"/>
      <c r="F81" s="120"/>
      <c r="G81" s="120"/>
      <c r="H81" s="120"/>
      <c r="I81" s="120"/>
      <c r="J81" s="120"/>
      <c r="K81" s="120"/>
      <c r="L81" s="120"/>
      <c r="M81" s="120"/>
    </row>
    <row r="82">
      <c r="A82" s="120"/>
      <c r="B82" s="120"/>
      <c r="C82" s="120"/>
      <c r="D82" s="120"/>
      <c r="E82" s="120"/>
      <c r="F82" s="120"/>
      <c r="G82" s="120"/>
      <c r="H82" s="120"/>
      <c r="I82" s="120"/>
      <c r="J82" s="120"/>
      <c r="K82" s="120"/>
      <c r="L82" s="120"/>
      <c r="M82" s="120"/>
    </row>
    <row r="83">
      <c r="A83" s="120"/>
      <c r="B83" s="120"/>
      <c r="C83" s="120"/>
      <c r="D83" s="120"/>
      <c r="E83" s="120"/>
      <c r="F83" s="120"/>
      <c r="G83" s="120"/>
      <c r="H83" s="120"/>
      <c r="I83" s="120"/>
      <c r="J83" s="120"/>
      <c r="K83" s="120"/>
      <c r="L83" s="120"/>
      <c r="M83" s="120"/>
    </row>
    <row r="84">
      <c r="A84" s="120"/>
      <c r="B84" s="120"/>
      <c r="C84" s="120"/>
      <c r="D84" s="120"/>
      <c r="E84" s="120"/>
      <c r="F84" s="120"/>
      <c r="G84" s="120"/>
      <c r="H84" s="120"/>
      <c r="I84" s="120"/>
      <c r="J84" s="120"/>
      <c r="K84" s="120"/>
      <c r="L84" s="120"/>
      <c r="M84" s="120"/>
    </row>
    <row r="85">
      <c r="A85" s="120"/>
      <c r="B85" s="120"/>
      <c r="C85" s="120"/>
      <c r="D85" s="120"/>
      <c r="E85" s="120"/>
      <c r="F85" s="120"/>
      <c r="G85" s="120"/>
      <c r="H85" s="120"/>
      <c r="I85" s="120"/>
      <c r="J85" s="120"/>
      <c r="K85" s="120"/>
      <c r="L85" s="120"/>
      <c r="M85" s="120"/>
    </row>
    <row r="86">
      <c r="A86" s="120"/>
      <c r="B86" s="120"/>
      <c r="C86" s="120"/>
      <c r="D86" s="120"/>
      <c r="E86" s="120"/>
      <c r="F86" s="120"/>
      <c r="G86" s="120"/>
      <c r="H86" s="120"/>
      <c r="I86" s="120"/>
      <c r="J86" s="120"/>
      <c r="K86" s="120"/>
      <c r="L86" s="120"/>
      <c r="M86" s="120"/>
    </row>
    <row r="87">
      <c r="A87" s="120"/>
      <c r="B87" s="120"/>
      <c r="C87" s="120"/>
      <c r="D87" s="120"/>
      <c r="E87" s="120"/>
      <c r="F87" s="120"/>
      <c r="G87" s="120"/>
      <c r="H87" s="120"/>
      <c r="I87" s="120"/>
      <c r="J87" s="120"/>
      <c r="K87" s="120"/>
      <c r="L87" s="120"/>
      <c r="M87" s="120"/>
    </row>
    <row r="88">
      <c r="A88" s="120"/>
      <c r="B88" s="120"/>
      <c r="C88" s="120"/>
      <c r="D88" s="120"/>
      <c r="E88" s="120"/>
      <c r="F88" s="120"/>
      <c r="G88" s="120"/>
      <c r="H88" s="120"/>
      <c r="I88" s="120"/>
      <c r="J88" s="120"/>
      <c r="K88" s="120"/>
      <c r="L88" s="120"/>
      <c r="M88" s="120"/>
    </row>
    <row r="89">
      <c r="A89" s="120"/>
      <c r="B89" s="120"/>
      <c r="C89" s="120"/>
      <c r="D89" s="120"/>
      <c r="E89" s="120"/>
      <c r="F89" s="120"/>
      <c r="G89" s="120"/>
      <c r="H89" s="120"/>
      <c r="I89" s="120"/>
      <c r="J89" s="120"/>
      <c r="K89" s="120"/>
      <c r="L89" s="120"/>
      <c r="M89" s="120"/>
    </row>
    <row r="90">
      <c r="A90" s="120"/>
      <c r="B90" s="120"/>
      <c r="C90" s="120"/>
      <c r="D90" s="120"/>
      <c r="E90" s="120"/>
      <c r="F90" s="120"/>
      <c r="G90" s="120"/>
      <c r="H90" s="120"/>
      <c r="I90" s="120"/>
      <c r="J90" s="120"/>
      <c r="K90" s="120"/>
      <c r="L90" s="120"/>
      <c r="M90" s="120"/>
    </row>
    <row r="91">
      <c r="A91" s="120"/>
      <c r="B91" s="120"/>
      <c r="C91" s="120"/>
      <c r="D91" s="120"/>
      <c r="E91" s="120"/>
      <c r="F91" s="120"/>
      <c r="G91" s="120"/>
      <c r="H91" s="120"/>
      <c r="I91" s="120"/>
      <c r="J91" s="120"/>
      <c r="K91" s="120"/>
      <c r="L91" s="120"/>
      <c r="M91" s="120"/>
    </row>
    <row r="92">
      <c r="A92" s="120"/>
      <c r="B92" s="120"/>
      <c r="C92" s="120"/>
      <c r="D92" s="120"/>
      <c r="E92" s="120"/>
      <c r="F92" s="120"/>
      <c r="G92" s="120"/>
      <c r="H92" s="120"/>
      <c r="I92" s="120"/>
      <c r="J92" s="120"/>
      <c r="K92" s="120"/>
      <c r="L92" s="120"/>
      <c r="M92" s="120"/>
    </row>
    <row r="93">
      <c r="A93" s="120"/>
      <c r="B93" s="120"/>
      <c r="C93" s="120"/>
      <c r="D93" s="120"/>
      <c r="E93" s="120"/>
      <c r="F93" s="120"/>
      <c r="G93" s="120"/>
      <c r="H93" s="120"/>
      <c r="I93" s="120"/>
      <c r="J93" s="120"/>
      <c r="K93" s="120"/>
      <c r="L93" s="120"/>
      <c r="M93" s="120"/>
    </row>
    <row r="94">
      <c r="A94" s="120"/>
      <c r="B94" s="120"/>
      <c r="C94" s="120"/>
      <c r="D94" s="120"/>
      <c r="E94" s="120"/>
      <c r="F94" s="120"/>
      <c r="G94" s="120"/>
      <c r="H94" s="120"/>
      <c r="I94" s="120"/>
      <c r="J94" s="120"/>
      <c r="K94" s="120"/>
      <c r="L94" s="120"/>
      <c r="M94" s="120"/>
    </row>
    <row r="95">
      <c r="A95" s="120"/>
      <c r="B95" s="120"/>
      <c r="C95" s="120"/>
      <c r="D95" s="120"/>
      <c r="E95" s="120"/>
      <c r="F95" s="120"/>
      <c r="G95" s="120"/>
      <c r="H95" s="120"/>
      <c r="I95" s="120"/>
      <c r="J95" s="120"/>
      <c r="K95" s="120"/>
      <c r="L95" s="120"/>
      <c r="M95" s="120"/>
    </row>
    <row r="96">
      <c r="A96" s="120"/>
      <c r="B96" s="120"/>
      <c r="C96" s="120"/>
      <c r="D96" s="120"/>
      <c r="E96" s="120"/>
      <c r="F96" s="120"/>
      <c r="G96" s="120"/>
      <c r="H96" s="120"/>
      <c r="I96" s="120"/>
      <c r="J96" s="120"/>
      <c r="K96" s="120"/>
      <c r="L96" s="120"/>
      <c r="M96" s="120"/>
    </row>
    <row r="97">
      <c r="A97" s="120"/>
      <c r="B97" s="120"/>
      <c r="C97" s="120"/>
      <c r="D97" s="120"/>
      <c r="E97" s="120"/>
      <c r="F97" s="120"/>
      <c r="G97" s="120"/>
      <c r="H97" s="120"/>
      <c r="I97" s="120"/>
      <c r="J97" s="120"/>
      <c r="K97" s="120"/>
      <c r="L97" s="120"/>
      <c r="M97" s="120"/>
    </row>
    <row r="98">
      <c r="A98" s="120"/>
      <c r="B98" s="120"/>
      <c r="C98" s="120"/>
      <c r="D98" s="120"/>
      <c r="E98" s="120"/>
      <c r="F98" s="120"/>
      <c r="G98" s="120"/>
      <c r="H98" s="120"/>
      <c r="I98" s="120"/>
      <c r="J98" s="120"/>
      <c r="K98" s="120"/>
      <c r="L98" s="120"/>
      <c r="M98" s="120"/>
    </row>
    <row r="99">
      <c r="A99" s="120"/>
      <c r="B99" s="120"/>
      <c r="C99" s="120"/>
      <c r="D99" s="120"/>
      <c r="E99" s="120"/>
      <c r="F99" s="120"/>
      <c r="G99" s="120"/>
      <c r="H99" s="120"/>
      <c r="I99" s="120"/>
      <c r="J99" s="120"/>
      <c r="K99" s="120"/>
      <c r="L99" s="120"/>
      <c r="M99" s="120"/>
    </row>
    <row r="100">
      <c r="A100" s="120"/>
      <c r="B100" s="120"/>
      <c r="C100" s="120"/>
      <c r="D100" s="120"/>
      <c r="E100" s="120"/>
      <c r="F100" s="120"/>
      <c r="G100" s="120"/>
      <c r="H100" s="120"/>
      <c r="I100" s="120"/>
      <c r="J100" s="120"/>
      <c r="K100" s="120"/>
      <c r="L100" s="120"/>
      <c r="M100" s="120"/>
    </row>
    <row r="101">
      <c r="A101" s="120"/>
      <c r="B101" s="120"/>
      <c r="C101" s="120"/>
      <c r="D101" s="120"/>
      <c r="E101" s="120"/>
      <c r="F101" s="120"/>
      <c r="G101" s="120"/>
      <c r="H101" s="120"/>
      <c r="I101" s="120"/>
      <c r="J101" s="120"/>
      <c r="K101" s="120"/>
      <c r="L101" s="120"/>
      <c r="M101" s="120"/>
    </row>
    <row r="102">
      <c r="A102" s="120"/>
      <c r="B102" s="120"/>
      <c r="C102" s="120"/>
      <c r="D102" s="120"/>
      <c r="E102" s="120"/>
      <c r="F102" s="120"/>
      <c r="G102" s="120"/>
      <c r="H102" s="120"/>
      <c r="I102" s="120"/>
      <c r="J102" s="120"/>
      <c r="K102" s="120"/>
      <c r="L102" s="120"/>
      <c r="M102" s="120"/>
    </row>
    <row r="103">
      <c r="A103" s="120"/>
      <c r="B103" s="120"/>
      <c r="C103" s="120"/>
      <c r="D103" s="120"/>
      <c r="E103" s="120"/>
      <c r="F103" s="120"/>
      <c r="G103" s="120"/>
      <c r="H103" s="120"/>
      <c r="I103" s="120"/>
      <c r="J103" s="120"/>
      <c r="K103" s="120"/>
      <c r="L103" s="120"/>
      <c r="M103" s="120"/>
    </row>
    <row r="104">
      <c r="A104" s="120"/>
      <c r="B104" s="120"/>
      <c r="C104" s="120"/>
      <c r="D104" s="120"/>
      <c r="E104" s="120"/>
      <c r="F104" s="120"/>
      <c r="G104" s="120"/>
      <c r="H104" s="120"/>
      <c r="I104" s="120"/>
      <c r="J104" s="120"/>
      <c r="K104" s="120"/>
      <c r="L104" s="120"/>
      <c r="M104" s="120"/>
    </row>
    <row r="105">
      <c r="A105" s="120"/>
      <c r="B105" s="120"/>
      <c r="C105" s="120"/>
      <c r="D105" s="120"/>
      <c r="E105" s="120"/>
      <c r="F105" s="120"/>
      <c r="G105" s="120"/>
      <c r="H105" s="120"/>
      <c r="I105" s="120"/>
      <c r="J105" s="120"/>
      <c r="K105" s="120"/>
      <c r="L105" s="120"/>
      <c r="M105" s="120"/>
    </row>
    <row r="106">
      <c r="A106" s="120"/>
      <c r="B106" s="120"/>
      <c r="C106" s="120"/>
      <c r="D106" s="120"/>
      <c r="E106" s="120"/>
      <c r="F106" s="120"/>
      <c r="G106" s="120"/>
      <c r="H106" s="120"/>
      <c r="I106" s="120"/>
      <c r="J106" s="120"/>
      <c r="K106" s="120"/>
      <c r="L106" s="120"/>
      <c r="M106" s="120"/>
    </row>
    <row r="107">
      <c r="A107" s="120"/>
      <c r="B107" s="120"/>
      <c r="C107" s="120"/>
      <c r="D107" s="120"/>
      <c r="E107" s="120"/>
      <c r="F107" s="120"/>
      <c r="G107" s="120"/>
      <c r="H107" s="120"/>
      <c r="I107" s="120"/>
      <c r="J107" s="120"/>
      <c r="K107" s="120"/>
      <c r="L107" s="120"/>
      <c r="M107" s="120"/>
    </row>
    <row r="108">
      <c r="A108" s="120"/>
      <c r="B108" s="120"/>
      <c r="C108" s="120"/>
      <c r="D108" s="120"/>
      <c r="E108" s="120"/>
      <c r="F108" s="120"/>
      <c r="G108" s="120"/>
      <c r="H108" s="120"/>
      <c r="I108" s="120"/>
      <c r="J108" s="120"/>
      <c r="K108" s="120"/>
      <c r="L108" s="120"/>
      <c r="M108" s="120"/>
    </row>
    <row r="109">
      <c r="A109" s="120"/>
      <c r="B109" s="120"/>
      <c r="C109" s="120"/>
      <c r="D109" s="120"/>
      <c r="E109" s="120"/>
      <c r="F109" s="120"/>
      <c r="G109" s="120"/>
      <c r="H109" s="120"/>
      <c r="I109" s="120"/>
      <c r="J109" s="120"/>
      <c r="K109" s="120"/>
      <c r="L109" s="120"/>
      <c r="M109" s="120"/>
    </row>
    <row r="110">
      <c r="A110" s="120"/>
      <c r="B110" s="120"/>
      <c r="C110" s="120"/>
      <c r="D110" s="120"/>
      <c r="E110" s="120"/>
      <c r="F110" s="120"/>
      <c r="G110" s="120"/>
      <c r="H110" s="120"/>
      <c r="I110" s="120"/>
      <c r="J110" s="120"/>
      <c r="K110" s="120"/>
      <c r="L110" s="120"/>
      <c r="M110" s="120"/>
    </row>
    <row r="111">
      <c r="A111" s="120"/>
      <c r="B111" s="120"/>
      <c r="C111" s="120"/>
      <c r="D111" s="120"/>
      <c r="E111" s="120"/>
      <c r="F111" s="120"/>
      <c r="G111" s="120"/>
      <c r="H111" s="120"/>
      <c r="I111" s="120"/>
      <c r="J111" s="120"/>
      <c r="K111" s="120"/>
      <c r="L111" s="120"/>
      <c r="M111" s="120"/>
    </row>
    <row r="112">
      <c r="A112" s="120"/>
      <c r="B112" s="120"/>
      <c r="C112" s="120"/>
      <c r="D112" s="120"/>
      <c r="E112" s="120"/>
      <c r="F112" s="120"/>
      <c r="G112" s="120"/>
      <c r="H112" s="120"/>
      <c r="I112" s="120"/>
      <c r="J112" s="120"/>
      <c r="K112" s="120"/>
      <c r="L112" s="120"/>
      <c r="M112" s="120"/>
    </row>
    <row r="113">
      <c r="A113" s="120"/>
      <c r="B113" s="120"/>
      <c r="C113" s="120"/>
      <c r="D113" s="120"/>
      <c r="E113" s="120"/>
      <c r="F113" s="120"/>
      <c r="G113" s="120"/>
      <c r="H113" s="120"/>
      <c r="I113" s="120"/>
      <c r="J113" s="120"/>
      <c r="K113" s="120"/>
      <c r="L113" s="120"/>
      <c r="M113" s="120"/>
    </row>
    <row r="114">
      <c r="A114" s="120"/>
      <c r="B114" s="120"/>
      <c r="C114" s="120"/>
      <c r="D114" s="120"/>
      <c r="E114" s="120"/>
      <c r="F114" s="120"/>
      <c r="G114" s="120"/>
      <c r="H114" s="120"/>
      <c r="I114" s="120"/>
      <c r="J114" s="120"/>
      <c r="K114" s="120"/>
      <c r="L114" s="120"/>
      <c r="M114" s="120"/>
    </row>
    <row r="115">
      <c r="A115" s="120"/>
      <c r="B115" s="120"/>
      <c r="C115" s="120"/>
      <c r="D115" s="120"/>
      <c r="E115" s="120"/>
      <c r="F115" s="120"/>
      <c r="G115" s="120"/>
      <c r="H115" s="120"/>
      <c r="I115" s="120"/>
      <c r="J115" s="120"/>
      <c r="K115" s="120"/>
      <c r="L115" s="120"/>
      <c r="M115" s="120"/>
    </row>
    <row r="116">
      <c r="A116" s="120"/>
      <c r="B116" s="120"/>
      <c r="C116" s="120"/>
      <c r="D116" s="120"/>
      <c r="E116" s="120"/>
      <c r="F116" s="120"/>
      <c r="G116" s="120"/>
      <c r="H116" s="120"/>
      <c r="I116" s="120"/>
      <c r="J116" s="120"/>
      <c r="K116" s="120"/>
      <c r="L116" s="120"/>
      <c r="M116" s="120"/>
    </row>
    <row r="117">
      <c r="A117" s="120"/>
      <c r="B117" s="120"/>
      <c r="C117" s="120"/>
      <c r="D117" s="120"/>
      <c r="E117" s="120"/>
      <c r="F117" s="120"/>
      <c r="G117" s="120"/>
      <c r="H117" s="120"/>
      <c r="I117" s="120"/>
      <c r="J117" s="120"/>
      <c r="K117" s="120"/>
      <c r="L117" s="120"/>
      <c r="M117" s="120"/>
    </row>
    <row r="118">
      <c r="A118" s="120"/>
      <c r="B118" s="120"/>
      <c r="C118" s="120"/>
      <c r="D118" s="120"/>
      <c r="E118" s="120"/>
      <c r="F118" s="120"/>
      <c r="G118" s="120"/>
      <c r="H118" s="120"/>
      <c r="I118" s="120"/>
      <c r="J118" s="120"/>
      <c r="K118" s="120"/>
      <c r="L118" s="120"/>
      <c r="M118" s="120"/>
    </row>
    <row r="119">
      <c r="A119" s="120"/>
      <c r="B119" s="120"/>
      <c r="C119" s="120"/>
      <c r="D119" s="120"/>
      <c r="E119" s="120"/>
      <c r="F119" s="120"/>
      <c r="G119" s="120"/>
      <c r="H119" s="120"/>
      <c r="I119" s="120"/>
      <c r="J119" s="120"/>
      <c r="K119" s="120"/>
      <c r="L119" s="120"/>
      <c r="M119" s="120"/>
    </row>
    <row r="120">
      <c r="A120" s="120"/>
      <c r="B120" s="120"/>
      <c r="C120" s="120"/>
      <c r="D120" s="120"/>
      <c r="E120" s="120"/>
      <c r="F120" s="120"/>
      <c r="G120" s="120"/>
      <c r="H120" s="120"/>
      <c r="I120" s="120"/>
      <c r="J120" s="120"/>
      <c r="K120" s="120"/>
      <c r="L120" s="120"/>
      <c r="M120" s="120"/>
    </row>
    <row r="121">
      <c r="A121" s="120"/>
      <c r="B121" s="120"/>
      <c r="C121" s="120"/>
      <c r="D121" s="120"/>
      <c r="E121" s="120"/>
      <c r="F121" s="120"/>
      <c r="G121" s="120"/>
      <c r="H121" s="120"/>
      <c r="I121" s="120"/>
      <c r="J121" s="120"/>
      <c r="K121" s="120"/>
      <c r="L121" s="120"/>
      <c r="M121" s="120"/>
    </row>
    <row r="122">
      <c r="A122" s="120"/>
      <c r="B122" s="120"/>
      <c r="C122" s="120"/>
      <c r="D122" s="120"/>
      <c r="E122" s="120"/>
      <c r="F122" s="120"/>
      <c r="G122" s="120"/>
      <c r="H122" s="120"/>
      <c r="I122" s="120"/>
      <c r="J122" s="120"/>
      <c r="K122" s="120"/>
      <c r="L122" s="120"/>
      <c r="M122" s="120"/>
    </row>
    <row r="123">
      <c r="A123" s="120"/>
      <c r="B123" s="120"/>
      <c r="C123" s="120"/>
      <c r="D123" s="120"/>
      <c r="E123" s="120"/>
      <c r="F123" s="120"/>
      <c r="G123" s="120"/>
      <c r="H123" s="120"/>
      <c r="I123" s="120"/>
      <c r="J123" s="120"/>
      <c r="K123" s="120"/>
      <c r="L123" s="120"/>
      <c r="M123" s="120"/>
    </row>
    <row r="124">
      <c r="A124" s="120"/>
      <c r="B124" s="120"/>
      <c r="C124" s="120"/>
      <c r="D124" s="120"/>
      <c r="E124" s="120"/>
      <c r="F124" s="120"/>
      <c r="G124" s="120"/>
      <c r="H124" s="120"/>
      <c r="I124" s="120"/>
      <c r="J124" s="120"/>
      <c r="K124" s="120"/>
      <c r="L124" s="120"/>
      <c r="M124" s="120"/>
    </row>
    <row r="125">
      <c r="A125" s="120"/>
      <c r="B125" s="120"/>
      <c r="C125" s="120"/>
      <c r="D125" s="120"/>
      <c r="E125" s="120"/>
      <c r="F125" s="120"/>
      <c r="G125" s="120"/>
      <c r="H125" s="120"/>
      <c r="I125" s="120"/>
      <c r="J125" s="120"/>
      <c r="K125" s="120"/>
      <c r="L125" s="120"/>
      <c r="M125" s="120"/>
    </row>
    <row r="126">
      <c r="A126" s="120"/>
      <c r="B126" s="120"/>
      <c r="C126" s="120"/>
      <c r="D126" s="120"/>
      <c r="E126" s="120"/>
      <c r="F126" s="120"/>
      <c r="G126" s="120"/>
      <c r="H126" s="120"/>
      <c r="I126" s="120"/>
      <c r="J126" s="120"/>
      <c r="K126" s="120"/>
      <c r="L126" s="120"/>
      <c r="M126" s="120"/>
    </row>
    <row r="127">
      <c r="A127" s="120"/>
      <c r="B127" s="120"/>
      <c r="C127" s="120"/>
      <c r="D127" s="120"/>
      <c r="E127" s="120"/>
      <c r="F127" s="120"/>
      <c r="G127" s="120"/>
      <c r="H127" s="120"/>
      <c r="I127" s="120"/>
      <c r="J127" s="120"/>
      <c r="K127" s="120"/>
      <c r="L127" s="120"/>
      <c r="M127" s="120"/>
    </row>
    <row r="128">
      <c r="A128" s="120"/>
      <c r="B128" s="120"/>
      <c r="C128" s="120"/>
      <c r="D128" s="120"/>
      <c r="E128" s="120"/>
      <c r="F128" s="120"/>
      <c r="G128" s="120"/>
      <c r="H128" s="120"/>
      <c r="I128" s="120"/>
      <c r="J128" s="120"/>
      <c r="K128" s="120"/>
      <c r="L128" s="120"/>
      <c r="M128" s="120"/>
    </row>
    <row r="129">
      <c r="A129" s="120"/>
      <c r="B129" s="120"/>
      <c r="C129" s="120"/>
      <c r="D129" s="120"/>
      <c r="E129" s="120"/>
      <c r="F129" s="120"/>
      <c r="G129" s="120"/>
      <c r="H129" s="120"/>
      <c r="I129" s="120"/>
      <c r="J129" s="120"/>
      <c r="K129" s="120"/>
      <c r="L129" s="120"/>
      <c r="M129" s="120"/>
    </row>
    <row r="130">
      <c r="A130" s="120"/>
      <c r="B130" s="120"/>
      <c r="C130" s="120"/>
      <c r="D130" s="120"/>
      <c r="E130" s="120"/>
      <c r="F130" s="120"/>
      <c r="G130" s="120"/>
      <c r="H130" s="120"/>
      <c r="I130" s="120"/>
      <c r="J130" s="120"/>
      <c r="K130" s="120"/>
      <c r="L130" s="120"/>
      <c r="M130" s="120"/>
    </row>
    <row r="131">
      <c r="A131" s="120"/>
      <c r="B131" s="120"/>
      <c r="C131" s="120"/>
      <c r="D131" s="120"/>
      <c r="E131" s="120"/>
      <c r="F131" s="120"/>
      <c r="G131" s="120"/>
      <c r="H131" s="120"/>
      <c r="I131" s="120"/>
      <c r="J131" s="120"/>
      <c r="K131" s="120"/>
      <c r="L131" s="120"/>
      <c r="M131" s="120"/>
    </row>
    <row r="132">
      <c r="A132" s="120"/>
      <c r="B132" s="120"/>
      <c r="C132" s="120"/>
      <c r="D132" s="120"/>
      <c r="E132" s="120"/>
      <c r="F132" s="120"/>
      <c r="G132" s="120"/>
      <c r="H132" s="120"/>
      <c r="I132" s="120"/>
      <c r="J132" s="120"/>
      <c r="K132" s="120"/>
      <c r="L132" s="120"/>
      <c r="M132" s="120"/>
    </row>
    <row r="133">
      <c r="A133" s="120"/>
      <c r="B133" s="120"/>
      <c r="C133" s="120"/>
      <c r="D133" s="120"/>
      <c r="E133" s="120"/>
      <c r="F133" s="120"/>
      <c r="G133" s="120"/>
      <c r="H133" s="120"/>
      <c r="I133" s="120"/>
      <c r="J133" s="120"/>
      <c r="K133" s="120"/>
      <c r="L133" s="120"/>
      <c r="M133" s="120"/>
    </row>
    <row r="134">
      <c r="A134" s="120"/>
      <c r="B134" s="120"/>
      <c r="C134" s="120"/>
      <c r="D134" s="120"/>
      <c r="E134" s="120"/>
      <c r="F134" s="120"/>
      <c r="G134" s="120"/>
      <c r="H134" s="120"/>
      <c r="I134" s="120"/>
      <c r="J134" s="120"/>
      <c r="K134" s="120"/>
      <c r="L134" s="120"/>
      <c r="M134" s="120"/>
    </row>
    <row r="135">
      <c r="A135" s="120"/>
      <c r="B135" s="120"/>
      <c r="C135" s="120"/>
      <c r="D135" s="120"/>
      <c r="E135" s="120"/>
      <c r="F135" s="120"/>
      <c r="G135" s="120"/>
      <c r="H135" s="120"/>
      <c r="I135" s="120"/>
      <c r="J135" s="120"/>
      <c r="K135" s="120"/>
      <c r="L135" s="120"/>
      <c r="M135" s="120"/>
    </row>
    <row r="136">
      <c r="A136" s="120"/>
      <c r="B136" s="120"/>
      <c r="C136" s="120"/>
      <c r="D136" s="120"/>
      <c r="E136" s="120"/>
      <c r="F136" s="120"/>
      <c r="G136" s="120"/>
      <c r="H136" s="120"/>
      <c r="I136" s="120"/>
      <c r="J136" s="120"/>
      <c r="K136" s="120"/>
      <c r="L136" s="120"/>
      <c r="M136" s="120"/>
    </row>
    <row r="137">
      <c r="A137" s="120"/>
      <c r="B137" s="120"/>
      <c r="C137" s="120"/>
      <c r="D137" s="120"/>
      <c r="E137" s="120"/>
      <c r="F137" s="120"/>
      <c r="G137" s="120"/>
      <c r="H137" s="120"/>
      <c r="I137" s="120"/>
      <c r="J137" s="120"/>
      <c r="K137" s="120"/>
      <c r="L137" s="120"/>
      <c r="M137" s="120"/>
    </row>
    <row r="138">
      <c r="A138" s="120"/>
      <c r="B138" s="120"/>
      <c r="C138" s="120"/>
      <c r="D138" s="120"/>
      <c r="E138" s="120"/>
      <c r="F138" s="120"/>
      <c r="G138" s="120"/>
      <c r="H138" s="120"/>
      <c r="I138" s="120"/>
      <c r="J138" s="120"/>
      <c r="K138" s="120"/>
      <c r="L138" s="120"/>
      <c r="M138" s="120"/>
    </row>
    <row r="139">
      <c r="A139" s="120"/>
      <c r="B139" s="120"/>
      <c r="C139" s="120"/>
      <c r="D139" s="120"/>
      <c r="E139" s="120"/>
      <c r="F139" s="120"/>
      <c r="G139" s="120"/>
      <c r="H139" s="120"/>
      <c r="I139" s="120"/>
      <c r="J139" s="120"/>
      <c r="K139" s="120"/>
      <c r="L139" s="120"/>
      <c r="M139" s="120"/>
    </row>
    <row r="140">
      <c r="A140" s="120"/>
      <c r="B140" s="120"/>
      <c r="C140" s="120"/>
      <c r="D140" s="120"/>
      <c r="E140" s="120"/>
      <c r="F140" s="120"/>
      <c r="G140" s="120"/>
      <c r="H140" s="120"/>
      <c r="I140" s="120"/>
      <c r="J140" s="120"/>
      <c r="K140" s="120"/>
      <c r="L140" s="120"/>
      <c r="M140" s="120"/>
    </row>
    <row r="141">
      <c r="A141" s="120"/>
      <c r="B141" s="120"/>
      <c r="C141" s="120"/>
      <c r="D141" s="120"/>
      <c r="E141" s="120"/>
      <c r="F141" s="120"/>
      <c r="G141" s="120"/>
      <c r="H141" s="120"/>
      <c r="I141" s="120"/>
      <c r="J141" s="120"/>
      <c r="K141" s="120"/>
      <c r="L141" s="120"/>
      <c r="M141" s="120"/>
    </row>
    <row r="142">
      <c r="A142" s="120"/>
      <c r="B142" s="120"/>
      <c r="C142" s="120"/>
      <c r="D142" s="120"/>
      <c r="E142" s="120"/>
      <c r="F142" s="120"/>
      <c r="G142" s="120"/>
      <c r="H142" s="120"/>
      <c r="I142" s="120"/>
      <c r="J142" s="120"/>
      <c r="K142" s="120"/>
      <c r="L142" s="120"/>
      <c r="M142" s="120"/>
    </row>
    <row r="143">
      <c r="A143" s="120"/>
      <c r="B143" s="120"/>
      <c r="C143" s="120"/>
      <c r="D143" s="120"/>
      <c r="E143" s="120"/>
      <c r="F143" s="120"/>
      <c r="G143" s="120"/>
      <c r="H143" s="120"/>
      <c r="I143" s="120"/>
      <c r="J143" s="120"/>
      <c r="K143" s="120"/>
      <c r="L143" s="120"/>
      <c r="M143" s="120"/>
    </row>
    <row r="144">
      <c r="A144" s="120"/>
      <c r="B144" s="120"/>
      <c r="C144" s="120"/>
      <c r="D144" s="120"/>
      <c r="E144" s="120"/>
      <c r="F144" s="120"/>
      <c r="G144" s="120"/>
      <c r="H144" s="120"/>
      <c r="I144" s="120"/>
      <c r="J144" s="120"/>
      <c r="K144" s="120"/>
      <c r="L144" s="120"/>
      <c r="M144" s="120"/>
    </row>
    <row r="145">
      <c r="A145" s="120"/>
      <c r="B145" s="120"/>
      <c r="C145" s="120"/>
      <c r="D145" s="120"/>
      <c r="E145" s="120"/>
      <c r="F145" s="120"/>
      <c r="G145" s="120"/>
      <c r="H145" s="120"/>
      <c r="I145" s="120"/>
      <c r="J145" s="120"/>
      <c r="K145" s="120"/>
      <c r="L145" s="120"/>
      <c r="M145" s="120"/>
    </row>
    <row r="146">
      <c r="A146" s="120"/>
      <c r="B146" s="120"/>
      <c r="C146" s="120"/>
      <c r="D146" s="120"/>
      <c r="E146" s="120"/>
      <c r="F146" s="120"/>
      <c r="G146" s="120"/>
      <c r="H146" s="120"/>
      <c r="I146" s="120"/>
      <c r="J146" s="120"/>
      <c r="K146" s="120"/>
      <c r="L146" s="120"/>
      <c r="M146" s="120"/>
    </row>
    <row r="147">
      <c r="A147" s="120"/>
      <c r="B147" s="120"/>
      <c r="C147" s="120"/>
      <c r="D147" s="120"/>
      <c r="E147" s="120"/>
      <c r="F147" s="120"/>
      <c r="G147" s="120"/>
      <c r="H147" s="120"/>
      <c r="I147" s="120"/>
      <c r="J147" s="120"/>
      <c r="K147" s="120"/>
      <c r="L147" s="120"/>
      <c r="M147" s="120"/>
    </row>
    <row r="148">
      <c r="A148" s="120"/>
      <c r="B148" s="120"/>
      <c r="C148" s="120"/>
      <c r="D148" s="120"/>
      <c r="E148" s="120"/>
      <c r="F148" s="120"/>
      <c r="G148" s="120"/>
      <c r="H148" s="120"/>
      <c r="I148" s="120"/>
      <c r="J148" s="120"/>
      <c r="K148" s="120"/>
      <c r="L148" s="120"/>
      <c r="M148" s="120"/>
    </row>
    <row r="149">
      <c r="A149" s="120"/>
      <c r="B149" s="120"/>
      <c r="C149" s="120"/>
      <c r="D149" s="120"/>
      <c r="E149" s="120"/>
      <c r="F149" s="120"/>
      <c r="G149" s="120"/>
      <c r="H149" s="120"/>
      <c r="I149" s="120"/>
      <c r="J149" s="120"/>
      <c r="K149" s="120"/>
      <c r="L149" s="120"/>
      <c r="M149" s="120"/>
    </row>
    <row r="150">
      <c r="A150" s="120"/>
      <c r="B150" s="120"/>
      <c r="C150" s="120"/>
      <c r="D150" s="120"/>
      <c r="E150" s="120"/>
      <c r="F150" s="120"/>
      <c r="G150" s="120"/>
      <c r="H150" s="120"/>
      <c r="I150" s="120"/>
      <c r="J150" s="120"/>
      <c r="K150" s="120"/>
      <c r="L150" s="120"/>
      <c r="M150" s="120"/>
    </row>
    <row r="151">
      <c r="A151" s="120"/>
      <c r="B151" s="120"/>
      <c r="C151" s="120"/>
      <c r="D151" s="120"/>
      <c r="E151" s="120"/>
      <c r="F151" s="120"/>
      <c r="G151" s="120"/>
      <c r="H151" s="120"/>
      <c r="I151" s="120"/>
      <c r="J151" s="120"/>
      <c r="K151" s="120"/>
      <c r="L151" s="120"/>
      <c r="M151" s="120"/>
    </row>
    <row r="152">
      <c r="A152" s="120"/>
      <c r="B152" s="120"/>
      <c r="C152" s="120"/>
      <c r="D152" s="120"/>
      <c r="E152" s="120"/>
      <c r="F152" s="120"/>
      <c r="G152" s="120"/>
      <c r="H152" s="120"/>
      <c r="I152" s="120"/>
      <c r="J152" s="120"/>
      <c r="K152" s="120"/>
      <c r="L152" s="120"/>
      <c r="M152" s="120"/>
    </row>
    <row r="153">
      <c r="A153" s="120"/>
      <c r="B153" s="120"/>
      <c r="C153" s="120"/>
      <c r="D153" s="120"/>
      <c r="E153" s="120"/>
      <c r="F153" s="120"/>
      <c r="G153" s="120"/>
      <c r="H153" s="120"/>
      <c r="I153" s="120"/>
      <c r="J153" s="120"/>
      <c r="K153" s="120"/>
      <c r="L153" s="120"/>
      <c r="M153" s="120"/>
    </row>
    <row r="154">
      <c r="A154" s="120"/>
      <c r="B154" s="120"/>
      <c r="C154" s="120"/>
      <c r="D154" s="120"/>
      <c r="E154" s="120"/>
      <c r="F154" s="120"/>
      <c r="G154" s="120"/>
      <c r="H154" s="120"/>
      <c r="I154" s="120"/>
      <c r="J154" s="120"/>
      <c r="K154" s="120"/>
      <c r="L154" s="120"/>
      <c r="M154" s="120"/>
    </row>
    <row r="155">
      <c r="A155" s="120"/>
      <c r="B155" s="120"/>
      <c r="C155" s="120"/>
      <c r="D155" s="120"/>
      <c r="E155" s="120"/>
      <c r="F155" s="120"/>
      <c r="G155" s="120"/>
      <c r="H155" s="120"/>
      <c r="I155" s="120"/>
      <c r="J155" s="120"/>
      <c r="K155" s="120"/>
      <c r="L155" s="120"/>
      <c r="M155" s="120"/>
    </row>
    <row r="156">
      <c r="A156" s="120"/>
      <c r="B156" s="120"/>
      <c r="C156" s="120"/>
      <c r="D156" s="120"/>
      <c r="E156" s="120"/>
      <c r="F156" s="120"/>
      <c r="G156" s="120"/>
      <c r="H156" s="120"/>
      <c r="I156" s="120"/>
      <c r="J156" s="120"/>
      <c r="K156" s="120"/>
      <c r="L156" s="120"/>
      <c r="M156" s="120"/>
    </row>
    <row r="157">
      <c r="A157" s="120"/>
      <c r="B157" s="120"/>
      <c r="C157" s="120"/>
      <c r="D157" s="120"/>
      <c r="E157" s="120"/>
      <c r="F157" s="120"/>
      <c r="G157" s="120"/>
      <c r="H157" s="120"/>
      <c r="I157" s="120"/>
      <c r="J157" s="120"/>
      <c r="K157" s="120"/>
      <c r="L157" s="120"/>
      <c r="M157" s="120"/>
    </row>
    <row r="158">
      <c r="A158" s="120"/>
      <c r="B158" s="120"/>
      <c r="C158" s="120"/>
      <c r="D158" s="120"/>
      <c r="E158" s="120"/>
      <c r="F158" s="120"/>
      <c r="G158" s="120"/>
      <c r="H158" s="120"/>
      <c r="I158" s="120"/>
      <c r="J158" s="120"/>
      <c r="K158" s="120"/>
      <c r="L158" s="120"/>
      <c r="M158" s="120"/>
    </row>
    <row r="159">
      <c r="A159" s="120"/>
      <c r="B159" s="120"/>
      <c r="C159" s="120"/>
      <c r="D159" s="120"/>
      <c r="E159" s="120"/>
      <c r="F159" s="120"/>
      <c r="G159" s="120"/>
      <c r="H159" s="120"/>
      <c r="I159" s="120"/>
      <c r="J159" s="120"/>
      <c r="K159" s="120"/>
      <c r="L159" s="120"/>
      <c r="M159" s="120"/>
    </row>
    <row r="160">
      <c r="A160" s="120"/>
      <c r="B160" s="120"/>
      <c r="C160" s="120"/>
      <c r="D160" s="120"/>
      <c r="E160" s="120"/>
      <c r="F160" s="120"/>
      <c r="G160" s="120"/>
      <c r="H160" s="120"/>
      <c r="I160" s="120"/>
      <c r="J160" s="120"/>
      <c r="K160" s="120"/>
      <c r="L160" s="120"/>
      <c r="M160" s="120"/>
    </row>
    <row r="161">
      <c r="A161" s="120"/>
      <c r="B161" s="120"/>
      <c r="C161" s="120"/>
      <c r="D161" s="120"/>
      <c r="E161" s="120"/>
      <c r="F161" s="120"/>
      <c r="G161" s="120"/>
      <c r="H161" s="120"/>
      <c r="I161" s="120"/>
      <c r="J161" s="120"/>
      <c r="K161" s="120"/>
      <c r="L161" s="120"/>
      <c r="M161" s="120"/>
    </row>
    <row r="162">
      <c r="A162" s="120"/>
      <c r="B162" s="120"/>
      <c r="C162" s="120"/>
      <c r="D162" s="120"/>
      <c r="E162" s="120"/>
      <c r="F162" s="120"/>
      <c r="G162" s="120"/>
      <c r="H162" s="120"/>
      <c r="I162" s="120"/>
      <c r="J162" s="120"/>
      <c r="K162" s="120"/>
      <c r="L162" s="120"/>
      <c r="M162" s="120"/>
    </row>
    <row r="163">
      <c r="A163" s="120"/>
      <c r="B163" s="120"/>
      <c r="C163" s="120"/>
      <c r="D163" s="120"/>
      <c r="E163" s="120"/>
      <c r="F163" s="120"/>
      <c r="G163" s="120"/>
      <c r="H163" s="120"/>
      <c r="I163" s="120"/>
      <c r="J163" s="120"/>
      <c r="K163" s="120"/>
      <c r="L163" s="120"/>
      <c r="M163" s="120"/>
    </row>
    <row r="164">
      <c r="A164" s="120"/>
      <c r="B164" s="120"/>
      <c r="C164" s="120"/>
      <c r="D164" s="120"/>
      <c r="E164" s="120"/>
      <c r="F164" s="120"/>
      <c r="G164" s="120"/>
      <c r="H164" s="120"/>
      <c r="I164" s="120"/>
      <c r="J164" s="120"/>
      <c r="K164" s="120"/>
      <c r="L164" s="120"/>
      <c r="M164" s="120"/>
    </row>
    <row r="165">
      <c r="A165" s="120"/>
      <c r="B165" s="120"/>
      <c r="C165" s="120"/>
      <c r="D165" s="120"/>
      <c r="E165" s="120"/>
      <c r="F165" s="120"/>
      <c r="G165" s="120"/>
      <c r="H165" s="120"/>
      <c r="I165" s="120"/>
      <c r="J165" s="120"/>
      <c r="K165" s="120"/>
      <c r="L165" s="120"/>
      <c r="M165" s="120"/>
    </row>
    <row r="166">
      <c r="A166" s="120"/>
      <c r="B166" s="120"/>
      <c r="C166" s="120"/>
      <c r="D166" s="120"/>
      <c r="E166" s="120"/>
      <c r="F166" s="120"/>
      <c r="G166" s="120"/>
      <c r="H166" s="120"/>
      <c r="I166" s="120"/>
      <c r="J166" s="120"/>
      <c r="K166" s="120"/>
      <c r="L166" s="120"/>
      <c r="M166" s="120"/>
    </row>
    <row r="167">
      <c r="A167" s="120"/>
      <c r="B167" s="120"/>
      <c r="C167" s="120"/>
      <c r="D167" s="120"/>
      <c r="E167" s="120"/>
      <c r="F167" s="120"/>
      <c r="G167" s="120"/>
      <c r="H167" s="120"/>
      <c r="I167" s="120"/>
      <c r="J167" s="120"/>
      <c r="K167" s="120"/>
      <c r="L167" s="120"/>
      <c r="M167" s="120"/>
    </row>
    <row r="168">
      <c r="A168" s="120"/>
      <c r="B168" s="120"/>
      <c r="C168" s="120"/>
      <c r="D168" s="120"/>
      <c r="E168" s="120"/>
      <c r="F168" s="120"/>
      <c r="G168" s="120"/>
      <c r="H168" s="120"/>
      <c r="I168" s="120"/>
      <c r="J168" s="120"/>
      <c r="K168" s="120"/>
      <c r="L168" s="120"/>
      <c r="M168" s="120"/>
    </row>
    <row r="169">
      <c r="A169" s="120"/>
      <c r="B169" s="120"/>
      <c r="C169" s="120"/>
      <c r="D169" s="120"/>
      <c r="E169" s="120"/>
      <c r="F169" s="120"/>
      <c r="G169" s="120"/>
      <c r="H169" s="120"/>
      <c r="I169" s="120"/>
      <c r="J169" s="120"/>
      <c r="K169" s="120"/>
      <c r="L169" s="120"/>
      <c r="M169" s="120"/>
    </row>
    <row r="170">
      <c r="A170" s="120"/>
      <c r="B170" s="120"/>
      <c r="C170" s="120"/>
      <c r="D170" s="120"/>
      <c r="E170" s="120"/>
      <c r="F170" s="120"/>
      <c r="G170" s="120"/>
      <c r="H170" s="120"/>
      <c r="I170" s="120"/>
      <c r="J170" s="120"/>
      <c r="K170" s="120"/>
      <c r="L170" s="120"/>
      <c r="M170" s="120"/>
    </row>
    <row r="171">
      <c r="A171" s="120"/>
      <c r="B171" s="120"/>
      <c r="C171" s="120"/>
      <c r="D171" s="120"/>
      <c r="E171" s="120"/>
      <c r="F171" s="120"/>
      <c r="G171" s="120"/>
      <c r="H171" s="120"/>
      <c r="I171" s="120"/>
      <c r="J171" s="120"/>
      <c r="K171" s="120"/>
      <c r="L171" s="120"/>
      <c r="M171" s="120"/>
    </row>
    <row r="172">
      <c r="A172" s="120"/>
      <c r="B172" s="120"/>
      <c r="C172" s="120"/>
      <c r="D172" s="120"/>
      <c r="E172" s="120"/>
      <c r="F172" s="120"/>
      <c r="G172" s="120"/>
      <c r="H172" s="120"/>
      <c r="I172" s="120"/>
      <c r="J172" s="120"/>
      <c r="K172" s="120"/>
      <c r="L172" s="120"/>
      <c r="M172" s="120"/>
    </row>
    <row r="173">
      <c r="A173" s="120"/>
      <c r="B173" s="120"/>
      <c r="C173" s="120"/>
      <c r="D173" s="120"/>
      <c r="E173" s="120"/>
      <c r="F173" s="120"/>
      <c r="G173" s="120"/>
      <c r="H173" s="120"/>
      <c r="I173" s="120"/>
      <c r="J173" s="120"/>
      <c r="K173" s="120"/>
      <c r="L173" s="120"/>
      <c r="M173" s="120"/>
    </row>
    <row r="174">
      <c r="A174" s="120"/>
      <c r="B174" s="120"/>
      <c r="C174" s="120"/>
      <c r="D174" s="120"/>
      <c r="E174" s="120"/>
      <c r="F174" s="120"/>
      <c r="G174" s="120"/>
      <c r="H174" s="120"/>
      <c r="I174" s="120"/>
      <c r="J174" s="120"/>
      <c r="K174" s="120"/>
      <c r="L174" s="120"/>
      <c r="M174" s="120"/>
    </row>
    <row r="175">
      <c r="A175" s="120"/>
      <c r="B175" s="120"/>
      <c r="C175" s="120"/>
      <c r="D175" s="120"/>
      <c r="E175" s="120"/>
      <c r="F175" s="120"/>
      <c r="G175" s="120"/>
      <c r="H175" s="120"/>
      <c r="I175" s="120"/>
      <c r="J175" s="120"/>
      <c r="K175" s="120"/>
      <c r="L175" s="120"/>
      <c r="M175" s="120"/>
    </row>
    <row r="176">
      <c r="A176" s="120"/>
      <c r="B176" s="120"/>
      <c r="C176" s="120"/>
      <c r="D176" s="120"/>
      <c r="E176" s="120"/>
      <c r="F176" s="120"/>
      <c r="G176" s="120"/>
      <c r="H176" s="120"/>
      <c r="I176" s="120"/>
      <c r="J176" s="120"/>
      <c r="K176" s="120"/>
      <c r="L176" s="120"/>
      <c r="M176" s="120"/>
    </row>
    <row r="177">
      <c r="A177" s="120"/>
      <c r="B177" s="120"/>
      <c r="C177" s="120"/>
      <c r="D177" s="120"/>
      <c r="E177" s="120"/>
      <c r="F177" s="120"/>
      <c r="G177" s="120"/>
      <c r="H177" s="120"/>
      <c r="I177" s="120"/>
      <c r="J177" s="120"/>
      <c r="K177" s="120"/>
      <c r="L177" s="120"/>
      <c r="M177" s="120"/>
    </row>
    <row r="178">
      <c r="A178" s="120"/>
      <c r="B178" s="120"/>
      <c r="C178" s="120"/>
      <c r="D178" s="120"/>
      <c r="E178" s="120"/>
      <c r="F178" s="120"/>
      <c r="G178" s="120"/>
      <c r="H178" s="120"/>
      <c r="I178" s="120"/>
      <c r="J178" s="120"/>
      <c r="K178" s="120"/>
      <c r="L178" s="120"/>
      <c r="M178" s="120"/>
    </row>
    <row r="179">
      <c r="A179" s="120"/>
      <c r="B179" s="120"/>
      <c r="C179" s="120"/>
      <c r="D179" s="120"/>
      <c r="E179" s="120"/>
      <c r="F179" s="120"/>
      <c r="G179" s="120"/>
      <c r="H179" s="120"/>
      <c r="I179" s="120"/>
      <c r="J179" s="120"/>
      <c r="K179" s="120"/>
      <c r="L179" s="120"/>
      <c r="M179" s="120"/>
    </row>
    <row r="180">
      <c r="A180" s="120"/>
      <c r="B180" s="120"/>
      <c r="C180" s="120"/>
      <c r="D180" s="120"/>
      <c r="E180" s="120"/>
      <c r="F180" s="120"/>
      <c r="G180" s="120"/>
      <c r="H180" s="120"/>
      <c r="I180" s="120"/>
      <c r="J180" s="120"/>
      <c r="K180" s="120"/>
      <c r="L180" s="120"/>
      <c r="M180" s="120"/>
    </row>
    <row r="181">
      <c r="A181" s="120"/>
      <c r="B181" s="120"/>
      <c r="C181" s="120"/>
      <c r="D181" s="120"/>
      <c r="E181" s="120"/>
      <c r="F181" s="120"/>
      <c r="G181" s="120"/>
      <c r="H181" s="120"/>
      <c r="I181" s="120"/>
      <c r="J181" s="120"/>
      <c r="K181" s="120"/>
      <c r="L181" s="120"/>
      <c r="M181" s="120"/>
    </row>
    <row r="182">
      <c r="A182" s="120"/>
      <c r="B182" s="120"/>
      <c r="C182" s="120"/>
      <c r="D182" s="120"/>
      <c r="E182" s="120"/>
      <c r="F182" s="120"/>
      <c r="G182" s="120"/>
      <c r="H182" s="120"/>
      <c r="I182" s="120"/>
      <c r="J182" s="120"/>
      <c r="K182" s="120"/>
      <c r="L182" s="120"/>
      <c r="M182" s="120"/>
    </row>
    <row r="183">
      <c r="A183" s="120"/>
      <c r="B183" s="120"/>
      <c r="C183" s="120"/>
      <c r="D183" s="120"/>
      <c r="E183" s="120"/>
      <c r="F183" s="120"/>
      <c r="G183" s="120"/>
      <c r="H183" s="120"/>
      <c r="I183" s="120"/>
      <c r="J183" s="120"/>
      <c r="K183" s="120"/>
      <c r="L183" s="120"/>
      <c r="M183" s="120"/>
    </row>
    <row r="184">
      <c r="A184" s="120"/>
      <c r="B184" s="120"/>
      <c r="C184" s="120"/>
      <c r="D184" s="120"/>
      <c r="E184" s="120"/>
      <c r="F184" s="120"/>
      <c r="G184" s="120"/>
      <c r="H184" s="120"/>
      <c r="I184" s="120"/>
      <c r="J184" s="120"/>
      <c r="K184" s="120"/>
      <c r="L184" s="120"/>
      <c r="M184" s="120"/>
    </row>
    <row r="185">
      <c r="A185" s="120"/>
      <c r="B185" s="120"/>
      <c r="C185" s="120"/>
      <c r="D185" s="120"/>
      <c r="E185" s="120"/>
      <c r="F185" s="120"/>
      <c r="G185" s="120"/>
      <c r="H185" s="120"/>
      <c r="I185" s="120"/>
      <c r="J185" s="120"/>
      <c r="K185" s="120"/>
      <c r="L185" s="120"/>
      <c r="M185" s="120"/>
    </row>
    <row r="186">
      <c r="A186" s="120"/>
      <c r="B186" s="120"/>
      <c r="C186" s="120"/>
      <c r="D186" s="120"/>
      <c r="E186" s="120"/>
      <c r="F186" s="120"/>
      <c r="G186" s="120"/>
      <c r="H186" s="120"/>
      <c r="I186" s="120"/>
      <c r="J186" s="120"/>
      <c r="K186" s="120"/>
      <c r="L186" s="120"/>
      <c r="M186" s="120"/>
    </row>
    <row r="187">
      <c r="A187" s="120"/>
      <c r="B187" s="120"/>
      <c r="C187" s="120"/>
      <c r="D187" s="120"/>
      <c r="E187" s="120"/>
      <c r="F187" s="120"/>
      <c r="G187" s="120"/>
      <c r="H187" s="120"/>
      <c r="I187" s="120"/>
      <c r="J187" s="120"/>
      <c r="K187" s="120"/>
      <c r="L187" s="120"/>
      <c r="M187" s="120"/>
    </row>
    <row r="188">
      <c r="A188" s="120"/>
      <c r="B188" s="120"/>
      <c r="C188" s="120"/>
      <c r="D188" s="120"/>
      <c r="E188" s="120"/>
      <c r="F188" s="120"/>
      <c r="G188" s="120"/>
      <c r="H188" s="120"/>
      <c r="I188" s="120"/>
      <c r="J188" s="120"/>
      <c r="K188" s="120"/>
      <c r="L188" s="120"/>
      <c r="M188" s="120"/>
    </row>
    <row r="189">
      <c r="A189" s="120"/>
      <c r="B189" s="120"/>
      <c r="C189" s="120"/>
      <c r="D189" s="120"/>
      <c r="E189" s="120"/>
      <c r="F189" s="120"/>
      <c r="G189" s="120"/>
      <c r="H189" s="120"/>
      <c r="I189" s="120"/>
      <c r="J189" s="120"/>
      <c r="K189" s="120"/>
      <c r="L189" s="120"/>
      <c r="M189" s="120"/>
    </row>
    <row r="190">
      <c r="A190" s="120"/>
      <c r="B190" s="120"/>
      <c r="C190" s="120"/>
      <c r="D190" s="120"/>
      <c r="E190" s="120"/>
      <c r="F190" s="120"/>
      <c r="G190" s="120"/>
      <c r="H190" s="120"/>
      <c r="I190" s="120"/>
      <c r="J190" s="120"/>
      <c r="K190" s="120"/>
      <c r="L190" s="120"/>
      <c r="M190" s="120"/>
    </row>
    <row r="191">
      <c r="A191" s="120"/>
      <c r="B191" s="120"/>
      <c r="C191" s="120"/>
      <c r="D191" s="120"/>
      <c r="E191" s="120"/>
      <c r="F191" s="120"/>
      <c r="G191" s="120"/>
      <c r="H191" s="120"/>
      <c r="I191" s="120"/>
      <c r="J191" s="120"/>
      <c r="K191" s="120"/>
      <c r="L191" s="120"/>
      <c r="M191" s="120"/>
    </row>
    <row r="192">
      <c r="A192" s="120"/>
      <c r="B192" s="120"/>
      <c r="C192" s="120"/>
      <c r="D192" s="120"/>
      <c r="E192" s="120"/>
      <c r="F192" s="120"/>
      <c r="G192" s="120"/>
      <c r="H192" s="120"/>
      <c r="I192" s="120"/>
      <c r="J192" s="120"/>
      <c r="K192" s="120"/>
      <c r="L192" s="120"/>
      <c r="M192" s="120"/>
    </row>
    <row r="193">
      <c r="A193" s="120"/>
      <c r="B193" s="120"/>
      <c r="C193" s="120"/>
      <c r="D193" s="120"/>
      <c r="E193" s="120"/>
      <c r="F193" s="120"/>
      <c r="G193" s="120"/>
      <c r="H193" s="120"/>
      <c r="I193" s="120"/>
      <c r="J193" s="120"/>
      <c r="K193" s="120"/>
      <c r="L193" s="120"/>
      <c r="M193" s="120"/>
    </row>
    <row r="194">
      <c r="A194" s="120"/>
      <c r="B194" s="120"/>
      <c r="C194" s="120"/>
      <c r="D194" s="120"/>
      <c r="E194" s="120"/>
      <c r="F194" s="120"/>
      <c r="G194" s="120"/>
      <c r="H194" s="120"/>
      <c r="I194" s="120"/>
      <c r="J194" s="120"/>
      <c r="K194" s="120"/>
      <c r="L194" s="120"/>
      <c r="M194" s="120"/>
    </row>
    <row r="195">
      <c r="A195" s="120"/>
      <c r="B195" s="120"/>
      <c r="C195" s="120"/>
      <c r="D195" s="120"/>
      <c r="E195" s="120"/>
      <c r="F195" s="120"/>
      <c r="G195" s="120"/>
      <c r="H195" s="120"/>
      <c r="I195" s="120"/>
      <c r="J195" s="120"/>
      <c r="K195" s="120"/>
      <c r="L195" s="120"/>
      <c r="M195" s="120"/>
    </row>
    <row r="196">
      <c r="A196" s="120"/>
      <c r="B196" s="120"/>
      <c r="C196" s="120"/>
      <c r="D196" s="120"/>
      <c r="E196" s="120"/>
      <c r="F196" s="120"/>
      <c r="G196" s="120"/>
      <c r="H196" s="120"/>
      <c r="I196" s="120"/>
      <c r="J196" s="120"/>
      <c r="K196" s="120"/>
      <c r="L196" s="120"/>
      <c r="M196" s="120"/>
    </row>
    <row r="197">
      <c r="A197" s="120"/>
      <c r="B197" s="120"/>
      <c r="C197" s="120"/>
      <c r="D197" s="120"/>
      <c r="E197" s="120"/>
      <c r="F197" s="120"/>
      <c r="G197" s="120"/>
      <c r="H197" s="120"/>
      <c r="I197" s="120"/>
      <c r="J197" s="120"/>
      <c r="K197" s="120"/>
      <c r="L197" s="120"/>
      <c r="M197" s="120"/>
    </row>
    <row r="198">
      <c r="A198" s="120"/>
      <c r="B198" s="120"/>
      <c r="C198" s="120"/>
      <c r="D198" s="120"/>
      <c r="E198" s="120"/>
      <c r="F198" s="120"/>
      <c r="G198" s="120"/>
      <c r="H198" s="120"/>
      <c r="I198" s="120"/>
      <c r="J198" s="120"/>
      <c r="K198" s="120"/>
      <c r="L198" s="120"/>
      <c r="M198" s="120"/>
    </row>
    <row r="199">
      <c r="A199" s="120"/>
      <c r="B199" s="120"/>
      <c r="C199" s="120"/>
      <c r="D199" s="120"/>
      <c r="E199" s="120"/>
      <c r="F199" s="120"/>
      <c r="G199" s="120"/>
      <c r="H199" s="120"/>
      <c r="I199" s="120"/>
      <c r="J199" s="120"/>
      <c r="K199" s="120"/>
      <c r="L199" s="120"/>
      <c r="M199" s="120"/>
    </row>
    <row r="200">
      <c r="A200" s="120"/>
      <c r="B200" s="120"/>
      <c r="C200" s="120"/>
      <c r="D200" s="120"/>
      <c r="E200" s="120"/>
      <c r="F200" s="120"/>
      <c r="G200" s="120"/>
      <c r="H200" s="120"/>
      <c r="I200" s="120"/>
      <c r="J200" s="120"/>
      <c r="K200" s="120"/>
      <c r="L200" s="120"/>
      <c r="M200" s="120"/>
    </row>
    <row r="201">
      <c r="A201" s="120"/>
      <c r="B201" s="120"/>
      <c r="C201" s="120"/>
      <c r="D201" s="120"/>
      <c r="E201" s="120"/>
      <c r="F201" s="120"/>
      <c r="G201" s="120"/>
      <c r="H201" s="120"/>
      <c r="I201" s="120"/>
      <c r="J201" s="120"/>
      <c r="K201" s="120"/>
      <c r="L201" s="120"/>
      <c r="M201" s="120"/>
    </row>
    <row r="202">
      <c r="A202" s="120"/>
      <c r="B202" s="120"/>
      <c r="C202" s="120"/>
      <c r="D202" s="120"/>
      <c r="E202" s="120"/>
      <c r="F202" s="120"/>
      <c r="G202" s="120"/>
      <c r="H202" s="120"/>
      <c r="I202" s="120"/>
      <c r="J202" s="120"/>
      <c r="K202" s="120"/>
      <c r="L202" s="120"/>
      <c r="M202" s="120"/>
    </row>
    <row r="203">
      <c r="A203" s="120"/>
      <c r="B203" s="120"/>
      <c r="C203" s="120"/>
      <c r="D203" s="120"/>
      <c r="E203" s="120"/>
      <c r="F203" s="120"/>
      <c r="G203" s="120"/>
      <c r="H203" s="120"/>
      <c r="I203" s="120"/>
      <c r="J203" s="120"/>
      <c r="K203" s="120"/>
      <c r="L203" s="120"/>
      <c r="M203" s="120"/>
    </row>
    <row r="204">
      <c r="A204" s="120"/>
      <c r="B204" s="120"/>
      <c r="C204" s="120"/>
      <c r="D204" s="120"/>
      <c r="E204" s="120"/>
      <c r="F204" s="120"/>
      <c r="G204" s="120"/>
      <c r="H204" s="120"/>
      <c r="I204" s="120"/>
      <c r="J204" s="120"/>
      <c r="K204" s="120"/>
      <c r="L204" s="120"/>
      <c r="M204" s="120"/>
    </row>
    <row r="205">
      <c r="A205" s="120"/>
      <c r="B205" s="120"/>
      <c r="C205" s="120"/>
      <c r="D205" s="120"/>
      <c r="E205" s="120"/>
      <c r="F205" s="120"/>
      <c r="G205" s="120"/>
      <c r="H205" s="120"/>
      <c r="I205" s="120"/>
      <c r="J205" s="120"/>
      <c r="K205" s="120"/>
      <c r="L205" s="120"/>
      <c r="M205" s="120"/>
    </row>
    <row r="206">
      <c r="A206" s="120"/>
      <c r="B206" s="120"/>
      <c r="C206" s="120"/>
      <c r="D206" s="120"/>
      <c r="E206" s="120"/>
      <c r="F206" s="120"/>
      <c r="G206" s="120"/>
      <c r="H206" s="120"/>
      <c r="I206" s="120"/>
      <c r="J206" s="120"/>
      <c r="K206" s="120"/>
      <c r="L206" s="120"/>
      <c r="M206" s="120"/>
    </row>
    <row r="207">
      <c r="A207" s="120"/>
      <c r="B207" s="120"/>
      <c r="C207" s="120"/>
      <c r="D207" s="120"/>
      <c r="E207" s="120"/>
      <c r="F207" s="120"/>
      <c r="G207" s="120"/>
      <c r="H207" s="120"/>
      <c r="I207" s="120"/>
      <c r="J207" s="120"/>
      <c r="K207" s="120"/>
      <c r="L207" s="120"/>
      <c r="M207" s="120"/>
    </row>
    <row r="208">
      <c r="A208" s="120"/>
      <c r="B208" s="120"/>
      <c r="C208" s="120"/>
      <c r="D208" s="120"/>
      <c r="E208" s="120"/>
      <c r="F208" s="120"/>
      <c r="G208" s="120"/>
      <c r="H208" s="120"/>
      <c r="I208" s="120"/>
      <c r="J208" s="120"/>
      <c r="K208" s="120"/>
      <c r="L208" s="120"/>
      <c r="M208" s="120"/>
    </row>
    <row r="209">
      <c r="A209" s="120"/>
      <c r="B209" s="120"/>
      <c r="C209" s="120"/>
      <c r="D209" s="120"/>
      <c r="E209" s="120"/>
      <c r="F209" s="120"/>
      <c r="G209" s="120"/>
      <c r="H209" s="120"/>
      <c r="I209" s="120"/>
      <c r="J209" s="120"/>
      <c r="K209" s="120"/>
      <c r="L209" s="120"/>
      <c r="M209" s="120"/>
    </row>
    <row r="210">
      <c r="A210" s="120"/>
      <c r="B210" s="120"/>
      <c r="C210" s="120"/>
      <c r="D210" s="120"/>
      <c r="E210" s="120"/>
      <c r="F210" s="120"/>
      <c r="G210" s="120"/>
      <c r="H210" s="120"/>
      <c r="I210" s="120"/>
      <c r="J210" s="120"/>
      <c r="K210" s="120"/>
      <c r="L210" s="120"/>
      <c r="M210" s="120"/>
    </row>
    <row r="211">
      <c r="A211" s="120"/>
      <c r="B211" s="120"/>
      <c r="C211" s="120"/>
      <c r="D211" s="120"/>
      <c r="E211" s="120"/>
      <c r="F211" s="120"/>
      <c r="G211" s="120"/>
      <c r="H211" s="120"/>
      <c r="I211" s="120"/>
      <c r="J211" s="120"/>
      <c r="K211" s="120"/>
      <c r="L211" s="120"/>
      <c r="M211" s="120"/>
    </row>
    <row r="212">
      <c r="A212" s="120"/>
      <c r="B212" s="120"/>
      <c r="C212" s="120"/>
      <c r="D212" s="120"/>
      <c r="E212" s="120"/>
      <c r="F212" s="120"/>
      <c r="G212" s="120"/>
      <c r="H212" s="120"/>
      <c r="I212" s="120"/>
      <c r="J212" s="120"/>
      <c r="K212" s="120"/>
      <c r="L212" s="120"/>
      <c r="M212" s="120"/>
    </row>
    <row r="213">
      <c r="A213" s="120"/>
      <c r="B213" s="120"/>
      <c r="C213" s="120"/>
      <c r="D213" s="120"/>
      <c r="E213" s="120"/>
      <c r="F213" s="120"/>
      <c r="G213" s="120"/>
      <c r="H213" s="120"/>
      <c r="I213" s="120"/>
      <c r="J213" s="120"/>
      <c r="K213" s="120"/>
      <c r="L213" s="120"/>
      <c r="M213" s="120"/>
    </row>
    <row r="214">
      <c r="A214" s="120"/>
      <c r="B214" s="120"/>
      <c r="C214" s="120"/>
      <c r="D214" s="120"/>
      <c r="E214" s="120"/>
      <c r="F214" s="120"/>
      <c r="G214" s="120"/>
      <c r="H214" s="120"/>
      <c r="I214" s="120"/>
      <c r="J214" s="120"/>
      <c r="K214" s="120"/>
      <c r="L214" s="120"/>
      <c r="M214" s="120"/>
    </row>
    <row r="215">
      <c r="A215" s="120"/>
      <c r="B215" s="120"/>
      <c r="C215" s="120"/>
      <c r="D215" s="120"/>
      <c r="E215" s="120"/>
      <c r="F215" s="120"/>
      <c r="G215" s="120"/>
      <c r="H215" s="120"/>
      <c r="I215" s="120"/>
      <c r="J215" s="120"/>
      <c r="K215" s="120"/>
      <c r="L215" s="120"/>
      <c r="M215" s="120"/>
    </row>
    <row r="216">
      <c r="A216" s="120"/>
      <c r="B216" s="120"/>
      <c r="C216" s="120"/>
      <c r="D216" s="120"/>
      <c r="E216" s="120"/>
      <c r="F216" s="120"/>
      <c r="G216" s="120"/>
      <c r="H216" s="120"/>
      <c r="I216" s="120"/>
      <c r="J216" s="120"/>
      <c r="K216" s="120"/>
      <c r="L216" s="120"/>
      <c r="M216" s="120"/>
    </row>
    <row r="217">
      <c r="A217" s="120"/>
      <c r="B217" s="120"/>
      <c r="C217" s="120"/>
      <c r="D217" s="120"/>
      <c r="E217" s="120"/>
      <c r="F217" s="120"/>
      <c r="G217" s="120"/>
      <c r="H217" s="120"/>
      <c r="I217" s="120"/>
      <c r="J217" s="120"/>
      <c r="K217" s="120"/>
      <c r="L217" s="120"/>
      <c r="M217" s="120"/>
    </row>
    <row r="218">
      <c r="A218" s="120"/>
      <c r="B218" s="120"/>
      <c r="C218" s="120"/>
      <c r="D218" s="120"/>
      <c r="E218" s="120"/>
      <c r="F218" s="120"/>
      <c r="G218" s="120"/>
      <c r="H218" s="120"/>
      <c r="I218" s="120"/>
      <c r="J218" s="120"/>
      <c r="K218" s="120"/>
      <c r="L218" s="120"/>
      <c r="M218" s="120"/>
    </row>
    <row r="219">
      <c r="A219" s="120"/>
      <c r="B219" s="120"/>
      <c r="C219" s="120"/>
      <c r="D219" s="120"/>
      <c r="E219" s="120"/>
      <c r="F219" s="120"/>
      <c r="G219" s="120"/>
      <c r="H219" s="120"/>
      <c r="I219" s="120"/>
      <c r="J219" s="120"/>
      <c r="K219" s="120"/>
      <c r="L219" s="120"/>
      <c r="M219" s="120"/>
    </row>
    <row r="220">
      <c r="A220" s="120"/>
      <c r="B220" s="120"/>
      <c r="C220" s="120"/>
      <c r="D220" s="120"/>
      <c r="E220" s="120"/>
      <c r="F220" s="120"/>
      <c r="G220" s="120"/>
      <c r="H220" s="120"/>
      <c r="I220" s="120"/>
      <c r="J220" s="120"/>
      <c r="K220" s="120"/>
      <c r="L220" s="120"/>
      <c r="M220" s="120"/>
    </row>
    <row r="221">
      <c r="A221" s="120"/>
      <c r="B221" s="120"/>
      <c r="C221" s="120"/>
      <c r="D221" s="120"/>
      <c r="E221" s="120"/>
      <c r="F221" s="120"/>
      <c r="G221" s="120"/>
      <c r="H221" s="120"/>
      <c r="I221" s="120"/>
      <c r="J221" s="120"/>
      <c r="K221" s="120"/>
      <c r="L221" s="120"/>
      <c r="M221" s="120"/>
    </row>
    <row r="222">
      <c r="A222" s="120"/>
      <c r="B222" s="120"/>
      <c r="C222" s="120"/>
      <c r="D222" s="120"/>
      <c r="E222" s="120"/>
      <c r="F222" s="120"/>
      <c r="G222" s="120"/>
      <c r="H222" s="120"/>
      <c r="I222" s="120"/>
      <c r="J222" s="120"/>
      <c r="K222" s="120"/>
      <c r="L222" s="120"/>
      <c r="M222" s="120"/>
    </row>
    <row r="223">
      <c r="A223" s="120"/>
      <c r="B223" s="120"/>
      <c r="C223" s="120"/>
      <c r="D223" s="120"/>
      <c r="E223" s="120"/>
      <c r="F223" s="120"/>
      <c r="G223" s="120"/>
      <c r="H223" s="120"/>
      <c r="I223" s="120"/>
      <c r="J223" s="120"/>
      <c r="K223" s="120"/>
      <c r="L223" s="120"/>
      <c r="M223" s="120"/>
    </row>
    <row r="224">
      <c r="A224" s="120"/>
      <c r="B224" s="120"/>
      <c r="C224" s="120"/>
      <c r="D224" s="120"/>
      <c r="E224" s="120"/>
      <c r="F224" s="120"/>
      <c r="G224" s="120"/>
      <c r="H224" s="120"/>
      <c r="I224" s="120"/>
      <c r="J224" s="120"/>
      <c r="K224" s="120"/>
      <c r="L224" s="120"/>
      <c r="M224" s="120"/>
    </row>
    <row r="225">
      <c r="A225" s="120"/>
      <c r="B225" s="120"/>
      <c r="C225" s="120"/>
      <c r="D225" s="120"/>
      <c r="E225" s="120"/>
      <c r="F225" s="120"/>
      <c r="G225" s="120"/>
      <c r="H225" s="120"/>
      <c r="I225" s="120"/>
      <c r="J225" s="120"/>
      <c r="K225" s="120"/>
      <c r="L225" s="120"/>
      <c r="M225" s="120"/>
    </row>
    <row r="226">
      <c r="A226" s="120"/>
      <c r="B226" s="120"/>
      <c r="C226" s="120"/>
      <c r="D226" s="120"/>
      <c r="E226" s="120"/>
      <c r="F226" s="120"/>
      <c r="G226" s="120"/>
      <c r="H226" s="120"/>
      <c r="I226" s="120"/>
      <c r="J226" s="120"/>
      <c r="K226" s="120"/>
      <c r="L226" s="120"/>
      <c r="M226" s="120"/>
    </row>
    <row r="227">
      <c r="A227" s="120"/>
      <c r="B227" s="120"/>
      <c r="C227" s="120"/>
      <c r="D227" s="120"/>
      <c r="E227" s="120"/>
      <c r="F227" s="120"/>
      <c r="G227" s="120"/>
      <c r="H227" s="120"/>
      <c r="I227" s="120"/>
      <c r="J227" s="120"/>
      <c r="K227" s="120"/>
      <c r="L227" s="120"/>
      <c r="M227" s="120"/>
    </row>
    <row r="228">
      <c r="A228" s="120"/>
      <c r="B228" s="120"/>
      <c r="C228" s="120"/>
      <c r="D228" s="120"/>
      <c r="E228" s="120"/>
      <c r="F228" s="120"/>
      <c r="G228" s="120"/>
      <c r="H228" s="120"/>
      <c r="I228" s="120"/>
      <c r="J228" s="120"/>
      <c r="K228" s="120"/>
      <c r="L228" s="120"/>
      <c r="M228" s="120"/>
    </row>
    <row r="229">
      <c r="A229" s="120"/>
      <c r="B229" s="120"/>
      <c r="C229" s="120"/>
      <c r="D229" s="120"/>
      <c r="E229" s="120"/>
      <c r="F229" s="120"/>
      <c r="G229" s="120"/>
      <c r="H229" s="120"/>
      <c r="I229" s="120"/>
      <c r="J229" s="120"/>
      <c r="K229" s="120"/>
      <c r="L229" s="120"/>
      <c r="M229" s="120"/>
    </row>
    <row r="230">
      <c r="A230" s="120"/>
      <c r="B230" s="120"/>
      <c r="C230" s="120"/>
      <c r="D230" s="120"/>
      <c r="E230" s="120"/>
      <c r="F230" s="120"/>
      <c r="G230" s="120"/>
      <c r="H230" s="120"/>
      <c r="I230" s="120"/>
      <c r="J230" s="120"/>
      <c r="K230" s="120"/>
      <c r="L230" s="120"/>
      <c r="M230" s="120"/>
    </row>
    <row r="231">
      <c r="A231" s="120"/>
      <c r="B231" s="120"/>
      <c r="C231" s="120"/>
      <c r="D231" s="120"/>
      <c r="E231" s="120"/>
      <c r="F231" s="120"/>
      <c r="G231" s="120"/>
      <c r="H231" s="120"/>
      <c r="I231" s="120"/>
      <c r="J231" s="120"/>
      <c r="K231" s="120"/>
      <c r="L231" s="120"/>
      <c r="M231" s="120"/>
    </row>
    <row r="232">
      <c r="A232" s="120"/>
      <c r="B232" s="120"/>
      <c r="C232" s="120"/>
      <c r="D232" s="120"/>
      <c r="E232" s="120"/>
      <c r="F232" s="120"/>
      <c r="G232" s="120"/>
      <c r="H232" s="120"/>
      <c r="I232" s="120"/>
      <c r="J232" s="120"/>
      <c r="K232" s="120"/>
      <c r="L232" s="120"/>
      <c r="M232" s="120"/>
    </row>
    <row r="233">
      <c r="A233" s="120"/>
      <c r="B233" s="120"/>
      <c r="C233" s="120"/>
      <c r="D233" s="120"/>
      <c r="E233" s="120"/>
      <c r="F233" s="120"/>
      <c r="G233" s="120"/>
      <c r="H233" s="120"/>
      <c r="I233" s="120"/>
      <c r="J233" s="120"/>
      <c r="K233" s="120"/>
      <c r="L233" s="120"/>
      <c r="M233" s="120"/>
    </row>
    <row r="234">
      <c r="A234" s="120"/>
      <c r="B234" s="120"/>
      <c r="C234" s="120"/>
      <c r="D234" s="120"/>
      <c r="E234" s="120"/>
      <c r="F234" s="120"/>
      <c r="G234" s="120"/>
      <c r="H234" s="120"/>
      <c r="I234" s="120"/>
      <c r="J234" s="120"/>
      <c r="K234" s="120"/>
      <c r="L234" s="120"/>
      <c r="M234" s="120"/>
    </row>
    <row r="235">
      <c r="A235" s="120"/>
      <c r="B235" s="120"/>
      <c r="C235" s="120"/>
      <c r="D235" s="120"/>
      <c r="E235" s="120"/>
      <c r="F235" s="120"/>
      <c r="G235" s="120"/>
      <c r="H235" s="120"/>
      <c r="I235" s="120"/>
      <c r="J235" s="120"/>
      <c r="K235" s="120"/>
      <c r="L235" s="120"/>
      <c r="M235" s="120"/>
    </row>
    <row r="236">
      <c r="A236" s="120"/>
      <c r="B236" s="120"/>
      <c r="C236" s="120"/>
      <c r="D236" s="120"/>
      <c r="E236" s="120"/>
      <c r="F236" s="120"/>
      <c r="G236" s="120"/>
      <c r="H236" s="120"/>
      <c r="I236" s="120"/>
      <c r="J236" s="120"/>
      <c r="K236" s="120"/>
      <c r="L236" s="120"/>
      <c r="M236" s="120"/>
    </row>
    <row r="237">
      <c r="A237" s="120"/>
      <c r="B237" s="120"/>
      <c r="C237" s="120"/>
      <c r="D237" s="120"/>
      <c r="E237" s="120"/>
      <c r="F237" s="120"/>
      <c r="G237" s="120"/>
      <c r="H237" s="120"/>
      <c r="I237" s="120"/>
      <c r="J237" s="120"/>
      <c r="K237" s="120"/>
      <c r="L237" s="120"/>
      <c r="M237" s="120"/>
    </row>
    <row r="238">
      <c r="A238" s="120"/>
      <c r="B238" s="120"/>
      <c r="C238" s="120"/>
      <c r="D238" s="120"/>
      <c r="E238" s="120"/>
      <c r="F238" s="120"/>
      <c r="G238" s="120"/>
      <c r="H238" s="120"/>
      <c r="I238" s="120"/>
      <c r="J238" s="120"/>
      <c r="K238" s="120"/>
      <c r="L238" s="120"/>
      <c r="M238" s="120"/>
    </row>
    <row r="239">
      <c r="A239" s="120"/>
      <c r="B239" s="120"/>
      <c r="C239" s="120"/>
      <c r="D239" s="120"/>
      <c r="E239" s="120"/>
      <c r="F239" s="120"/>
      <c r="G239" s="120"/>
      <c r="H239" s="120"/>
      <c r="I239" s="120"/>
      <c r="J239" s="120"/>
      <c r="K239" s="120"/>
      <c r="L239" s="120"/>
      <c r="M239" s="120"/>
    </row>
    <row r="240">
      <c r="A240" s="120"/>
      <c r="B240" s="120"/>
      <c r="C240" s="120"/>
      <c r="D240" s="120"/>
      <c r="E240" s="120"/>
      <c r="F240" s="120"/>
      <c r="G240" s="120"/>
      <c r="H240" s="120"/>
      <c r="I240" s="120"/>
      <c r="J240" s="120"/>
      <c r="K240" s="120"/>
      <c r="L240" s="120"/>
      <c r="M240" s="120"/>
    </row>
    <row r="241">
      <c r="A241" s="120"/>
      <c r="B241" s="120"/>
      <c r="C241" s="120"/>
      <c r="D241" s="120"/>
      <c r="E241" s="120"/>
      <c r="F241" s="120"/>
      <c r="G241" s="120"/>
      <c r="H241" s="120"/>
      <c r="I241" s="120"/>
      <c r="J241" s="120"/>
      <c r="K241" s="120"/>
      <c r="L241" s="120"/>
      <c r="M241" s="120"/>
    </row>
    <row r="242">
      <c r="A242" s="120"/>
      <c r="B242" s="120"/>
      <c r="C242" s="120"/>
      <c r="D242" s="120"/>
      <c r="E242" s="120"/>
      <c r="F242" s="120"/>
      <c r="G242" s="120"/>
      <c r="H242" s="120"/>
      <c r="I242" s="120"/>
      <c r="J242" s="120"/>
      <c r="K242" s="120"/>
      <c r="L242" s="120"/>
      <c r="M242" s="120"/>
    </row>
    <row r="243">
      <c r="A243" s="120"/>
      <c r="B243" s="120"/>
      <c r="C243" s="120"/>
      <c r="D243" s="120"/>
      <c r="E243" s="120"/>
      <c r="F243" s="120"/>
      <c r="G243" s="120"/>
      <c r="H243" s="120"/>
      <c r="I243" s="120"/>
      <c r="J243" s="120"/>
      <c r="K243" s="120"/>
      <c r="L243" s="120"/>
      <c r="M243" s="120"/>
    </row>
    <row r="244">
      <c r="A244" s="120"/>
      <c r="B244" s="120"/>
      <c r="C244" s="120"/>
      <c r="D244" s="120"/>
      <c r="E244" s="120"/>
      <c r="F244" s="120"/>
      <c r="G244" s="120"/>
      <c r="H244" s="120"/>
      <c r="I244" s="120"/>
      <c r="J244" s="120"/>
      <c r="K244" s="120"/>
      <c r="L244" s="120"/>
      <c r="M244" s="120"/>
    </row>
    <row r="245">
      <c r="A245" s="120"/>
      <c r="B245" s="120"/>
      <c r="C245" s="120"/>
      <c r="D245" s="120"/>
      <c r="E245" s="120"/>
      <c r="F245" s="120"/>
      <c r="G245" s="120"/>
      <c r="H245" s="120"/>
      <c r="I245" s="120"/>
      <c r="J245" s="120"/>
      <c r="K245" s="120"/>
      <c r="L245" s="120"/>
      <c r="M245" s="120"/>
    </row>
    <row r="246">
      <c r="A246" s="120"/>
      <c r="B246" s="120"/>
      <c r="C246" s="120"/>
      <c r="D246" s="120"/>
      <c r="E246" s="120"/>
      <c r="F246" s="120"/>
      <c r="G246" s="120"/>
      <c r="H246" s="120"/>
      <c r="I246" s="120"/>
      <c r="J246" s="120"/>
      <c r="K246" s="120"/>
      <c r="L246" s="120"/>
      <c r="M246" s="120"/>
    </row>
    <row r="247">
      <c r="A247" s="120"/>
      <c r="B247" s="120"/>
      <c r="C247" s="120"/>
      <c r="D247" s="120"/>
      <c r="E247" s="120"/>
      <c r="F247" s="120"/>
      <c r="G247" s="120"/>
      <c r="H247" s="120"/>
      <c r="I247" s="120"/>
      <c r="J247" s="120"/>
      <c r="K247" s="120"/>
      <c r="L247" s="120"/>
      <c r="M247" s="120"/>
    </row>
    <row r="248">
      <c r="A248" s="120"/>
      <c r="B248" s="120"/>
      <c r="C248" s="120"/>
      <c r="D248" s="120"/>
      <c r="E248" s="120"/>
      <c r="F248" s="120"/>
      <c r="G248" s="120"/>
      <c r="H248" s="120"/>
      <c r="I248" s="120"/>
      <c r="J248" s="120"/>
      <c r="K248" s="120"/>
      <c r="L248" s="120"/>
      <c r="M248" s="120"/>
    </row>
    <row r="249">
      <c r="A249" s="120"/>
      <c r="B249" s="120"/>
      <c r="C249" s="120"/>
      <c r="D249" s="120"/>
      <c r="E249" s="120"/>
      <c r="F249" s="120"/>
      <c r="G249" s="120"/>
      <c r="H249" s="120"/>
      <c r="I249" s="120"/>
      <c r="J249" s="120"/>
      <c r="K249" s="120"/>
      <c r="L249" s="120"/>
      <c r="M249" s="120"/>
    </row>
    <row r="250">
      <c r="A250" s="120"/>
      <c r="B250" s="120"/>
      <c r="C250" s="120"/>
      <c r="D250" s="120"/>
      <c r="E250" s="120"/>
      <c r="F250" s="120"/>
      <c r="G250" s="120"/>
      <c r="H250" s="120"/>
      <c r="I250" s="120"/>
      <c r="J250" s="120"/>
      <c r="K250" s="120"/>
      <c r="L250" s="120"/>
      <c r="M250" s="120"/>
    </row>
    <row r="251">
      <c r="A251" s="120"/>
      <c r="B251" s="120"/>
      <c r="C251" s="120"/>
      <c r="D251" s="120"/>
      <c r="E251" s="120"/>
      <c r="F251" s="120"/>
      <c r="G251" s="120"/>
      <c r="H251" s="120"/>
      <c r="I251" s="120"/>
      <c r="J251" s="120"/>
      <c r="K251" s="120"/>
      <c r="L251" s="120"/>
      <c r="M251" s="120"/>
    </row>
    <row r="252">
      <c r="A252" s="120"/>
      <c r="B252" s="120"/>
      <c r="C252" s="120"/>
      <c r="D252" s="120"/>
      <c r="E252" s="120"/>
      <c r="F252" s="120"/>
      <c r="G252" s="120"/>
      <c r="H252" s="120"/>
      <c r="I252" s="120"/>
      <c r="J252" s="120"/>
      <c r="K252" s="120"/>
      <c r="L252" s="120"/>
      <c r="M252" s="120"/>
    </row>
    <row r="253">
      <c r="A253" s="120"/>
      <c r="B253" s="120"/>
      <c r="C253" s="120"/>
      <c r="D253" s="120"/>
      <c r="E253" s="120"/>
      <c r="F253" s="120"/>
      <c r="G253" s="120"/>
      <c r="H253" s="120"/>
      <c r="I253" s="120"/>
      <c r="J253" s="120"/>
      <c r="K253" s="120"/>
      <c r="L253" s="120"/>
      <c r="M253" s="120"/>
    </row>
    <row r="254">
      <c r="A254" s="120"/>
      <c r="B254" s="120"/>
      <c r="C254" s="120"/>
      <c r="D254" s="120"/>
      <c r="E254" s="120"/>
      <c r="F254" s="120"/>
      <c r="G254" s="120"/>
      <c r="H254" s="120"/>
      <c r="I254" s="120"/>
      <c r="J254" s="120"/>
      <c r="K254" s="120"/>
      <c r="L254" s="120"/>
      <c r="M254" s="120"/>
    </row>
    <row r="255">
      <c r="A255" s="120"/>
      <c r="B255" s="120"/>
      <c r="C255" s="120"/>
      <c r="D255" s="120"/>
      <c r="E255" s="120"/>
      <c r="F255" s="120"/>
      <c r="G255" s="120"/>
      <c r="H255" s="120"/>
      <c r="I255" s="120"/>
      <c r="J255" s="120"/>
      <c r="K255" s="120"/>
      <c r="L255" s="120"/>
      <c r="M255" s="120"/>
    </row>
    <row r="256">
      <c r="A256" s="120"/>
      <c r="B256" s="120"/>
      <c r="C256" s="120"/>
      <c r="D256" s="120"/>
      <c r="E256" s="120"/>
      <c r="F256" s="120"/>
      <c r="G256" s="120"/>
      <c r="H256" s="120"/>
      <c r="I256" s="120"/>
      <c r="J256" s="120"/>
      <c r="K256" s="120"/>
      <c r="L256" s="120"/>
      <c r="M256" s="120"/>
    </row>
    <row r="257">
      <c r="A257" s="120"/>
      <c r="B257" s="120"/>
      <c r="C257" s="120"/>
      <c r="D257" s="120"/>
      <c r="E257" s="120"/>
      <c r="F257" s="120"/>
      <c r="G257" s="120"/>
      <c r="H257" s="120"/>
      <c r="I257" s="120"/>
      <c r="J257" s="120"/>
      <c r="K257" s="120"/>
      <c r="L257" s="120"/>
      <c r="M257" s="120"/>
    </row>
    <row r="258">
      <c r="A258" s="120"/>
      <c r="B258" s="120"/>
      <c r="C258" s="120"/>
      <c r="D258" s="120"/>
      <c r="E258" s="120"/>
      <c r="F258" s="120"/>
      <c r="G258" s="120"/>
      <c r="H258" s="120"/>
      <c r="I258" s="120"/>
      <c r="J258" s="120"/>
      <c r="K258" s="120"/>
      <c r="L258" s="120"/>
      <c r="M258" s="120"/>
    </row>
    <row r="259">
      <c r="A259" s="120"/>
      <c r="B259" s="120"/>
      <c r="C259" s="120"/>
      <c r="D259" s="120"/>
      <c r="E259" s="120"/>
      <c r="F259" s="120"/>
      <c r="G259" s="120"/>
      <c r="H259" s="120"/>
      <c r="I259" s="120"/>
      <c r="J259" s="120"/>
      <c r="K259" s="120"/>
      <c r="L259" s="120"/>
      <c r="M259" s="120"/>
    </row>
    <row r="260">
      <c r="A260" s="120"/>
      <c r="B260" s="120"/>
      <c r="C260" s="120"/>
      <c r="D260" s="120"/>
      <c r="E260" s="120"/>
      <c r="F260" s="120"/>
      <c r="G260" s="120"/>
      <c r="H260" s="120"/>
      <c r="I260" s="120"/>
      <c r="J260" s="120"/>
      <c r="K260" s="120"/>
      <c r="L260" s="120"/>
      <c r="M260" s="120"/>
    </row>
    <row r="261">
      <c r="A261" s="120"/>
      <c r="B261" s="120"/>
      <c r="C261" s="120"/>
      <c r="D261" s="120"/>
      <c r="E261" s="120"/>
      <c r="F261" s="120"/>
      <c r="G261" s="120"/>
      <c r="H261" s="120"/>
      <c r="I261" s="120"/>
      <c r="J261" s="120"/>
      <c r="K261" s="120"/>
      <c r="L261" s="120"/>
      <c r="M261" s="120"/>
    </row>
    <row r="262">
      <c r="A262" s="120"/>
      <c r="B262" s="120"/>
      <c r="C262" s="120"/>
      <c r="D262" s="120"/>
      <c r="E262" s="120"/>
      <c r="F262" s="120"/>
      <c r="G262" s="120"/>
      <c r="H262" s="120"/>
      <c r="I262" s="120"/>
      <c r="J262" s="120"/>
      <c r="K262" s="120"/>
      <c r="L262" s="120"/>
      <c r="M262" s="120"/>
    </row>
    <row r="263">
      <c r="A263" s="120"/>
      <c r="B263" s="120"/>
      <c r="C263" s="120"/>
      <c r="D263" s="120"/>
      <c r="E263" s="120"/>
      <c r="F263" s="120"/>
      <c r="G263" s="120"/>
      <c r="H263" s="120"/>
      <c r="I263" s="120"/>
      <c r="J263" s="120"/>
      <c r="K263" s="120"/>
      <c r="L263" s="120"/>
      <c r="M263" s="120"/>
    </row>
    <row r="264">
      <c r="A264" s="120"/>
      <c r="B264" s="120"/>
      <c r="C264" s="120"/>
      <c r="D264" s="120"/>
      <c r="E264" s="120"/>
      <c r="F264" s="120"/>
      <c r="G264" s="120"/>
      <c r="H264" s="120"/>
      <c r="I264" s="120"/>
      <c r="J264" s="120"/>
      <c r="K264" s="120"/>
      <c r="L264" s="120"/>
      <c r="M264" s="120"/>
    </row>
    <row r="265">
      <c r="A265" s="120"/>
      <c r="B265" s="120"/>
      <c r="C265" s="120"/>
      <c r="D265" s="120"/>
      <c r="E265" s="120"/>
      <c r="F265" s="120"/>
      <c r="G265" s="120"/>
      <c r="H265" s="120"/>
      <c r="I265" s="120"/>
      <c r="J265" s="120"/>
      <c r="K265" s="120"/>
      <c r="L265" s="120"/>
      <c r="M265" s="120"/>
    </row>
    <row r="266">
      <c r="A266" s="120"/>
      <c r="B266" s="120"/>
      <c r="C266" s="120"/>
      <c r="D266" s="120"/>
      <c r="E266" s="120"/>
      <c r="F266" s="120"/>
      <c r="G266" s="120"/>
      <c r="H266" s="120"/>
      <c r="I266" s="120"/>
      <c r="J266" s="120"/>
      <c r="K266" s="120"/>
      <c r="L266" s="120"/>
      <c r="M266" s="120"/>
    </row>
    <row r="267">
      <c r="A267" s="120"/>
      <c r="B267" s="120"/>
      <c r="C267" s="120"/>
      <c r="D267" s="120"/>
      <c r="E267" s="120"/>
      <c r="F267" s="120"/>
      <c r="G267" s="120"/>
      <c r="H267" s="120"/>
      <c r="I267" s="120"/>
      <c r="J267" s="120"/>
      <c r="K267" s="120"/>
      <c r="L267" s="120"/>
      <c r="M267" s="120"/>
    </row>
    <row r="268">
      <c r="A268" s="120"/>
      <c r="B268" s="120"/>
      <c r="C268" s="120"/>
      <c r="D268" s="120"/>
      <c r="E268" s="120"/>
      <c r="F268" s="120"/>
      <c r="G268" s="120"/>
      <c r="H268" s="120"/>
      <c r="I268" s="120"/>
      <c r="J268" s="120"/>
      <c r="K268" s="120"/>
      <c r="L268" s="120"/>
      <c r="M268" s="120"/>
    </row>
    <row r="269">
      <c r="A269" s="120"/>
      <c r="B269" s="120"/>
      <c r="C269" s="120"/>
      <c r="D269" s="120"/>
      <c r="E269" s="120"/>
      <c r="F269" s="120"/>
      <c r="G269" s="120"/>
      <c r="H269" s="120"/>
      <c r="I269" s="120"/>
      <c r="J269" s="120"/>
      <c r="K269" s="120"/>
      <c r="L269" s="120"/>
      <c r="M269" s="120"/>
    </row>
    <row r="270">
      <c r="A270" s="120"/>
      <c r="B270" s="120"/>
      <c r="C270" s="120"/>
      <c r="D270" s="120"/>
      <c r="E270" s="120"/>
      <c r="F270" s="120"/>
      <c r="G270" s="120"/>
      <c r="H270" s="120"/>
      <c r="I270" s="120"/>
      <c r="J270" s="120"/>
      <c r="K270" s="120"/>
      <c r="L270" s="120"/>
      <c r="M270" s="120"/>
    </row>
    <row r="271">
      <c r="A271" s="120"/>
      <c r="B271" s="120"/>
      <c r="C271" s="120"/>
      <c r="D271" s="120"/>
      <c r="E271" s="120"/>
      <c r="F271" s="120"/>
      <c r="G271" s="120"/>
      <c r="H271" s="120"/>
      <c r="I271" s="120"/>
      <c r="J271" s="120"/>
      <c r="K271" s="120"/>
      <c r="L271" s="120"/>
      <c r="M271" s="120"/>
    </row>
    <row r="272">
      <c r="A272" s="120"/>
      <c r="B272" s="120"/>
      <c r="C272" s="120"/>
      <c r="D272" s="120"/>
      <c r="E272" s="120"/>
      <c r="F272" s="120"/>
      <c r="G272" s="120"/>
      <c r="H272" s="120"/>
      <c r="I272" s="120"/>
      <c r="J272" s="120"/>
      <c r="K272" s="120"/>
      <c r="L272" s="120"/>
      <c r="M272" s="120"/>
    </row>
    <row r="273">
      <c r="A273" s="120"/>
      <c r="B273" s="120"/>
      <c r="C273" s="120"/>
      <c r="D273" s="120"/>
      <c r="E273" s="120"/>
      <c r="F273" s="120"/>
      <c r="G273" s="120"/>
      <c r="H273" s="120"/>
      <c r="I273" s="120"/>
      <c r="J273" s="120"/>
      <c r="K273" s="120"/>
      <c r="L273" s="120"/>
      <c r="M273" s="120"/>
    </row>
    <row r="274">
      <c r="A274" s="120"/>
      <c r="B274" s="120"/>
      <c r="C274" s="120"/>
      <c r="D274" s="120"/>
      <c r="E274" s="120"/>
      <c r="F274" s="120"/>
      <c r="G274" s="120"/>
      <c r="H274" s="120"/>
      <c r="I274" s="120"/>
      <c r="J274" s="120"/>
      <c r="K274" s="120"/>
      <c r="L274" s="120"/>
      <c r="M274" s="120"/>
    </row>
    <row r="275">
      <c r="A275" s="120"/>
      <c r="B275" s="120"/>
      <c r="C275" s="120"/>
      <c r="D275" s="120"/>
      <c r="E275" s="120"/>
      <c r="F275" s="120"/>
      <c r="G275" s="120"/>
      <c r="H275" s="120"/>
      <c r="I275" s="120"/>
      <c r="J275" s="120"/>
      <c r="K275" s="120"/>
      <c r="L275" s="120"/>
      <c r="M275" s="120"/>
    </row>
    <row r="276">
      <c r="A276" s="120"/>
      <c r="B276" s="120"/>
      <c r="C276" s="120"/>
      <c r="D276" s="120"/>
      <c r="E276" s="120"/>
      <c r="F276" s="120"/>
      <c r="G276" s="120"/>
      <c r="H276" s="120"/>
      <c r="I276" s="120"/>
      <c r="J276" s="120"/>
      <c r="K276" s="120"/>
      <c r="L276" s="120"/>
      <c r="M276" s="120"/>
    </row>
    <row r="277">
      <c r="A277" s="120"/>
      <c r="B277" s="120"/>
      <c r="C277" s="120"/>
      <c r="D277" s="120"/>
      <c r="E277" s="120"/>
      <c r="F277" s="120"/>
      <c r="G277" s="120"/>
      <c r="H277" s="120"/>
      <c r="I277" s="120"/>
      <c r="J277" s="120"/>
      <c r="K277" s="120"/>
      <c r="L277" s="120"/>
      <c r="M277" s="120"/>
    </row>
    <row r="278">
      <c r="A278" s="120"/>
      <c r="B278" s="120"/>
      <c r="C278" s="120"/>
      <c r="D278" s="120"/>
      <c r="E278" s="120"/>
      <c r="F278" s="120"/>
      <c r="G278" s="120"/>
      <c r="H278" s="120"/>
      <c r="I278" s="120"/>
      <c r="J278" s="120"/>
      <c r="K278" s="120"/>
      <c r="L278" s="120"/>
      <c r="M278" s="120"/>
    </row>
    <row r="279">
      <c r="A279" s="120"/>
      <c r="B279" s="120"/>
      <c r="C279" s="120"/>
      <c r="D279" s="120"/>
      <c r="E279" s="120"/>
      <c r="F279" s="120"/>
      <c r="G279" s="120"/>
      <c r="H279" s="120"/>
      <c r="I279" s="120"/>
      <c r="J279" s="120"/>
      <c r="K279" s="120"/>
      <c r="L279" s="120"/>
      <c r="M279" s="120"/>
    </row>
    <row r="280">
      <c r="A280" s="120"/>
      <c r="B280" s="120"/>
      <c r="C280" s="120"/>
      <c r="D280" s="120"/>
      <c r="E280" s="120"/>
      <c r="F280" s="120"/>
      <c r="G280" s="120"/>
      <c r="H280" s="120"/>
      <c r="I280" s="120"/>
      <c r="J280" s="120"/>
      <c r="K280" s="120"/>
      <c r="L280" s="120"/>
      <c r="M280" s="120"/>
    </row>
    <row r="281">
      <c r="A281" s="120"/>
      <c r="B281" s="120"/>
      <c r="C281" s="120"/>
      <c r="D281" s="120"/>
      <c r="E281" s="120"/>
      <c r="F281" s="120"/>
      <c r="G281" s="120"/>
      <c r="H281" s="120"/>
      <c r="I281" s="120"/>
      <c r="J281" s="120"/>
      <c r="K281" s="120"/>
      <c r="L281" s="120"/>
      <c r="M281" s="120"/>
    </row>
    <row r="282">
      <c r="A282" s="120"/>
      <c r="B282" s="120"/>
      <c r="C282" s="120"/>
      <c r="D282" s="120"/>
      <c r="E282" s="120"/>
      <c r="F282" s="120"/>
      <c r="G282" s="120"/>
      <c r="H282" s="120"/>
      <c r="I282" s="120"/>
      <c r="J282" s="120"/>
      <c r="K282" s="120"/>
      <c r="L282" s="120"/>
      <c r="M282" s="120"/>
    </row>
    <row r="283">
      <c r="A283" s="120"/>
      <c r="B283" s="120"/>
      <c r="C283" s="120"/>
      <c r="D283" s="120"/>
      <c r="E283" s="120"/>
      <c r="F283" s="120"/>
      <c r="G283" s="120"/>
      <c r="H283" s="120"/>
      <c r="I283" s="120"/>
      <c r="J283" s="120"/>
      <c r="K283" s="120"/>
      <c r="L283" s="120"/>
      <c r="M283" s="120"/>
    </row>
    <row r="284">
      <c r="A284" s="120"/>
      <c r="B284" s="120"/>
      <c r="C284" s="120"/>
      <c r="D284" s="120"/>
      <c r="E284" s="120"/>
      <c r="F284" s="120"/>
      <c r="G284" s="120"/>
      <c r="H284" s="120"/>
      <c r="I284" s="120"/>
      <c r="J284" s="120"/>
      <c r="K284" s="120"/>
      <c r="L284" s="120"/>
      <c r="M284" s="120"/>
    </row>
    <row r="285">
      <c r="A285" s="120"/>
      <c r="B285" s="120"/>
      <c r="C285" s="120"/>
      <c r="D285" s="120"/>
      <c r="E285" s="120"/>
      <c r="F285" s="120"/>
      <c r="G285" s="120"/>
      <c r="H285" s="120"/>
      <c r="I285" s="120"/>
      <c r="J285" s="120"/>
      <c r="K285" s="120"/>
      <c r="L285" s="120"/>
      <c r="M285" s="120"/>
    </row>
    <row r="286">
      <c r="A286" s="120"/>
      <c r="B286" s="120"/>
      <c r="C286" s="120"/>
      <c r="D286" s="120"/>
      <c r="E286" s="120"/>
      <c r="F286" s="120"/>
      <c r="G286" s="120"/>
      <c r="H286" s="120"/>
      <c r="I286" s="120"/>
      <c r="J286" s="120"/>
      <c r="K286" s="120"/>
      <c r="L286" s="120"/>
      <c r="M286" s="120"/>
    </row>
    <row r="287">
      <c r="A287" s="120"/>
      <c r="B287" s="120"/>
      <c r="C287" s="120"/>
      <c r="D287" s="120"/>
      <c r="E287" s="120"/>
      <c r="F287" s="120"/>
      <c r="G287" s="120"/>
      <c r="H287" s="120"/>
      <c r="I287" s="120"/>
      <c r="J287" s="120"/>
      <c r="K287" s="120"/>
      <c r="L287" s="120"/>
      <c r="M287" s="120"/>
    </row>
    <row r="288">
      <c r="A288" s="120"/>
      <c r="B288" s="120"/>
      <c r="C288" s="120"/>
      <c r="D288" s="120"/>
      <c r="E288" s="120"/>
      <c r="F288" s="120"/>
      <c r="G288" s="120"/>
      <c r="H288" s="120"/>
      <c r="I288" s="120"/>
      <c r="J288" s="120"/>
      <c r="K288" s="120"/>
      <c r="L288" s="120"/>
      <c r="M288" s="120"/>
    </row>
    <row r="289">
      <c r="A289" s="120"/>
      <c r="B289" s="120"/>
      <c r="C289" s="120"/>
      <c r="D289" s="120"/>
      <c r="E289" s="120"/>
      <c r="F289" s="120"/>
      <c r="G289" s="120"/>
      <c r="H289" s="120"/>
      <c r="I289" s="120"/>
      <c r="J289" s="120"/>
      <c r="K289" s="120"/>
      <c r="L289" s="120"/>
      <c r="M289" s="120"/>
    </row>
    <row r="290">
      <c r="A290" s="120"/>
      <c r="B290" s="120"/>
      <c r="C290" s="120"/>
      <c r="D290" s="120"/>
      <c r="E290" s="120"/>
      <c r="F290" s="120"/>
      <c r="G290" s="120"/>
      <c r="H290" s="120"/>
      <c r="I290" s="120"/>
      <c r="J290" s="120"/>
      <c r="K290" s="120"/>
      <c r="L290" s="120"/>
      <c r="M290" s="120"/>
    </row>
    <row r="291">
      <c r="A291" s="120"/>
      <c r="B291" s="120"/>
      <c r="C291" s="120"/>
      <c r="D291" s="120"/>
      <c r="E291" s="120"/>
      <c r="F291" s="120"/>
      <c r="G291" s="120"/>
      <c r="H291" s="120"/>
      <c r="I291" s="120"/>
      <c r="J291" s="120"/>
      <c r="K291" s="120"/>
      <c r="L291" s="120"/>
      <c r="M291" s="120"/>
    </row>
    <row r="292">
      <c r="A292" s="120"/>
      <c r="B292" s="120"/>
      <c r="C292" s="120"/>
      <c r="D292" s="120"/>
      <c r="E292" s="120"/>
      <c r="F292" s="120"/>
      <c r="G292" s="120"/>
      <c r="H292" s="120"/>
      <c r="I292" s="120"/>
      <c r="J292" s="120"/>
      <c r="K292" s="120"/>
      <c r="L292" s="120"/>
      <c r="M292" s="120"/>
    </row>
    <row r="293">
      <c r="A293" s="120"/>
      <c r="B293" s="120"/>
      <c r="C293" s="120"/>
      <c r="D293" s="120"/>
      <c r="E293" s="120"/>
      <c r="F293" s="120"/>
      <c r="G293" s="120"/>
      <c r="H293" s="120"/>
      <c r="I293" s="120"/>
      <c r="J293" s="120"/>
      <c r="K293" s="120"/>
      <c r="L293" s="120"/>
      <c r="M293" s="120"/>
    </row>
    <row r="294">
      <c r="A294" s="120"/>
      <c r="B294" s="120"/>
      <c r="C294" s="120"/>
      <c r="D294" s="120"/>
      <c r="E294" s="120"/>
      <c r="F294" s="120"/>
      <c r="G294" s="120"/>
      <c r="H294" s="120"/>
      <c r="I294" s="120"/>
      <c r="J294" s="120"/>
      <c r="K294" s="120"/>
      <c r="L294" s="120"/>
      <c r="M294" s="120"/>
    </row>
    <row r="295">
      <c r="A295" s="120"/>
      <c r="B295" s="120"/>
      <c r="C295" s="120"/>
      <c r="D295" s="120"/>
      <c r="E295" s="120"/>
      <c r="F295" s="120"/>
      <c r="G295" s="120"/>
      <c r="H295" s="120"/>
      <c r="I295" s="120"/>
      <c r="J295" s="120"/>
      <c r="K295" s="120"/>
      <c r="L295" s="120"/>
      <c r="M295" s="120"/>
    </row>
    <row r="296">
      <c r="A296" s="120"/>
      <c r="B296" s="120"/>
      <c r="C296" s="120"/>
      <c r="D296" s="120"/>
      <c r="E296" s="120"/>
      <c r="F296" s="120"/>
      <c r="G296" s="120"/>
      <c r="H296" s="120"/>
      <c r="I296" s="120"/>
      <c r="J296" s="120"/>
      <c r="K296" s="120"/>
      <c r="L296" s="120"/>
      <c r="M296" s="120"/>
    </row>
    <row r="297">
      <c r="A297" s="120"/>
      <c r="B297" s="120"/>
      <c r="C297" s="120"/>
      <c r="D297" s="120"/>
      <c r="E297" s="120"/>
      <c r="F297" s="120"/>
      <c r="G297" s="120"/>
      <c r="H297" s="120"/>
      <c r="I297" s="120"/>
      <c r="J297" s="120"/>
      <c r="K297" s="120"/>
      <c r="L297" s="120"/>
      <c r="M297" s="120"/>
    </row>
    <row r="298">
      <c r="A298" s="120"/>
      <c r="B298" s="120"/>
      <c r="C298" s="120"/>
      <c r="D298" s="120"/>
      <c r="E298" s="120"/>
      <c r="F298" s="120"/>
      <c r="G298" s="120"/>
      <c r="H298" s="120"/>
      <c r="I298" s="120"/>
      <c r="J298" s="120"/>
      <c r="K298" s="120"/>
      <c r="L298" s="120"/>
      <c r="M298" s="120"/>
    </row>
    <row r="299">
      <c r="A299" s="120"/>
      <c r="B299" s="120"/>
      <c r="C299" s="120"/>
      <c r="D299" s="120"/>
      <c r="E299" s="120"/>
      <c r="F299" s="120"/>
      <c r="G299" s="120"/>
      <c r="H299" s="120"/>
      <c r="I299" s="120"/>
      <c r="J299" s="120"/>
      <c r="K299" s="120"/>
      <c r="L299" s="120"/>
      <c r="M299" s="120"/>
    </row>
    <row r="300">
      <c r="A300" s="120"/>
      <c r="B300" s="120"/>
      <c r="C300" s="120"/>
      <c r="D300" s="120"/>
      <c r="E300" s="120"/>
      <c r="F300" s="120"/>
      <c r="G300" s="120"/>
      <c r="H300" s="120"/>
      <c r="I300" s="120"/>
      <c r="J300" s="120"/>
      <c r="K300" s="120"/>
      <c r="L300" s="120"/>
      <c r="M300" s="120"/>
    </row>
    <row r="301">
      <c r="A301" s="120"/>
      <c r="B301" s="120"/>
      <c r="C301" s="120"/>
      <c r="D301" s="120"/>
      <c r="E301" s="120"/>
      <c r="F301" s="120"/>
      <c r="G301" s="120"/>
      <c r="H301" s="120"/>
      <c r="I301" s="120"/>
      <c r="J301" s="120"/>
      <c r="K301" s="120"/>
      <c r="L301" s="120"/>
      <c r="M301" s="120"/>
    </row>
    <row r="302">
      <c r="A302" s="120"/>
      <c r="B302" s="120"/>
      <c r="C302" s="120"/>
      <c r="D302" s="120"/>
      <c r="E302" s="120"/>
      <c r="F302" s="120"/>
      <c r="G302" s="120"/>
      <c r="H302" s="120"/>
      <c r="I302" s="120"/>
      <c r="J302" s="120"/>
      <c r="K302" s="120"/>
      <c r="L302" s="120"/>
      <c r="M302" s="120"/>
    </row>
    <row r="303">
      <c r="A303" s="120"/>
      <c r="B303" s="120"/>
      <c r="C303" s="120"/>
      <c r="D303" s="120"/>
      <c r="E303" s="120"/>
      <c r="F303" s="120"/>
      <c r="G303" s="120"/>
      <c r="H303" s="120"/>
      <c r="I303" s="120"/>
      <c r="J303" s="120"/>
      <c r="K303" s="120"/>
      <c r="L303" s="120"/>
      <c r="M303" s="120"/>
    </row>
    <row r="304">
      <c r="A304" s="120"/>
      <c r="B304" s="120"/>
      <c r="C304" s="120"/>
      <c r="D304" s="120"/>
      <c r="E304" s="120"/>
      <c r="F304" s="120"/>
      <c r="G304" s="120"/>
      <c r="H304" s="120"/>
      <c r="I304" s="120"/>
      <c r="J304" s="120"/>
      <c r="K304" s="120"/>
      <c r="L304" s="120"/>
      <c r="M304" s="120"/>
    </row>
    <row r="305">
      <c r="A305" s="120"/>
      <c r="B305" s="120"/>
      <c r="C305" s="120"/>
      <c r="D305" s="120"/>
      <c r="E305" s="120"/>
      <c r="F305" s="120"/>
      <c r="G305" s="120"/>
      <c r="H305" s="120"/>
      <c r="I305" s="120"/>
      <c r="J305" s="120"/>
      <c r="K305" s="120"/>
      <c r="L305" s="120"/>
      <c r="M305" s="120"/>
    </row>
    <row r="306">
      <c r="A306" s="120"/>
      <c r="B306" s="120"/>
      <c r="C306" s="120"/>
      <c r="D306" s="120"/>
      <c r="E306" s="120"/>
      <c r="F306" s="120"/>
      <c r="G306" s="120"/>
      <c r="H306" s="120"/>
      <c r="I306" s="120"/>
      <c r="J306" s="120"/>
      <c r="K306" s="120"/>
      <c r="L306" s="120"/>
      <c r="M306" s="120"/>
    </row>
    <row r="307">
      <c r="A307" s="120"/>
      <c r="B307" s="120"/>
      <c r="C307" s="120"/>
      <c r="D307" s="120"/>
      <c r="E307" s="120"/>
      <c r="F307" s="120"/>
      <c r="G307" s="120"/>
      <c r="H307" s="120"/>
      <c r="I307" s="120"/>
      <c r="J307" s="120"/>
      <c r="K307" s="120"/>
      <c r="L307" s="120"/>
      <c r="M307" s="120"/>
    </row>
    <row r="308">
      <c r="A308" s="120"/>
      <c r="B308" s="120"/>
      <c r="C308" s="120"/>
      <c r="D308" s="120"/>
      <c r="E308" s="120"/>
      <c r="F308" s="120"/>
      <c r="G308" s="120"/>
      <c r="H308" s="120"/>
      <c r="I308" s="120"/>
      <c r="J308" s="120"/>
      <c r="K308" s="120"/>
      <c r="L308" s="120"/>
      <c r="M308" s="120"/>
    </row>
    <row r="309">
      <c r="A309" s="120"/>
      <c r="B309" s="120"/>
      <c r="C309" s="120"/>
      <c r="D309" s="120"/>
      <c r="E309" s="120"/>
      <c r="F309" s="120"/>
      <c r="G309" s="120"/>
      <c r="H309" s="120"/>
      <c r="I309" s="120"/>
      <c r="J309" s="120"/>
      <c r="K309" s="120"/>
      <c r="L309" s="120"/>
      <c r="M309" s="120"/>
    </row>
    <row r="310">
      <c r="A310" s="120"/>
      <c r="B310" s="120"/>
      <c r="C310" s="120"/>
      <c r="D310" s="120"/>
      <c r="E310" s="120"/>
      <c r="F310" s="120"/>
      <c r="G310" s="120"/>
      <c r="H310" s="120"/>
      <c r="I310" s="120"/>
      <c r="J310" s="120"/>
      <c r="K310" s="120"/>
      <c r="L310" s="120"/>
      <c r="M310" s="120"/>
    </row>
    <row r="311">
      <c r="A311" s="120"/>
      <c r="B311" s="120"/>
      <c r="C311" s="120"/>
      <c r="D311" s="120"/>
      <c r="E311" s="120"/>
      <c r="F311" s="120"/>
      <c r="G311" s="120"/>
      <c r="H311" s="120"/>
      <c r="I311" s="120"/>
      <c r="J311" s="120"/>
      <c r="K311" s="120"/>
      <c r="L311" s="120"/>
      <c r="M311" s="120"/>
    </row>
    <row r="312">
      <c r="A312" s="120"/>
      <c r="B312" s="120"/>
      <c r="C312" s="120"/>
      <c r="D312" s="120"/>
      <c r="E312" s="120"/>
      <c r="F312" s="120"/>
      <c r="G312" s="120"/>
      <c r="H312" s="120"/>
      <c r="I312" s="120"/>
      <c r="J312" s="120"/>
      <c r="K312" s="120"/>
      <c r="L312" s="120"/>
      <c r="M312" s="120"/>
    </row>
    <row r="313">
      <c r="A313" s="120"/>
      <c r="B313" s="120"/>
      <c r="C313" s="120"/>
      <c r="D313" s="120"/>
      <c r="E313" s="120"/>
      <c r="F313" s="120"/>
      <c r="G313" s="120"/>
      <c r="H313" s="120"/>
      <c r="I313" s="120"/>
      <c r="J313" s="120"/>
      <c r="K313" s="120"/>
      <c r="L313" s="120"/>
      <c r="M313" s="120"/>
    </row>
    <row r="314">
      <c r="A314" s="120"/>
      <c r="B314" s="120"/>
      <c r="C314" s="120"/>
      <c r="D314" s="120"/>
      <c r="E314" s="120"/>
      <c r="F314" s="120"/>
      <c r="G314" s="120"/>
      <c r="H314" s="120"/>
      <c r="I314" s="120"/>
      <c r="J314" s="120"/>
      <c r="K314" s="120"/>
      <c r="L314" s="120"/>
      <c r="M314" s="120"/>
    </row>
    <row r="315">
      <c r="A315" s="120"/>
      <c r="B315" s="120"/>
      <c r="C315" s="120"/>
      <c r="D315" s="120"/>
      <c r="E315" s="120"/>
      <c r="F315" s="120"/>
      <c r="G315" s="120"/>
      <c r="H315" s="120"/>
      <c r="I315" s="120"/>
      <c r="J315" s="120"/>
      <c r="K315" s="120"/>
      <c r="L315" s="120"/>
      <c r="M315" s="120"/>
    </row>
    <row r="316">
      <c r="A316" s="120"/>
      <c r="B316" s="120"/>
      <c r="C316" s="120"/>
      <c r="D316" s="120"/>
      <c r="E316" s="120"/>
      <c r="F316" s="120"/>
      <c r="G316" s="120"/>
      <c r="H316" s="120"/>
      <c r="I316" s="120"/>
      <c r="J316" s="120"/>
      <c r="K316" s="120"/>
      <c r="L316" s="120"/>
      <c r="M316" s="120"/>
    </row>
    <row r="317">
      <c r="A317" s="120"/>
      <c r="B317" s="120"/>
      <c r="C317" s="120"/>
      <c r="D317" s="120"/>
      <c r="E317" s="120"/>
      <c r="F317" s="120"/>
      <c r="G317" s="120"/>
      <c r="H317" s="120"/>
      <c r="I317" s="120"/>
      <c r="J317" s="120"/>
      <c r="K317" s="120"/>
      <c r="L317" s="120"/>
      <c r="M317" s="120"/>
    </row>
    <row r="318">
      <c r="A318" s="120"/>
      <c r="B318" s="120"/>
      <c r="C318" s="120"/>
      <c r="D318" s="120"/>
      <c r="E318" s="120"/>
      <c r="F318" s="120"/>
      <c r="G318" s="120"/>
      <c r="H318" s="120"/>
      <c r="I318" s="120"/>
      <c r="J318" s="120"/>
      <c r="K318" s="120"/>
      <c r="L318" s="120"/>
      <c r="M318" s="120"/>
    </row>
    <row r="319">
      <c r="A319" s="120"/>
      <c r="B319" s="120"/>
      <c r="C319" s="120"/>
      <c r="D319" s="120"/>
      <c r="E319" s="120"/>
      <c r="F319" s="120"/>
      <c r="G319" s="120"/>
      <c r="H319" s="120"/>
      <c r="I319" s="120"/>
      <c r="J319" s="120"/>
      <c r="K319" s="120"/>
      <c r="L319" s="120"/>
      <c r="M319" s="120"/>
    </row>
    <row r="320">
      <c r="A320" s="120"/>
      <c r="B320" s="120"/>
      <c r="C320" s="120"/>
      <c r="D320" s="120"/>
      <c r="E320" s="120"/>
      <c r="F320" s="120"/>
      <c r="G320" s="120"/>
      <c r="H320" s="120"/>
      <c r="I320" s="120"/>
      <c r="J320" s="120"/>
      <c r="K320" s="120"/>
      <c r="L320" s="120"/>
      <c r="M320" s="120"/>
    </row>
    <row r="321">
      <c r="A321" s="120"/>
      <c r="B321" s="120"/>
      <c r="C321" s="120"/>
      <c r="D321" s="120"/>
      <c r="E321" s="120"/>
      <c r="F321" s="120"/>
      <c r="G321" s="120"/>
      <c r="H321" s="120"/>
      <c r="I321" s="120"/>
      <c r="J321" s="120"/>
      <c r="K321" s="120"/>
      <c r="L321" s="120"/>
      <c r="M321" s="120"/>
    </row>
    <row r="322">
      <c r="A322" s="120"/>
      <c r="B322" s="120"/>
      <c r="C322" s="120"/>
      <c r="D322" s="120"/>
      <c r="E322" s="120"/>
      <c r="F322" s="120"/>
      <c r="G322" s="120"/>
      <c r="H322" s="120"/>
      <c r="I322" s="120"/>
      <c r="J322" s="120"/>
      <c r="K322" s="120"/>
      <c r="L322" s="120"/>
      <c r="M322" s="120"/>
    </row>
    <row r="323">
      <c r="A323" s="120"/>
      <c r="B323" s="120"/>
      <c r="C323" s="120"/>
      <c r="D323" s="120"/>
      <c r="E323" s="120"/>
      <c r="F323" s="120"/>
      <c r="G323" s="120"/>
      <c r="H323" s="120"/>
      <c r="I323" s="120"/>
      <c r="J323" s="120"/>
      <c r="K323" s="120"/>
      <c r="L323" s="120"/>
      <c r="M323" s="120"/>
    </row>
    <row r="324">
      <c r="A324" s="120"/>
      <c r="B324" s="120"/>
      <c r="C324" s="120"/>
      <c r="D324" s="120"/>
      <c r="E324" s="120"/>
      <c r="F324" s="120"/>
      <c r="G324" s="120"/>
      <c r="H324" s="120"/>
      <c r="I324" s="120"/>
      <c r="J324" s="120"/>
      <c r="K324" s="120"/>
      <c r="L324" s="120"/>
      <c r="M324" s="120"/>
    </row>
    <row r="325">
      <c r="A325" s="120"/>
      <c r="B325" s="120"/>
      <c r="C325" s="120"/>
      <c r="D325" s="120"/>
      <c r="E325" s="120"/>
      <c r="F325" s="120"/>
      <c r="G325" s="120"/>
      <c r="H325" s="120"/>
      <c r="I325" s="120"/>
      <c r="J325" s="120"/>
      <c r="K325" s="120"/>
      <c r="L325" s="120"/>
      <c r="M325" s="120"/>
    </row>
    <row r="326">
      <c r="A326" s="120"/>
      <c r="B326" s="120"/>
      <c r="C326" s="120"/>
      <c r="D326" s="120"/>
      <c r="E326" s="120"/>
      <c r="F326" s="120"/>
      <c r="G326" s="120"/>
      <c r="H326" s="120"/>
      <c r="I326" s="120"/>
      <c r="J326" s="120"/>
      <c r="K326" s="120"/>
      <c r="L326" s="120"/>
      <c r="M326" s="120"/>
    </row>
    <row r="327">
      <c r="A327" s="120"/>
      <c r="B327" s="120"/>
      <c r="C327" s="120"/>
      <c r="D327" s="120"/>
      <c r="E327" s="120"/>
      <c r="F327" s="120"/>
      <c r="G327" s="120"/>
      <c r="H327" s="120"/>
      <c r="I327" s="120"/>
      <c r="J327" s="120"/>
      <c r="K327" s="120"/>
      <c r="L327" s="120"/>
      <c r="M327" s="120"/>
    </row>
    <row r="328">
      <c r="A328" s="120"/>
      <c r="B328" s="120"/>
      <c r="C328" s="120"/>
      <c r="D328" s="120"/>
      <c r="E328" s="120"/>
      <c r="F328" s="120"/>
      <c r="G328" s="120"/>
      <c r="H328" s="120"/>
      <c r="I328" s="120"/>
      <c r="J328" s="120"/>
      <c r="K328" s="120"/>
      <c r="L328" s="120"/>
      <c r="M328" s="120"/>
    </row>
    <row r="329">
      <c r="A329" s="120"/>
      <c r="B329" s="120"/>
      <c r="C329" s="120"/>
      <c r="D329" s="120"/>
      <c r="E329" s="120"/>
      <c r="F329" s="120"/>
      <c r="G329" s="120"/>
      <c r="H329" s="120"/>
      <c r="I329" s="120"/>
      <c r="J329" s="120"/>
      <c r="K329" s="120"/>
      <c r="L329" s="120"/>
      <c r="M329" s="120"/>
    </row>
    <row r="330">
      <c r="A330" s="120"/>
      <c r="B330" s="120"/>
      <c r="C330" s="120"/>
      <c r="D330" s="120"/>
      <c r="E330" s="120"/>
      <c r="F330" s="120"/>
      <c r="G330" s="120"/>
      <c r="H330" s="120"/>
      <c r="I330" s="120"/>
      <c r="J330" s="120"/>
      <c r="K330" s="120"/>
      <c r="L330" s="120"/>
      <c r="M330" s="120"/>
    </row>
    <row r="331">
      <c r="A331" s="120"/>
      <c r="B331" s="120"/>
      <c r="C331" s="120"/>
      <c r="D331" s="120"/>
      <c r="E331" s="120"/>
      <c r="F331" s="120"/>
      <c r="G331" s="120"/>
      <c r="H331" s="120"/>
      <c r="I331" s="120"/>
      <c r="J331" s="120"/>
      <c r="K331" s="120"/>
      <c r="L331" s="120"/>
      <c r="M331" s="120"/>
    </row>
    <row r="332">
      <c r="A332" s="120"/>
      <c r="B332" s="120"/>
      <c r="C332" s="120"/>
      <c r="D332" s="120"/>
      <c r="E332" s="120"/>
      <c r="F332" s="120"/>
      <c r="G332" s="120"/>
      <c r="H332" s="120"/>
      <c r="I332" s="120"/>
      <c r="J332" s="120"/>
      <c r="K332" s="120"/>
      <c r="L332" s="120"/>
      <c r="M332" s="120"/>
    </row>
    <row r="333">
      <c r="A333" s="120"/>
      <c r="B333" s="120"/>
      <c r="C333" s="120"/>
      <c r="D333" s="120"/>
      <c r="E333" s="120"/>
      <c r="F333" s="120"/>
      <c r="G333" s="120"/>
      <c r="H333" s="120"/>
      <c r="I333" s="120"/>
      <c r="J333" s="120"/>
      <c r="K333" s="120"/>
      <c r="L333" s="120"/>
      <c r="M333" s="120"/>
    </row>
    <row r="334">
      <c r="A334" s="120"/>
      <c r="B334" s="120"/>
      <c r="C334" s="120"/>
      <c r="D334" s="120"/>
      <c r="E334" s="120"/>
      <c r="F334" s="120"/>
      <c r="G334" s="120"/>
      <c r="H334" s="120"/>
      <c r="I334" s="120"/>
      <c r="J334" s="120"/>
      <c r="K334" s="120"/>
      <c r="L334" s="120"/>
      <c r="M334" s="120"/>
    </row>
    <row r="335">
      <c r="A335" s="120"/>
      <c r="B335" s="120"/>
      <c r="C335" s="120"/>
      <c r="D335" s="120"/>
      <c r="E335" s="120"/>
      <c r="F335" s="120"/>
      <c r="G335" s="120"/>
      <c r="H335" s="120"/>
      <c r="I335" s="120"/>
      <c r="J335" s="120"/>
      <c r="K335" s="120"/>
      <c r="L335" s="120"/>
      <c r="M335" s="120"/>
    </row>
    <row r="336">
      <c r="A336" s="120"/>
      <c r="B336" s="120"/>
      <c r="C336" s="120"/>
      <c r="D336" s="120"/>
      <c r="E336" s="120"/>
      <c r="F336" s="120"/>
      <c r="G336" s="120"/>
      <c r="H336" s="120"/>
      <c r="I336" s="120"/>
      <c r="J336" s="120"/>
      <c r="K336" s="120"/>
      <c r="L336" s="120"/>
      <c r="M336" s="120"/>
    </row>
    <row r="337">
      <c r="A337" s="120"/>
      <c r="B337" s="120"/>
      <c r="C337" s="120"/>
      <c r="D337" s="120"/>
      <c r="E337" s="120"/>
      <c r="F337" s="120"/>
      <c r="G337" s="120"/>
      <c r="H337" s="120"/>
      <c r="I337" s="120"/>
      <c r="J337" s="120"/>
      <c r="K337" s="120"/>
      <c r="L337" s="120"/>
      <c r="M337" s="120"/>
    </row>
    <row r="338">
      <c r="A338" s="120"/>
      <c r="B338" s="120"/>
      <c r="C338" s="120"/>
      <c r="D338" s="120"/>
      <c r="E338" s="120"/>
      <c r="F338" s="120"/>
      <c r="G338" s="120"/>
      <c r="H338" s="120"/>
      <c r="I338" s="120"/>
      <c r="J338" s="120"/>
      <c r="K338" s="120"/>
      <c r="L338" s="120"/>
      <c r="M338" s="120"/>
    </row>
    <row r="339">
      <c r="A339" s="120"/>
      <c r="B339" s="120"/>
      <c r="C339" s="120"/>
      <c r="D339" s="120"/>
      <c r="E339" s="120"/>
      <c r="F339" s="120"/>
      <c r="G339" s="120"/>
      <c r="H339" s="120"/>
      <c r="I339" s="120"/>
      <c r="J339" s="120"/>
      <c r="K339" s="120"/>
      <c r="L339" s="120"/>
      <c r="M339" s="120"/>
    </row>
    <row r="340">
      <c r="A340" s="120"/>
      <c r="B340" s="120"/>
      <c r="C340" s="120"/>
      <c r="D340" s="120"/>
      <c r="E340" s="120"/>
      <c r="F340" s="120"/>
      <c r="G340" s="120"/>
      <c r="H340" s="120"/>
      <c r="I340" s="120"/>
      <c r="J340" s="120"/>
      <c r="K340" s="120"/>
      <c r="L340" s="120"/>
      <c r="M340" s="120"/>
    </row>
    <row r="341">
      <c r="A341" s="120"/>
      <c r="B341" s="120"/>
      <c r="C341" s="120"/>
      <c r="D341" s="120"/>
      <c r="E341" s="120"/>
      <c r="F341" s="120"/>
      <c r="G341" s="120"/>
      <c r="H341" s="120"/>
      <c r="I341" s="120"/>
      <c r="J341" s="120"/>
      <c r="K341" s="120"/>
      <c r="L341" s="120"/>
      <c r="M341" s="120"/>
    </row>
    <row r="342">
      <c r="A342" s="120"/>
      <c r="B342" s="120"/>
      <c r="C342" s="120"/>
      <c r="D342" s="120"/>
      <c r="E342" s="120"/>
      <c r="F342" s="120"/>
      <c r="G342" s="120"/>
      <c r="H342" s="120"/>
      <c r="I342" s="120"/>
      <c r="J342" s="120"/>
      <c r="K342" s="120"/>
      <c r="L342" s="120"/>
      <c r="M342" s="120"/>
    </row>
    <row r="343">
      <c r="A343" s="120"/>
      <c r="B343" s="120"/>
      <c r="C343" s="120"/>
      <c r="D343" s="120"/>
      <c r="E343" s="120"/>
      <c r="F343" s="120"/>
      <c r="G343" s="120"/>
      <c r="H343" s="120"/>
      <c r="I343" s="120"/>
      <c r="J343" s="120"/>
      <c r="K343" s="120"/>
      <c r="L343" s="120"/>
      <c r="M343" s="120"/>
    </row>
    <row r="344">
      <c r="A344" s="120"/>
      <c r="B344" s="120"/>
      <c r="C344" s="120"/>
      <c r="D344" s="120"/>
      <c r="E344" s="120"/>
      <c r="F344" s="120"/>
      <c r="G344" s="120"/>
      <c r="H344" s="120"/>
      <c r="I344" s="120"/>
      <c r="J344" s="120"/>
      <c r="K344" s="120"/>
      <c r="L344" s="120"/>
      <c r="M344" s="120"/>
    </row>
    <row r="345">
      <c r="A345" s="120"/>
      <c r="B345" s="120"/>
      <c r="C345" s="120"/>
      <c r="D345" s="120"/>
      <c r="E345" s="120"/>
      <c r="F345" s="120"/>
      <c r="G345" s="120"/>
      <c r="H345" s="120"/>
      <c r="I345" s="120"/>
      <c r="J345" s="120"/>
      <c r="K345" s="120"/>
      <c r="L345" s="120"/>
      <c r="M345" s="120"/>
    </row>
    <row r="346">
      <c r="A346" s="120"/>
      <c r="B346" s="120"/>
      <c r="C346" s="120"/>
      <c r="D346" s="120"/>
      <c r="E346" s="120"/>
      <c r="F346" s="120"/>
      <c r="G346" s="120"/>
      <c r="H346" s="120"/>
      <c r="I346" s="120"/>
      <c r="J346" s="120"/>
      <c r="K346" s="120"/>
      <c r="L346" s="120"/>
      <c r="M346" s="120"/>
    </row>
    <row r="347">
      <c r="A347" s="120"/>
      <c r="B347" s="120"/>
      <c r="C347" s="120"/>
      <c r="D347" s="120"/>
      <c r="E347" s="120"/>
      <c r="F347" s="120"/>
      <c r="G347" s="120"/>
      <c r="H347" s="120"/>
      <c r="I347" s="120"/>
      <c r="J347" s="120"/>
      <c r="K347" s="120"/>
      <c r="L347" s="120"/>
      <c r="M347" s="120"/>
    </row>
    <row r="348">
      <c r="A348" s="120"/>
      <c r="B348" s="120"/>
      <c r="C348" s="120"/>
      <c r="D348" s="120"/>
      <c r="E348" s="120"/>
      <c r="F348" s="120"/>
      <c r="G348" s="120"/>
      <c r="H348" s="120"/>
      <c r="I348" s="120"/>
      <c r="J348" s="120"/>
      <c r="K348" s="120"/>
      <c r="L348" s="120"/>
      <c r="M348" s="120"/>
    </row>
    <row r="349">
      <c r="A349" s="120"/>
      <c r="B349" s="120"/>
      <c r="C349" s="120"/>
      <c r="D349" s="120"/>
      <c r="E349" s="120"/>
      <c r="F349" s="120"/>
      <c r="G349" s="120"/>
      <c r="H349" s="120"/>
      <c r="I349" s="120"/>
      <c r="J349" s="120"/>
      <c r="K349" s="120"/>
      <c r="L349" s="120"/>
      <c r="M349" s="120"/>
    </row>
    <row r="350">
      <c r="A350" s="120"/>
      <c r="B350" s="120"/>
      <c r="C350" s="120"/>
      <c r="D350" s="120"/>
      <c r="E350" s="120"/>
      <c r="F350" s="120"/>
      <c r="G350" s="120"/>
      <c r="H350" s="120"/>
      <c r="I350" s="120"/>
      <c r="J350" s="120"/>
      <c r="K350" s="120"/>
      <c r="L350" s="120"/>
      <c r="M350" s="120"/>
    </row>
    <row r="351">
      <c r="A351" s="120"/>
      <c r="B351" s="120"/>
      <c r="C351" s="120"/>
      <c r="D351" s="120"/>
      <c r="E351" s="120"/>
      <c r="F351" s="120"/>
      <c r="G351" s="120"/>
      <c r="H351" s="120"/>
      <c r="I351" s="120"/>
      <c r="J351" s="120"/>
      <c r="K351" s="120"/>
      <c r="L351" s="120"/>
      <c r="M351" s="120"/>
    </row>
    <row r="352">
      <c r="A352" s="120"/>
      <c r="B352" s="120"/>
      <c r="C352" s="120"/>
      <c r="D352" s="120"/>
      <c r="E352" s="120"/>
      <c r="F352" s="120"/>
      <c r="G352" s="120"/>
      <c r="H352" s="120"/>
      <c r="I352" s="120"/>
      <c r="J352" s="120"/>
      <c r="K352" s="120"/>
      <c r="L352" s="120"/>
      <c r="M352" s="120"/>
    </row>
    <row r="353">
      <c r="A353" s="120"/>
      <c r="B353" s="120"/>
      <c r="C353" s="120"/>
      <c r="D353" s="120"/>
      <c r="E353" s="120"/>
      <c r="F353" s="120"/>
      <c r="G353" s="120"/>
      <c r="H353" s="120"/>
      <c r="I353" s="120"/>
      <c r="J353" s="120"/>
      <c r="K353" s="120"/>
      <c r="L353" s="120"/>
      <c r="M353" s="120"/>
    </row>
    <row r="354">
      <c r="A354" s="120"/>
      <c r="B354" s="120"/>
      <c r="C354" s="120"/>
      <c r="D354" s="120"/>
      <c r="E354" s="120"/>
      <c r="F354" s="120"/>
      <c r="G354" s="120"/>
      <c r="H354" s="120"/>
      <c r="I354" s="120"/>
      <c r="J354" s="120"/>
      <c r="K354" s="120"/>
      <c r="L354" s="120"/>
      <c r="M354" s="120"/>
    </row>
    <row r="355">
      <c r="A355" s="120"/>
      <c r="B355" s="120"/>
      <c r="C355" s="120"/>
      <c r="D355" s="120"/>
      <c r="E355" s="120"/>
      <c r="F355" s="120"/>
      <c r="G355" s="120"/>
      <c r="H355" s="120"/>
      <c r="I355" s="120"/>
      <c r="J355" s="120"/>
      <c r="K355" s="120"/>
      <c r="L355" s="120"/>
      <c r="M355" s="120"/>
    </row>
    <row r="356">
      <c r="A356" s="120"/>
      <c r="B356" s="120"/>
      <c r="C356" s="120"/>
      <c r="D356" s="120"/>
      <c r="E356" s="120"/>
      <c r="F356" s="120"/>
      <c r="G356" s="120"/>
      <c r="H356" s="120"/>
      <c r="I356" s="120"/>
      <c r="J356" s="120"/>
      <c r="K356" s="120"/>
      <c r="L356" s="120"/>
      <c r="M356" s="120"/>
    </row>
    <row r="357">
      <c r="A357" s="120"/>
      <c r="B357" s="120"/>
      <c r="C357" s="120"/>
      <c r="D357" s="120"/>
      <c r="E357" s="120"/>
      <c r="F357" s="120"/>
      <c r="G357" s="120"/>
      <c r="H357" s="120"/>
      <c r="I357" s="120"/>
      <c r="J357" s="120"/>
      <c r="K357" s="120"/>
      <c r="L357" s="120"/>
      <c r="M357" s="120"/>
    </row>
    <row r="358">
      <c r="A358" s="120"/>
      <c r="B358" s="120"/>
      <c r="C358" s="120"/>
      <c r="D358" s="120"/>
      <c r="E358" s="120"/>
      <c r="F358" s="120"/>
      <c r="G358" s="120"/>
      <c r="H358" s="120"/>
      <c r="I358" s="120"/>
      <c r="J358" s="120"/>
      <c r="K358" s="120"/>
      <c r="L358" s="120"/>
      <c r="M358" s="120"/>
    </row>
    <row r="359">
      <c r="A359" s="120"/>
      <c r="B359" s="120"/>
      <c r="C359" s="120"/>
      <c r="D359" s="120"/>
      <c r="E359" s="120"/>
      <c r="F359" s="120"/>
      <c r="G359" s="120"/>
      <c r="H359" s="120"/>
      <c r="I359" s="120"/>
      <c r="J359" s="120"/>
      <c r="K359" s="120"/>
      <c r="L359" s="120"/>
      <c r="M359" s="120"/>
    </row>
    <row r="360">
      <c r="A360" s="120"/>
      <c r="B360" s="120"/>
      <c r="C360" s="120"/>
      <c r="D360" s="120"/>
      <c r="E360" s="120"/>
      <c r="F360" s="120"/>
      <c r="G360" s="120"/>
      <c r="H360" s="120"/>
      <c r="I360" s="120"/>
      <c r="J360" s="120"/>
      <c r="K360" s="120"/>
      <c r="L360" s="120"/>
      <c r="M360" s="120"/>
    </row>
    <row r="361">
      <c r="A361" s="120"/>
      <c r="B361" s="120"/>
      <c r="C361" s="120"/>
      <c r="D361" s="120"/>
      <c r="E361" s="120"/>
      <c r="F361" s="120"/>
      <c r="G361" s="120"/>
      <c r="H361" s="120"/>
      <c r="I361" s="120"/>
      <c r="J361" s="120"/>
      <c r="K361" s="120"/>
      <c r="L361" s="120"/>
      <c r="M361" s="120"/>
    </row>
    <row r="362">
      <c r="A362" s="120"/>
      <c r="B362" s="120"/>
      <c r="C362" s="120"/>
      <c r="D362" s="120"/>
      <c r="E362" s="120"/>
      <c r="F362" s="120"/>
      <c r="G362" s="120"/>
      <c r="H362" s="120"/>
      <c r="I362" s="120"/>
      <c r="J362" s="120"/>
      <c r="K362" s="120"/>
      <c r="L362" s="120"/>
      <c r="M362" s="120"/>
    </row>
    <row r="363">
      <c r="A363" s="120"/>
      <c r="B363" s="120"/>
      <c r="C363" s="120"/>
      <c r="D363" s="120"/>
      <c r="E363" s="120"/>
      <c r="F363" s="120"/>
      <c r="G363" s="120"/>
      <c r="H363" s="120"/>
      <c r="I363" s="120"/>
      <c r="J363" s="120"/>
      <c r="K363" s="120"/>
      <c r="L363" s="120"/>
      <c r="M363" s="120"/>
    </row>
    <row r="364">
      <c r="A364" s="120"/>
      <c r="B364" s="120"/>
      <c r="C364" s="120"/>
      <c r="D364" s="120"/>
      <c r="E364" s="120"/>
      <c r="F364" s="120"/>
      <c r="G364" s="120"/>
      <c r="H364" s="120"/>
      <c r="I364" s="120"/>
      <c r="J364" s="120"/>
      <c r="K364" s="120"/>
      <c r="L364" s="120"/>
      <c r="M364" s="120"/>
    </row>
    <row r="365">
      <c r="A365" s="120"/>
      <c r="B365" s="120"/>
      <c r="C365" s="120"/>
      <c r="D365" s="120"/>
      <c r="E365" s="120"/>
      <c r="F365" s="120"/>
      <c r="G365" s="120"/>
      <c r="H365" s="120"/>
      <c r="I365" s="120"/>
      <c r="J365" s="120"/>
      <c r="K365" s="120"/>
      <c r="L365" s="120"/>
      <c r="M365" s="120"/>
    </row>
    <row r="366">
      <c r="A366" s="120"/>
      <c r="B366" s="120"/>
      <c r="C366" s="120"/>
      <c r="D366" s="120"/>
      <c r="E366" s="120"/>
      <c r="F366" s="120"/>
      <c r="G366" s="120"/>
      <c r="H366" s="120"/>
      <c r="I366" s="120"/>
      <c r="J366" s="120"/>
      <c r="K366" s="120"/>
      <c r="L366" s="120"/>
      <c r="M366" s="120"/>
    </row>
    <row r="367">
      <c r="A367" s="120"/>
      <c r="B367" s="120"/>
      <c r="C367" s="120"/>
      <c r="D367" s="120"/>
      <c r="E367" s="120"/>
      <c r="F367" s="120"/>
      <c r="G367" s="120"/>
      <c r="H367" s="120"/>
      <c r="I367" s="120"/>
      <c r="J367" s="120"/>
      <c r="K367" s="120"/>
      <c r="L367" s="120"/>
      <c r="M367" s="120"/>
    </row>
    <row r="368">
      <c r="A368" s="120"/>
      <c r="B368" s="120"/>
      <c r="C368" s="120"/>
      <c r="D368" s="120"/>
      <c r="E368" s="120"/>
      <c r="F368" s="120"/>
      <c r="G368" s="120"/>
      <c r="H368" s="120"/>
      <c r="I368" s="120"/>
      <c r="J368" s="120"/>
      <c r="K368" s="120"/>
      <c r="L368" s="120"/>
      <c r="M368" s="120"/>
    </row>
    <row r="369">
      <c r="A369" s="120"/>
      <c r="B369" s="120"/>
      <c r="C369" s="120"/>
      <c r="D369" s="120"/>
      <c r="E369" s="120"/>
      <c r="F369" s="120"/>
      <c r="G369" s="120"/>
      <c r="H369" s="120"/>
      <c r="I369" s="120"/>
      <c r="J369" s="120"/>
      <c r="K369" s="120"/>
      <c r="L369" s="120"/>
      <c r="M369" s="120"/>
    </row>
    <row r="370">
      <c r="A370" s="120"/>
      <c r="B370" s="120"/>
      <c r="C370" s="120"/>
      <c r="D370" s="120"/>
      <c r="E370" s="120"/>
      <c r="F370" s="120"/>
      <c r="G370" s="120"/>
      <c r="H370" s="120"/>
      <c r="I370" s="120"/>
      <c r="J370" s="120"/>
      <c r="K370" s="120"/>
      <c r="L370" s="120"/>
      <c r="M370" s="120"/>
    </row>
    <row r="371">
      <c r="A371" s="120"/>
      <c r="B371" s="120"/>
      <c r="C371" s="120"/>
      <c r="D371" s="120"/>
      <c r="E371" s="120"/>
      <c r="F371" s="120"/>
      <c r="G371" s="120"/>
      <c r="H371" s="120"/>
      <c r="I371" s="120"/>
      <c r="J371" s="120"/>
      <c r="K371" s="120"/>
      <c r="L371" s="120"/>
      <c r="M371" s="120"/>
    </row>
    <row r="372">
      <c r="A372" s="120"/>
      <c r="B372" s="120"/>
      <c r="C372" s="120"/>
      <c r="D372" s="120"/>
      <c r="E372" s="120"/>
      <c r="F372" s="120"/>
      <c r="G372" s="120"/>
      <c r="H372" s="120"/>
      <c r="I372" s="120"/>
      <c r="J372" s="120"/>
      <c r="K372" s="120"/>
      <c r="L372" s="120"/>
      <c r="M372" s="120"/>
    </row>
    <row r="373">
      <c r="A373" s="120"/>
      <c r="B373" s="120"/>
      <c r="C373" s="120"/>
      <c r="D373" s="120"/>
      <c r="E373" s="120"/>
      <c r="F373" s="120"/>
      <c r="G373" s="120"/>
      <c r="H373" s="120"/>
      <c r="I373" s="120"/>
      <c r="J373" s="120"/>
      <c r="K373" s="120"/>
      <c r="L373" s="120"/>
      <c r="M373" s="120"/>
    </row>
    <row r="374">
      <c r="A374" s="120"/>
      <c r="B374" s="120"/>
      <c r="C374" s="120"/>
      <c r="D374" s="120"/>
      <c r="E374" s="120"/>
      <c r="F374" s="120"/>
      <c r="G374" s="120"/>
      <c r="H374" s="120"/>
      <c r="I374" s="120"/>
      <c r="J374" s="120"/>
      <c r="K374" s="120"/>
      <c r="L374" s="120"/>
      <c r="M374" s="120"/>
    </row>
    <row r="375">
      <c r="A375" s="120"/>
      <c r="B375" s="120"/>
      <c r="C375" s="120"/>
      <c r="D375" s="120"/>
      <c r="E375" s="120"/>
      <c r="F375" s="120"/>
      <c r="G375" s="120"/>
      <c r="H375" s="120"/>
      <c r="I375" s="120"/>
      <c r="J375" s="120"/>
      <c r="K375" s="120"/>
      <c r="L375" s="120"/>
      <c r="M375" s="120"/>
    </row>
    <row r="376">
      <c r="A376" s="120"/>
      <c r="B376" s="120"/>
      <c r="C376" s="120"/>
      <c r="D376" s="120"/>
      <c r="E376" s="120"/>
      <c r="F376" s="120"/>
      <c r="G376" s="120"/>
      <c r="H376" s="120"/>
      <c r="I376" s="120"/>
      <c r="J376" s="120"/>
      <c r="K376" s="120"/>
      <c r="L376" s="120"/>
      <c r="M376" s="120"/>
    </row>
    <row r="377">
      <c r="A377" s="120"/>
      <c r="B377" s="120"/>
      <c r="C377" s="120"/>
      <c r="D377" s="120"/>
      <c r="E377" s="120"/>
      <c r="F377" s="120"/>
      <c r="G377" s="120"/>
      <c r="H377" s="120"/>
      <c r="I377" s="120"/>
      <c r="J377" s="120"/>
      <c r="K377" s="120"/>
      <c r="L377" s="120"/>
      <c r="M377" s="120"/>
    </row>
    <row r="378">
      <c r="A378" s="120"/>
      <c r="B378" s="120"/>
      <c r="C378" s="120"/>
      <c r="D378" s="120"/>
      <c r="E378" s="120"/>
      <c r="F378" s="120"/>
      <c r="G378" s="120"/>
      <c r="H378" s="120"/>
      <c r="I378" s="120"/>
      <c r="J378" s="120"/>
      <c r="K378" s="120"/>
      <c r="L378" s="120"/>
      <c r="M378" s="120"/>
    </row>
    <row r="379">
      <c r="A379" s="120"/>
      <c r="B379" s="120"/>
      <c r="C379" s="120"/>
      <c r="D379" s="120"/>
      <c r="E379" s="120"/>
      <c r="F379" s="120"/>
      <c r="G379" s="120"/>
      <c r="H379" s="120"/>
      <c r="I379" s="120"/>
      <c r="J379" s="120"/>
      <c r="K379" s="120"/>
      <c r="L379" s="120"/>
      <c r="M379" s="120"/>
    </row>
    <row r="380">
      <c r="A380" s="120"/>
      <c r="B380" s="120"/>
      <c r="C380" s="120"/>
      <c r="D380" s="120"/>
      <c r="E380" s="120"/>
      <c r="F380" s="120"/>
      <c r="G380" s="120"/>
      <c r="H380" s="120"/>
      <c r="I380" s="120"/>
      <c r="J380" s="120"/>
      <c r="K380" s="120"/>
      <c r="L380" s="120"/>
      <c r="M380" s="120"/>
    </row>
    <row r="381">
      <c r="A381" s="120"/>
      <c r="B381" s="120"/>
      <c r="C381" s="120"/>
      <c r="D381" s="120"/>
      <c r="E381" s="120"/>
      <c r="F381" s="120"/>
      <c r="G381" s="120"/>
      <c r="H381" s="120"/>
      <c r="I381" s="120"/>
      <c r="J381" s="120"/>
      <c r="K381" s="120"/>
      <c r="L381" s="120"/>
      <c r="M381" s="120"/>
    </row>
    <row r="382">
      <c r="A382" s="120"/>
      <c r="B382" s="120"/>
      <c r="C382" s="120"/>
      <c r="D382" s="120"/>
      <c r="E382" s="120"/>
      <c r="F382" s="120"/>
      <c r="G382" s="120"/>
      <c r="H382" s="120"/>
      <c r="I382" s="120"/>
      <c r="J382" s="120"/>
      <c r="K382" s="120"/>
      <c r="L382" s="120"/>
      <c r="M382" s="120"/>
    </row>
    <row r="383">
      <c r="A383" s="120"/>
      <c r="B383" s="120"/>
      <c r="C383" s="120"/>
      <c r="D383" s="120"/>
      <c r="E383" s="120"/>
      <c r="F383" s="120"/>
      <c r="G383" s="120"/>
      <c r="H383" s="120"/>
      <c r="I383" s="120"/>
      <c r="J383" s="120"/>
      <c r="K383" s="120"/>
      <c r="L383" s="120"/>
      <c r="M383" s="120"/>
    </row>
    <row r="384">
      <c r="A384" s="120"/>
      <c r="B384" s="120"/>
      <c r="C384" s="120"/>
      <c r="D384" s="120"/>
      <c r="E384" s="120"/>
      <c r="F384" s="120"/>
      <c r="G384" s="120"/>
      <c r="H384" s="120"/>
      <c r="I384" s="120"/>
      <c r="J384" s="120"/>
      <c r="K384" s="120"/>
      <c r="L384" s="120"/>
      <c r="M384" s="120"/>
    </row>
    <row r="385">
      <c r="A385" s="120"/>
      <c r="B385" s="120"/>
      <c r="C385" s="120"/>
      <c r="D385" s="120"/>
      <c r="E385" s="120"/>
      <c r="F385" s="120"/>
      <c r="G385" s="120"/>
      <c r="H385" s="120"/>
      <c r="I385" s="120"/>
      <c r="J385" s="120"/>
      <c r="K385" s="120"/>
      <c r="L385" s="120"/>
      <c r="M385" s="120"/>
    </row>
    <row r="386">
      <c r="A386" s="120"/>
      <c r="B386" s="120"/>
      <c r="C386" s="120"/>
      <c r="D386" s="120"/>
      <c r="E386" s="120"/>
      <c r="F386" s="120"/>
      <c r="G386" s="120"/>
      <c r="H386" s="120"/>
      <c r="I386" s="120"/>
      <c r="J386" s="120"/>
      <c r="K386" s="120"/>
      <c r="L386" s="120"/>
      <c r="M386" s="120"/>
    </row>
    <row r="387">
      <c r="A387" s="120"/>
      <c r="B387" s="120"/>
      <c r="C387" s="120"/>
      <c r="D387" s="120"/>
      <c r="E387" s="120"/>
      <c r="F387" s="120"/>
      <c r="G387" s="120"/>
      <c r="H387" s="120"/>
      <c r="I387" s="120"/>
      <c r="J387" s="120"/>
      <c r="K387" s="120"/>
      <c r="L387" s="120"/>
      <c r="M387" s="120"/>
    </row>
    <row r="388">
      <c r="A388" s="120"/>
      <c r="B388" s="120"/>
      <c r="C388" s="120"/>
      <c r="D388" s="120"/>
      <c r="E388" s="120"/>
      <c r="F388" s="120"/>
      <c r="G388" s="120"/>
      <c r="H388" s="120"/>
      <c r="I388" s="120"/>
      <c r="J388" s="120"/>
      <c r="K388" s="120"/>
      <c r="L388" s="120"/>
      <c r="M388" s="120"/>
    </row>
    <row r="389">
      <c r="A389" s="120"/>
      <c r="B389" s="120"/>
      <c r="C389" s="120"/>
      <c r="D389" s="120"/>
      <c r="E389" s="120"/>
      <c r="F389" s="120"/>
      <c r="G389" s="120"/>
      <c r="H389" s="120"/>
      <c r="I389" s="120"/>
      <c r="J389" s="120"/>
      <c r="K389" s="120"/>
      <c r="L389" s="120"/>
      <c r="M389" s="120"/>
    </row>
    <row r="390">
      <c r="A390" s="120"/>
      <c r="B390" s="120"/>
      <c r="C390" s="120"/>
      <c r="D390" s="120"/>
      <c r="E390" s="120"/>
      <c r="F390" s="120"/>
      <c r="G390" s="120"/>
      <c r="H390" s="120"/>
      <c r="I390" s="120"/>
      <c r="J390" s="120"/>
      <c r="K390" s="120"/>
      <c r="L390" s="120"/>
      <c r="M390" s="120"/>
    </row>
    <row r="391">
      <c r="A391" s="120"/>
      <c r="B391" s="120"/>
      <c r="C391" s="120"/>
      <c r="D391" s="120"/>
      <c r="E391" s="120"/>
      <c r="F391" s="120"/>
      <c r="G391" s="120"/>
      <c r="H391" s="120"/>
      <c r="I391" s="120"/>
      <c r="J391" s="120"/>
      <c r="K391" s="120"/>
      <c r="L391" s="120"/>
      <c r="M391" s="120"/>
    </row>
    <row r="392">
      <c r="A392" s="120"/>
      <c r="B392" s="120"/>
      <c r="C392" s="120"/>
      <c r="D392" s="120"/>
      <c r="E392" s="120"/>
      <c r="F392" s="120"/>
      <c r="G392" s="120"/>
      <c r="H392" s="120"/>
      <c r="I392" s="120"/>
      <c r="J392" s="120"/>
      <c r="K392" s="120"/>
      <c r="L392" s="120"/>
      <c r="M392" s="120"/>
    </row>
    <row r="393">
      <c r="A393" s="120"/>
      <c r="B393" s="120"/>
      <c r="C393" s="120"/>
      <c r="D393" s="120"/>
      <c r="E393" s="120"/>
      <c r="F393" s="120"/>
      <c r="G393" s="120"/>
      <c r="H393" s="120"/>
      <c r="I393" s="120"/>
      <c r="J393" s="120"/>
      <c r="K393" s="120"/>
      <c r="L393" s="120"/>
      <c r="M393" s="120"/>
    </row>
    <row r="394">
      <c r="A394" s="120"/>
      <c r="B394" s="120"/>
      <c r="C394" s="120"/>
      <c r="D394" s="120"/>
      <c r="E394" s="120"/>
      <c r="F394" s="120"/>
      <c r="G394" s="120"/>
      <c r="H394" s="120"/>
      <c r="I394" s="120"/>
      <c r="J394" s="120"/>
      <c r="K394" s="120"/>
      <c r="L394" s="120"/>
      <c r="M394" s="120"/>
    </row>
    <row r="395">
      <c r="A395" s="120"/>
      <c r="B395" s="120"/>
      <c r="C395" s="120"/>
      <c r="D395" s="120"/>
      <c r="E395" s="120"/>
      <c r="F395" s="120"/>
      <c r="G395" s="120"/>
      <c r="H395" s="120"/>
      <c r="I395" s="120"/>
      <c r="J395" s="120"/>
      <c r="K395" s="120"/>
      <c r="L395" s="120"/>
      <c r="M395" s="120"/>
    </row>
    <row r="396">
      <c r="A396" s="120"/>
      <c r="B396" s="120"/>
      <c r="C396" s="120"/>
      <c r="D396" s="120"/>
      <c r="E396" s="120"/>
      <c r="F396" s="120"/>
      <c r="G396" s="120"/>
      <c r="H396" s="120"/>
      <c r="I396" s="120"/>
      <c r="J396" s="120"/>
      <c r="K396" s="120"/>
      <c r="L396" s="120"/>
      <c r="M396" s="120"/>
    </row>
    <row r="397">
      <c r="A397" s="120"/>
      <c r="B397" s="120"/>
      <c r="C397" s="120"/>
      <c r="D397" s="120"/>
      <c r="E397" s="120"/>
      <c r="F397" s="120"/>
      <c r="G397" s="120"/>
      <c r="H397" s="120"/>
      <c r="I397" s="120"/>
      <c r="J397" s="120"/>
      <c r="K397" s="120"/>
      <c r="L397" s="120"/>
      <c r="M397" s="120"/>
    </row>
    <row r="398">
      <c r="A398" s="120"/>
      <c r="B398" s="120"/>
      <c r="C398" s="120"/>
      <c r="D398" s="120"/>
      <c r="E398" s="120"/>
      <c r="F398" s="120"/>
      <c r="G398" s="120"/>
      <c r="H398" s="120"/>
      <c r="I398" s="120"/>
      <c r="J398" s="120"/>
      <c r="K398" s="120"/>
      <c r="L398" s="120"/>
      <c r="M398" s="120"/>
    </row>
    <row r="399">
      <c r="A399" s="120"/>
      <c r="B399" s="120"/>
      <c r="C399" s="120"/>
      <c r="D399" s="120"/>
      <c r="E399" s="120"/>
      <c r="F399" s="120"/>
      <c r="G399" s="120"/>
      <c r="H399" s="120"/>
      <c r="I399" s="120"/>
      <c r="J399" s="120"/>
      <c r="K399" s="120"/>
      <c r="L399" s="120"/>
      <c r="M399" s="120"/>
    </row>
    <row r="400">
      <c r="A400" s="120"/>
      <c r="B400" s="120"/>
      <c r="C400" s="120"/>
      <c r="D400" s="120"/>
      <c r="E400" s="120"/>
      <c r="F400" s="120"/>
      <c r="G400" s="120"/>
      <c r="H400" s="120"/>
      <c r="I400" s="120"/>
      <c r="J400" s="120"/>
      <c r="K400" s="120"/>
      <c r="L400" s="120"/>
      <c r="M400" s="120"/>
    </row>
    <row r="401">
      <c r="A401" s="120"/>
      <c r="B401" s="120"/>
      <c r="C401" s="120"/>
      <c r="D401" s="120"/>
      <c r="E401" s="120"/>
      <c r="F401" s="120"/>
      <c r="G401" s="120"/>
      <c r="H401" s="120"/>
      <c r="I401" s="120"/>
      <c r="J401" s="120"/>
      <c r="K401" s="120"/>
      <c r="L401" s="120"/>
      <c r="M401" s="120"/>
    </row>
    <row r="402">
      <c r="A402" s="120"/>
      <c r="B402" s="120"/>
      <c r="C402" s="120"/>
      <c r="D402" s="120"/>
      <c r="E402" s="120"/>
      <c r="F402" s="120"/>
      <c r="G402" s="120"/>
      <c r="H402" s="120"/>
      <c r="I402" s="120"/>
      <c r="J402" s="120"/>
      <c r="K402" s="120"/>
      <c r="L402" s="120"/>
      <c r="M402" s="120"/>
    </row>
    <row r="403">
      <c r="A403" s="120"/>
      <c r="B403" s="120"/>
      <c r="C403" s="120"/>
      <c r="D403" s="120"/>
      <c r="E403" s="120"/>
      <c r="F403" s="120"/>
      <c r="G403" s="120"/>
      <c r="H403" s="120"/>
      <c r="I403" s="120"/>
      <c r="J403" s="120"/>
      <c r="K403" s="120"/>
      <c r="L403" s="120"/>
      <c r="M403" s="120"/>
    </row>
    <row r="404">
      <c r="A404" s="120"/>
      <c r="B404" s="120"/>
      <c r="C404" s="120"/>
      <c r="D404" s="120"/>
      <c r="E404" s="120"/>
      <c r="F404" s="120"/>
      <c r="G404" s="120"/>
      <c r="H404" s="120"/>
      <c r="I404" s="120"/>
      <c r="J404" s="120"/>
      <c r="K404" s="120"/>
      <c r="L404" s="120"/>
      <c r="M404" s="120"/>
    </row>
    <row r="405">
      <c r="A405" s="120"/>
      <c r="B405" s="120"/>
      <c r="C405" s="120"/>
      <c r="D405" s="120"/>
      <c r="E405" s="120"/>
      <c r="F405" s="120"/>
      <c r="G405" s="120"/>
      <c r="H405" s="120"/>
      <c r="I405" s="120"/>
      <c r="J405" s="120"/>
      <c r="K405" s="120"/>
      <c r="L405" s="120"/>
      <c r="M405" s="120"/>
    </row>
    <row r="406">
      <c r="A406" s="120"/>
      <c r="B406" s="120"/>
      <c r="C406" s="120"/>
      <c r="D406" s="120"/>
      <c r="E406" s="120"/>
      <c r="F406" s="120"/>
      <c r="G406" s="120"/>
      <c r="H406" s="120"/>
      <c r="I406" s="120"/>
      <c r="J406" s="120"/>
      <c r="K406" s="120"/>
      <c r="L406" s="120"/>
      <c r="M406" s="120"/>
    </row>
    <row r="407">
      <c r="A407" s="120"/>
      <c r="B407" s="120"/>
      <c r="C407" s="120"/>
      <c r="D407" s="120"/>
      <c r="E407" s="120"/>
      <c r="F407" s="120"/>
      <c r="G407" s="120"/>
      <c r="H407" s="120"/>
      <c r="I407" s="120"/>
      <c r="J407" s="120"/>
      <c r="K407" s="120"/>
      <c r="L407" s="120"/>
      <c r="M407" s="120"/>
    </row>
    <row r="408">
      <c r="A408" s="120"/>
      <c r="B408" s="120"/>
      <c r="C408" s="120"/>
      <c r="D408" s="120"/>
      <c r="E408" s="120"/>
      <c r="F408" s="120"/>
      <c r="G408" s="120"/>
      <c r="H408" s="120"/>
      <c r="I408" s="120"/>
      <c r="J408" s="120"/>
      <c r="K408" s="120"/>
      <c r="L408" s="120"/>
      <c r="M408" s="120"/>
    </row>
    <row r="409">
      <c r="A409" s="120"/>
      <c r="B409" s="120"/>
      <c r="C409" s="120"/>
      <c r="D409" s="120"/>
      <c r="E409" s="120"/>
      <c r="F409" s="120"/>
      <c r="G409" s="120"/>
      <c r="H409" s="120"/>
      <c r="I409" s="120"/>
      <c r="J409" s="120"/>
      <c r="K409" s="120"/>
      <c r="L409" s="120"/>
      <c r="M409" s="120"/>
    </row>
    <row r="410">
      <c r="A410" s="120"/>
      <c r="B410" s="120"/>
      <c r="C410" s="120"/>
      <c r="D410" s="120"/>
      <c r="E410" s="120"/>
      <c r="F410" s="120"/>
      <c r="G410" s="120"/>
      <c r="H410" s="120"/>
      <c r="I410" s="120"/>
      <c r="J410" s="120"/>
      <c r="K410" s="120"/>
      <c r="L410" s="120"/>
      <c r="M410" s="120"/>
    </row>
    <row r="411">
      <c r="A411" s="120"/>
      <c r="B411" s="120"/>
      <c r="C411" s="120"/>
      <c r="D411" s="120"/>
      <c r="E411" s="120"/>
      <c r="F411" s="120"/>
      <c r="G411" s="120"/>
      <c r="H411" s="120"/>
      <c r="I411" s="120"/>
      <c r="J411" s="120"/>
      <c r="K411" s="120"/>
      <c r="L411" s="120"/>
      <c r="M411" s="120"/>
    </row>
    <row r="412">
      <c r="A412" s="120"/>
      <c r="B412" s="120"/>
      <c r="C412" s="120"/>
      <c r="D412" s="120"/>
      <c r="E412" s="120"/>
      <c r="F412" s="120"/>
      <c r="G412" s="120"/>
      <c r="H412" s="120"/>
      <c r="I412" s="120"/>
      <c r="J412" s="120"/>
      <c r="K412" s="120"/>
      <c r="L412" s="120"/>
      <c r="M412" s="120"/>
    </row>
    <row r="413">
      <c r="A413" s="120"/>
      <c r="B413" s="120"/>
      <c r="C413" s="120"/>
      <c r="D413" s="120"/>
      <c r="E413" s="120"/>
      <c r="F413" s="120"/>
      <c r="G413" s="120"/>
      <c r="H413" s="120"/>
      <c r="I413" s="120"/>
      <c r="J413" s="120"/>
      <c r="K413" s="120"/>
      <c r="L413" s="120"/>
      <c r="M413" s="120"/>
    </row>
    <row r="414">
      <c r="A414" s="120"/>
      <c r="B414" s="120"/>
      <c r="C414" s="120"/>
      <c r="D414" s="120"/>
      <c r="E414" s="120"/>
      <c r="F414" s="120"/>
      <c r="G414" s="120"/>
      <c r="H414" s="120"/>
      <c r="I414" s="120"/>
      <c r="J414" s="120"/>
      <c r="K414" s="120"/>
      <c r="L414" s="120"/>
      <c r="M414" s="120"/>
    </row>
    <row r="415">
      <c r="A415" s="120"/>
      <c r="B415" s="120"/>
      <c r="C415" s="120"/>
      <c r="D415" s="120"/>
      <c r="E415" s="120"/>
      <c r="F415" s="120"/>
      <c r="G415" s="120"/>
      <c r="H415" s="120"/>
      <c r="I415" s="120"/>
      <c r="J415" s="120"/>
      <c r="K415" s="120"/>
      <c r="L415" s="120"/>
      <c r="M415" s="120"/>
    </row>
    <row r="416">
      <c r="A416" s="120"/>
      <c r="B416" s="120"/>
      <c r="C416" s="120"/>
      <c r="D416" s="120"/>
      <c r="E416" s="120"/>
      <c r="F416" s="120"/>
      <c r="G416" s="120"/>
      <c r="H416" s="120"/>
      <c r="I416" s="120"/>
      <c r="J416" s="120"/>
      <c r="K416" s="120"/>
      <c r="L416" s="120"/>
      <c r="M416" s="120"/>
    </row>
    <row r="417">
      <c r="A417" s="120"/>
      <c r="B417" s="120"/>
      <c r="C417" s="120"/>
      <c r="D417" s="120"/>
      <c r="E417" s="120"/>
      <c r="F417" s="120"/>
      <c r="G417" s="120"/>
      <c r="H417" s="120"/>
      <c r="I417" s="120"/>
      <c r="J417" s="120"/>
      <c r="K417" s="120"/>
      <c r="L417" s="120"/>
      <c r="M417" s="120"/>
    </row>
    <row r="418">
      <c r="A418" s="120"/>
      <c r="B418" s="120"/>
      <c r="C418" s="120"/>
      <c r="D418" s="120"/>
      <c r="E418" s="120"/>
      <c r="F418" s="120"/>
      <c r="G418" s="120"/>
      <c r="H418" s="120"/>
      <c r="I418" s="120"/>
      <c r="J418" s="120"/>
      <c r="K418" s="120"/>
      <c r="L418" s="120"/>
      <c r="M418" s="120"/>
    </row>
    <row r="419">
      <c r="A419" s="120"/>
      <c r="B419" s="120"/>
      <c r="C419" s="120"/>
      <c r="D419" s="120"/>
      <c r="E419" s="120"/>
      <c r="F419" s="120"/>
      <c r="G419" s="120"/>
      <c r="H419" s="120"/>
      <c r="I419" s="120"/>
      <c r="J419" s="120"/>
      <c r="K419" s="120"/>
      <c r="L419" s="120"/>
      <c r="M419" s="120"/>
    </row>
    <row r="420">
      <c r="A420" s="120"/>
      <c r="B420" s="120"/>
      <c r="C420" s="120"/>
      <c r="D420" s="120"/>
      <c r="E420" s="120"/>
      <c r="F420" s="120"/>
      <c r="G420" s="120"/>
      <c r="H420" s="120"/>
      <c r="I420" s="120"/>
      <c r="J420" s="120"/>
      <c r="K420" s="120"/>
      <c r="L420" s="120"/>
      <c r="M420" s="120"/>
    </row>
    <row r="421">
      <c r="A421" s="120"/>
      <c r="B421" s="120"/>
      <c r="C421" s="120"/>
      <c r="D421" s="120"/>
      <c r="E421" s="120"/>
      <c r="F421" s="120"/>
      <c r="G421" s="120"/>
      <c r="H421" s="120"/>
      <c r="I421" s="120"/>
      <c r="J421" s="120"/>
      <c r="K421" s="120"/>
      <c r="L421" s="120"/>
      <c r="M421" s="120"/>
    </row>
    <row r="422">
      <c r="A422" s="120"/>
      <c r="B422" s="120"/>
      <c r="C422" s="120"/>
      <c r="D422" s="120"/>
      <c r="E422" s="120"/>
      <c r="F422" s="120"/>
      <c r="G422" s="120"/>
      <c r="H422" s="120"/>
      <c r="I422" s="120"/>
      <c r="J422" s="120"/>
      <c r="K422" s="120"/>
      <c r="L422" s="120"/>
      <c r="M422" s="120"/>
    </row>
    <row r="423">
      <c r="A423" s="120"/>
      <c r="B423" s="120"/>
      <c r="C423" s="120"/>
      <c r="D423" s="120"/>
      <c r="E423" s="120"/>
      <c r="F423" s="120"/>
      <c r="G423" s="120"/>
      <c r="H423" s="120"/>
      <c r="I423" s="120"/>
      <c r="J423" s="120"/>
      <c r="K423" s="120"/>
      <c r="L423" s="120"/>
      <c r="M423" s="120"/>
    </row>
    <row r="424">
      <c r="A424" s="120"/>
      <c r="B424" s="120"/>
      <c r="C424" s="120"/>
      <c r="D424" s="120"/>
      <c r="E424" s="120"/>
      <c r="F424" s="120"/>
      <c r="G424" s="120"/>
      <c r="H424" s="120"/>
      <c r="I424" s="120"/>
      <c r="J424" s="120"/>
      <c r="K424" s="120"/>
      <c r="L424" s="120"/>
      <c r="M424" s="120"/>
    </row>
    <row r="425">
      <c r="A425" s="120"/>
      <c r="B425" s="120"/>
      <c r="C425" s="120"/>
      <c r="D425" s="120"/>
      <c r="E425" s="120"/>
      <c r="F425" s="120"/>
      <c r="G425" s="120"/>
      <c r="H425" s="120"/>
      <c r="I425" s="120"/>
      <c r="J425" s="120"/>
      <c r="K425" s="120"/>
      <c r="L425" s="120"/>
      <c r="M425" s="120"/>
    </row>
    <row r="426">
      <c r="A426" s="120"/>
      <c r="B426" s="120"/>
      <c r="C426" s="120"/>
      <c r="D426" s="120"/>
      <c r="E426" s="120"/>
      <c r="F426" s="120"/>
      <c r="G426" s="120"/>
      <c r="H426" s="120"/>
      <c r="I426" s="120"/>
      <c r="J426" s="120"/>
      <c r="K426" s="120"/>
      <c r="L426" s="120"/>
      <c r="M426" s="120"/>
    </row>
    <row r="427">
      <c r="A427" s="120"/>
      <c r="B427" s="120"/>
      <c r="C427" s="120"/>
      <c r="D427" s="120"/>
      <c r="E427" s="120"/>
      <c r="F427" s="120"/>
      <c r="G427" s="120"/>
      <c r="H427" s="120"/>
      <c r="I427" s="120"/>
      <c r="J427" s="120"/>
      <c r="K427" s="120"/>
      <c r="L427" s="120"/>
      <c r="M427" s="120"/>
    </row>
    <row r="428">
      <c r="A428" s="120"/>
      <c r="B428" s="120"/>
      <c r="C428" s="120"/>
      <c r="D428" s="120"/>
      <c r="E428" s="120"/>
      <c r="F428" s="120"/>
      <c r="G428" s="120"/>
      <c r="H428" s="120"/>
      <c r="I428" s="120"/>
      <c r="J428" s="120"/>
      <c r="K428" s="120"/>
      <c r="L428" s="120"/>
      <c r="M428" s="120"/>
    </row>
    <row r="429">
      <c r="A429" s="120"/>
      <c r="B429" s="120"/>
      <c r="C429" s="120"/>
      <c r="D429" s="120"/>
      <c r="E429" s="120"/>
      <c r="F429" s="120"/>
      <c r="G429" s="120"/>
      <c r="H429" s="120"/>
      <c r="I429" s="120"/>
      <c r="J429" s="120"/>
      <c r="K429" s="120"/>
      <c r="L429" s="120"/>
      <c r="M429" s="120"/>
    </row>
    <row r="430">
      <c r="A430" s="120"/>
      <c r="B430" s="120"/>
      <c r="C430" s="120"/>
      <c r="D430" s="120"/>
      <c r="E430" s="120"/>
      <c r="F430" s="120"/>
      <c r="G430" s="120"/>
      <c r="H430" s="120"/>
      <c r="I430" s="120"/>
      <c r="J430" s="120"/>
      <c r="K430" s="120"/>
      <c r="L430" s="120"/>
      <c r="M430" s="120"/>
    </row>
    <row r="431">
      <c r="A431" s="120"/>
      <c r="B431" s="120"/>
      <c r="C431" s="120"/>
      <c r="D431" s="120"/>
      <c r="E431" s="120"/>
      <c r="F431" s="120"/>
      <c r="G431" s="120"/>
      <c r="H431" s="120"/>
      <c r="I431" s="120"/>
      <c r="J431" s="120"/>
      <c r="K431" s="120"/>
      <c r="L431" s="120"/>
      <c r="M431" s="120"/>
    </row>
    <row r="432">
      <c r="A432" s="120"/>
      <c r="B432" s="120"/>
      <c r="C432" s="120"/>
      <c r="D432" s="120"/>
      <c r="E432" s="120"/>
      <c r="F432" s="120"/>
      <c r="G432" s="120"/>
      <c r="H432" s="120"/>
      <c r="I432" s="120"/>
      <c r="J432" s="120"/>
      <c r="K432" s="120"/>
      <c r="L432" s="120"/>
      <c r="M432" s="120"/>
    </row>
    <row r="433">
      <c r="A433" s="120"/>
      <c r="B433" s="120"/>
      <c r="C433" s="120"/>
      <c r="D433" s="120"/>
      <c r="E433" s="120"/>
      <c r="F433" s="120"/>
      <c r="G433" s="120"/>
      <c r="H433" s="120"/>
      <c r="I433" s="120"/>
      <c r="J433" s="120"/>
      <c r="K433" s="120"/>
      <c r="L433" s="120"/>
      <c r="M433" s="120"/>
    </row>
    <row r="434">
      <c r="A434" s="120"/>
      <c r="B434" s="120"/>
      <c r="C434" s="120"/>
      <c r="D434" s="120"/>
      <c r="E434" s="120"/>
      <c r="F434" s="120"/>
      <c r="G434" s="120"/>
      <c r="H434" s="120"/>
      <c r="I434" s="120"/>
      <c r="J434" s="120"/>
      <c r="K434" s="120"/>
      <c r="L434" s="120"/>
      <c r="M434" s="120"/>
    </row>
    <row r="435">
      <c r="A435" s="120"/>
      <c r="B435" s="120"/>
      <c r="C435" s="120"/>
      <c r="D435" s="120"/>
      <c r="E435" s="120"/>
      <c r="F435" s="120"/>
      <c r="G435" s="120"/>
      <c r="H435" s="120"/>
      <c r="I435" s="120"/>
      <c r="J435" s="120"/>
      <c r="K435" s="120"/>
      <c r="L435" s="120"/>
      <c r="M435" s="120"/>
    </row>
    <row r="436">
      <c r="A436" s="120"/>
      <c r="B436" s="120"/>
      <c r="C436" s="120"/>
      <c r="D436" s="120"/>
      <c r="E436" s="120"/>
      <c r="F436" s="120"/>
      <c r="G436" s="120"/>
      <c r="H436" s="120"/>
      <c r="I436" s="120"/>
      <c r="J436" s="120"/>
      <c r="K436" s="120"/>
      <c r="L436" s="120"/>
      <c r="M436" s="120"/>
    </row>
    <row r="437">
      <c r="A437" s="120"/>
      <c r="B437" s="120"/>
      <c r="C437" s="120"/>
      <c r="D437" s="120"/>
      <c r="E437" s="120"/>
      <c r="F437" s="120"/>
      <c r="G437" s="120"/>
      <c r="H437" s="120"/>
      <c r="I437" s="120"/>
      <c r="J437" s="120"/>
      <c r="K437" s="120"/>
      <c r="L437" s="120"/>
      <c r="M437" s="120"/>
    </row>
    <row r="438">
      <c r="A438" s="120"/>
      <c r="B438" s="120"/>
      <c r="C438" s="120"/>
      <c r="D438" s="120"/>
      <c r="E438" s="120"/>
      <c r="F438" s="120"/>
      <c r="G438" s="120"/>
      <c r="H438" s="120"/>
      <c r="I438" s="120"/>
      <c r="J438" s="120"/>
      <c r="K438" s="120"/>
      <c r="L438" s="120"/>
      <c r="M438" s="120"/>
    </row>
    <row r="439">
      <c r="A439" s="120"/>
      <c r="B439" s="120"/>
      <c r="C439" s="120"/>
      <c r="D439" s="120"/>
      <c r="E439" s="120"/>
      <c r="F439" s="120"/>
      <c r="G439" s="120"/>
      <c r="H439" s="120"/>
      <c r="I439" s="120"/>
      <c r="J439" s="120"/>
      <c r="K439" s="120"/>
      <c r="L439" s="120"/>
      <c r="M439" s="120"/>
    </row>
    <row r="440">
      <c r="A440" s="120"/>
      <c r="B440" s="120"/>
      <c r="C440" s="120"/>
      <c r="D440" s="120"/>
      <c r="E440" s="120"/>
      <c r="F440" s="120"/>
      <c r="G440" s="120"/>
      <c r="H440" s="120"/>
      <c r="I440" s="120"/>
      <c r="J440" s="120"/>
      <c r="K440" s="120"/>
      <c r="L440" s="120"/>
      <c r="M440" s="120"/>
    </row>
    <row r="441">
      <c r="A441" s="120"/>
      <c r="B441" s="120"/>
      <c r="C441" s="120"/>
      <c r="D441" s="120"/>
      <c r="E441" s="120"/>
      <c r="F441" s="120"/>
      <c r="G441" s="120"/>
      <c r="H441" s="120"/>
      <c r="I441" s="120"/>
      <c r="J441" s="120"/>
      <c r="K441" s="120"/>
      <c r="L441" s="120"/>
      <c r="M441" s="120"/>
    </row>
    <row r="442">
      <c r="A442" s="120"/>
      <c r="B442" s="120"/>
      <c r="C442" s="120"/>
      <c r="D442" s="120"/>
      <c r="E442" s="120"/>
      <c r="F442" s="120"/>
      <c r="G442" s="120"/>
      <c r="H442" s="120"/>
      <c r="I442" s="120"/>
      <c r="J442" s="120"/>
      <c r="K442" s="120"/>
      <c r="L442" s="120"/>
      <c r="M442" s="120"/>
    </row>
    <row r="443">
      <c r="A443" s="120"/>
      <c r="B443" s="120"/>
      <c r="C443" s="120"/>
      <c r="D443" s="120"/>
      <c r="E443" s="120"/>
      <c r="F443" s="120"/>
      <c r="G443" s="120"/>
      <c r="H443" s="120"/>
      <c r="I443" s="120"/>
      <c r="J443" s="120"/>
      <c r="K443" s="120"/>
      <c r="L443" s="120"/>
      <c r="M443" s="120"/>
    </row>
    <row r="444">
      <c r="A444" s="120"/>
      <c r="B444" s="120"/>
      <c r="C444" s="120"/>
      <c r="D444" s="120"/>
      <c r="E444" s="120"/>
      <c r="F444" s="120"/>
      <c r="G444" s="120"/>
      <c r="H444" s="120"/>
      <c r="I444" s="120"/>
      <c r="J444" s="120"/>
      <c r="K444" s="120"/>
      <c r="L444" s="120"/>
      <c r="M444" s="120"/>
    </row>
    <row r="445">
      <c r="A445" s="120"/>
      <c r="B445" s="120"/>
      <c r="C445" s="120"/>
      <c r="D445" s="120"/>
      <c r="E445" s="120"/>
      <c r="F445" s="120"/>
      <c r="G445" s="120"/>
      <c r="H445" s="120"/>
      <c r="I445" s="120"/>
      <c r="J445" s="120"/>
      <c r="K445" s="120"/>
      <c r="L445" s="120"/>
      <c r="M445" s="120"/>
    </row>
    <row r="446">
      <c r="A446" s="120"/>
      <c r="B446" s="120"/>
      <c r="C446" s="120"/>
      <c r="D446" s="120"/>
      <c r="E446" s="120"/>
      <c r="F446" s="120"/>
      <c r="G446" s="120"/>
      <c r="H446" s="120"/>
      <c r="I446" s="120"/>
      <c r="J446" s="120"/>
      <c r="K446" s="120"/>
      <c r="L446" s="120"/>
      <c r="M446" s="120"/>
    </row>
    <row r="447">
      <c r="A447" s="120"/>
      <c r="B447" s="120"/>
      <c r="C447" s="120"/>
      <c r="D447" s="120"/>
      <c r="E447" s="120"/>
      <c r="F447" s="120"/>
      <c r="G447" s="120"/>
      <c r="H447" s="120"/>
      <c r="I447" s="120"/>
      <c r="J447" s="120"/>
      <c r="K447" s="120"/>
      <c r="L447" s="120"/>
      <c r="M447" s="120"/>
    </row>
    <row r="448">
      <c r="A448" s="120"/>
      <c r="B448" s="120"/>
      <c r="C448" s="120"/>
      <c r="D448" s="120"/>
      <c r="E448" s="120"/>
      <c r="F448" s="120"/>
      <c r="G448" s="120"/>
      <c r="H448" s="120"/>
      <c r="I448" s="120"/>
      <c r="J448" s="120"/>
      <c r="K448" s="120"/>
      <c r="L448" s="120"/>
      <c r="M448" s="120"/>
    </row>
    <row r="449">
      <c r="A449" s="120"/>
      <c r="B449" s="120"/>
      <c r="C449" s="120"/>
      <c r="D449" s="120"/>
      <c r="E449" s="120"/>
      <c r="F449" s="120"/>
      <c r="G449" s="120"/>
      <c r="H449" s="120"/>
      <c r="I449" s="120"/>
      <c r="J449" s="120"/>
      <c r="K449" s="120"/>
      <c r="L449" s="120"/>
      <c r="M449" s="120"/>
    </row>
    <row r="450">
      <c r="A450" s="120"/>
      <c r="B450" s="120"/>
      <c r="C450" s="120"/>
      <c r="D450" s="120"/>
      <c r="E450" s="120"/>
      <c r="F450" s="120"/>
      <c r="G450" s="120"/>
      <c r="H450" s="120"/>
      <c r="I450" s="120"/>
      <c r="J450" s="120"/>
      <c r="K450" s="120"/>
      <c r="L450" s="120"/>
      <c r="M450" s="120"/>
    </row>
    <row r="451">
      <c r="A451" s="120"/>
      <c r="B451" s="120"/>
      <c r="C451" s="120"/>
      <c r="D451" s="120"/>
      <c r="E451" s="120"/>
      <c r="F451" s="120"/>
      <c r="G451" s="120"/>
      <c r="H451" s="120"/>
      <c r="I451" s="120"/>
      <c r="J451" s="120"/>
      <c r="K451" s="120"/>
      <c r="L451" s="120"/>
      <c r="M451" s="120"/>
    </row>
    <row r="452">
      <c r="A452" s="120"/>
      <c r="B452" s="120"/>
      <c r="C452" s="120"/>
      <c r="D452" s="120"/>
      <c r="E452" s="120"/>
      <c r="F452" s="120"/>
      <c r="G452" s="120"/>
      <c r="H452" s="120"/>
      <c r="I452" s="120"/>
      <c r="J452" s="120"/>
      <c r="K452" s="120"/>
      <c r="L452" s="120"/>
      <c r="M452" s="120"/>
    </row>
    <row r="453">
      <c r="A453" s="120"/>
      <c r="B453" s="120"/>
      <c r="C453" s="120"/>
      <c r="D453" s="120"/>
      <c r="E453" s="120"/>
      <c r="F453" s="120"/>
      <c r="G453" s="120"/>
      <c r="H453" s="120"/>
      <c r="I453" s="120"/>
      <c r="J453" s="120"/>
      <c r="K453" s="120"/>
      <c r="L453" s="120"/>
      <c r="M453" s="120"/>
    </row>
    <row r="454">
      <c r="A454" s="120"/>
      <c r="B454" s="120"/>
      <c r="C454" s="120"/>
      <c r="D454" s="120"/>
      <c r="E454" s="120"/>
      <c r="F454" s="120"/>
      <c r="G454" s="120"/>
      <c r="H454" s="120"/>
      <c r="I454" s="120"/>
      <c r="J454" s="120"/>
      <c r="K454" s="120"/>
      <c r="L454" s="120"/>
      <c r="M454" s="120"/>
    </row>
    <row r="455">
      <c r="A455" s="120"/>
      <c r="B455" s="120"/>
      <c r="C455" s="120"/>
      <c r="D455" s="120"/>
      <c r="E455" s="120"/>
      <c r="F455" s="120"/>
      <c r="G455" s="120"/>
      <c r="H455" s="120"/>
      <c r="I455" s="120"/>
      <c r="J455" s="120"/>
      <c r="K455" s="120"/>
      <c r="L455" s="120"/>
      <c r="M455" s="120"/>
    </row>
    <row r="456">
      <c r="A456" s="120"/>
      <c r="B456" s="120"/>
      <c r="C456" s="120"/>
      <c r="D456" s="120"/>
      <c r="E456" s="120"/>
      <c r="F456" s="120"/>
      <c r="G456" s="120"/>
      <c r="H456" s="120"/>
      <c r="I456" s="120"/>
      <c r="J456" s="120"/>
      <c r="K456" s="120"/>
      <c r="L456" s="120"/>
      <c r="M456" s="120"/>
    </row>
    <row r="457">
      <c r="A457" s="120"/>
      <c r="B457" s="120"/>
      <c r="C457" s="120"/>
      <c r="D457" s="120"/>
      <c r="E457" s="120"/>
      <c r="F457" s="120"/>
      <c r="G457" s="120"/>
      <c r="H457" s="120"/>
      <c r="I457" s="120"/>
      <c r="J457" s="120"/>
      <c r="K457" s="120"/>
      <c r="L457" s="120"/>
      <c r="M457" s="120"/>
    </row>
    <row r="458">
      <c r="A458" s="120"/>
      <c r="B458" s="120"/>
      <c r="C458" s="120"/>
      <c r="D458" s="120"/>
      <c r="E458" s="120"/>
      <c r="F458" s="120"/>
      <c r="G458" s="120"/>
      <c r="H458" s="120"/>
      <c r="I458" s="120"/>
      <c r="J458" s="120"/>
      <c r="K458" s="120"/>
      <c r="L458" s="120"/>
      <c r="M458" s="120"/>
    </row>
    <row r="459">
      <c r="A459" s="120"/>
      <c r="B459" s="120"/>
      <c r="C459" s="120"/>
      <c r="D459" s="120"/>
      <c r="E459" s="120"/>
      <c r="F459" s="120"/>
      <c r="G459" s="120"/>
      <c r="H459" s="120"/>
      <c r="I459" s="120"/>
      <c r="J459" s="120"/>
      <c r="K459" s="120"/>
      <c r="L459" s="120"/>
      <c r="M459" s="120"/>
    </row>
    <row r="460">
      <c r="A460" s="120"/>
      <c r="B460" s="120"/>
      <c r="C460" s="120"/>
      <c r="D460" s="120"/>
      <c r="E460" s="120"/>
      <c r="F460" s="120"/>
      <c r="G460" s="120"/>
      <c r="H460" s="120"/>
      <c r="I460" s="120"/>
      <c r="J460" s="120"/>
      <c r="K460" s="120"/>
      <c r="L460" s="120"/>
      <c r="M460" s="120"/>
    </row>
    <row r="461">
      <c r="A461" s="120"/>
      <c r="B461" s="120"/>
      <c r="C461" s="120"/>
      <c r="D461" s="120"/>
      <c r="E461" s="120"/>
      <c r="F461" s="120"/>
      <c r="G461" s="120"/>
      <c r="H461" s="120"/>
      <c r="I461" s="120"/>
      <c r="J461" s="120"/>
      <c r="K461" s="120"/>
      <c r="L461" s="120"/>
      <c r="M461" s="120"/>
    </row>
    <row r="462">
      <c r="A462" s="120"/>
      <c r="B462" s="120"/>
      <c r="C462" s="120"/>
      <c r="D462" s="120"/>
      <c r="E462" s="120"/>
      <c r="F462" s="120"/>
      <c r="G462" s="120"/>
      <c r="H462" s="120"/>
      <c r="I462" s="120"/>
      <c r="J462" s="120"/>
      <c r="K462" s="120"/>
      <c r="L462" s="120"/>
      <c r="M462" s="120"/>
    </row>
    <row r="463">
      <c r="A463" s="120"/>
      <c r="B463" s="120"/>
      <c r="C463" s="120"/>
      <c r="D463" s="120"/>
      <c r="E463" s="120"/>
      <c r="F463" s="120"/>
      <c r="G463" s="120"/>
      <c r="H463" s="120"/>
      <c r="I463" s="120"/>
      <c r="J463" s="120"/>
      <c r="K463" s="120"/>
      <c r="L463" s="120"/>
      <c r="M463" s="120"/>
    </row>
    <row r="464">
      <c r="A464" s="120"/>
      <c r="B464" s="120"/>
      <c r="C464" s="120"/>
      <c r="D464" s="120"/>
      <c r="E464" s="120"/>
      <c r="F464" s="120"/>
      <c r="G464" s="120"/>
      <c r="H464" s="120"/>
      <c r="I464" s="120"/>
      <c r="J464" s="120"/>
      <c r="K464" s="120"/>
      <c r="L464" s="120"/>
      <c r="M464" s="120"/>
    </row>
    <row r="465">
      <c r="A465" s="120"/>
      <c r="B465" s="120"/>
      <c r="C465" s="120"/>
      <c r="D465" s="120"/>
      <c r="E465" s="120"/>
      <c r="F465" s="120"/>
      <c r="G465" s="120"/>
      <c r="H465" s="120"/>
      <c r="I465" s="120"/>
      <c r="J465" s="120"/>
      <c r="K465" s="120"/>
      <c r="L465" s="120"/>
      <c r="M465" s="120"/>
    </row>
    <row r="466">
      <c r="A466" s="120"/>
      <c r="B466" s="120"/>
      <c r="C466" s="120"/>
      <c r="D466" s="120"/>
      <c r="E466" s="120"/>
      <c r="F466" s="120"/>
      <c r="G466" s="120"/>
      <c r="H466" s="120"/>
      <c r="I466" s="120"/>
      <c r="J466" s="120"/>
      <c r="K466" s="120"/>
      <c r="L466" s="120"/>
      <c r="M466" s="120"/>
    </row>
    <row r="467">
      <c r="A467" s="120"/>
      <c r="B467" s="120"/>
      <c r="C467" s="120"/>
      <c r="D467" s="120"/>
      <c r="E467" s="120"/>
      <c r="F467" s="120"/>
      <c r="G467" s="120"/>
      <c r="H467" s="120"/>
      <c r="I467" s="120"/>
      <c r="J467" s="120"/>
      <c r="K467" s="120"/>
      <c r="L467" s="120"/>
      <c r="M467" s="120"/>
    </row>
    <row r="468">
      <c r="A468" s="120"/>
      <c r="B468" s="120"/>
      <c r="C468" s="120"/>
      <c r="D468" s="120"/>
      <c r="E468" s="120"/>
      <c r="F468" s="120"/>
      <c r="G468" s="120"/>
      <c r="H468" s="120"/>
      <c r="I468" s="120"/>
      <c r="J468" s="120"/>
      <c r="K468" s="120"/>
      <c r="L468" s="120"/>
      <c r="M468" s="120"/>
    </row>
    <row r="469">
      <c r="A469" s="120"/>
      <c r="B469" s="120"/>
      <c r="C469" s="120"/>
      <c r="D469" s="120"/>
      <c r="E469" s="120"/>
      <c r="F469" s="120"/>
      <c r="G469" s="120"/>
      <c r="H469" s="120"/>
      <c r="I469" s="120"/>
      <c r="J469" s="120"/>
      <c r="K469" s="120"/>
      <c r="L469" s="120"/>
      <c r="M469" s="120"/>
    </row>
    <row r="470">
      <c r="A470" s="120"/>
      <c r="B470" s="120"/>
      <c r="C470" s="120"/>
      <c r="D470" s="120"/>
      <c r="E470" s="120"/>
      <c r="F470" s="120"/>
      <c r="G470" s="120"/>
      <c r="H470" s="120"/>
      <c r="I470" s="120"/>
      <c r="J470" s="120"/>
      <c r="K470" s="120"/>
      <c r="L470" s="120"/>
      <c r="M470" s="120"/>
    </row>
    <row r="471">
      <c r="A471" s="120"/>
      <c r="B471" s="120"/>
      <c r="C471" s="120"/>
      <c r="D471" s="120"/>
      <c r="E471" s="120"/>
      <c r="F471" s="120"/>
      <c r="G471" s="120"/>
      <c r="H471" s="120"/>
      <c r="I471" s="120"/>
      <c r="J471" s="120"/>
      <c r="K471" s="120"/>
      <c r="L471" s="120"/>
      <c r="M471" s="120"/>
    </row>
    <row r="472">
      <c r="A472" s="120"/>
      <c r="B472" s="120"/>
      <c r="C472" s="120"/>
      <c r="D472" s="120"/>
      <c r="E472" s="120"/>
      <c r="F472" s="120"/>
      <c r="G472" s="120"/>
      <c r="H472" s="120"/>
      <c r="I472" s="120"/>
      <c r="J472" s="120"/>
      <c r="K472" s="120"/>
      <c r="L472" s="120"/>
      <c r="M472" s="120"/>
    </row>
    <row r="473">
      <c r="A473" s="120"/>
      <c r="B473" s="120"/>
      <c r="C473" s="120"/>
      <c r="D473" s="120"/>
      <c r="E473" s="120"/>
      <c r="F473" s="120"/>
      <c r="G473" s="120"/>
      <c r="H473" s="120"/>
      <c r="I473" s="120"/>
      <c r="J473" s="120"/>
      <c r="K473" s="120"/>
      <c r="L473" s="120"/>
      <c r="M473" s="120"/>
    </row>
    <row r="474">
      <c r="A474" s="120"/>
      <c r="B474" s="120"/>
      <c r="C474" s="120"/>
      <c r="D474" s="120"/>
      <c r="E474" s="120"/>
      <c r="F474" s="120"/>
      <c r="G474" s="120"/>
      <c r="H474" s="120"/>
      <c r="I474" s="120"/>
      <c r="J474" s="120"/>
      <c r="K474" s="120"/>
      <c r="L474" s="120"/>
      <c r="M474" s="120"/>
    </row>
    <row r="475">
      <c r="A475" s="120"/>
      <c r="B475" s="120"/>
      <c r="C475" s="120"/>
      <c r="D475" s="120"/>
      <c r="E475" s="120"/>
      <c r="F475" s="120"/>
      <c r="G475" s="120"/>
      <c r="H475" s="120"/>
      <c r="I475" s="120"/>
      <c r="J475" s="120"/>
      <c r="K475" s="120"/>
      <c r="L475" s="120"/>
      <c r="M475" s="120"/>
    </row>
    <row r="476">
      <c r="A476" s="120"/>
      <c r="B476" s="120"/>
      <c r="C476" s="120"/>
      <c r="D476" s="120"/>
      <c r="E476" s="120"/>
      <c r="F476" s="120"/>
      <c r="G476" s="120"/>
      <c r="H476" s="120"/>
      <c r="I476" s="120"/>
      <c r="J476" s="120"/>
      <c r="K476" s="120"/>
      <c r="L476" s="120"/>
      <c r="M476" s="120"/>
    </row>
    <row r="477">
      <c r="A477" s="120"/>
      <c r="B477" s="120"/>
      <c r="C477" s="120"/>
      <c r="D477" s="120"/>
      <c r="E477" s="120"/>
      <c r="F477" s="120"/>
      <c r="G477" s="120"/>
      <c r="H477" s="120"/>
      <c r="I477" s="120"/>
      <c r="J477" s="120"/>
      <c r="K477" s="120"/>
      <c r="L477" s="120"/>
      <c r="M477" s="120"/>
    </row>
    <row r="478">
      <c r="A478" s="120"/>
      <c r="B478" s="120"/>
      <c r="C478" s="120"/>
      <c r="D478" s="120"/>
      <c r="E478" s="120"/>
      <c r="F478" s="120"/>
      <c r="G478" s="120"/>
      <c r="H478" s="120"/>
      <c r="I478" s="120"/>
      <c r="J478" s="120"/>
      <c r="K478" s="120"/>
      <c r="L478" s="120"/>
      <c r="M478" s="120"/>
    </row>
    <row r="479">
      <c r="A479" s="120"/>
      <c r="B479" s="120"/>
      <c r="C479" s="120"/>
      <c r="D479" s="120"/>
      <c r="E479" s="120"/>
      <c r="F479" s="120"/>
      <c r="G479" s="120"/>
      <c r="H479" s="120"/>
      <c r="I479" s="120"/>
      <c r="J479" s="120"/>
      <c r="K479" s="120"/>
      <c r="L479" s="120"/>
      <c r="M479" s="120"/>
    </row>
    <row r="480">
      <c r="A480" s="120"/>
      <c r="B480" s="120"/>
      <c r="C480" s="120"/>
      <c r="D480" s="120"/>
      <c r="E480" s="120"/>
      <c r="F480" s="120"/>
      <c r="G480" s="120"/>
      <c r="H480" s="120"/>
      <c r="I480" s="120"/>
      <c r="J480" s="120"/>
      <c r="K480" s="120"/>
      <c r="L480" s="120"/>
      <c r="M480" s="120"/>
    </row>
    <row r="481">
      <c r="A481" s="120"/>
      <c r="B481" s="120"/>
      <c r="C481" s="120"/>
      <c r="D481" s="120"/>
      <c r="E481" s="120"/>
      <c r="F481" s="120"/>
      <c r="G481" s="120"/>
      <c r="H481" s="120"/>
      <c r="I481" s="120"/>
      <c r="J481" s="120"/>
      <c r="K481" s="120"/>
      <c r="L481" s="120"/>
      <c r="M481" s="120"/>
    </row>
    <row r="482">
      <c r="A482" s="120"/>
      <c r="B482" s="120"/>
      <c r="C482" s="120"/>
      <c r="D482" s="120"/>
      <c r="E482" s="120"/>
      <c r="F482" s="120"/>
      <c r="G482" s="120"/>
      <c r="H482" s="120"/>
      <c r="I482" s="120"/>
      <c r="J482" s="120"/>
      <c r="K482" s="120"/>
      <c r="L482" s="120"/>
      <c r="M482" s="120"/>
    </row>
    <row r="483">
      <c r="A483" s="120"/>
      <c r="B483" s="120"/>
      <c r="C483" s="120"/>
      <c r="D483" s="120"/>
      <c r="E483" s="120"/>
      <c r="F483" s="120"/>
      <c r="G483" s="120"/>
      <c r="H483" s="120"/>
      <c r="I483" s="120"/>
      <c r="J483" s="120"/>
      <c r="K483" s="120"/>
      <c r="L483" s="120"/>
      <c r="M483" s="120"/>
    </row>
    <row r="484">
      <c r="A484" s="120"/>
      <c r="B484" s="120"/>
      <c r="C484" s="120"/>
      <c r="D484" s="120"/>
      <c r="E484" s="120"/>
      <c r="F484" s="120"/>
      <c r="G484" s="120"/>
      <c r="H484" s="120"/>
      <c r="I484" s="120"/>
      <c r="J484" s="120"/>
      <c r="K484" s="120"/>
      <c r="L484" s="120"/>
      <c r="M484" s="120"/>
    </row>
    <row r="485">
      <c r="A485" s="120"/>
      <c r="B485" s="120"/>
      <c r="C485" s="120"/>
      <c r="D485" s="120"/>
      <c r="E485" s="120"/>
      <c r="F485" s="120"/>
      <c r="G485" s="120"/>
      <c r="H485" s="120"/>
      <c r="I485" s="120"/>
      <c r="J485" s="120"/>
      <c r="K485" s="120"/>
      <c r="L485" s="120"/>
      <c r="M485" s="120"/>
    </row>
    <row r="486">
      <c r="A486" s="120"/>
      <c r="B486" s="120"/>
      <c r="C486" s="120"/>
      <c r="D486" s="120"/>
      <c r="E486" s="120"/>
      <c r="F486" s="120"/>
      <c r="G486" s="120"/>
      <c r="H486" s="120"/>
      <c r="I486" s="120"/>
      <c r="J486" s="120"/>
      <c r="K486" s="120"/>
      <c r="L486" s="120"/>
      <c r="M486" s="120"/>
    </row>
    <row r="487">
      <c r="A487" s="120"/>
      <c r="B487" s="120"/>
      <c r="C487" s="120"/>
      <c r="D487" s="120"/>
      <c r="E487" s="120"/>
      <c r="F487" s="120"/>
      <c r="G487" s="120"/>
      <c r="H487" s="120"/>
      <c r="I487" s="120"/>
      <c r="J487" s="120"/>
      <c r="K487" s="120"/>
      <c r="L487" s="120"/>
      <c r="M487" s="120"/>
    </row>
    <row r="488">
      <c r="A488" s="120"/>
      <c r="B488" s="120"/>
      <c r="C488" s="120"/>
      <c r="D488" s="120"/>
      <c r="E488" s="120"/>
      <c r="F488" s="120"/>
      <c r="G488" s="120"/>
      <c r="H488" s="120"/>
      <c r="I488" s="120"/>
      <c r="J488" s="120"/>
      <c r="K488" s="120"/>
      <c r="L488" s="120"/>
      <c r="M488" s="120"/>
    </row>
    <row r="489">
      <c r="A489" s="120"/>
      <c r="B489" s="120"/>
      <c r="C489" s="120"/>
      <c r="D489" s="120"/>
      <c r="E489" s="120"/>
      <c r="F489" s="120"/>
      <c r="G489" s="120"/>
      <c r="H489" s="120"/>
      <c r="I489" s="120"/>
      <c r="J489" s="120"/>
      <c r="K489" s="120"/>
      <c r="L489" s="120"/>
      <c r="M489" s="120"/>
    </row>
    <row r="490">
      <c r="A490" s="120"/>
      <c r="B490" s="120"/>
      <c r="C490" s="120"/>
      <c r="D490" s="120"/>
      <c r="E490" s="120"/>
      <c r="F490" s="120"/>
      <c r="G490" s="120"/>
      <c r="H490" s="120"/>
      <c r="I490" s="120"/>
      <c r="J490" s="120"/>
      <c r="K490" s="120"/>
      <c r="L490" s="120"/>
      <c r="M490" s="120"/>
    </row>
    <row r="491">
      <c r="A491" s="120"/>
      <c r="B491" s="120"/>
      <c r="C491" s="120"/>
      <c r="D491" s="120"/>
      <c r="E491" s="120"/>
      <c r="F491" s="120"/>
      <c r="G491" s="120"/>
      <c r="H491" s="120"/>
      <c r="I491" s="120"/>
      <c r="J491" s="120"/>
      <c r="K491" s="120"/>
      <c r="L491" s="120"/>
      <c r="M491" s="120"/>
    </row>
    <row r="492">
      <c r="A492" s="120"/>
      <c r="B492" s="120"/>
      <c r="C492" s="120"/>
      <c r="D492" s="120"/>
      <c r="E492" s="120"/>
      <c r="F492" s="120"/>
      <c r="G492" s="120"/>
      <c r="H492" s="120"/>
      <c r="I492" s="120"/>
      <c r="J492" s="120"/>
      <c r="K492" s="120"/>
      <c r="L492" s="120"/>
      <c r="M492" s="120"/>
    </row>
    <row r="493">
      <c r="A493" s="120"/>
      <c r="B493" s="120"/>
      <c r="C493" s="120"/>
      <c r="D493" s="120"/>
      <c r="E493" s="120"/>
      <c r="F493" s="120"/>
      <c r="G493" s="120"/>
      <c r="H493" s="120"/>
      <c r="I493" s="120"/>
      <c r="J493" s="120"/>
      <c r="K493" s="120"/>
      <c r="L493" s="120"/>
      <c r="M493" s="120"/>
    </row>
    <row r="494">
      <c r="A494" s="120"/>
      <c r="B494" s="120"/>
      <c r="C494" s="120"/>
      <c r="D494" s="120"/>
      <c r="E494" s="120"/>
      <c r="F494" s="120"/>
      <c r="G494" s="120"/>
      <c r="H494" s="120"/>
      <c r="I494" s="120"/>
      <c r="J494" s="120"/>
      <c r="K494" s="120"/>
      <c r="L494" s="120"/>
      <c r="M494" s="120"/>
    </row>
    <row r="495">
      <c r="A495" s="120"/>
      <c r="B495" s="120"/>
      <c r="C495" s="120"/>
      <c r="D495" s="120"/>
      <c r="E495" s="120"/>
      <c r="F495" s="120"/>
      <c r="G495" s="120"/>
      <c r="H495" s="120"/>
      <c r="I495" s="120"/>
      <c r="J495" s="120"/>
      <c r="K495" s="120"/>
      <c r="L495" s="120"/>
      <c r="M495" s="120"/>
    </row>
    <row r="496">
      <c r="A496" s="120"/>
      <c r="B496" s="120"/>
      <c r="C496" s="120"/>
      <c r="D496" s="120"/>
      <c r="E496" s="120"/>
      <c r="F496" s="120"/>
      <c r="G496" s="120"/>
      <c r="H496" s="120"/>
      <c r="I496" s="120"/>
      <c r="J496" s="120"/>
      <c r="K496" s="120"/>
      <c r="L496" s="120"/>
      <c r="M496" s="120"/>
    </row>
    <row r="497">
      <c r="A497" s="120"/>
      <c r="B497" s="120"/>
      <c r="C497" s="120"/>
      <c r="D497" s="120"/>
      <c r="E497" s="120"/>
      <c r="F497" s="120"/>
      <c r="G497" s="120"/>
      <c r="H497" s="120"/>
      <c r="I497" s="120"/>
      <c r="J497" s="120"/>
      <c r="K497" s="120"/>
      <c r="L497" s="120"/>
      <c r="M497" s="120"/>
    </row>
    <row r="498">
      <c r="A498" s="120"/>
      <c r="B498" s="120"/>
      <c r="C498" s="120"/>
      <c r="D498" s="120"/>
      <c r="E498" s="120"/>
      <c r="F498" s="120"/>
      <c r="G498" s="120"/>
      <c r="H498" s="120"/>
      <c r="I498" s="120"/>
      <c r="J498" s="120"/>
      <c r="K498" s="120"/>
      <c r="L498" s="120"/>
      <c r="M498" s="120"/>
    </row>
    <row r="499">
      <c r="A499" s="120"/>
      <c r="B499" s="120"/>
      <c r="C499" s="120"/>
      <c r="D499" s="120"/>
      <c r="E499" s="120"/>
      <c r="F499" s="120"/>
      <c r="G499" s="120"/>
      <c r="H499" s="120"/>
      <c r="I499" s="120"/>
      <c r="J499" s="120"/>
      <c r="K499" s="120"/>
      <c r="L499" s="120"/>
      <c r="M499" s="120"/>
    </row>
    <row r="500">
      <c r="A500" s="120"/>
      <c r="B500" s="120"/>
      <c r="C500" s="120"/>
      <c r="D500" s="120"/>
      <c r="E500" s="120"/>
      <c r="F500" s="120"/>
      <c r="G500" s="120"/>
      <c r="H500" s="120"/>
      <c r="I500" s="120"/>
      <c r="J500" s="120"/>
      <c r="K500" s="120"/>
      <c r="L500" s="120"/>
      <c r="M500" s="120"/>
    </row>
    <row r="501">
      <c r="A501" s="120"/>
      <c r="B501" s="120"/>
      <c r="C501" s="120"/>
      <c r="D501" s="120"/>
      <c r="E501" s="120"/>
      <c r="F501" s="120"/>
      <c r="G501" s="120"/>
      <c r="H501" s="120"/>
      <c r="I501" s="120"/>
      <c r="J501" s="120"/>
      <c r="K501" s="120"/>
      <c r="L501" s="120"/>
      <c r="M501" s="120"/>
    </row>
    <row r="502">
      <c r="A502" s="120"/>
      <c r="B502" s="120"/>
      <c r="C502" s="120"/>
      <c r="D502" s="120"/>
      <c r="E502" s="120"/>
      <c r="F502" s="120"/>
      <c r="G502" s="120"/>
      <c r="H502" s="120"/>
      <c r="I502" s="120"/>
      <c r="J502" s="120"/>
      <c r="K502" s="120"/>
      <c r="L502" s="120"/>
      <c r="M502" s="120"/>
    </row>
    <row r="503">
      <c r="A503" s="120"/>
      <c r="B503" s="120"/>
      <c r="C503" s="120"/>
      <c r="D503" s="120"/>
      <c r="E503" s="120"/>
      <c r="F503" s="120"/>
      <c r="G503" s="120"/>
      <c r="H503" s="120"/>
      <c r="I503" s="120"/>
      <c r="J503" s="120"/>
      <c r="K503" s="120"/>
      <c r="L503" s="120"/>
      <c r="M503" s="120"/>
    </row>
    <row r="504">
      <c r="A504" s="120"/>
      <c r="B504" s="120"/>
      <c r="C504" s="120"/>
      <c r="D504" s="120"/>
      <c r="E504" s="120"/>
      <c r="F504" s="120"/>
      <c r="G504" s="120"/>
      <c r="H504" s="120"/>
      <c r="I504" s="120"/>
      <c r="J504" s="120"/>
      <c r="K504" s="120"/>
      <c r="L504" s="120"/>
      <c r="M504" s="120"/>
    </row>
    <row r="505">
      <c r="A505" s="120"/>
      <c r="B505" s="120"/>
      <c r="C505" s="120"/>
      <c r="D505" s="120"/>
      <c r="E505" s="120"/>
      <c r="F505" s="120"/>
      <c r="G505" s="120"/>
      <c r="H505" s="120"/>
      <c r="I505" s="120"/>
      <c r="J505" s="120"/>
      <c r="K505" s="120"/>
      <c r="L505" s="120"/>
      <c r="M505" s="120"/>
    </row>
    <row r="506">
      <c r="A506" s="120"/>
      <c r="B506" s="120"/>
      <c r="C506" s="120"/>
      <c r="D506" s="120"/>
      <c r="E506" s="120"/>
      <c r="F506" s="120"/>
      <c r="G506" s="120"/>
      <c r="H506" s="120"/>
      <c r="I506" s="120"/>
      <c r="J506" s="120"/>
      <c r="K506" s="120"/>
      <c r="L506" s="120"/>
      <c r="M506" s="120"/>
    </row>
    <row r="507">
      <c r="A507" s="120"/>
      <c r="B507" s="120"/>
      <c r="C507" s="120"/>
      <c r="D507" s="120"/>
      <c r="E507" s="120"/>
      <c r="F507" s="120"/>
      <c r="G507" s="120"/>
      <c r="H507" s="120"/>
      <c r="I507" s="120"/>
      <c r="J507" s="120"/>
      <c r="K507" s="120"/>
      <c r="L507" s="120"/>
      <c r="M507" s="120"/>
    </row>
    <row r="508">
      <c r="A508" s="120"/>
      <c r="B508" s="120"/>
      <c r="C508" s="120"/>
      <c r="D508" s="120"/>
      <c r="E508" s="120"/>
      <c r="F508" s="120"/>
      <c r="G508" s="120"/>
      <c r="H508" s="120"/>
      <c r="I508" s="120"/>
      <c r="J508" s="120"/>
      <c r="K508" s="120"/>
      <c r="L508" s="120"/>
      <c r="M508" s="120"/>
    </row>
    <row r="509">
      <c r="A509" s="120"/>
      <c r="B509" s="120"/>
      <c r="C509" s="120"/>
      <c r="D509" s="120"/>
      <c r="E509" s="120"/>
      <c r="F509" s="120"/>
      <c r="G509" s="120"/>
      <c r="H509" s="120"/>
      <c r="I509" s="120"/>
      <c r="J509" s="120"/>
      <c r="K509" s="120"/>
      <c r="L509" s="120"/>
      <c r="M509" s="120"/>
    </row>
    <row r="510">
      <c r="A510" s="120"/>
      <c r="B510" s="120"/>
      <c r="C510" s="120"/>
      <c r="D510" s="120"/>
      <c r="E510" s="120"/>
      <c r="F510" s="120"/>
      <c r="G510" s="120"/>
      <c r="H510" s="120"/>
      <c r="I510" s="120"/>
      <c r="J510" s="120"/>
      <c r="K510" s="120"/>
      <c r="L510" s="120"/>
      <c r="M510" s="120"/>
    </row>
    <row r="511">
      <c r="A511" s="120"/>
      <c r="B511" s="120"/>
      <c r="C511" s="120"/>
      <c r="D511" s="120"/>
      <c r="E511" s="120"/>
      <c r="F511" s="120"/>
      <c r="G511" s="120"/>
      <c r="H511" s="120"/>
      <c r="I511" s="120"/>
      <c r="J511" s="120"/>
      <c r="K511" s="120"/>
      <c r="L511" s="120"/>
      <c r="M511" s="120"/>
    </row>
    <row r="512">
      <c r="A512" s="120"/>
      <c r="B512" s="120"/>
      <c r="C512" s="120"/>
      <c r="D512" s="120"/>
      <c r="E512" s="120"/>
      <c r="F512" s="120"/>
      <c r="G512" s="120"/>
      <c r="H512" s="120"/>
      <c r="I512" s="120"/>
      <c r="J512" s="120"/>
      <c r="K512" s="120"/>
      <c r="L512" s="120"/>
      <c r="M512" s="120"/>
    </row>
    <row r="513">
      <c r="A513" s="120"/>
      <c r="B513" s="120"/>
      <c r="C513" s="120"/>
      <c r="D513" s="120"/>
      <c r="E513" s="120"/>
      <c r="F513" s="120"/>
      <c r="G513" s="120"/>
      <c r="H513" s="120"/>
      <c r="I513" s="120"/>
      <c r="J513" s="120"/>
      <c r="K513" s="120"/>
      <c r="L513" s="120"/>
      <c r="M513" s="120"/>
    </row>
    <row r="514">
      <c r="A514" s="120"/>
      <c r="B514" s="120"/>
      <c r="C514" s="120"/>
      <c r="D514" s="120"/>
      <c r="E514" s="120"/>
      <c r="F514" s="120"/>
      <c r="G514" s="120"/>
      <c r="H514" s="120"/>
      <c r="I514" s="120"/>
      <c r="J514" s="120"/>
      <c r="K514" s="120"/>
      <c r="L514" s="120"/>
      <c r="M514" s="120"/>
    </row>
    <row r="515">
      <c r="A515" s="120"/>
      <c r="B515" s="120"/>
      <c r="C515" s="120"/>
      <c r="D515" s="120"/>
      <c r="E515" s="120"/>
      <c r="F515" s="120"/>
      <c r="G515" s="120"/>
      <c r="H515" s="120"/>
      <c r="I515" s="120"/>
      <c r="J515" s="120"/>
      <c r="K515" s="120"/>
      <c r="L515" s="120"/>
      <c r="M515" s="120"/>
    </row>
    <row r="516">
      <c r="A516" s="120"/>
      <c r="B516" s="120"/>
      <c r="C516" s="120"/>
      <c r="D516" s="120"/>
      <c r="E516" s="120"/>
      <c r="F516" s="120"/>
      <c r="G516" s="120"/>
      <c r="H516" s="120"/>
      <c r="I516" s="120"/>
      <c r="J516" s="120"/>
      <c r="K516" s="120"/>
      <c r="L516" s="120"/>
      <c r="M516" s="120"/>
    </row>
    <row r="517">
      <c r="A517" s="120"/>
      <c r="B517" s="120"/>
      <c r="C517" s="120"/>
      <c r="D517" s="120"/>
      <c r="E517" s="120"/>
      <c r="F517" s="120"/>
      <c r="G517" s="120"/>
      <c r="H517" s="120"/>
      <c r="I517" s="120"/>
      <c r="J517" s="120"/>
      <c r="K517" s="120"/>
      <c r="L517" s="120"/>
      <c r="M517" s="120"/>
    </row>
    <row r="518">
      <c r="A518" s="120"/>
      <c r="B518" s="120"/>
      <c r="C518" s="120"/>
      <c r="D518" s="120"/>
      <c r="E518" s="120"/>
      <c r="F518" s="120"/>
      <c r="G518" s="120"/>
      <c r="H518" s="120"/>
      <c r="I518" s="120"/>
      <c r="J518" s="120"/>
      <c r="K518" s="120"/>
      <c r="L518" s="120"/>
      <c r="M518" s="120"/>
    </row>
    <row r="519">
      <c r="A519" s="120"/>
      <c r="B519" s="120"/>
      <c r="C519" s="120"/>
      <c r="D519" s="120"/>
      <c r="E519" s="120"/>
      <c r="F519" s="120"/>
      <c r="G519" s="120"/>
      <c r="H519" s="120"/>
      <c r="I519" s="120"/>
      <c r="J519" s="120"/>
      <c r="K519" s="120"/>
      <c r="L519" s="120"/>
      <c r="M519" s="120"/>
    </row>
    <row r="520">
      <c r="A520" s="120"/>
      <c r="B520" s="120"/>
      <c r="C520" s="120"/>
      <c r="D520" s="120"/>
      <c r="E520" s="120"/>
      <c r="F520" s="120"/>
      <c r="G520" s="120"/>
      <c r="H520" s="120"/>
      <c r="I520" s="120"/>
      <c r="J520" s="120"/>
      <c r="K520" s="120"/>
      <c r="L520" s="120"/>
      <c r="M520" s="120"/>
    </row>
    <row r="521">
      <c r="A521" s="120"/>
      <c r="B521" s="120"/>
      <c r="C521" s="120"/>
      <c r="D521" s="120"/>
      <c r="E521" s="120"/>
      <c r="F521" s="120"/>
      <c r="G521" s="120"/>
      <c r="H521" s="120"/>
      <c r="I521" s="120"/>
      <c r="J521" s="120"/>
      <c r="K521" s="120"/>
      <c r="L521" s="120"/>
      <c r="M521" s="120"/>
    </row>
    <row r="522">
      <c r="A522" s="120"/>
      <c r="B522" s="120"/>
      <c r="C522" s="120"/>
      <c r="D522" s="120"/>
      <c r="E522" s="120"/>
      <c r="F522" s="120"/>
      <c r="G522" s="120"/>
      <c r="H522" s="120"/>
      <c r="I522" s="120"/>
      <c r="J522" s="120"/>
      <c r="K522" s="120"/>
      <c r="L522" s="120"/>
      <c r="M522" s="120"/>
    </row>
    <row r="523">
      <c r="A523" s="120"/>
      <c r="B523" s="120"/>
      <c r="C523" s="120"/>
      <c r="D523" s="120"/>
      <c r="E523" s="120"/>
      <c r="F523" s="120"/>
      <c r="G523" s="120"/>
      <c r="H523" s="120"/>
      <c r="I523" s="120"/>
      <c r="J523" s="120"/>
      <c r="K523" s="120"/>
      <c r="L523" s="120"/>
      <c r="M523" s="120"/>
    </row>
    <row r="524">
      <c r="A524" s="120"/>
      <c r="B524" s="120"/>
      <c r="C524" s="120"/>
      <c r="D524" s="120"/>
      <c r="E524" s="120"/>
      <c r="F524" s="120"/>
      <c r="G524" s="120"/>
      <c r="H524" s="120"/>
      <c r="I524" s="120"/>
      <c r="J524" s="120"/>
      <c r="K524" s="120"/>
      <c r="L524" s="120"/>
      <c r="M524" s="120"/>
    </row>
    <row r="525">
      <c r="A525" s="120"/>
      <c r="B525" s="120"/>
      <c r="C525" s="120"/>
      <c r="D525" s="120"/>
      <c r="E525" s="120"/>
      <c r="F525" s="120"/>
      <c r="G525" s="120"/>
      <c r="H525" s="120"/>
      <c r="I525" s="120"/>
      <c r="J525" s="120"/>
      <c r="K525" s="120"/>
      <c r="L525" s="120"/>
      <c r="M525" s="120"/>
    </row>
    <row r="526">
      <c r="A526" s="120"/>
      <c r="B526" s="120"/>
      <c r="C526" s="120"/>
      <c r="D526" s="120"/>
      <c r="E526" s="120"/>
      <c r="F526" s="120"/>
      <c r="G526" s="120"/>
      <c r="H526" s="120"/>
      <c r="I526" s="120"/>
      <c r="J526" s="120"/>
      <c r="K526" s="120"/>
      <c r="L526" s="120"/>
      <c r="M526" s="120"/>
    </row>
    <row r="527">
      <c r="A527" s="120"/>
      <c r="B527" s="120"/>
      <c r="C527" s="120"/>
      <c r="D527" s="120"/>
      <c r="E527" s="120"/>
      <c r="F527" s="120"/>
      <c r="G527" s="120"/>
      <c r="H527" s="120"/>
      <c r="I527" s="120"/>
      <c r="J527" s="120"/>
      <c r="K527" s="120"/>
      <c r="L527" s="120"/>
      <c r="M527" s="120"/>
    </row>
    <row r="528">
      <c r="A528" s="120"/>
      <c r="B528" s="120"/>
      <c r="C528" s="120"/>
      <c r="D528" s="120"/>
      <c r="E528" s="120"/>
      <c r="F528" s="120"/>
      <c r="G528" s="120"/>
      <c r="H528" s="120"/>
      <c r="I528" s="120"/>
      <c r="J528" s="120"/>
      <c r="K528" s="120"/>
      <c r="L528" s="120"/>
      <c r="M528" s="120"/>
    </row>
    <row r="529">
      <c r="A529" s="120"/>
      <c r="B529" s="120"/>
      <c r="C529" s="120"/>
      <c r="D529" s="120"/>
      <c r="E529" s="120"/>
      <c r="F529" s="120"/>
      <c r="G529" s="120"/>
      <c r="H529" s="120"/>
      <c r="I529" s="120"/>
      <c r="J529" s="120"/>
      <c r="K529" s="120"/>
      <c r="L529" s="120"/>
      <c r="M529" s="120"/>
    </row>
    <row r="530">
      <c r="A530" s="120"/>
      <c r="B530" s="120"/>
      <c r="C530" s="120"/>
      <c r="D530" s="120"/>
      <c r="E530" s="120"/>
      <c r="F530" s="120"/>
      <c r="G530" s="120"/>
      <c r="H530" s="120"/>
      <c r="I530" s="120"/>
      <c r="J530" s="120"/>
      <c r="K530" s="120"/>
      <c r="L530" s="120"/>
      <c r="M530" s="120"/>
    </row>
    <row r="531">
      <c r="A531" s="120"/>
      <c r="B531" s="120"/>
      <c r="C531" s="120"/>
      <c r="D531" s="120"/>
      <c r="E531" s="120"/>
      <c r="F531" s="120"/>
      <c r="G531" s="120"/>
      <c r="H531" s="120"/>
      <c r="I531" s="120"/>
      <c r="J531" s="120"/>
      <c r="K531" s="120"/>
      <c r="L531" s="120"/>
      <c r="M531" s="120"/>
    </row>
    <row r="532">
      <c r="A532" s="120"/>
      <c r="B532" s="120"/>
      <c r="C532" s="120"/>
      <c r="D532" s="120"/>
      <c r="E532" s="120"/>
      <c r="F532" s="120"/>
      <c r="G532" s="120"/>
      <c r="H532" s="120"/>
      <c r="I532" s="120"/>
      <c r="J532" s="120"/>
      <c r="K532" s="120"/>
      <c r="L532" s="120"/>
      <c r="M532" s="120"/>
    </row>
    <row r="533">
      <c r="A533" s="120"/>
      <c r="B533" s="120"/>
      <c r="C533" s="120"/>
      <c r="D533" s="120"/>
      <c r="E533" s="120"/>
      <c r="F533" s="120"/>
      <c r="G533" s="120"/>
      <c r="H533" s="120"/>
      <c r="I533" s="120"/>
      <c r="J533" s="120"/>
      <c r="K533" s="120"/>
      <c r="L533" s="120"/>
      <c r="M533" s="120"/>
    </row>
    <row r="534">
      <c r="A534" s="120"/>
      <c r="B534" s="120"/>
      <c r="C534" s="120"/>
      <c r="D534" s="120"/>
      <c r="E534" s="120"/>
      <c r="F534" s="120"/>
      <c r="G534" s="120"/>
      <c r="H534" s="120"/>
      <c r="I534" s="120"/>
      <c r="J534" s="120"/>
      <c r="K534" s="120"/>
      <c r="L534" s="120"/>
      <c r="M534" s="120"/>
    </row>
    <row r="535">
      <c r="A535" s="120"/>
      <c r="B535" s="120"/>
      <c r="C535" s="120"/>
      <c r="D535" s="120"/>
      <c r="E535" s="120"/>
      <c r="F535" s="120"/>
      <c r="G535" s="120"/>
      <c r="H535" s="120"/>
      <c r="I535" s="120"/>
      <c r="J535" s="120"/>
      <c r="K535" s="120"/>
      <c r="L535" s="120"/>
      <c r="M535" s="120"/>
    </row>
    <row r="536">
      <c r="A536" s="120"/>
      <c r="B536" s="120"/>
      <c r="C536" s="120"/>
      <c r="D536" s="120"/>
      <c r="E536" s="120"/>
      <c r="F536" s="120"/>
      <c r="G536" s="120"/>
      <c r="H536" s="120"/>
      <c r="I536" s="120"/>
      <c r="J536" s="120"/>
      <c r="K536" s="120"/>
      <c r="L536" s="120"/>
      <c r="M536" s="120"/>
    </row>
    <row r="537">
      <c r="A537" s="120"/>
      <c r="B537" s="120"/>
      <c r="C537" s="120"/>
      <c r="D537" s="120"/>
      <c r="E537" s="120"/>
      <c r="F537" s="120"/>
      <c r="G537" s="120"/>
      <c r="H537" s="120"/>
      <c r="I537" s="120"/>
      <c r="J537" s="120"/>
      <c r="K537" s="120"/>
      <c r="L537" s="120"/>
      <c r="M537" s="120"/>
    </row>
    <row r="538">
      <c r="A538" s="120"/>
      <c r="B538" s="120"/>
      <c r="C538" s="120"/>
      <c r="D538" s="120"/>
      <c r="E538" s="120"/>
      <c r="F538" s="120"/>
      <c r="G538" s="120"/>
      <c r="H538" s="120"/>
      <c r="I538" s="120"/>
      <c r="J538" s="120"/>
      <c r="K538" s="120"/>
      <c r="L538" s="120"/>
      <c r="M538" s="120"/>
    </row>
    <row r="539">
      <c r="A539" s="120"/>
      <c r="B539" s="120"/>
      <c r="C539" s="120"/>
      <c r="D539" s="120"/>
      <c r="E539" s="120"/>
      <c r="F539" s="120"/>
      <c r="G539" s="120"/>
      <c r="H539" s="120"/>
      <c r="I539" s="120"/>
      <c r="J539" s="120"/>
      <c r="K539" s="120"/>
      <c r="L539" s="120"/>
      <c r="M539" s="120"/>
    </row>
    <row r="540">
      <c r="A540" s="120"/>
      <c r="B540" s="120"/>
      <c r="C540" s="120"/>
      <c r="D540" s="120"/>
      <c r="E540" s="120"/>
      <c r="F540" s="120"/>
      <c r="G540" s="120"/>
      <c r="H540" s="120"/>
      <c r="I540" s="120"/>
      <c r="J540" s="120"/>
      <c r="K540" s="120"/>
      <c r="L540" s="120"/>
      <c r="M540" s="120"/>
    </row>
    <row r="541">
      <c r="A541" s="120"/>
      <c r="B541" s="120"/>
      <c r="C541" s="120"/>
      <c r="D541" s="120"/>
      <c r="E541" s="120"/>
      <c r="F541" s="120"/>
      <c r="G541" s="120"/>
      <c r="H541" s="120"/>
      <c r="I541" s="120"/>
      <c r="J541" s="120"/>
      <c r="K541" s="120"/>
      <c r="L541" s="120"/>
      <c r="M541" s="120"/>
    </row>
    <row r="542">
      <c r="A542" s="120"/>
      <c r="B542" s="120"/>
      <c r="C542" s="120"/>
      <c r="D542" s="120"/>
      <c r="E542" s="120"/>
      <c r="F542" s="120"/>
      <c r="G542" s="120"/>
      <c r="H542" s="120"/>
      <c r="I542" s="120"/>
      <c r="J542" s="120"/>
      <c r="K542" s="120"/>
      <c r="L542" s="120"/>
      <c r="M542" s="120"/>
    </row>
    <row r="543">
      <c r="A543" s="120"/>
      <c r="B543" s="120"/>
      <c r="C543" s="120"/>
      <c r="D543" s="120"/>
      <c r="E543" s="120"/>
      <c r="F543" s="120"/>
      <c r="G543" s="120"/>
      <c r="H543" s="120"/>
      <c r="I543" s="120"/>
      <c r="J543" s="120"/>
      <c r="K543" s="120"/>
      <c r="L543" s="120"/>
      <c r="M543" s="120"/>
    </row>
    <row r="544">
      <c r="A544" s="120"/>
      <c r="B544" s="120"/>
      <c r="C544" s="120"/>
      <c r="D544" s="120"/>
      <c r="E544" s="120"/>
      <c r="F544" s="120"/>
      <c r="G544" s="120"/>
      <c r="H544" s="120"/>
      <c r="I544" s="120"/>
      <c r="J544" s="120"/>
      <c r="K544" s="120"/>
      <c r="L544" s="120"/>
      <c r="M544" s="120"/>
    </row>
    <row r="545">
      <c r="A545" s="120"/>
      <c r="B545" s="120"/>
      <c r="C545" s="120"/>
      <c r="D545" s="120"/>
      <c r="E545" s="120"/>
      <c r="F545" s="120"/>
      <c r="G545" s="120"/>
      <c r="H545" s="120"/>
      <c r="I545" s="120"/>
      <c r="J545" s="120"/>
      <c r="K545" s="120"/>
      <c r="L545" s="120"/>
      <c r="M545" s="120"/>
    </row>
    <row r="546">
      <c r="A546" s="120"/>
      <c r="B546" s="120"/>
      <c r="C546" s="120"/>
      <c r="D546" s="120"/>
      <c r="E546" s="120"/>
      <c r="F546" s="120"/>
      <c r="G546" s="120"/>
      <c r="H546" s="120"/>
      <c r="I546" s="120"/>
      <c r="J546" s="120"/>
      <c r="K546" s="120"/>
      <c r="L546" s="120"/>
      <c r="M546" s="120"/>
    </row>
    <row r="547">
      <c r="A547" s="120"/>
      <c r="B547" s="120"/>
      <c r="C547" s="120"/>
      <c r="D547" s="120"/>
      <c r="E547" s="120"/>
      <c r="F547" s="120"/>
      <c r="G547" s="120"/>
      <c r="H547" s="120"/>
      <c r="I547" s="120"/>
      <c r="J547" s="120"/>
      <c r="K547" s="120"/>
      <c r="L547" s="120"/>
      <c r="M547" s="120"/>
    </row>
    <row r="548">
      <c r="A548" s="120"/>
      <c r="B548" s="120"/>
      <c r="C548" s="120"/>
      <c r="D548" s="120"/>
      <c r="E548" s="120"/>
      <c r="F548" s="120"/>
      <c r="G548" s="120"/>
      <c r="H548" s="120"/>
      <c r="I548" s="120"/>
      <c r="J548" s="120"/>
      <c r="K548" s="120"/>
      <c r="L548" s="120"/>
      <c r="M548" s="120"/>
    </row>
    <row r="549">
      <c r="A549" s="120"/>
      <c r="B549" s="120"/>
      <c r="C549" s="120"/>
      <c r="D549" s="120"/>
      <c r="E549" s="120"/>
      <c r="F549" s="120"/>
      <c r="G549" s="120"/>
      <c r="H549" s="120"/>
      <c r="I549" s="120"/>
      <c r="J549" s="120"/>
      <c r="K549" s="120"/>
      <c r="L549" s="120"/>
      <c r="M549" s="120"/>
    </row>
    <row r="550">
      <c r="A550" s="120"/>
      <c r="B550" s="120"/>
      <c r="C550" s="120"/>
      <c r="D550" s="120"/>
      <c r="E550" s="120"/>
      <c r="F550" s="120"/>
      <c r="G550" s="120"/>
      <c r="H550" s="120"/>
      <c r="I550" s="120"/>
      <c r="J550" s="120"/>
      <c r="K550" s="120"/>
      <c r="L550" s="120"/>
      <c r="M550" s="120"/>
    </row>
    <row r="551">
      <c r="A551" s="120"/>
      <c r="B551" s="120"/>
      <c r="C551" s="120"/>
      <c r="D551" s="120"/>
      <c r="E551" s="120"/>
      <c r="F551" s="120"/>
      <c r="G551" s="120"/>
      <c r="H551" s="120"/>
      <c r="I551" s="120"/>
      <c r="J551" s="120"/>
      <c r="K551" s="120"/>
      <c r="L551" s="120"/>
      <c r="M551" s="120"/>
    </row>
    <row r="552">
      <c r="A552" s="120"/>
      <c r="B552" s="120"/>
      <c r="C552" s="120"/>
      <c r="D552" s="120"/>
      <c r="E552" s="120"/>
      <c r="F552" s="120"/>
      <c r="G552" s="120"/>
      <c r="H552" s="120"/>
      <c r="I552" s="120"/>
      <c r="J552" s="120"/>
      <c r="K552" s="120"/>
      <c r="L552" s="120"/>
      <c r="M552" s="120"/>
    </row>
    <row r="553">
      <c r="A553" s="120"/>
      <c r="B553" s="120"/>
      <c r="C553" s="120"/>
      <c r="D553" s="120"/>
      <c r="E553" s="120"/>
      <c r="F553" s="120"/>
      <c r="G553" s="120"/>
      <c r="H553" s="120"/>
      <c r="I553" s="120"/>
      <c r="J553" s="120"/>
      <c r="K553" s="120"/>
      <c r="L553" s="120"/>
      <c r="M553" s="120"/>
    </row>
    <row r="554">
      <c r="A554" s="120"/>
      <c r="B554" s="120"/>
      <c r="C554" s="120"/>
      <c r="D554" s="120"/>
      <c r="E554" s="120"/>
      <c r="F554" s="120"/>
      <c r="G554" s="120"/>
      <c r="H554" s="120"/>
      <c r="I554" s="120"/>
      <c r="J554" s="120"/>
      <c r="K554" s="120"/>
      <c r="L554" s="120"/>
      <c r="M554" s="120"/>
    </row>
    <row r="555">
      <c r="A555" s="120"/>
      <c r="B555" s="120"/>
      <c r="C555" s="120"/>
      <c r="D555" s="120"/>
      <c r="E555" s="120"/>
      <c r="F555" s="120"/>
      <c r="G555" s="120"/>
      <c r="H555" s="120"/>
      <c r="I555" s="120"/>
      <c r="J555" s="120"/>
      <c r="K555" s="120"/>
      <c r="L555" s="120"/>
      <c r="M555" s="120"/>
    </row>
    <row r="556">
      <c r="A556" s="120"/>
      <c r="B556" s="120"/>
      <c r="C556" s="120"/>
      <c r="D556" s="120"/>
      <c r="E556" s="120"/>
      <c r="F556" s="120"/>
      <c r="G556" s="120"/>
      <c r="H556" s="120"/>
      <c r="I556" s="120"/>
      <c r="J556" s="120"/>
      <c r="K556" s="120"/>
      <c r="L556" s="120"/>
      <c r="M556" s="120"/>
    </row>
    <row r="557">
      <c r="A557" s="120"/>
      <c r="B557" s="120"/>
      <c r="C557" s="120"/>
      <c r="D557" s="120"/>
      <c r="E557" s="120"/>
      <c r="F557" s="120"/>
      <c r="G557" s="120"/>
      <c r="H557" s="120"/>
      <c r="I557" s="120"/>
      <c r="J557" s="120"/>
      <c r="K557" s="120"/>
      <c r="L557" s="120"/>
      <c r="M557" s="120"/>
    </row>
    <row r="558">
      <c r="A558" s="120"/>
      <c r="B558" s="120"/>
      <c r="C558" s="120"/>
      <c r="D558" s="120"/>
      <c r="E558" s="120"/>
      <c r="F558" s="120"/>
      <c r="G558" s="120"/>
      <c r="H558" s="120"/>
      <c r="I558" s="120"/>
      <c r="J558" s="120"/>
      <c r="K558" s="120"/>
      <c r="L558" s="120"/>
      <c r="M558" s="120"/>
    </row>
    <row r="559">
      <c r="A559" s="120"/>
      <c r="B559" s="120"/>
      <c r="C559" s="120"/>
      <c r="D559" s="120"/>
      <c r="E559" s="120"/>
      <c r="F559" s="120"/>
      <c r="G559" s="120"/>
      <c r="H559" s="120"/>
      <c r="I559" s="120"/>
      <c r="J559" s="120"/>
      <c r="K559" s="120"/>
      <c r="L559" s="120"/>
      <c r="M559" s="120"/>
    </row>
    <row r="560">
      <c r="A560" s="120"/>
      <c r="B560" s="120"/>
      <c r="C560" s="120"/>
      <c r="D560" s="120"/>
      <c r="E560" s="120"/>
      <c r="F560" s="120"/>
      <c r="G560" s="120"/>
      <c r="H560" s="120"/>
      <c r="I560" s="120"/>
      <c r="J560" s="120"/>
      <c r="K560" s="120"/>
      <c r="L560" s="120"/>
      <c r="M560" s="120"/>
    </row>
    <row r="561">
      <c r="A561" s="120"/>
      <c r="B561" s="120"/>
      <c r="C561" s="120"/>
      <c r="D561" s="120"/>
      <c r="E561" s="120"/>
      <c r="F561" s="120"/>
      <c r="G561" s="120"/>
      <c r="H561" s="120"/>
      <c r="I561" s="120"/>
      <c r="J561" s="120"/>
      <c r="K561" s="120"/>
      <c r="L561" s="120"/>
      <c r="M561" s="120"/>
    </row>
    <row r="562">
      <c r="A562" s="120"/>
      <c r="B562" s="120"/>
      <c r="C562" s="120"/>
      <c r="D562" s="120"/>
      <c r="E562" s="120"/>
      <c r="F562" s="120"/>
      <c r="G562" s="120"/>
      <c r="H562" s="120"/>
      <c r="I562" s="120"/>
      <c r="J562" s="120"/>
      <c r="K562" s="120"/>
      <c r="L562" s="120"/>
      <c r="M562" s="120"/>
    </row>
    <row r="563">
      <c r="A563" s="120"/>
      <c r="B563" s="120"/>
      <c r="C563" s="120"/>
      <c r="D563" s="120"/>
      <c r="E563" s="120"/>
      <c r="F563" s="120"/>
      <c r="G563" s="120"/>
      <c r="H563" s="120"/>
      <c r="I563" s="120"/>
      <c r="J563" s="120"/>
      <c r="K563" s="120"/>
      <c r="L563" s="120"/>
      <c r="M563" s="120"/>
    </row>
    <row r="564">
      <c r="A564" s="120"/>
      <c r="B564" s="120"/>
      <c r="C564" s="120"/>
      <c r="D564" s="120"/>
      <c r="E564" s="120"/>
      <c r="F564" s="120"/>
      <c r="G564" s="120"/>
      <c r="H564" s="120"/>
      <c r="I564" s="120"/>
      <c r="J564" s="120"/>
      <c r="K564" s="120"/>
      <c r="L564" s="120"/>
      <c r="M564" s="120"/>
    </row>
    <row r="565">
      <c r="A565" s="120"/>
      <c r="B565" s="120"/>
      <c r="C565" s="120"/>
      <c r="D565" s="120"/>
      <c r="E565" s="120"/>
      <c r="F565" s="120"/>
      <c r="G565" s="120"/>
      <c r="H565" s="120"/>
      <c r="I565" s="120"/>
      <c r="J565" s="120"/>
      <c r="K565" s="120"/>
      <c r="L565" s="120"/>
      <c r="M565" s="120"/>
    </row>
    <row r="566">
      <c r="A566" s="120"/>
      <c r="B566" s="120"/>
      <c r="C566" s="120"/>
      <c r="D566" s="120"/>
      <c r="E566" s="120"/>
      <c r="F566" s="120"/>
      <c r="G566" s="120"/>
      <c r="H566" s="120"/>
      <c r="I566" s="120"/>
      <c r="J566" s="120"/>
      <c r="K566" s="120"/>
      <c r="L566" s="120"/>
      <c r="M566" s="120"/>
    </row>
    <row r="567">
      <c r="A567" s="120"/>
      <c r="B567" s="120"/>
      <c r="C567" s="120"/>
      <c r="D567" s="120"/>
      <c r="E567" s="120"/>
      <c r="F567" s="120"/>
      <c r="G567" s="120"/>
      <c r="H567" s="120"/>
      <c r="I567" s="120"/>
      <c r="J567" s="120"/>
      <c r="K567" s="120"/>
      <c r="L567" s="120"/>
      <c r="M567" s="120"/>
    </row>
    <row r="568">
      <c r="A568" s="120"/>
      <c r="B568" s="120"/>
      <c r="C568" s="120"/>
      <c r="D568" s="120"/>
      <c r="E568" s="120"/>
      <c r="F568" s="120"/>
      <c r="G568" s="120"/>
      <c r="H568" s="120"/>
      <c r="I568" s="120"/>
      <c r="J568" s="120"/>
      <c r="K568" s="120"/>
      <c r="L568" s="120"/>
      <c r="M568" s="120"/>
    </row>
    <row r="569">
      <c r="A569" s="120"/>
      <c r="B569" s="120"/>
      <c r="C569" s="120"/>
      <c r="D569" s="120"/>
      <c r="E569" s="120"/>
      <c r="F569" s="120"/>
      <c r="G569" s="120"/>
      <c r="H569" s="120"/>
      <c r="I569" s="120"/>
      <c r="J569" s="120"/>
      <c r="K569" s="120"/>
      <c r="L569" s="120"/>
      <c r="M569" s="120"/>
    </row>
    <row r="570">
      <c r="A570" s="120"/>
      <c r="B570" s="120"/>
      <c r="C570" s="120"/>
      <c r="D570" s="120"/>
      <c r="E570" s="120"/>
      <c r="F570" s="120"/>
      <c r="G570" s="120"/>
      <c r="H570" s="120"/>
      <c r="I570" s="120"/>
      <c r="J570" s="120"/>
      <c r="K570" s="120"/>
      <c r="L570" s="120"/>
      <c r="M570" s="120"/>
    </row>
    <row r="571">
      <c r="A571" s="120"/>
      <c r="B571" s="120"/>
      <c r="C571" s="120"/>
      <c r="D571" s="120"/>
      <c r="E571" s="120"/>
      <c r="F571" s="120"/>
      <c r="G571" s="120"/>
      <c r="H571" s="120"/>
      <c r="I571" s="120"/>
      <c r="J571" s="120"/>
      <c r="K571" s="120"/>
      <c r="L571" s="120"/>
      <c r="M571" s="120"/>
    </row>
    <row r="572">
      <c r="A572" s="120"/>
      <c r="B572" s="120"/>
      <c r="C572" s="120"/>
      <c r="D572" s="120"/>
      <c r="E572" s="120"/>
      <c r="F572" s="120"/>
      <c r="G572" s="120"/>
      <c r="H572" s="120"/>
      <c r="I572" s="120"/>
      <c r="J572" s="120"/>
      <c r="K572" s="120"/>
      <c r="L572" s="120"/>
      <c r="M572" s="120"/>
    </row>
    <row r="573">
      <c r="A573" s="120"/>
      <c r="B573" s="120"/>
      <c r="C573" s="120"/>
      <c r="D573" s="120"/>
      <c r="E573" s="120"/>
      <c r="F573" s="120"/>
      <c r="G573" s="120"/>
      <c r="H573" s="120"/>
      <c r="I573" s="120"/>
      <c r="J573" s="120"/>
      <c r="K573" s="120"/>
      <c r="L573" s="120"/>
      <c r="M573" s="120"/>
    </row>
    <row r="574">
      <c r="A574" s="120"/>
      <c r="B574" s="120"/>
      <c r="C574" s="120"/>
      <c r="D574" s="120"/>
      <c r="E574" s="120"/>
      <c r="F574" s="120"/>
      <c r="G574" s="120"/>
      <c r="H574" s="120"/>
      <c r="I574" s="120"/>
      <c r="J574" s="120"/>
      <c r="K574" s="120"/>
      <c r="L574" s="120"/>
      <c r="M574" s="120"/>
    </row>
    <row r="575">
      <c r="A575" s="120"/>
      <c r="B575" s="120"/>
      <c r="C575" s="120"/>
      <c r="D575" s="120"/>
      <c r="E575" s="120"/>
      <c r="F575" s="120"/>
      <c r="G575" s="120"/>
      <c r="H575" s="120"/>
      <c r="I575" s="120"/>
      <c r="J575" s="120"/>
      <c r="K575" s="120"/>
      <c r="L575" s="120"/>
      <c r="M575" s="120"/>
    </row>
    <row r="576">
      <c r="A576" s="120"/>
      <c r="B576" s="120"/>
      <c r="C576" s="120"/>
      <c r="D576" s="120"/>
      <c r="E576" s="120"/>
      <c r="F576" s="120"/>
      <c r="G576" s="120"/>
      <c r="H576" s="120"/>
      <c r="I576" s="120"/>
      <c r="J576" s="120"/>
      <c r="K576" s="120"/>
      <c r="L576" s="120"/>
      <c r="M576" s="120"/>
    </row>
    <row r="577">
      <c r="A577" s="120"/>
      <c r="B577" s="120"/>
      <c r="C577" s="120"/>
      <c r="D577" s="120"/>
      <c r="E577" s="120"/>
      <c r="F577" s="120"/>
      <c r="G577" s="120"/>
      <c r="H577" s="120"/>
      <c r="I577" s="120"/>
      <c r="J577" s="120"/>
      <c r="K577" s="120"/>
      <c r="L577" s="120"/>
      <c r="M577" s="120"/>
    </row>
    <row r="578">
      <c r="A578" s="120"/>
      <c r="B578" s="120"/>
      <c r="C578" s="120"/>
      <c r="D578" s="120"/>
      <c r="E578" s="120"/>
      <c r="F578" s="120"/>
      <c r="G578" s="120"/>
      <c r="H578" s="120"/>
      <c r="I578" s="120"/>
      <c r="J578" s="120"/>
      <c r="K578" s="120"/>
      <c r="L578" s="120"/>
      <c r="M578" s="120"/>
    </row>
    <row r="579">
      <c r="A579" s="120"/>
      <c r="B579" s="120"/>
      <c r="C579" s="120"/>
      <c r="D579" s="120"/>
      <c r="E579" s="120"/>
      <c r="F579" s="120"/>
      <c r="G579" s="120"/>
      <c r="H579" s="120"/>
      <c r="I579" s="120"/>
      <c r="J579" s="120"/>
      <c r="K579" s="120"/>
      <c r="L579" s="120"/>
      <c r="M579" s="120"/>
    </row>
    <row r="580">
      <c r="A580" s="120"/>
      <c r="B580" s="120"/>
      <c r="C580" s="120"/>
      <c r="D580" s="120"/>
      <c r="E580" s="120"/>
      <c r="F580" s="120"/>
      <c r="G580" s="120"/>
      <c r="H580" s="120"/>
      <c r="I580" s="120"/>
      <c r="J580" s="120"/>
      <c r="K580" s="120"/>
      <c r="L580" s="120"/>
      <c r="M580" s="120"/>
    </row>
    <row r="581">
      <c r="A581" s="120"/>
      <c r="B581" s="120"/>
      <c r="C581" s="120"/>
      <c r="D581" s="120"/>
      <c r="E581" s="120"/>
      <c r="F581" s="120"/>
      <c r="G581" s="120"/>
      <c r="H581" s="120"/>
      <c r="I581" s="120"/>
      <c r="J581" s="120"/>
      <c r="K581" s="120"/>
      <c r="L581" s="120"/>
      <c r="M581" s="120"/>
    </row>
    <row r="582">
      <c r="A582" s="120"/>
      <c r="B582" s="120"/>
      <c r="C582" s="120"/>
      <c r="D582" s="120"/>
      <c r="E582" s="120"/>
      <c r="F582" s="120"/>
      <c r="G582" s="120"/>
      <c r="H582" s="120"/>
      <c r="I582" s="120"/>
      <c r="J582" s="120"/>
      <c r="K582" s="120"/>
      <c r="L582" s="120"/>
      <c r="M582" s="120"/>
    </row>
    <row r="583">
      <c r="A583" s="120"/>
      <c r="B583" s="120"/>
      <c r="C583" s="120"/>
      <c r="D583" s="120"/>
      <c r="E583" s="120"/>
      <c r="F583" s="120"/>
      <c r="G583" s="120"/>
      <c r="H583" s="120"/>
      <c r="I583" s="120"/>
      <c r="J583" s="120"/>
      <c r="K583" s="120"/>
      <c r="L583" s="120"/>
      <c r="M583" s="120"/>
    </row>
    <row r="584">
      <c r="A584" s="120"/>
      <c r="B584" s="120"/>
      <c r="C584" s="120"/>
      <c r="D584" s="120"/>
      <c r="E584" s="120"/>
      <c r="F584" s="120"/>
      <c r="G584" s="120"/>
      <c r="H584" s="120"/>
      <c r="I584" s="120"/>
      <c r="J584" s="120"/>
      <c r="K584" s="120"/>
      <c r="L584" s="120"/>
      <c r="M584" s="120"/>
    </row>
    <row r="585">
      <c r="A585" s="120"/>
      <c r="B585" s="120"/>
      <c r="C585" s="120"/>
      <c r="D585" s="120"/>
      <c r="E585" s="120"/>
      <c r="F585" s="120"/>
      <c r="G585" s="120"/>
      <c r="H585" s="120"/>
      <c r="I585" s="120"/>
      <c r="J585" s="120"/>
      <c r="K585" s="120"/>
      <c r="L585" s="120"/>
      <c r="M585" s="120"/>
    </row>
    <row r="586">
      <c r="A586" s="120"/>
      <c r="B586" s="120"/>
      <c r="C586" s="120"/>
      <c r="D586" s="120"/>
      <c r="E586" s="120"/>
      <c r="F586" s="120"/>
      <c r="G586" s="120"/>
      <c r="H586" s="120"/>
      <c r="I586" s="120"/>
      <c r="J586" s="120"/>
      <c r="K586" s="120"/>
      <c r="L586" s="120"/>
      <c r="M586" s="120"/>
    </row>
    <row r="587">
      <c r="A587" s="120"/>
      <c r="B587" s="120"/>
      <c r="C587" s="120"/>
      <c r="D587" s="120"/>
      <c r="E587" s="120"/>
      <c r="F587" s="120"/>
      <c r="G587" s="120"/>
      <c r="H587" s="120"/>
      <c r="I587" s="120"/>
      <c r="J587" s="120"/>
      <c r="K587" s="120"/>
      <c r="L587" s="120"/>
      <c r="M587" s="120"/>
    </row>
    <row r="588">
      <c r="A588" s="120"/>
      <c r="B588" s="120"/>
      <c r="C588" s="120"/>
      <c r="D588" s="120"/>
      <c r="E588" s="120"/>
      <c r="F588" s="120"/>
      <c r="G588" s="120"/>
      <c r="H588" s="120"/>
      <c r="I588" s="120"/>
      <c r="J588" s="120"/>
      <c r="K588" s="120"/>
      <c r="L588" s="120"/>
      <c r="M588" s="120"/>
    </row>
    <row r="589">
      <c r="A589" s="120"/>
      <c r="B589" s="120"/>
      <c r="C589" s="120"/>
      <c r="D589" s="120"/>
      <c r="E589" s="120"/>
      <c r="F589" s="120"/>
      <c r="G589" s="120"/>
      <c r="H589" s="120"/>
      <c r="I589" s="120"/>
      <c r="J589" s="120"/>
      <c r="K589" s="120"/>
      <c r="L589" s="120"/>
      <c r="M589" s="120"/>
    </row>
    <row r="590">
      <c r="A590" s="120"/>
      <c r="B590" s="120"/>
      <c r="C590" s="120"/>
      <c r="D590" s="120"/>
      <c r="E590" s="120"/>
      <c r="F590" s="120"/>
      <c r="G590" s="120"/>
      <c r="H590" s="120"/>
      <c r="I590" s="120"/>
      <c r="J590" s="120"/>
      <c r="K590" s="120"/>
      <c r="L590" s="120"/>
      <c r="M590" s="120"/>
    </row>
    <row r="591">
      <c r="A591" s="120"/>
      <c r="B591" s="120"/>
      <c r="C591" s="120"/>
      <c r="D591" s="120"/>
      <c r="E591" s="120"/>
      <c r="F591" s="120"/>
      <c r="G591" s="120"/>
      <c r="H591" s="120"/>
      <c r="I591" s="120"/>
      <c r="J591" s="120"/>
      <c r="K591" s="120"/>
      <c r="L591" s="120"/>
      <c r="M591" s="120"/>
    </row>
    <row r="592">
      <c r="A592" s="120"/>
      <c r="B592" s="120"/>
      <c r="C592" s="120"/>
      <c r="D592" s="120"/>
      <c r="E592" s="120"/>
      <c r="F592" s="120"/>
      <c r="G592" s="120"/>
      <c r="H592" s="120"/>
      <c r="I592" s="120"/>
      <c r="J592" s="120"/>
      <c r="K592" s="120"/>
      <c r="L592" s="120"/>
      <c r="M592" s="120"/>
    </row>
    <row r="593">
      <c r="A593" s="120"/>
      <c r="B593" s="120"/>
      <c r="C593" s="120"/>
      <c r="D593" s="120"/>
      <c r="E593" s="120"/>
      <c r="F593" s="120"/>
      <c r="G593" s="120"/>
      <c r="H593" s="120"/>
      <c r="I593" s="120"/>
      <c r="J593" s="120"/>
      <c r="K593" s="120"/>
      <c r="L593" s="120"/>
      <c r="M593" s="120"/>
    </row>
    <row r="594">
      <c r="A594" s="120"/>
      <c r="B594" s="120"/>
      <c r="C594" s="120"/>
      <c r="D594" s="120"/>
      <c r="E594" s="120"/>
      <c r="F594" s="120"/>
      <c r="G594" s="120"/>
      <c r="H594" s="120"/>
      <c r="I594" s="120"/>
      <c r="J594" s="120"/>
      <c r="K594" s="120"/>
      <c r="L594" s="120"/>
      <c r="M594" s="120"/>
    </row>
    <row r="595">
      <c r="A595" s="120"/>
      <c r="B595" s="120"/>
      <c r="C595" s="120"/>
      <c r="D595" s="120"/>
      <c r="E595" s="120"/>
      <c r="F595" s="120"/>
      <c r="G595" s="120"/>
      <c r="H595" s="120"/>
      <c r="I595" s="120"/>
      <c r="J595" s="120"/>
      <c r="K595" s="120"/>
      <c r="L595" s="120"/>
      <c r="M595" s="120"/>
    </row>
    <row r="596">
      <c r="A596" s="120"/>
      <c r="B596" s="120"/>
      <c r="C596" s="120"/>
      <c r="D596" s="120"/>
      <c r="E596" s="120"/>
      <c r="F596" s="120"/>
      <c r="G596" s="120"/>
      <c r="H596" s="120"/>
      <c r="I596" s="120"/>
      <c r="J596" s="120"/>
      <c r="K596" s="120"/>
      <c r="L596" s="120"/>
      <c r="M596" s="120"/>
    </row>
    <row r="597">
      <c r="A597" s="120"/>
      <c r="B597" s="120"/>
      <c r="C597" s="120"/>
      <c r="D597" s="120"/>
      <c r="E597" s="120"/>
      <c r="F597" s="120"/>
      <c r="G597" s="120"/>
      <c r="H597" s="120"/>
      <c r="I597" s="120"/>
      <c r="J597" s="120"/>
      <c r="K597" s="120"/>
      <c r="L597" s="120"/>
      <c r="M597" s="120"/>
    </row>
    <row r="598">
      <c r="A598" s="120"/>
      <c r="B598" s="120"/>
      <c r="C598" s="120"/>
      <c r="D598" s="120"/>
      <c r="E598" s="120"/>
      <c r="F598" s="120"/>
      <c r="G598" s="120"/>
      <c r="H598" s="120"/>
      <c r="I598" s="120"/>
      <c r="J598" s="120"/>
      <c r="K598" s="120"/>
      <c r="L598" s="120"/>
      <c r="M598" s="120"/>
    </row>
    <row r="599">
      <c r="A599" s="120"/>
      <c r="B599" s="120"/>
      <c r="C599" s="120"/>
      <c r="D599" s="120"/>
      <c r="E599" s="120"/>
      <c r="F599" s="120"/>
      <c r="G599" s="120"/>
      <c r="H599" s="120"/>
      <c r="I599" s="120"/>
      <c r="J599" s="120"/>
      <c r="K599" s="120"/>
      <c r="L599" s="120"/>
      <c r="M599" s="120"/>
    </row>
    <row r="600">
      <c r="A600" s="120"/>
      <c r="B600" s="120"/>
      <c r="C600" s="120"/>
      <c r="D600" s="120"/>
      <c r="E600" s="120"/>
      <c r="F600" s="120"/>
      <c r="G600" s="120"/>
      <c r="H600" s="120"/>
      <c r="I600" s="120"/>
      <c r="J600" s="120"/>
      <c r="K600" s="120"/>
      <c r="L600" s="120"/>
      <c r="M600" s="120"/>
    </row>
    <row r="601">
      <c r="A601" s="120"/>
      <c r="B601" s="120"/>
      <c r="C601" s="120"/>
      <c r="D601" s="120"/>
      <c r="E601" s="120"/>
      <c r="F601" s="120"/>
      <c r="G601" s="120"/>
      <c r="H601" s="120"/>
      <c r="I601" s="120"/>
      <c r="J601" s="120"/>
      <c r="K601" s="120"/>
      <c r="L601" s="120"/>
      <c r="M601" s="120"/>
    </row>
    <row r="602">
      <c r="A602" s="120"/>
      <c r="B602" s="120"/>
      <c r="C602" s="120"/>
      <c r="D602" s="120"/>
      <c r="E602" s="120"/>
      <c r="F602" s="120"/>
      <c r="G602" s="120"/>
      <c r="H602" s="120"/>
      <c r="I602" s="120"/>
      <c r="J602" s="120"/>
      <c r="K602" s="120"/>
      <c r="L602" s="120"/>
      <c r="M602" s="120"/>
    </row>
    <row r="603">
      <c r="A603" s="120"/>
      <c r="B603" s="120"/>
      <c r="C603" s="120"/>
      <c r="D603" s="120"/>
      <c r="E603" s="120"/>
      <c r="F603" s="120"/>
      <c r="G603" s="120"/>
      <c r="H603" s="120"/>
      <c r="I603" s="120"/>
      <c r="J603" s="120"/>
      <c r="K603" s="120"/>
      <c r="L603" s="120"/>
      <c r="M603" s="120"/>
    </row>
    <row r="604">
      <c r="A604" s="120"/>
      <c r="B604" s="120"/>
      <c r="C604" s="120"/>
      <c r="D604" s="120"/>
      <c r="E604" s="120"/>
      <c r="F604" s="120"/>
      <c r="G604" s="120"/>
      <c r="H604" s="120"/>
      <c r="I604" s="120"/>
      <c r="J604" s="120"/>
      <c r="K604" s="120"/>
      <c r="L604" s="120"/>
      <c r="M604" s="120"/>
    </row>
    <row r="605">
      <c r="A605" s="120"/>
      <c r="B605" s="120"/>
      <c r="C605" s="120"/>
      <c r="D605" s="120"/>
      <c r="E605" s="120"/>
      <c r="F605" s="120"/>
      <c r="G605" s="120"/>
      <c r="H605" s="120"/>
      <c r="I605" s="120"/>
      <c r="J605" s="120"/>
      <c r="K605" s="120"/>
      <c r="L605" s="120"/>
      <c r="M605" s="120"/>
    </row>
    <row r="606">
      <c r="A606" s="120"/>
      <c r="B606" s="120"/>
      <c r="C606" s="120"/>
      <c r="D606" s="120"/>
      <c r="E606" s="120"/>
      <c r="F606" s="120"/>
      <c r="G606" s="120"/>
      <c r="H606" s="120"/>
      <c r="I606" s="120"/>
      <c r="J606" s="120"/>
      <c r="K606" s="120"/>
      <c r="L606" s="120"/>
      <c r="M606" s="120"/>
    </row>
    <row r="607">
      <c r="A607" s="120"/>
      <c r="B607" s="120"/>
      <c r="C607" s="120"/>
      <c r="D607" s="120"/>
      <c r="E607" s="120"/>
      <c r="F607" s="120"/>
      <c r="G607" s="120"/>
      <c r="H607" s="120"/>
      <c r="I607" s="120"/>
      <c r="J607" s="120"/>
      <c r="K607" s="120"/>
      <c r="L607" s="120"/>
      <c r="M607" s="120"/>
    </row>
    <row r="608">
      <c r="A608" s="120"/>
      <c r="B608" s="120"/>
      <c r="C608" s="120"/>
      <c r="D608" s="120"/>
      <c r="E608" s="120"/>
      <c r="F608" s="120"/>
      <c r="G608" s="120"/>
      <c r="H608" s="120"/>
      <c r="I608" s="120"/>
      <c r="J608" s="120"/>
      <c r="K608" s="120"/>
      <c r="L608" s="120"/>
      <c r="M608" s="120"/>
    </row>
    <row r="609">
      <c r="A609" s="120"/>
      <c r="B609" s="120"/>
      <c r="C609" s="120"/>
      <c r="D609" s="120"/>
      <c r="E609" s="120"/>
      <c r="F609" s="120"/>
      <c r="G609" s="120"/>
      <c r="H609" s="120"/>
      <c r="I609" s="120"/>
      <c r="J609" s="120"/>
      <c r="K609" s="120"/>
      <c r="L609" s="120"/>
      <c r="M609" s="120"/>
    </row>
    <row r="610">
      <c r="A610" s="120"/>
      <c r="B610" s="120"/>
      <c r="C610" s="120"/>
      <c r="D610" s="120"/>
      <c r="E610" s="120"/>
      <c r="F610" s="120"/>
      <c r="G610" s="120"/>
      <c r="H610" s="120"/>
      <c r="I610" s="120"/>
      <c r="J610" s="120"/>
      <c r="K610" s="120"/>
      <c r="L610" s="120"/>
      <c r="M610" s="120"/>
    </row>
    <row r="611">
      <c r="A611" s="120"/>
      <c r="B611" s="120"/>
      <c r="C611" s="120"/>
      <c r="D611" s="120"/>
      <c r="E611" s="120"/>
      <c r="F611" s="120"/>
      <c r="G611" s="120"/>
      <c r="H611" s="120"/>
      <c r="I611" s="120"/>
      <c r="J611" s="120"/>
      <c r="K611" s="120"/>
      <c r="L611" s="120"/>
      <c r="M611" s="120"/>
    </row>
    <row r="612">
      <c r="A612" s="120"/>
      <c r="B612" s="120"/>
      <c r="C612" s="120"/>
      <c r="D612" s="120"/>
      <c r="E612" s="120"/>
      <c r="F612" s="120"/>
      <c r="G612" s="120"/>
      <c r="H612" s="120"/>
      <c r="I612" s="120"/>
      <c r="J612" s="120"/>
      <c r="K612" s="120"/>
      <c r="L612" s="120"/>
      <c r="M612" s="120"/>
    </row>
    <row r="613">
      <c r="A613" s="120"/>
      <c r="B613" s="120"/>
      <c r="C613" s="120"/>
      <c r="D613" s="120"/>
      <c r="E613" s="120"/>
      <c r="F613" s="120"/>
      <c r="G613" s="120"/>
      <c r="H613" s="120"/>
      <c r="I613" s="120"/>
      <c r="J613" s="120"/>
      <c r="K613" s="120"/>
      <c r="L613" s="120"/>
      <c r="M613" s="120"/>
    </row>
    <row r="614">
      <c r="A614" s="120"/>
      <c r="B614" s="120"/>
      <c r="C614" s="120"/>
      <c r="D614" s="120"/>
      <c r="E614" s="120"/>
      <c r="F614" s="120"/>
      <c r="G614" s="120"/>
      <c r="H614" s="120"/>
      <c r="I614" s="120"/>
      <c r="J614" s="120"/>
      <c r="K614" s="120"/>
      <c r="L614" s="120"/>
      <c r="M614" s="120"/>
    </row>
    <row r="615">
      <c r="A615" s="120"/>
      <c r="B615" s="120"/>
      <c r="C615" s="120"/>
      <c r="D615" s="120"/>
      <c r="E615" s="120"/>
      <c r="F615" s="120"/>
      <c r="G615" s="120"/>
      <c r="H615" s="120"/>
      <c r="I615" s="120"/>
      <c r="J615" s="120"/>
      <c r="K615" s="120"/>
      <c r="L615" s="120"/>
      <c r="M615" s="120"/>
    </row>
    <row r="616">
      <c r="A616" s="120"/>
      <c r="B616" s="120"/>
      <c r="C616" s="120"/>
      <c r="D616" s="120"/>
      <c r="E616" s="120"/>
      <c r="F616" s="120"/>
      <c r="G616" s="120"/>
      <c r="H616" s="120"/>
      <c r="I616" s="120"/>
      <c r="J616" s="120"/>
      <c r="K616" s="120"/>
      <c r="L616" s="120"/>
      <c r="M616" s="120"/>
    </row>
    <row r="617">
      <c r="A617" s="120"/>
      <c r="B617" s="120"/>
      <c r="C617" s="120"/>
      <c r="D617" s="120"/>
      <c r="E617" s="120"/>
      <c r="F617" s="120"/>
      <c r="G617" s="120"/>
      <c r="H617" s="120"/>
      <c r="I617" s="120"/>
      <c r="J617" s="120"/>
      <c r="K617" s="120"/>
      <c r="L617" s="120"/>
      <c r="M617" s="120"/>
    </row>
    <row r="618">
      <c r="A618" s="120"/>
      <c r="B618" s="120"/>
      <c r="C618" s="120"/>
      <c r="D618" s="120"/>
      <c r="E618" s="120"/>
      <c r="F618" s="120"/>
      <c r="G618" s="120"/>
      <c r="H618" s="120"/>
      <c r="I618" s="120"/>
      <c r="J618" s="120"/>
      <c r="K618" s="120"/>
      <c r="L618" s="120"/>
      <c r="M618" s="120"/>
    </row>
    <row r="619">
      <c r="A619" s="120"/>
      <c r="B619" s="120"/>
      <c r="C619" s="120"/>
      <c r="D619" s="120"/>
      <c r="E619" s="120"/>
      <c r="F619" s="120"/>
      <c r="G619" s="120"/>
      <c r="H619" s="120"/>
      <c r="I619" s="120"/>
      <c r="J619" s="120"/>
      <c r="K619" s="120"/>
      <c r="L619" s="120"/>
      <c r="M619" s="120"/>
    </row>
    <row r="620">
      <c r="A620" s="120"/>
      <c r="B620" s="120"/>
      <c r="C620" s="120"/>
      <c r="D620" s="120"/>
      <c r="E620" s="120"/>
      <c r="F620" s="120"/>
      <c r="G620" s="120"/>
      <c r="H620" s="120"/>
      <c r="I620" s="120"/>
      <c r="J620" s="120"/>
      <c r="K620" s="120"/>
      <c r="L620" s="120"/>
      <c r="M620" s="120"/>
    </row>
    <row r="621">
      <c r="A621" s="120"/>
      <c r="B621" s="120"/>
      <c r="C621" s="120"/>
      <c r="D621" s="120"/>
      <c r="E621" s="120"/>
      <c r="F621" s="120"/>
      <c r="G621" s="120"/>
      <c r="H621" s="120"/>
      <c r="I621" s="120"/>
      <c r="J621" s="120"/>
      <c r="K621" s="120"/>
      <c r="L621" s="120"/>
      <c r="M621" s="120"/>
    </row>
    <row r="622">
      <c r="A622" s="120"/>
      <c r="B622" s="120"/>
      <c r="C622" s="120"/>
      <c r="D622" s="120"/>
      <c r="E622" s="120"/>
      <c r="F622" s="120"/>
      <c r="G622" s="120"/>
      <c r="H622" s="120"/>
      <c r="I622" s="120"/>
      <c r="J622" s="120"/>
      <c r="K622" s="120"/>
      <c r="L622" s="120"/>
      <c r="M622" s="120"/>
    </row>
    <row r="623">
      <c r="A623" s="120"/>
      <c r="B623" s="120"/>
      <c r="C623" s="120"/>
      <c r="D623" s="120"/>
      <c r="E623" s="120"/>
      <c r="F623" s="120"/>
      <c r="G623" s="120"/>
      <c r="H623" s="120"/>
      <c r="I623" s="120"/>
      <c r="J623" s="120"/>
      <c r="K623" s="120"/>
      <c r="L623" s="120"/>
      <c r="M623" s="120"/>
    </row>
    <row r="624">
      <c r="A624" s="120"/>
      <c r="B624" s="120"/>
      <c r="C624" s="120"/>
      <c r="D624" s="120"/>
      <c r="E624" s="120"/>
      <c r="F624" s="120"/>
      <c r="G624" s="120"/>
      <c r="H624" s="120"/>
      <c r="I624" s="120"/>
      <c r="J624" s="120"/>
      <c r="K624" s="120"/>
      <c r="L624" s="120"/>
      <c r="M624" s="120"/>
    </row>
    <row r="625">
      <c r="A625" s="120"/>
      <c r="B625" s="120"/>
      <c r="C625" s="120"/>
      <c r="D625" s="120"/>
      <c r="E625" s="120"/>
      <c r="F625" s="120"/>
      <c r="G625" s="120"/>
      <c r="H625" s="120"/>
      <c r="I625" s="120"/>
      <c r="J625" s="120"/>
      <c r="K625" s="120"/>
      <c r="L625" s="120"/>
      <c r="M625" s="120"/>
    </row>
    <row r="626">
      <c r="A626" s="120"/>
      <c r="B626" s="120"/>
      <c r="C626" s="120"/>
      <c r="D626" s="120"/>
      <c r="E626" s="120"/>
      <c r="F626" s="120"/>
      <c r="G626" s="120"/>
      <c r="H626" s="120"/>
      <c r="I626" s="120"/>
      <c r="J626" s="120"/>
      <c r="K626" s="120"/>
      <c r="L626" s="120"/>
      <c r="M626" s="120"/>
    </row>
    <row r="627">
      <c r="A627" s="120"/>
      <c r="B627" s="120"/>
      <c r="C627" s="120"/>
      <c r="D627" s="120"/>
      <c r="E627" s="120"/>
      <c r="F627" s="120"/>
      <c r="G627" s="120"/>
      <c r="H627" s="120"/>
      <c r="I627" s="120"/>
      <c r="J627" s="120"/>
      <c r="K627" s="120"/>
      <c r="L627" s="120"/>
      <c r="M627" s="120"/>
    </row>
    <row r="628">
      <c r="A628" s="120"/>
      <c r="B628" s="120"/>
      <c r="C628" s="120"/>
      <c r="D628" s="120"/>
      <c r="E628" s="120"/>
      <c r="F628" s="120"/>
      <c r="G628" s="120"/>
      <c r="H628" s="120"/>
      <c r="I628" s="120"/>
      <c r="J628" s="120"/>
      <c r="K628" s="120"/>
      <c r="L628" s="120"/>
      <c r="M628" s="120"/>
    </row>
    <row r="629">
      <c r="A629" s="120"/>
      <c r="B629" s="120"/>
      <c r="C629" s="120"/>
      <c r="D629" s="120"/>
      <c r="E629" s="120"/>
      <c r="F629" s="120"/>
      <c r="G629" s="120"/>
      <c r="H629" s="120"/>
      <c r="I629" s="120"/>
      <c r="J629" s="120"/>
      <c r="K629" s="120"/>
      <c r="L629" s="120"/>
      <c r="M629" s="120"/>
    </row>
    <row r="630">
      <c r="A630" s="120"/>
      <c r="B630" s="120"/>
      <c r="C630" s="120"/>
      <c r="D630" s="120"/>
      <c r="E630" s="120"/>
      <c r="F630" s="120"/>
      <c r="G630" s="120"/>
      <c r="H630" s="120"/>
      <c r="I630" s="120"/>
      <c r="J630" s="120"/>
      <c r="K630" s="120"/>
      <c r="L630" s="120"/>
      <c r="M630" s="120"/>
    </row>
    <row r="631">
      <c r="A631" s="120"/>
      <c r="B631" s="120"/>
      <c r="C631" s="120"/>
      <c r="D631" s="120"/>
      <c r="E631" s="120"/>
      <c r="F631" s="120"/>
      <c r="G631" s="120"/>
      <c r="H631" s="120"/>
      <c r="I631" s="120"/>
      <c r="J631" s="120"/>
      <c r="K631" s="120"/>
      <c r="L631" s="120"/>
      <c r="M631" s="120"/>
    </row>
    <row r="632">
      <c r="A632" s="120"/>
      <c r="B632" s="120"/>
      <c r="C632" s="120"/>
      <c r="D632" s="120"/>
      <c r="E632" s="120"/>
      <c r="F632" s="120"/>
      <c r="G632" s="120"/>
      <c r="H632" s="120"/>
      <c r="I632" s="120"/>
      <c r="J632" s="120"/>
      <c r="K632" s="120"/>
      <c r="L632" s="120"/>
      <c r="M632" s="120"/>
    </row>
    <row r="633">
      <c r="A633" s="120"/>
      <c r="B633" s="120"/>
      <c r="C633" s="120"/>
      <c r="D633" s="120"/>
      <c r="E633" s="120"/>
      <c r="F633" s="120"/>
      <c r="G633" s="120"/>
      <c r="H633" s="120"/>
      <c r="I633" s="120"/>
      <c r="J633" s="120"/>
      <c r="K633" s="120"/>
      <c r="L633" s="120"/>
      <c r="M633" s="120"/>
    </row>
    <row r="634">
      <c r="A634" s="120"/>
      <c r="B634" s="120"/>
      <c r="C634" s="120"/>
      <c r="D634" s="120"/>
      <c r="E634" s="120"/>
      <c r="F634" s="120"/>
      <c r="G634" s="120"/>
      <c r="H634" s="120"/>
      <c r="I634" s="120"/>
      <c r="J634" s="120"/>
      <c r="K634" s="120"/>
      <c r="L634" s="120"/>
      <c r="M634" s="120"/>
    </row>
    <row r="635">
      <c r="A635" s="120"/>
      <c r="B635" s="120"/>
      <c r="C635" s="120"/>
      <c r="D635" s="120"/>
      <c r="E635" s="120"/>
      <c r="F635" s="120"/>
      <c r="G635" s="120"/>
      <c r="H635" s="120"/>
      <c r="I635" s="120"/>
      <c r="J635" s="120"/>
      <c r="K635" s="120"/>
      <c r="L635" s="120"/>
      <c r="M635" s="120"/>
    </row>
    <row r="636">
      <c r="A636" s="120"/>
      <c r="B636" s="120"/>
      <c r="C636" s="120"/>
      <c r="D636" s="120"/>
      <c r="E636" s="120"/>
      <c r="F636" s="120"/>
      <c r="G636" s="120"/>
      <c r="H636" s="120"/>
      <c r="I636" s="120"/>
      <c r="J636" s="120"/>
      <c r="K636" s="120"/>
      <c r="L636" s="120"/>
      <c r="M636" s="120"/>
    </row>
    <row r="637">
      <c r="A637" s="120"/>
      <c r="B637" s="120"/>
      <c r="C637" s="120"/>
      <c r="D637" s="120"/>
      <c r="E637" s="120"/>
      <c r="F637" s="120"/>
      <c r="G637" s="120"/>
      <c r="H637" s="120"/>
      <c r="I637" s="120"/>
      <c r="J637" s="120"/>
      <c r="K637" s="120"/>
      <c r="L637" s="120"/>
      <c r="M637" s="120"/>
    </row>
    <row r="638">
      <c r="A638" s="120"/>
      <c r="B638" s="120"/>
      <c r="C638" s="120"/>
      <c r="D638" s="120"/>
      <c r="E638" s="120"/>
      <c r="F638" s="120"/>
      <c r="G638" s="120"/>
      <c r="H638" s="120"/>
      <c r="I638" s="120"/>
      <c r="J638" s="120"/>
      <c r="K638" s="120"/>
      <c r="L638" s="120"/>
      <c r="M638" s="120"/>
    </row>
    <row r="639">
      <c r="A639" s="120"/>
      <c r="B639" s="120"/>
      <c r="C639" s="120"/>
      <c r="D639" s="120"/>
      <c r="E639" s="120"/>
      <c r="F639" s="120"/>
      <c r="G639" s="120"/>
      <c r="H639" s="120"/>
      <c r="I639" s="120"/>
      <c r="J639" s="120"/>
      <c r="K639" s="120"/>
      <c r="L639" s="120"/>
      <c r="M639" s="120"/>
    </row>
    <row r="640">
      <c r="A640" s="120"/>
      <c r="B640" s="120"/>
      <c r="C640" s="120"/>
      <c r="D640" s="120"/>
      <c r="E640" s="120"/>
      <c r="F640" s="120"/>
      <c r="G640" s="120"/>
      <c r="H640" s="120"/>
      <c r="I640" s="120"/>
      <c r="J640" s="120"/>
      <c r="K640" s="120"/>
      <c r="L640" s="120"/>
      <c r="M640" s="120"/>
    </row>
    <row r="641">
      <c r="A641" s="120"/>
      <c r="B641" s="120"/>
      <c r="C641" s="120"/>
      <c r="D641" s="120"/>
      <c r="E641" s="120"/>
      <c r="F641" s="120"/>
      <c r="G641" s="120"/>
      <c r="H641" s="120"/>
      <c r="I641" s="120"/>
      <c r="J641" s="120"/>
      <c r="K641" s="120"/>
      <c r="L641" s="120"/>
      <c r="M641" s="120"/>
    </row>
    <row r="642">
      <c r="A642" s="120"/>
      <c r="B642" s="120"/>
      <c r="C642" s="120"/>
      <c r="D642" s="120"/>
      <c r="E642" s="120"/>
      <c r="F642" s="120"/>
      <c r="G642" s="120"/>
      <c r="H642" s="120"/>
      <c r="I642" s="120"/>
      <c r="J642" s="120"/>
      <c r="K642" s="120"/>
      <c r="L642" s="120"/>
      <c r="M642" s="120"/>
    </row>
    <row r="643">
      <c r="A643" s="120"/>
      <c r="B643" s="120"/>
      <c r="C643" s="120"/>
      <c r="D643" s="120"/>
      <c r="E643" s="120"/>
      <c r="F643" s="120"/>
      <c r="G643" s="120"/>
      <c r="H643" s="120"/>
      <c r="I643" s="120"/>
      <c r="J643" s="120"/>
      <c r="K643" s="120"/>
      <c r="L643" s="120"/>
      <c r="M643" s="120"/>
    </row>
    <row r="644">
      <c r="A644" s="120"/>
      <c r="B644" s="120"/>
      <c r="C644" s="120"/>
      <c r="D644" s="120"/>
      <c r="E644" s="120"/>
      <c r="F644" s="120"/>
      <c r="G644" s="120"/>
      <c r="H644" s="120"/>
      <c r="I644" s="120"/>
      <c r="J644" s="120"/>
      <c r="K644" s="120"/>
      <c r="L644" s="120"/>
      <c r="M644" s="120"/>
    </row>
    <row r="645">
      <c r="A645" s="120"/>
      <c r="B645" s="120"/>
      <c r="C645" s="120"/>
      <c r="D645" s="120"/>
      <c r="E645" s="120"/>
      <c r="F645" s="120"/>
      <c r="G645" s="120"/>
      <c r="H645" s="120"/>
      <c r="I645" s="120"/>
      <c r="J645" s="120"/>
      <c r="K645" s="120"/>
      <c r="L645" s="120"/>
      <c r="M645" s="120"/>
    </row>
    <row r="646">
      <c r="A646" s="120"/>
      <c r="B646" s="120"/>
      <c r="C646" s="120"/>
      <c r="D646" s="120"/>
      <c r="E646" s="120"/>
      <c r="F646" s="120"/>
      <c r="G646" s="120"/>
      <c r="H646" s="120"/>
      <c r="I646" s="120"/>
      <c r="J646" s="120"/>
      <c r="K646" s="120"/>
      <c r="L646" s="120"/>
      <c r="M646" s="120"/>
    </row>
    <row r="647">
      <c r="A647" s="120"/>
      <c r="B647" s="120"/>
      <c r="C647" s="120"/>
      <c r="D647" s="120"/>
      <c r="E647" s="120"/>
      <c r="F647" s="120"/>
      <c r="G647" s="120"/>
      <c r="H647" s="120"/>
      <c r="I647" s="120"/>
      <c r="J647" s="120"/>
      <c r="K647" s="120"/>
      <c r="L647" s="120"/>
      <c r="M647" s="120"/>
    </row>
    <row r="648">
      <c r="A648" s="120"/>
      <c r="B648" s="120"/>
      <c r="C648" s="120"/>
      <c r="D648" s="120"/>
      <c r="E648" s="120"/>
      <c r="F648" s="120"/>
      <c r="G648" s="120"/>
      <c r="H648" s="120"/>
      <c r="I648" s="120"/>
      <c r="J648" s="120"/>
      <c r="K648" s="120"/>
      <c r="L648" s="120"/>
      <c r="M648" s="120"/>
    </row>
    <row r="649">
      <c r="A649" s="120"/>
      <c r="B649" s="120"/>
      <c r="C649" s="120"/>
      <c r="D649" s="120"/>
      <c r="E649" s="120"/>
      <c r="F649" s="120"/>
      <c r="G649" s="120"/>
      <c r="H649" s="120"/>
      <c r="I649" s="120"/>
      <c r="J649" s="120"/>
      <c r="K649" s="120"/>
      <c r="L649" s="120"/>
      <c r="M649" s="120"/>
    </row>
    <row r="650">
      <c r="A650" s="120"/>
      <c r="B650" s="120"/>
      <c r="C650" s="120"/>
      <c r="D650" s="120"/>
      <c r="E650" s="120"/>
      <c r="F650" s="120"/>
      <c r="G650" s="120"/>
      <c r="H650" s="120"/>
      <c r="I650" s="120"/>
      <c r="J650" s="120"/>
      <c r="K650" s="120"/>
      <c r="L650" s="120"/>
      <c r="M650" s="120"/>
    </row>
    <row r="651">
      <c r="A651" s="120"/>
      <c r="B651" s="120"/>
      <c r="C651" s="120"/>
      <c r="D651" s="120"/>
      <c r="E651" s="120"/>
      <c r="F651" s="120"/>
      <c r="G651" s="120"/>
      <c r="H651" s="120"/>
      <c r="I651" s="120"/>
      <c r="J651" s="120"/>
      <c r="K651" s="120"/>
      <c r="L651" s="120"/>
      <c r="M651" s="120"/>
    </row>
    <row r="652">
      <c r="A652" s="120"/>
      <c r="B652" s="120"/>
      <c r="C652" s="120"/>
      <c r="D652" s="120"/>
      <c r="E652" s="120"/>
      <c r="F652" s="120"/>
      <c r="G652" s="120"/>
      <c r="H652" s="120"/>
      <c r="I652" s="120"/>
      <c r="J652" s="120"/>
      <c r="K652" s="120"/>
      <c r="L652" s="120"/>
      <c r="M652" s="120"/>
    </row>
    <row r="653">
      <c r="A653" s="120"/>
      <c r="B653" s="120"/>
      <c r="C653" s="120"/>
      <c r="D653" s="120"/>
      <c r="E653" s="120"/>
      <c r="F653" s="120"/>
      <c r="G653" s="120"/>
      <c r="H653" s="120"/>
      <c r="I653" s="120"/>
      <c r="J653" s="120"/>
      <c r="K653" s="120"/>
      <c r="L653" s="120"/>
      <c r="M653" s="120"/>
    </row>
    <row r="654">
      <c r="A654" s="120"/>
      <c r="B654" s="120"/>
      <c r="C654" s="120"/>
      <c r="D654" s="120"/>
      <c r="E654" s="120"/>
      <c r="F654" s="120"/>
      <c r="G654" s="120"/>
      <c r="H654" s="120"/>
      <c r="I654" s="120"/>
      <c r="J654" s="120"/>
      <c r="K654" s="120"/>
      <c r="L654" s="120"/>
      <c r="M654" s="120"/>
    </row>
    <row r="655">
      <c r="A655" s="120"/>
      <c r="B655" s="120"/>
      <c r="C655" s="120"/>
      <c r="D655" s="120"/>
      <c r="E655" s="120"/>
      <c r="F655" s="120"/>
      <c r="G655" s="120"/>
      <c r="H655" s="120"/>
      <c r="I655" s="120"/>
      <c r="J655" s="120"/>
      <c r="K655" s="120"/>
      <c r="L655" s="120"/>
      <c r="M655" s="120"/>
    </row>
    <row r="656">
      <c r="A656" s="120"/>
      <c r="B656" s="120"/>
      <c r="C656" s="120"/>
      <c r="D656" s="120"/>
      <c r="E656" s="120"/>
      <c r="F656" s="120"/>
      <c r="G656" s="120"/>
      <c r="H656" s="120"/>
      <c r="I656" s="120"/>
      <c r="J656" s="120"/>
      <c r="K656" s="120"/>
      <c r="L656" s="120"/>
      <c r="M656" s="120"/>
    </row>
    <row r="657">
      <c r="A657" s="120"/>
      <c r="B657" s="120"/>
      <c r="C657" s="120"/>
      <c r="D657" s="120"/>
      <c r="E657" s="120"/>
      <c r="F657" s="120"/>
      <c r="G657" s="120"/>
      <c r="H657" s="120"/>
      <c r="I657" s="120"/>
      <c r="J657" s="120"/>
      <c r="K657" s="120"/>
      <c r="L657" s="120"/>
      <c r="M657" s="120"/>
    </row>
    <row r="658">
      <c r="A658" s="120"/>
      <c r="B658" s="120"/>
      <c r="C658" s="120"/>
      <c r="D658" s="120"/>
      <c r="E658" s="120"/>
      <c r="F658" s="120"/>
      <c r="G658" s="120"/>
      <c r="H658" s="120"/>
      <c r="I658" s="120"/>
      <c r="J658" s="120"/>
      <c r="K658" s="120"/>
      <c r="L658" s="120"/>
      <c r="M658" s="120"/>
    </row>
    <row r="659">
      <c r="A659" s="120"/>
      <c r="B659" s="120"/>
      <c r="C659" s="120"/>
      <c r="D659" s="120"/>
      <c r="E659" s="120"/>
      <c r="F659" s="120"/>
      <c r="G659" s="120"/>
      <c r="H659" s="120"/>
      <c r="I659" s="120"/>
      <c r="J659" s="120"/>
      <c r="K659" s="120"/>
      <c r="L659" s="120"/>
      <c r="M659" s="120"/>
    </row>
    <row r="660">
      <c r="A660" s="120"/>
      <c r="B660" s="120"/>
      <c r="C660" s="120"/>
      <c r="D660" s="120"/>
      <c r="E660" s="120"/>
      <c r="F660" s="120"/>
      <c r="G660" s="120"/>
      <c r="H660" s="120"/>
      <c r="I660" s="120"/>
      <c r="J660" s="120"/>
      <c r="K660" s="120"/>
      <c r="L660" s="120"/>
      <c r="M660" s="120"/>
    </row>
    <row r="661">
      <c r="A661" s="120"/>
      <c r="B661" s="120"/>
      <c r="C661" s="120"/>
      <c r="D661" s="120"/>
      <c r="E661" s="120"/>
      <c r="F661" s="120"/>
      <c r="G661" s="120"/>
      <c r="H661" s="120"/>
      <c r="I661" s="120"/>
      <c r="J661" s="120"/>
      <c r="K661" s="120"/>
      <c r="L661" s="120"/>
      <c r="M661" s="120"/>
    </row>
    <row r="662">
      <c r="A662" s="120"/>
      <c r="B662" s="120"/>
      <c r="C662" s="120"/>
      <c r="D662" s="120"/>
      <c r="E662" s="120"/>
      <c r="F662" s="120"/>
      <c r="G662" s="120"/>
      <c r="H662" s="120"/>
      <c r="I662" s="120"/>
      <c r="J662" s="120"/>
      <c r="K662" s="120"/>
      <c r="L662" s="120"/>
      <c r="M662" s="120"/>
    </row>
    <row r="663">
      <c r="A663" s="120"/>
      <c r="B663" s="120"/>
      <c r="C663" s="120"/>
      <c r="D663" s="120"/>
      <c r="E663" s="120"/>
      <c r="F663" s="120"/>
      <c r="G663" s="120"/>
      <c r="H663" s="120"/>
      <c r="I663" s="120"/>
      <c r="J663" s="120"/>
      <c r="K663" s="120"/>
      <c r="L663" s="120"/>
      <c r="M663" s="120"/>
    </row>
    <row r="664">
      <c r="A664" s="120"/>
      <c r="B664" s="120"/>
      <c r="C664" s="120"/>
      <c r="D664" s="120"/>
      <c r="E664" s="120"/>
      <c r="F664" s="120"/>
      <c r="G664" s="120"/>
      <c r="H664" s="120"/>
      <c r="I664" s="120"/>
      <c r="J664" s="120"/>
      <c r="K664" s="120"/>
      <c r="L664" s="120"/>
      <c r="M664" s="120"/>
    </row>
    <row r="665">
      <c r="A665" s="120"/>
      <c r="B665" s="120"/>
      <c r="C665" s="120"/>
      <c r="D665" s="120"/>
      <c r="E665" s="120"/>
      <c r="F665" s="120"/>
      <c r="G665" s="120"/>
      <c r="H665" s="120"/>
      <c r="I665" s="120"/>
      <c r="J665" s="120"/>
      <c r="K665" s="120"/>
      <c r="L665" s="120"/>
      <c r="M665" s="120"/>
    </row>
    <row r="666">
      <c r="A666" s="120"/>
      <c r="B666" s="120"/>
      <c r="C666" s="120"/>
      <c r="D666" s="120"/>
      <c r="E666" s="120"/>
      <c r="F666" s="120"/>
      <c r="G666" s="120"/>
      <c r="H666" s="120"/>
      <c r="I666" s="120"/>
      <c r="J666" s="120"/>
      <c r="K666" s="120"/>
      <c r="L666" s="120"/>
      <c r="M666" s="120"/>
    </row>
    <row r="667">
      <c r="A667" s="120"/>
      <c r="B667" s="120"/>
      <c r="C667" s="120"/>
      <c r="D667" s="120"/>
      <c r="E667" s="120"/>
      <c r="F667" s="120"/>
      <c r="G667" s="120"/>
      <c r="H667" s="120"/>
      <c r="I667" s="120"/>
      <c r="J667" s="120"/>
      <c r="K667" s="120"/>
      <c r="L667" s="120"/>
      <c r="M667" s="120"/>
    </row>
    <row r="668">
      <c r="A668" s="120"/>
      <c r="B668" s="120"/>
      <c r="C668" s="120"/>
      <c r="D668" s="120"/>
      <c r="E668" s="120"/>
      <c r="F668" s="120"/>
      <c r="G668" s="120"/>
      <c r="H668" s="120"/>
      <c r="I668" s="120"/>
      <c r="J668" s="120"/>
      <c r="K668" s="120"/>
      <c r="L668" s="120"/>
      <c r="M668" s="120"/>
    </row>
    <row r="669">
      <c r="A669" s="120"/>
      <c r="B669" s="120"/>
      <c r="C669" s="120"/>
      <c r="D669" s="120"/>
      <c r="E669" s="120"/>
      <c r="F669" s="120"/>
      <c r="G669" s="120"/>
      <c r="H669" s="120"/>
      <c r="I669" s="120"/>
      <c r="J669" s="120"/>
      <c r="K669" s="120"/>
      <c r="L669" s="120"/>
      <c r="M669" s="120"/>
    </row>
    <row r="670">
      <c r="A670" s="120"/>
      <c r="B670" s="120"/>
      <c r="C670" s="120"/>
      <c r="D670" s="120"/>
      <c r="E670" s="120"/>
      <c r="F670" s="120"/>
      <c r="G670" s="120"/>
      <c r="H670" s="120"/>
      <c r="I670" s="120"/>
      <c r="J670" s="120"/>
      <c r="K670" s="120"/>
      <c r="L670" s="120"/>
      <c r="M670" s="120"/>
    </row>
    <row r="671">
      <c r="A671" s="120"/>
      <c r="B671" s="120"/>
      <c r="C671" s="120"/>
      <c r="D671" s="120"/>
      <c r="E671" s="120"/>
      <c r="F671" s="120"/>
      <c r="G671" s="120"/>
      <c r="H671" s="120"/>
      <c r="I671" s="120"/>
      <c r="J671" s="120"/>
      <c r="K671" s="120"/>
      <c r="L671" s="120"/>
      <c r="M671" s="120"/>
    </row>
    <row r="672">
      <c r="A672" s="120"/>
      <c r="B672" s="120"/>
      <c r="C672" s="120"/>
      <c r="D672" s="120"/>
      <c r="E672" s="120"/>
      <c r="F672" s="120"/>
      <c r="G672" s="120"/>
      <c r="H672" s="120"/>
      <c r="I672" s="120"/>
      <c r="J672" s="120"/>
      <c r="K672" s="120"/>
      <c r="L672" s="120"/>
      <c r="M672" s="120"/>
    </row>
    <row r="673">
      <c r="A673" s="120"/>
      <c r="B673" s="120"/>
      <c r="C673" s="120"/>
      <c r="D673" s="120"/>
      <c r="E673" s="120"/>
      <c r="F673" s="120"/>
      <c r="G673" s="120"/>
      <c r="H673" s="120"/>
      <c r="I673" s="120"/>
      <c r="J673" s="120"/>
      <c r="K673" s="120"/>
      <c r="L673" s="120"/>
      <c r="M673" s="120"/>
    </row>
    <row r="674">
      <c r="A674" s="120"/>
      <c r="B674" s="120"/>
      <c r="C674" s="120"/>
      <c r="D674" s="120"/>
      <c r="E674" s="120"/>
      <c r="F674" s="120"/>
      <c r="G674" s="120"/>
      <c r="H674" s="120"/>
      <c r="I674" s="120"/>
      <c r="J674" s="120"/>
      <c r="K674" s="120"/>
      <c r="L674" s="120"/>
      <c r="M674" s="120"/>
    </row>
    <row r="675">
      <c r="A675" s="120"/>
      <c r="B675" s="120"/>
      <c r="C675" s="120"/>
      <c r="D675" s="120"/>
      <c r="E675" s="120"/>
      <c r="F675" s="120"/>
      <c r="G675" s="120"/>
      <c r="H675" s="120"/>
      <c r="I675" s="120"/>
      <c r="J675" s="120"/>
      <c r="K675" s="120"/>
      <c r="L675" s="120"/>
      <c r="M675" s="120"/>
    </row>
    <row r="676">
      <c r="A676" s="120"/>
      <c r="B676" s="120"/>
      <c r="C676" s="120"/>
      <c r="D676" s="120"/>
      <c r="E676" s="120"/>
      <c r="F676" s="120"/>
      <c r="G676" s="120"/>
      <c r="H676" s="120"/>
      <c r="I676" s="120"/>
      <c r="J676" s="120"/>
      <c r="K676" s="120"/>
      <c r="L676" s="120"/>
      <c r="M676" s="120"/>
    </row>
    <row r="677">
      <c r="A677" s="120"/>
      <c r="B677" s="120"/>
      <c r="C677" s="120"/>
      <c r="D677" s="120"/>
      <c r="E677" s="120"/>
      <c r="F677" s="120"/>
      <c r="G677" s="120"/>
      <c r="H677" s="120"/>
      <c r="I677" s="120"/>
      <c r="J677" s="120"/>
      <c r="K677" s="120"/>
      <c r="L677" s="120"/>
      <c r="M677" s="120"/>
    </row>
    <row r="678">
      <c r="A678" s="120"/>
      <c r="B678" s="120"/>
      <c r="C678" s="120"/>
      <c r="D678" s="120"/>
      <c r="E678" s="120"/>
      <c r="F678" s="120"/>
      <c r="G678" s="120"/>
      <c r="H678" s="120"/>
      <c r="I678" s="120"/>
      <c r="J678" s="120"/>
      <c r="K678" s="120"/>
      <c r="L678" s="120"/>
      <c r="M678" s="120"/>
    </row>
    <row r="679">
      <c r="A679" s="120"/>
      <c r="B679" s="120"/>
      <c r="C679" s="120"/>
      <c r="D679" s="120"/>
      <c r="E679" s="120"/>
      <c r="F679" s="120"/>
      <c r="G679" s="120"/>
      <c r="H679" s="120"/>
      <c r="I679" s="120"/>
      <c r="J679" s="120"/>
      <c r="K679" s="120"/>
      <c r="L679" s="120"/>
      <c r="M679" s="120"/>
    </row>
    <row r="680">
      <c r="A680" s="120"/>
      <c r="B680" s="120"/>
      <c r="C680" s="120"/>
      <c r="D680" s="120"/>
      <c r="E680" s="120"/>
      <c r="F680" s="120"/>
      <c r="G680" s="120"/>
      <c r="H680" s="120"/>
      <c r="I680" s="120"/>
      <c r="J680" s="120"/>
      <c r="K680" s="120"/>
      <c r="L680" s="120"/>
      <c r="M680" s="120"/>
    </row>
    <row r="681">
      <c r="A681" s="120"/>
      <c r="B681" s="120"/>
      <c r="C681" s="120"/>
      <c r="D681" s="120"/>
      <c r="E681" s="120"/>
      <c r="F681" s="120"/>
      <c r="G681" s="120"/>
      <c r="H681" s="120"/>
      <c r="I681" s="120"/>
      <c r="J681" s="120"/>
      <c r="K681" s="120"/>
      <c r="L681" s="120"/>
      <c r="M681" s="120"/>
    </row>
    <row r="682">
      <c r="A682" s="120"/>
      <c r="B682" s="120"/>
      <c r="C682" s="120"/>
      <c r="D682" s="120"/>
      <c r="E682" s="120"/>
      <c r="F682" s="120"/>
      <c r="G682" s="120"/>
      <c r="H682" s="120"/>
      <c r="I682" s="120"/>
      <c r="J682" s="120"/>
      <c r="K682" s="120"/>
      <c r="L682" s="120"/>
      <c r="M682" s="120"/>
    </row>
    <row r="683">
      <c r="A683" s="120"/>
      <c r="B683" s="120"/>
      <c r="C683" s="120"/>
      <c r="D683" s="120"/>
      <c r="E683" s="120"/>
      <c r="F683" s="120"/>
      <c r="G683" s="120"/>
      <c r="H683" s="120"/>
      <c r="I683" s="120"/>
      <c r="J683" s="120"/>
      <c r="K683" s="120"/>
      <c r="L683" s="120"/>
      <c r="M683" s="120"/>
    </row>
    <row r="684">
      <c r="A684" s="120"/>
      <c r="B684" s="120"/>
      <c r="C684" s="120"/>
      <c r="D684" s="120"/>
      <c r="E684" s="120"/>
      <c r="F684" s="120"/>
      <c r="G684" s="120"/>
      <c r="H684" s="120"/>
      <c r="I684" s="120"/>
      <c r="J684" s="120"/>
      <c r="K684" s="120"/>
      <c r="L684" s="120"/>
      <c r="M684" s="120"/>
    </row>
    <row r="685">
      <c r="A685" s="120"/>
      <c r="B685" s="120"/>
      <c r="C685" s="120"/>
      <c r="D685" s="120"/>
      <c r="E685" s="120"/>
      <c r="F685" s="120"/>
      <c r="G685" s="120"/>
      <c r="H685" s="120"/>
      <c r="I685" s="120"/>
      <c r="J685" s="120"/>
      <c r="K685" s="120"/>
      <c r="L685" s="120"/>
      <c r="M685" s="120"/>
    </row>
    <row r="686">
      <c r="A686" s="120"/>
      <c r="B686" s="120"/>
      <c r="C686" s="120"/>
      <c r="D686" s="120"/>
      <c r="E686" s="120"/>
      <c r="F686" s="120"/>
      <c r="G686" s="120"/>
      <c r="H686" s="120"/>
      <c r="I686" s="120"/>
      <c r="J686" s="120"/>
      <c r="K686" s="120"/>
      <c r="L686" s="120"/>
      <c r="M686" s="120"/>
    </row>
    <row r="687">
      <c r="A687" s="120"/>
      <c r="B687" s="120"/>
      <c r="C687" s="120"/>
      <c r="D687" s="120"/>
      <c r="E687" s="120"/>
      <c r="F687" s="120"/>
      <c r="G687" s="120"/>
      <c r="H687" s="120"/>
      <c r="I687" s="120"/>
      <c r="J687" s="120"/>
      <c r="K687" s="120"/>
      <c r="L687" s="120"/>
      <c r="M687" s="120"/>
    </row>
    <row r="688">
      <c r="A688" s="120"/>
      <c r="B688" s="120"/>
      <c r="C688" s="120"/>
      <c r="D688" s="120"/>
      <c r="E688" s="120"/>
      <c r="F688" s="120"/>
      <c r="G688" s="120"/>
      <c r="H688" s="120"/>
      <c r="I688" s="120"/>
      <c r="J688" s="120"/>
      <c r="K688" s="120"/>
      <c r="L688" s="120"/>
      <c r="M688" s="120"/>
    </row>
    <row r="689">
      <c r="A689" s="120"/>
      <c r="B689" s="120"/>
      <c r="C689" s="120"/>
      <c r="D689" s="120"/>
      <c r="E689" s="120"/>
      <c r="F689" s="120"/>
      <c r="G689" s="120"/>
      <c r="H689" s="120"/>
      <c r="I689" s="120"/>
      <c r="J689" s="120"/>
      <c r="K689" s="120"/>
      <c r="L689" s="120"/>
      <c r="M689" s="120"/>
    </row>
    <row r="690">
      <c r="A690" s="120"/>
      <c r="B690" s="120"/>
      <c r="C690" s="120"/>
      <c r="D690" s="120"/>
      <c r="E690" s="120"/>
      <c r="F690" s="120"/>
      <c r="G690" s="120"/>
      <c r="H690" s="120"/>
      <c r="I690" s="120"/>
      <c r="J690" s="120"/>
      <c r="K690" s="120"/>
      <c r="L690" s="120"/>
      <c r="M690" s="120"/>
    </row>
    <row r="691">
      <c r="A691" s="120"/>
      <c r="B691" s="120"/>
      <c r="C691" s="120"/>
      <c r="D691" s="120"/>
      <c r="E691" s="120"/>
      <c r="F691" s="120"/>
      <c r="G691" s="120"/>
      <c r="H691" s="120"/>
      <c r="I691" s="120"/>
      <c r="J691" s="120"/>
      <c r="K691" s="120"/>
      <c r="L691" s="120"/>
      <c r="M691" s="120"/>
    </row>
    <row r="692">
      <c r="A692" s="120"/>
      <c r="B692" s="120"/>
      <c r="C692" s="120"/>
      <c r="D692" s="120"/>
      <c r="E692" s="120"/>
      <c r="F692" s="120"/>
      <c r="G692" s="120"/>
      <c r="H692" s="120"/>
      <c r="I692" s="120"/>
      <c r="J692" s="120"/>
      <c r="K692" s="120"/>
      <c r="L692" s="120"/>
      <c r="M692" s="120"/>
    </row>
    <row r="693">
      <c r="A693" s="120"/>
      <c r="B693" s="120"/>
      <c r="C693" s="120"/>
      <c r="D693" s="120"/>
      <c r="E693" s="120"/>
      <c r="F693" s="120"/>
      <c r="G693" s="120"/>
      <c r="H693" s="120"/>
      <c r="I693" s="120"/>
      <c r="J693" s="120"/>
      <c r="K693" s="120"/>
      <c r="L693" s="120"/>
      <c r="M693" s="120"/>
    </row>
    <row r="694">
      <c r="A694" s="120"/>
      <c r="B694" s="120"/>
      <c r="C694" s="120"/>
      <c r="D694" s="120"/>
      <c r="E694" s="120"/>
      <c r="F694" s="120"/>
      <c r="G694" s="120"/>
      <c r="H694" s="120"/>
      <c r="I694" s="120"/>
      <c r="J694" s="120"/>
      <c r="K694" s="120"/>
      <c r="L694" s="120"/>
      <c r="M694" s="120"/>
    </row>
    <row r="695">
      <c r="A695" s="120"/>
      <c r="B695" s="120"/>
      <c r="C695" s="120"/>
      <c r="D695" s="120"/>
      <c r="E695" s="120"/>
      <c r="F695" s="120"/>
      <c r="G695" s="120"/>
      <c r="H695" s="120"/>
      <c r="I695" s="120"/>
      <c r="J695" s="120"/>
      <c r="K695" s="120"/>
      <c r="L695" s="120"/>
      <c r="M695" s="120"/>
    </row>
    <row r="696">
      <c r="A696" s="120"/>
      <c r="B696" s="120"/>
      <c r="C696" s="120"/>
      <c r="D696" s="120"/>
      <c r="E696" s="120"/>
      <c r="F696" s="120"/>
      <c r="G696" s="120"/>
      <c r="H696" s="120"/>
      <c r="I696" s="120"/>
      <c r="J696" s="120"/>
      <c r="K696" s="120"/>
      <c r="L696" s="120"/>
      <c r="M696" s="120"/>
    </row>
    <row r="697">
      <c r="A697" s="120"/>
      <c r="B697" s="120"/>
      <c r="C697" s="120"/>
      <c r="D697" s="120"/>
      <c r="E697" s="120"/>
      <c r="F697" s="120"/>
      <c r="G697" s="120"/>
      <c r="H697" s="120"/>
      <c r="I697" s="120"/>
      <c r="J697" s="120"/>
      <c r="K697" s="120"/>
      <c r="L697" s="120"/>
      <c r="M697" s="120"/>
    </row>
    <row r="698">
      <c r="A698" s="120"/>
      <c r="B698" s="120"/>
      <c r="C698" s="120"/>
      <c r="D698" s="120"/>
      <c r="E698" s="120"/>
      <c r="F698" s="120"/>
      <c r="G698" s="120"/>
      <c r="H698" s="120"/>
      <c r="I698" s="120"/>
      <c r="J698" s="120"/>
      <c r="K698" s="120"/>
      <c r="L698" s="120"/>
      <c r="M698" s="120"/>
    </row>
    <row r="699">
      <c r="A699" s="120"/>
      <c r="B699" s="120"/>
      <c r="C699" s="120"/>
      <c r="D699" s="120"/>
      <c r="E699" s="120"/>
      <c r="F699" s="120"/>
      <c r="G699" s="120"/>
      <c r="H699" s="120"/>
      <c r="I699" s="120"/>
      <c r="J699" s="120"/>
      <c r="K699" s="120"/>
      <c r="L699" s="120"/>
      <c r="M699" s="120"/>
    </row>
    <row r="700">
      <c r="A700" s="120"/>
      <c r="B700" s="120"/>
      <c r="C700" s="120"/>
      <c r="D700" s="120"/>
      <c r="E700" s="120"/>
      <c r="F700" s="120"/>
      <c r="G700" s="120"/>
      <c r="H700" s="120"/>
      <c r="I700" s="120"/>
      <c r="J700" s="120"/>
      <c r="K700" s="120"/>
      <c r="L700" s="120"/>
      <c r="M700" s="120"/>
    </row>
    <row r="701">
      <c r="A701" s="120"/>
      <c r="B701" s="120"/>
      <c r="C701" s="120"/>
      <c r="D701" s="120"/>
      <c r="E701" s="120"/>
      <c r="F701" s="120"/>
      <c r="G701" s="120"/>
      <c r="H701" s="120"/>
      <c r="I701" s="120"/>
      <c r="J701" s="120"/>
      <c r="K701" s="120"/>
      <c r="L701" s="120"/>
      <c r="M701" s="120"/>
    </row>
    <row r="702">
      <c r="A702" s="120"/>
      <c r="B702" s="120"/>
      <c r="C702" s="120"/>
      <c r="D702" s="120"/>
      <c r="E702" s="120"/>
      <c r="F702" s="120"/>
      <c r="G702" s="120"/>
      <c r="H702" s="120"/>
      <c r="I702" s="120"/>
      <c r="J702" s="120"/>
      <c r="K702" s="120"/>
      <c r="L702" s="120"/>
      <c r="M702" s="120"/>
    </row>
    <row r="703">
      <c r="A703" s="120"/>
      <c r="B703" s="120"/>
      <c r="C703" s="120"/>
      <c r="D703" s="120"/>
      <c r="E703" s="120"/>
      <c r="F703" s="120"/>
      <c r="G703" s="120"/>
      <c r="H703" s="120"/>
      <c r="I703" s="120"/>
      <c r="J703" s="120"/>
      <c r="K703" s="120"/>
      <c r="L703" s="120"/>
      <c r="M703" s="120"/>
    </row>
    <row r="704">
      <c r="A704" s="120"/>
      <c r="B704" s="120"/>
      <c r="C704" s="120"/>
      <c r="D704" s="120"/>
      <c r="E704" s="120"/>
      <c r="F704" s="120"/>
      <c r="G704" s="120"/>
      <c r="H704" s="120"/>
      <c r="I704" s="120"/>
      <c r="J704" s="120"/>
      <c r="K704" s="120"/>
      <c r="L704" s="120"/>
      <c r="M704" s="120"/>
    </row>
    <row r="705">
      <c r="A705" s="120"/>
      <c r="B705" s="120"/>
      <c r="C705" s="120"/>
      <c r="D705" s="120"/>
      <c r="E705" s="120"/>
      <c r="F705" s="120"/>
      <c r="G705" s="120"/>
      <c r="H705" s="120"/>
      <c r="I705" s="120"/>
      <c r="J705" s="120"/>
      <c r="K705" s="120"/>
      <c r="L705" s="120"/>
      <c r="M705" s="120"/>
    </row>
    <row r="706">
      <c r="A706" s="120"/>
      <c r="B706" s="120"/>
      <c r="C706" s="120"/>
      <c r="D706" s="120"/>
      <c r="E706" s="120"/>
      <c r="F706" s="120"/>
      <c r="G706" s="120"/>
      <c r="H706" s="120"/>
      <c r="I706" s="120"/>
      <c r="J706" s="120"/>
      <c r="K706" s="120"/>
      <c r="L706" s="120"/>
      <c r="M706" s="120"/>
    </row>
    <row r="707">
      <c r="A707" s="120"/>
      <c r="B707" s="120"/>
      <c r="C707" s="120"/>
      <c r="D707" s="120"/>
      <c r="E707" s="120"/>
      <c r="F707" s="120"/>
      <c r="G707" s="120"/>
      <c r="H707" s="120"/>
      <c r="I707" s="120"/>
      <c r="J707" s="120"/>
      <c r="K707" s="120"/>
      <c r="L707" s="120"/>
      <c r="M707" s="120"/>
    </row>
    <row r="708">
      <c r="A708" s="120"/>
      <c r="B708" s="120"/>
      <c r="C708" s="120"/>
      <c r="D708" s="120"/>
      <c r="E708" s="120"/>
      <c r="F708" s="120"/>
      <c r="G708" s="120"/>
      <c r="H708" s="120"/>
      <c r="I708" s="120"/>
      <c r="J708" s="120"/>
      <c r="K708" s="120"/>
      <c r="L708" s="120"/>
      <c r="M708" s="120"/>
    </row>
    <row r="709">
      <c r="A709" s="120"/>
      <c r="B709" s="120"/>
      <c r="C709" s="120"/>
      <c r="D709" s="120"/>
      <c r="E709" s="120"/>
      <c r="F709" s="120"/>
      <c r="G709" s="120"/>
      <c r="H709" s="120"/>
      <c r="I709" s="120"/>
      <c r="J709" s="120"/>
      <c r="K709" s="120"/>
      <c r="L709" s="120"/>
      <c r="M709" s="120"/>
    </row>
    <row r="710">
      <c r="A710" s="120"/>
      <c r="B710" s="120"/>
      <c r="C710" s="120"/>
      <c r="D710" s="120"/>
      <c r="E710" s="120"/>
      <c r="F710" s="120"/>
      <c r="G710" s="120"/>
      <c r="H710" s="120"/>
      <c r="I710" s="120"/>
      <c r="J710" s="120"/>
      <c r="K710" s="120"/>
      <c r="L710" s="120"/>
      <c r="M710" s="120"/>
    </row>
    <row r="711">
      <c r="A711" s="120"/>
      <c r="B711" s="120"/>
      <c r="C711" s="120"/>
      <c r="D711" s="120"/>
      <c r="E711" s="120"/>
      <c r="F711" s="120"/>
      <c r="G711" s="120"/>
      <c r="H711" s="120"/>
      <c r="I711" s="120"/>
      <c r="J711" s="120"/>
      <c r="K711" s="120"/>
      <c r="L711" s="120"/>
      <c r="M711" s="120"/>
    </row>
    <row r="712">
      <c r="A712" s="120"/>
      <c r="B712" s="120"/>
      <c r="C712" s="120"/>
      <c r="D712" s="120"/>
      <c r="E712" s="120"/>
      <c r="F712" s="120"/>
      <c r="G712" s="120"/>
      <c r="H712" s="120"/>
      <c r="I712" s="120"/>
      <c r="J712" s="120"/>
      <c r="K712" s="120"/>
      <c r="L712" s="120"/>
      <c r="M712" s="120"/>
    </row>
    <row r="713">
      <c r="A713" s="120"/>
      <c r="B713" s="120"/>
      <c r="C713" s="120"/>
      <c r="D713" s="120"/>
      <c r="E713" s="120"/>
      <c r="F713" s="120"/>
      <c r="G713" s="120"/>
      <c r="H713" s="120"/>
      <c r="I713" s="120"/>
      <c r="J713" s="120"/>
      <c r="K713" s="120"/>
      <c r="L713" s="120"/>
      <c r="M713" s="120"/>
    </row>
    <row r="714">
      <c r="A714" s="120"/>
      <c r="B714" s="120"/>
      <c r="C714" s="120"/>
      <c r="D714" s="120"/>
      <c r="E714" s="120"/>
      <c r="F714" s="120"/>
      <c r="G714" s="120"/>
      <c r="H714" s="120"/>
      <c r="I714" s="120"/>
      <c r="J714" s="120"/>
      <c r="K714" s="120"/>
      <c r="L714" s="120"/>
      <c r="M714" s="120"/>
    </row>
    <row r="715">
      <c r="A715" s="120"/>
      <c r="B715" s="120"/>
      <c r="C715" s="120"/>
      <c r="D715" s="120"/>
      <c r="E715" s="120"/>
      <c r="F715" s="120"/>
      <c r="G715" s="120"/>
      <c r="H715" s="120"/>
      <c r="I715" s="120"/>
      <c r="J715" s="120"/>
      <c r="K715" s="120"/>
      <c r="L715" s="120"/>
      <c r="M715" s="120"/>
    </row>
    <row r="716">
      <c r="A716" s="120"/>
      <c r="B716" s="120"/>
      <c r="C716" s="120"/>
      <c r="D716" s="120"/>
      <c r="E716" s="120"/>
      <c r="F716" s="120"/>
      <c r="G716" s="120"/>
      <c r="H716" s="120"/>
      <c r="I716" s="120"/>
      <c r="J716" s="120"/>
      <c r="K716" s="120"/>
      <c r="L716" s="120"/>
      <c r="M716" s="120"/>
    </row>
    <row r="717">
      <c r="A717" s="120"/>
      <c r="B717" s="120"/>
      <c r="C717" s="120"/>
      <c r="D717" s="120"/>
      <c r="E717" s="120"/>
      <c r="F717" s="120"/>
      <c r="G717" s="120"/>
      <c r="H717" s="120"/>
      <c r="I717" s="120"/>
      <c r="J717" s="120"/>
      <c r="K717" s="120"/>
      <c r="L717" s="120"/>
      <c r="M717" s="120"/>
    </row>
    <row r="718">
      <c r="A718" s="120"/>
      <c r="B718" s="120"/>
      <c r="C718" s="120"/>
      <c r="D718" s="120"/>
      <c r="E718" s="120"/>
      <c r="F718" s="120"/>
      <c r="G718" s="120"/>
      <c r="H718" s="120"/>
      <c r="I718" s="120"/>
      <c r="J718" s="120"/>
      <c r="K718" s="120"/>
      <c r="L718" s="120"/>
      <c r="M718" s="120"/>
    </row>
    <row r="719">
      <c r="A719" s="120"/>
      <c r="B719" s="120"/>
      <c r="C719" s="120"/>
      <c r="D719" s="120"/>
      <c r="E719" s="120"/>
      <c r="F719" s="120"/>
      <c r="G719" s="120"/>
      <c r="H719" s="120"/>
      <c r="I719" s="120"/>
      <c r="J719" s="120"/>
      <c r="K719" s="120"/>
      <c r="L719" s="120"/>
      <c r="M719" s="120"/>
    </row>
    <row r="720">
      <c r="A720" s="120"/>
      <c r="B720" s="120"/>
      <c r="C720" s="120"/>
      <c r="D720" s="120"/>
      <c r="E720" s="120"/>
      <c r="F720" s="120"/>
      <c r="G720" s="120"/>
      <c r="H720" s="120"/>
      <c r="I720" s="120"/>
      <c r="J720" s="120"/>
      <c r="K720" s="120"/>
      <c r="L720" s="120"/>
      <c r="M720" s="120"/>
    </row>
    <row r="721">
      <c r="A721" s="120"/>
      <c r="B721" s="120"/>
      <c r="C721" s="120"/>
      <c r="D721" s="120"/>
      <c r="E721" s="120"/>
      <c r="F721" s="120"/>
      <c r="G721" s="120"/>
      <c r="H721" s="120"/>
      <c r="I721" s="120"/>
      <c r="J721" s="120"/>
      <c r="K721" s="120"/>
      <c r="L721" s="120"/>
      <c r="M721" s="120"/>
    </row>
    <row r="722">
      <c r="A722" s="120"/>
      <c r="B722" s="120"/>
      <c r="C722" s="120"/>
      <c r="D722" s="120"/>
      <c r="E722" s="120"/>
      <c r="F722" s="120"/>
      <c r="G722" s="120"/>
      <c r="H722" s="120"/>
      <c r="I722" s="120"/>
      <c r="J722" s="120"/>
      <c r="K722" s="120"/>
      <c r="L722" s="120"/>
      <c r="M722" s="120"/>
    </row>
    <row r="723">
      <c r="A723" s="120"/>
      <c r="B723" s="120"/>
      <c r="C723" s="120"/>
      <c r="D723" s="120"/>
      <c r="E723" s="120"/>
      <c r="F723" s="120"/>
      <c r="G723" s="120"/>
      <c r="H723" s="120"/>
      <c r="I723" s="120"/>
      <c r="J723" s="120"/>
      <c r="K723" s="120"/>
      <c r="L723" s="120"/>
      <c r="M723" s="120"/>
    </row>
    <row r="724">
      <c r="A724" s="120"/>
      <c r="B724" s="120"/>
      <c r="C724" s="120"/>
      <c r="D724" s="120"/>
      <c r="E724" s="120"/>
      <c r="F724" s="120"/>
      <c r="G724" s="120"/>
      <c r="H724" s="120"/>
      <c r="I724" s="120"/>
      <c r="J724" s="120"/>
      <c r="K724" s="120"/>
      <c r="L724" s="120"/>
      <c r="M724" s="120"/>
    </row>
    <row r="725">
      <c r="A725" s="120"/>
      <c r="B725" s="120"/>
      <c r="C725" s="120"/>
      <c r="D725" s="120"/>
      <c r="E725" s="120"/>
      <c r="F725" s="120"/>
      <c r="G725" s="120"/>
      <c r="H725" s="120"/>
      <c r="I725" s="120"/>
      <c r="J725" s="120"/>
      <c r="K725" s="120"/>
      <c r="L725" s="120"/>
      <c r="M725" s="120"/>
    </row>
    <row r="726">
      <c r="A726" s="120"/>
      <c r="B726" s="120"/>
      <c r="C726" s="120"/>
      <c r="D726" s="120"/>
      <c r="E726" s="120"/>
      <c r="F726" s="120"/>
      <c r="G726" s="120"/>
      <c r="H726" s="120"/>
      <c r="I726" s="120"/>
      <c r="J726" s="120"/>
      <c r="K726" s="120"/>
      <c r="L726" s="120"/>
      <c r="M726" s="120"/>
    </row>
    <row r="727">
      <c r="A727" s="120"/>
      <c r="B727" s="120"/>
      <c r="C727" s="120"/>
      <c r="D727" s="120"/>
      <c r="E727" s="120"/>
      <c r="F727" s="120"/>
      <c r="G727" s="120"/>
      <c r="H727" s="120"/>
      <c r="I727" s="120"/>
      <c r="J727" s="120"/>
      <c r="K727" s="120"/>
      <c r="L727" s="120"/>
      <c r="M727" s="120"/>
    </row>
    <row r="728">
      <c r="A728" s="120"/>
      <c r="B728" s="120"/>
      <c r="C728" s="120"/>
      <c r="D728" s="120"/>
      <c r="E728" s="120"/>
      <c r="F728" s="120"/>
      <c r="G728" s="120"/>
      <c r="H728" s="120"/>
      <c r="I728" s="120"/>
      <c r="J728" s="120"/>
      <c r="K728" s="120"/>
      <c r="L728" s="120"/>
      <c r="M728" s="120"/>
    </row>
    <row r="729">
      <c r="A729" s="120"/>
      <c r="B729" s="120"/>
      <c r="C729" s="120"/>
      <c r="D729" s="120"/>
      <c r="E729" s="120"/>
      <c r="F729" s="120"/>
      <c r="G729" s="120"/>
      <c r="H729" s="120"/>
      <c r="I729" s="120"/>
      <c r="J729" s="120"/>
      <c r="K729" s="120"/>
      <c r="L729" s="120"/>
      <c r="M729" s="120"/>
    </row>
    <row r="730">
      <c r="A730" s="120"/>
      <c r="B730" s="120"/>
      <c r="C730" s="120"/>
      <c r="D730" s="120"/>
      <c r="E730" s="120"/>
      <c r="F730" s="120"/>
      <c r="G730" s="120"/>
      <c r="H730" s="120"/>
      <c r="I730" s="120"/>
      <c r="J730" s="120"/>
      <c r="K730" s="120"/>
      <c r="L730" s="120"/>
      <c r="M730" s="120"/>
    </row>
    <row r="731">
      <c r="A731" s="120"/>
      <c r="B731" s="120"/>
      <c r="C731" s="120"/>
      <c r="D731" s="120"/>
      <c r="E731" s="120"/>
      <c r="F731" s="120"/>
      <c r="G731" s="120"/>
      <c r="H731" s="120"/>
      <c r="I731" s="120"/>
      <c r="J731" s="120"/>
      <c r="K731" s="120"/>
      <c r="L731" s="120"/>
      <c r="M731" s="120"/>
    </row>
    <row r="732">
      <c r="A732" s="120"/>
      <c r="B732" s="120"/>
      <c r="C732" s="120"/>
      <c r="D732" s="120"/>
      <c r="E732" s="120"/>
      <c r="F732" s="120"/>
      <c r="G732" s="120"/>
      <c r="H732" s="120"/>
      <c r="I732" s="120"/>
      <c r="J732" s="120"/>
      <c r="K732" s="120"/>
      <c r="L732" s="120"/>
      <c r="M732" s="120"/>
    </row>
    <row r="733">
      <c r="A733" s="120"/>
      <c r="B733" s="120"/>
      <c r="C733" s="120"/>
      <c r="D733" s="120"/>
      <c r="E733" s="120"/>
      <c r="F733" s="120"/>
      <c r="G733" s="120"/>
      <c r="H733" s="120"/>
      <c r="I733" s="120"/>
      <c r="J733" s="120"/>
      <c r="K733" s="120"/>
      <c r="L733" s="120"/>
      <c r="M733" s="120"/>
    </row>
    <row r="734">
      <c r="A734" s="120"/>
      <c r="B734" s="120"/>
      <c r="C734" s="120"/>
      <c r="D734" s="120"/>
      <c r="E734" s="120"/>
      <c r="F734" s="120"/>
      <c r="G734" s="120"/>
      <c r="H734" s="120"/>
      <c r="I734" s="120"/>
      <c r="J734" s="120"/>
      <c r="K734" s="120"/>
      <c r="L734" s="120"/>
      <c r="M734" s="120"/>
    </row>
    <row r="735">
      <c r="A735" s="120"/>
      <c r="B735" s="120"/>
      <c r="C735" s="120"/>
      <c r="D735" s="120"/>
      <c r="E735" s="120"/>
      <c r="F735" s="120"/>
      <c r="G735" s="120"/>
      <c r="H735" s="120"/>
      <c r="I735" s="120"/>
      <c r="J735" s="120"/>
      <c r="K735" s="120"/>
      <c r="L735" s="120"/>
      <c r="M735" s="120"/>
    </row>
    <row r="736">
      <c r="A736" s="120"/>
      <c r="B736" s="120"/>
      <c r="C736" s="120"/>
      <c r="D736" s="120"/>
      <c r="E736" s="120"/>
      <c r="F736" s="120"/>
      <c r="G736" s="120"/>
      <c r="H736" s="120"/>
      <c r="I736" s="120"/>
      <c r="J736" s="120"/>
      <c r="K736" s="120"/>
      <c r="L736" s="120"/>
      <c r="M736" s="120"/>
    </row>
    <row r="737">
      <c r="A737" s="120"/>
      <c r="B737" s="120"/>
      <c r="C737" s="120"/>
      <c r="D737" s="120"/>
      <c r="E737" s="120"/>
      <c r="F737" s="120"/>
      <c r="G737" s="120"/>
      <c r="H737" s="120"/>
      <c r="I737" s="120"/>
      <c r="J737" s="120"/>
      <c r="K737" s="120"/>
      <c r="L737" s="120"/>
      <c r="M737" s="120"/>
    </row>
    <row r="738">
      <c r="A738" s="120"/>
      <c r="B738" s="120"/>
      <c r="C738" s="120"/>
      <c r="D738" s="120"/>
      <c r="E738" s="120"/>
      <c r="F738" s="120"/>
      <c r="G738" s="120"/>
      <c r="H738" s="120"/>
      <c r="I738" s="120"/>
      <c r="J738" s="120"/>
      <c r="K738" s="120"/>
      <c r="L738" s="120"/>
      <c r="M738" s="120"/>
    </row>
    <row r="739">
      <c r="A739" s="120"/>
      <c r="B739" s="120"/>
      <c r="C739" s="120"/>
      <c r="D739" s="120"/>
      <c r="E739" s="120"/>
      <c r="F739" s="120"/>
      <c r="G739" s="120"/>
      <c r="H739" s="120"/>
      <c r="I739" s="120"/>
      <c r="J739" s="120"/>
      <c r="K739" s="120"/>
      <c r="L739" s="120"/>
      <c r="M739" s="120"/>
    </row>
    <row r="740">
      <c r="A740" s="120"/>
      <c r="B740" s="120"/>
      <c r="C740" s="120"/>
      <c r="D740" s="120"/>
      <c r="E740" s="120"/>
      <c r="F740" s="120"/>
      <c r="G740" s="120"/>
      <c r="H740" s="120"/>
      <c r="I740" s="120"/>
      <c r="J740" s="120"/>
      <c r="K740" s="120"/>
      <c r="L740" s="120"/>
      <c r="M740" s="120"/>
    </row>
    <row r="741">
      <c r="A741" s="120"/>
      <c r="B741" s="120"/>
      <c r="C741" s="120"/>
      <c r="D741" s="120"/>
      <c r="E741" s="120"/>
      <c r="F741" s="120"/>
      <c r="G741" s="120"/>
      <c r="H741" s="120"/>
      <c r="I741" s="120"/>
      <c r="J741" s="120"/>
      <c r="K741" s="120"/>
      <c r="L741" s="120"/>
      <c r="M741" s="120"/>
    </row>
    <row r="742">
      <c r="A742" s="120"/>
      <c r="B742" s="120"/>
      <c r="C742" s="120"/>
      <c r="D742" s="120"/>
      <c r="E742" s="120"/>
      <c r="F742" s="120"/>
      <c r="G742" s="120"/>
      <c r="H742" s="120"/>
      <c r="I742" s="120"/>
      <c r="J742" s="120"/>
      <c r="K742" s="120"/>
      <c r="L742" s="120"/>
      <c r="M742" s="120"/>
    </row>
    <row r="743">
      <c r="A743" s="120"/>
      <c r="B743" s="120"/>
      <c r="C743" s="120"/>
      <c r="D743" s="120"/>
      <c r="E743" s="120"/>
      <c r="F743" s="120"/>
      <c r="G743" s="120"/>
      <c r="H743" s="120"/>
      <c r="I743" s="120"/>
      <c r="J743" s="120"/>
      <c r="K743" s="120"/>
      <c r="L743" s="120"/>
      <c r="M743" s="120"/>
    </row>
    <row r="744">
      <c r="A744" s="120"/>
      <c r="B744" s="120"/>
      <c r="C744" s="120"/>
      <c r="D744" s="120"/>
      <c r="E744" s="120"/>
      <c r="F744" s="120"/>
      <c r="G744" s="120"/>
      <c r="H744" s="120"/>
      <c r="I744" s="120"/>
      <c r="J744" s="120"/>
      <c r="K744" s="120"/>
      <c r="L744" s="120"/>
      <c r="M744" s="120"/>
    </row>
    <row r="745">
      <c r="A745" s="120"/>
      <c r="B745" s="120"/>
      <c r="C745" s="120"/>
      <c r="D745" s="120"/>
      <c r="E745" s="120"/>
      <c r="F745" s="120"/>
      <c r="G745" s="120"/>
      <c r="H745" s="120"/>
      <c r="I745" s="120"/>
      <c r="J745" s="120"/>
      <c r="K745" s="120"/>
      <c r="L745" s="120"/>
      <c r="M745" s="120"/>
    </row>
    <row r="746">
      <c r="A746" s="120"/>
      <c r="B746" s="120"/>
      <c r="C746" s="120"/>
      <c r="D746" s="120"/>
      <c r="E746" s="120"/>
      <c r="F746" s="120"/>
      <c r="G746" s="120"/>
      <c r="H746" s="120"/>
      <c r="I746" s="120"/>
      <c r="J746" s="120"/>
      <c r="K746" s="120"/>
      <c r="L746" s="120"/>
      <c r="M746" s="120"/>
    </row>
    <row r="747">
      <c r="A747" s="120"/>
      <c r="B747" s="120"/>
      <c r="C747" s="120"/>
      <c r="D747" s="120"/>
      <c r="E747" s="120"/>
      <c r="F747" s="120"/>
      <c r="G747" s="120"/>
      <c r="H747" s="120"/>
      <c r="I747" s="120"/>
      <c r="J747" s="120"/>
      <c r="K747" s="120"/>
      <c r="L747" s="120"/>
      <c r="M747" s="120"/>
    </row>
    <row r="748">
      <c r="A748" s="120"/>
      <c r="B748" s="120"/>
      <c r="C748" s="120"/>
      <c r="D748" s="120"/>
      <c r="E748" s="120"/>
      <c r="F748" s="120"/>
      <c r="G748" s="120"/>
      <c r="H748" s="120"/>
      <c r="I748" s="120"/>
      <c r="J748" s="120"/>
      <c r="K748" s="120"/>
      <c r="L748" s="120"/>
      <c r="M748" s="120"/>
    </row>
    <row r="749">
      <c r="A749" s="120"/>
      <c r="B749" s="120"/>
      <c r="C749" s="120"/>
      <c r="D749" s="120"/>
      <c r="E749" s="120"/>
      <c r="F749" s="120"/>
      <c r="G749" s="120"/>
      <c r="H749" s="120"/>
      <c r="I749" s="120"/>
      <c r="J749" s="120"/>
      <c r="K749" s="120"/>
      <c r="L749" s="120"/>
      <c r="M749" s="120"/>
    </row>
    <row r="750">
      <c r="A750" s="120"/>
      <c r="B750" s="120"/>
      <c r="C750" s="120"/>
      <c r="D750" s="120"/>
      <c r="E750" s="120"/>
      <c r="F750" s="120"/>
      <c r="G750" s="120"/>
      <c r="H750" s="120"/>
      <c r="I750" s="120"/>
      <c r="J750" s="120"/>
      <c r="K750" s="120"/>
      <c r="L750" s="120"/>
      <c r="M750" s="120"/>
    </row>
    <row r="751">
      <c r="A751" s="120"/>
      <c r="B751" s="120"/>
      <c r="C751" s="120"/>
      <c r="D751" s="120"/>
      <c r="E751" s="120"/>
      <c r="F751" s="120"/>
      <c r="G751" s="120"/>
      <c r="H751" s="120"/>
      <c r="I751" s="120"/>
      <c r="J751" s="120"/>
      <c r="K751" s="120"/>
      <c r="L751" s="120"/>
      <c r="M751" s="120"/>
    </row>
    <row r="752">
      <c r="A752" s="120"/>
      <c r="B752" s="120"/>
      <c r="C752" s="120"/>
      <c r="D752" s="120"/>
      <c r="E752" s="120"/>
      <c r="F752" s="120"/>
      <c r="G752" s="120"/>
      <c r="H752" s="120"/>
      <c r="I752" s="120"/>
      <c r="J752" s="120"/>
      <c r="K752" s="120"/>
      <c r="L752" s="120"/>
      <c r="M752" s="120"/>
    </row>
    <row r="753">
      <c r="A753" s="120"/>
      <c r="B753" s="120"/>
      <c r="C753" s="120"/>
      <c r="D753" s="120"/>
      <c r="E753" s="120"/>
      <c r="F753" s="120"/>
      <c r="G753" s="120"/>
      <c r="H753" s="120"/>
      <c r="I753" s="120"/>
      <c r="J753" s="120"/>
      <c r="K753" s="120"/>
      <c r="L753" s="120"/>
      <c r="M753" s="120"/>
    </row>
    <row r="754">
      <c r="A754" s="120"/>
      <c r="B754" s="120"/>
      <c r="C754" s="120"/>
      <c r="D754" s="120"/>
      <c r="E754" s="120"/>
      <c r="F754" s="120"/>
      <c r="G754" s="120"/>
      <c r="H754" s="120"/>
      <c r="I754" s="120"/>
      <c r="J754" s="120"/>
      <c r="K754" s="120"/>
      <c r="L754" s="120"/>
      <c r="M754" s="120"/>
    </row>
    <row r="755">
      <c r="A755" s="120"/>
      <c r="B755" s="120"/>
      <c r="C755" s="120"/>
      <c r="D755" s="120"/>
      <c r="E755" s="120"/>
      <c r="F755" s="120"/>
      <c r="G755" s="120"/>
      <c r="H755" s="120"/>
      <c r="I755" s="120"/>
      <c r="J755" s="120"/>
      <c r="K755" s="120"/>
      <c r="L755" s="120"/>
      <c r="M755" s="120"/>
    </row>
    <row r="756">
      <c r="A756" s="120"/>
      <c r="B756" s="120"/>
      <c r="C756" s="120"/>
      <c r="D756" s="120"/>
      <c r="E756" s="120"/>
      <c r="F756" s="120"/>
      <c r="G756" s="120"/>
      <c r="H756" s="120"/>
      <c r="I756" s="120"/>
      <c r="J756" s="120"/>
      <c r="K756" s="120"/>
      <c r="L756" s="120"/>
      <c r="M756" s="120"/>
    </row>
    <row r="757">
      <c r="A757" s="120"/>
      <c r="B757" s="120"/>
      <c r="C757" s="120"/>
      <c r="D757" s="120"/>
      <c r="E757" s="120"/>
      <c r="F757" s="120"/>
      <c r="G757" s="120"/>
      <c r="H757" s="120"/>
      <c r="I757" s="120"/>
      <c r="J757" s="120"/>
      <c r="K757" s="120"/>
      <c r="L757" s="120"/>
      <c r="M757" s="120"/>
    </row>
    <row r="758">
      <c r="A758" s="120"/>
      <c r="B758" s="120"/>
      <c r="C758" s="120"/>
      <c r="D758" s="120"/>
      <c r="E758" s="120"/>
      <c r="F758" s="120"/>
      <c r="G758" s="120"/>
      <c r="H758" s="120"/>
      <c r="I758" s="120"/>
      <c r="J758" s="120"/>
      <c r="K758" s="120"/>
      <c r="L758" s="120"/>
      <c r="M758" s="120"/>
    </row>
    <row r="759">
      <c r="A759" s="120"/>
      <c r="B759" s="120"/>
      <c r="C759" s="120"/>
      <c r="D759" s="120"/>
      <c r="E759" s="120"/>
      <c r="F759" s="120"/>
      <c r="G759" s="120"/>
      <c r="H759" s="120"/>
      <c r="I759" s="120"/>
      <c r="J759" s="120"/>
      <c r="K759" s="120"/>
      <c r="L759" s="120"/>
      <c r="M759" s="120"/>
    </row>
    <row r="760">
      <c r="A760" s="120"/>
      <c r="B760" s="120"/>
      <c r="C760" s="120"/>
      <c r="D760" s="120"/>
      <c r="E760" s="120"/>
      <c r="F760" s="120"/>
      <c r="G760" s="120"/>
      <c r="H760" s="120"/>
      <c r="I760" s="120"/>
      <c r="J760" s="120"/>
      <c r="K760" s="120"/>
      <c r="L760" s="120"/>
      <c r="M760" s="120"/>
    </row>
    <row r="761">
      <c r="A761" s="120"/>
      <c r="B761" s="120"/>
      <c r="C761" s="120"/>
      <c r="D761" s="120"/>
      <c r="E761" s="120"/>
      <c r="F761" s="120"/>
      <c r="G761" s="120"/>
      <c r="H761" s="120"/>
      <c r="I761" s="120"/>
      <c r="J761" s="120"/>
      <c r="K761" s="120"/>
      <c r="L761" s="120"/>
      <c r="M761" s="120"/>
    </row>
    <row r="762">
      <c r="A762" s="120"/>
      <c r="B762" s="120"/>
      <c r="C762" s="120"/>
      <c r="D762" s="120"/>
      <c r="E762" s="120"/>
      <c r="F762" s="120"/>
      <c r="G762" s="120"/>
      <c r="H762" s="120"/>
      <c r="I762" s="120"/>
      <c r="J762" s="120"/>
      <c r="K762" s="120"/>
      <c r="L762" s="120"/>
      <c r="M762" s="120"/>
    </row>
    <row r="763">
      <c r="A763" s="120"/>
      <c r="B763" s="120"/>
      <c r="C763" s="120"/>
      <c r="D763" s="120"/>
      <c r="E763" s="120"/>
      <c r="F763" s="120"/>
      <c r="G763" s="120"/>
      <c r="H763" s="120"/>
      <c r="I763" s="120"/>
      <c r="J763" s="120"/>
      <c r="K763" s="120"/>
      <c r="L763" s="120"/>
      <c r="M763" s="120"/>
    </row>
    <row r="764">
      <c r="A764" s="120"/>
      <c r="B764" s="120"/>
      <c r="C764" s="120"/>
      <c r="D764" s="120"/>
      <c r="E764" s="120"/>
      <c r="F764" s="120"/>
      <c r="G764" s="120"/>
      <c r="H764" s="120"/>
      <c r="I764" s="120"/>
      <c r="J764" s="120"/>
      <c r="K764" s="120"/>
      <c r="L764" s="120"/>
      <c r="M764" s="120"/>
    </row>
    <row r="765">
      <c r="A765" s="120"/>
      <c r="B765" s="120"/>
      <c r="C765" s="120"/>
      <c r="D765" s="120"/>
      <c r="E765" s="120"/>
      <c r="F765" s="120"/>
      <c r="G765" s="120"/>
      <c r="H765" s="120"/>
      <c r="I765" s="120"/>
      <c r="J765" s="120"/>
      <c r="K765" s="120"/>
      <c r="L765" s="120"/>
      <c r="M765" s="120"/>
    </row>
    <row r="766">
      <c r="A766" s="120"/>
      <c r="B766" s="120"/>
      <c r="C766" s="120"/>
      <c r="D766" s="120"/>
      <c r="E766" s="120"/>
      <c r="F766" s="120"/>
      <c r="G766" s="120"/>
      <c r="H766" s="120"/>
      <c r="I766" s="120"/>
      <c r="J766" s="120"/>
      <c r="K766" s="120"/>
      <c r="L766" s="120"/>
      <c r="M766" s="120"/>
    </row>
    <row r="767">
      <c r="A767" s="120"/>
      <c r="B767" s="120"/>
      <c r="C767" s="120"/>
      <c r="D767" s="120"/>
      <c r="E767" s="120"/>
      <c r="F767" s="120"/>
      <c r="G767" s="120"/>
      <c r="H767" s="120"/>
      <c r="I767" s="120"/>
      <c r="J767" s="120"/>
      <c r="K767" s="120"/>
      <c r="L767" s="120"/>
      <c r="M767" s="120"/>
    </row>
    <row r="768">
      <c r="A768" s="120"/>
      <c r="B768" s="120"/>
      <c r="C768" s="120"/>
      <c r="D768" s="120"/>
      <c r="E768" s="120"/>
      <c r="F768" s="120"/>
      <c r="G768" s="120"/>
      <c r="H768" s="120"/>
      <c r="I768" s="120"/>
      <c r="J768" s="120"/>
      <c r="K768" s="120"/>
      <c r="L768" s="120"/>
      <c r="M768" s="120"/>
    </row>
    <row r="769">
      <c r="A769" s="120"/>
      <c r="B769" s="120"/>
      <c r="C769" s="120"/>
      <c r="D769" s="120"/>
      <c r="E769" s="120"/>
      <c r="F769" s="120"/>
      <c r="G769" s="120"/>
      <c r="H769" s="120"/>
      <c r="I769" s="120"/>
      <c r="J769" s="120"/>
      <c r="K769" s="120"/>
      <c r="L769" s="120"/>
      <c r="M769" s="120"/>
    </row>
    <row r="770">
      <c r="A770" s="120"/>
      <c r="B770" s="120"/>
      <c r="C770" s="120"/>
      <c r="D770" s="120"/>
      <c r="E770" s="120"/>
      <c r="F770" s="120"/>
      <c r="G770" s="120"/>
      <c r="H770" s="120"/>
      <c r="I770" s="120"/>
      <c r="J770" s="120"/>
      <c r="K770" s="120"/>
      <c r="L770" s="120"/>
      <c r="M770" s="120"/>
    </row>
    <row r="771">
      <c r="A771" s="120"/>
      <c r="B771" s="120"/>
      <c r="C771" s="120"/>
      <c r="D771" s="120"/>
      <c r="E771" s="120"/>
      <c r="F771" s="120"/>
      <c r="G771" s="120"/>
      <c r="H771" s="120"/>
      <c r="I771" s="120"/>
      <c r="J771" s="120"/>
      <c r="K771" s="120"/>
      <c r="L771" s="120"/>
      <c r="M771" s="120"/>
    </row>
    <row r="772">
      <c r="A772" s="120"/>
      <c r="B772" s="120"/>
      <c r="C772" s="120"/>
      <c r="D772" s="120"/>
      <c r="E772" s="120"/>
      <c r="F772" s="120"/>
      <c r="G772" s="120"/>
      <c r="H772" s="120"/>
      <c r="I772" s="120"/>
      <c r="J772" s="120"/>
      <c r="K772" s="120"/>
      <c r="L772" s="120"/>
      <c r="M772" s="120"/>
    </row>
    <row r="773">
      <c r="A773" s="120"/>
      <c r="B773" s="120"/>
      <c r="C773" s="120"/>
      <c r="D773" s="120"/>
      <c r="E773" s="120"/>
      <c r="F773" s="120"/>
      <c r="G773" s="120"/>
      <c r="H773" s="120"/>
      <c r="I773" s="120"/>
      <c r="J773" s="120"/>
      <c r="K773" s="120"/>
      <c r="L773" s="120"/>
      <c r="M773" s="120"/>
    </row>
    <row r="774">
      <c r="A774" s="120"/>
      <c r="B774" s="120"/>
      <c r="C774" s="120"/>
      <c r="D774" s="120"/>
      <c r="E774" s="120"/>
      <c r="F774" s="120"/>
      <c r="G774" s="120"/>
      <c r="H774" s="120"/>
      <c r="I774" s="120"/>
      <c r="J774" s="120"/>
      <c r="K774" s="120"/>
      <c r="L774" s="120"/>
      <c r="M774" s="120"/>
    </row>
    <row r="775">
      <c r="A775" s="120"/>
      <c r="B775" s="120"/>
      <c r="C775" s="120"/>
      <c r="D775" s="120"/>
      <c r="E775" s="120"/>
      <c r="F775" s="120"/>
      <c r="G775" s="120"/>
      <c r="H775" s="120"/>
      <c r="I775" s="120"/>
      <c r="J775" s="120"/>
      <c r="K775" s="120"/>
      <c r="L775" s="120"/>
      <c r="M775" s="120"/>
    </row>
    <row r="776">
      <c r="A776" s="120"/>
      <c r="B776" s="120"/>
      <c r="C776" s="120"/>
      <c r="D776" s="120"/>
      <c r="E776" s="120"/>
      <c r="F776" s="120"/>
      <c r="G776" s="120"/>
      <c r="H776" s="120"/>
      <c r="I776" s="120"/>
      <c r="J776" s="120"/>
      <c r="K776" s="120"/>
      <c r="L776" s="120"/>
      <c r="M776" s="120"/>
    </row>
    <row r="777">
      <c r="A777" s="120"/>
      <c r="B777" s="120"/>
      <c r="C777" s="120"/>
      <c r="D777" s="120"/>
      <c r="E777" s="120"/>
      <c r="F777" s="120"/>
      <c r="G777" s="120"/>
      <c r="H777" s="120"/>
      <c r="I777" s="120"/>
      <c r="J777" s="120"/>
      <c r="K777" s="120"/>
      <c r="L777" s="120"/>
      <c r="M777" s="120"/>
    </row>
    <row r="778">
      <c r="A778" s="120"/>
      <c r="B778" s="120"/>
      <c r="C778" s="120"/>
      <c r="D778" s="120"/>
      <c r="E778" s="120"/>
      <c r="F778" s="120"/>
      <c r="G778" s="120"/>
      <c r="H778" s="120"/>
      <c r="I778" s="120"/>
      <c r="J778" s="120"/>
      <c r="K778" s="120"/>
      <c r="L778" s="120"/>
      <c r="M778" s="120"/>
    </row>
    <row r="779">
      <c r="A779" s="120"/>
      <c r="B779" s="120"/>
      <c r="C779" s="120"/>
      <c r="D779" s="120"/>
      <c r="E779" s="120"/>
      <c r="F779" s="120"/>
      <c r="G779" s="120"/>
      <c r="H779" s="120"/>
      <c r="I779" s="120"/>
      <c r="J779" s="120"/>
      <c r="K779" s="120"/>
      <c r="L779" s="120"/>
      <c r="M779" s="120"/>
    </row>
    <row r="780">
      <c r="A780" s="120"/>
      <c r="B780" s="120"/>
      <c r="C780" s="120"/>
      <c r="D780" s="120"/>
      <c r="E780" s="120"/>
      <c r="F780" s="120"/>
      <c r="G780" s="120"/>
      <c r="H780" s="120"/>
      <c r="I780" s="120"/>
      <c r="J780" s="120"/>
      <c r="K780" s="120"/>
      <c r="L780" s="120"/>
      <c r="M780" s="120"/>
    </row>
    <row r="781">
      <c r="A781" s="120"/>
      <c r="B781" s="120"/>
      <c r="C781" s="120"/>
      <c r="D781" s="120"/>
      <c r="E781" s="120"/>
      <c r="F781" s="120"/>
      <c r="G781" s="120"/>
      <c r="H781" s="120"/>
      <c r="I781" s="120"/>
      <c r="J781" s="120"/>
      <c r="K781" s="120"/>
      <c r="L781" s="120"/>
      <c r="M781" s="120"/>
    </row>
    <row r="782">
      <c r="A782" s="120"/>
      <c r="B782" s="120"/>
      <c r="C782" s="120"/>
      <c r="D782" s="120"/>
      <c r="E782" s="120"/>
      <c r="F782" s="120"/>
      <c r="G782" s="120"/>
      <c r="H782" s="120"/>
      <c r="I782" s="120"/>
      <c r="J782" s="120"/>
      <c r="K782" s="120"/>
      <c r="L782" s="120"/>
      <c r="M782" s="120"/>
    </row>
    <row r="783">
      <c r="A783" s="120"/>
      <c r="B783" s="120"/>
      <c r="C783" s="120"/>
      <c r="D783" s="120"/>
      <c r="E783" s="120"/>
      <c r="F783" s="120"/>
      <c r="G783" s="120"/>
      <c r="H783" s="120"/>
      <c r="I783" s="120"/>
      <c r="J783" s="120"/>
      <c r="K783" s="120"/>
      <c r="L783" s="120"/>
      <c r="M783" s="120"/>
    </row>
    <row r="784">
      <c r="A784" s="120"/>
      <c r="B784" s="120"/>
      <c r="C784" s="120"/>
      <c r="D784" s="120"/>
      <c r="E784" s="120"/>
      <c r="F784" s="120"/>
      <c r="G784" s="120"/>
      <c r="H784" s="120"/>
      <c r="I784" s="120"/>
      <c r="J784" s="120"/>
      <c r="K784" s="120"/>
      <c r="L784" s="120"/>
      <c r="M784" s="120"/>
    </row>
    <row r="785">
      <c r="A785" s="120"/>
      <c r="B785" s="120"/>
      <c r="C785" s="120"/>
      <c r="D785" s="120"/>
      <c r="E785" s="120"/>
      <c r="F785" s="120"/>
      <c r="G785" s="120"/>
      <c r="H785" s="120"/>
      <c r="I785" s="120"/>
      <c r="J785" s="120"/>
      <c r="K785" s="120"/>
      <c r="L785" s="120"/>
      <c r="M785" s="120"/>
    </row>
    <row r="786">
      <c r="A786" s="120"/>
      <c r="B786" s="120"/>
      <c r="C786" s="120"/>
      <c r="D786" s="120"/>
      <c r="E786" s="120"/>
      <c r="F786" s="120"/>
      <c r="G786" s="120"/>
      <c r="H786" s="120"/>
      <c r="I786" s="120"/>
      <c r="J786" s="120"/>
      <c r="K786" s="120"/>
      <c r="L786" s="120"/>
      <c r="M786" s="120"/>
    </row>
    <row r="787">
      <c r="A787" s="120"/>
      <c r="B787" s="120"/>
      <c r="C787" s="120"/>
      <c r="D787" s="120"/>
      <c r="E787" s="120"/>
      <c r="F787" s="120"/>
      <c r="G787" s="120"/>
      <c r="H787" s="120"/>
      <c r="I787" s="120"/>
      <c r="J787" s="120"/>
      <c r="K787" s="120"/>
      <c r="L787" s="120"/>
      <c r="M787" s="120"/>
    </row>
    <row r="788">
      <c r="A788" s="120"/>
      <c r="B788" s="120"/>
      <c r="C788" s="120"/>
      <c r="D788" s="120"/>
      <c r="E788" s="120"/>
      <c r="F788" s="120"/>
      <c r="G788" s="120"/>
      <c r="H788" s="120"/>
      <c r="I788" s="120"/>
      <c r="J788" s="120"/>
      <c r="K788" s="120"/>
      <c r="L788" s="120"/>
      <c r="M788" s="120"/>
    </row>
    <row r="789">
      <c r="A789" s="120"/>
      <c r="B789" s="120"/>
      <c r="C789" s="120"/>
      <c r="D789" s="120"/>
      <c r="E789" s="120"/>
      <c r="F789" s="120"/>
      <c r="G789" s="120"/>
      <c r="H789" s="120"/>
      <c r="I789" s="120"/>
      <c r="J789" s="120"/>
      <c r="K789" s="120"/>
      <c r="L789" s="120"/>
      <c r="M789" s="120"/>
    </row>
    <row r="790">
      <c r="A790" s="120"/>
      <c r="B790" s="120"/>
      <c r="C790" s="120"/>
      <c r="D790" s="120"/>
      <c r="E790" s="120"/>
      <c r="F790" s="120"/>
      <c r="G790" s="120"/>
      <c r="H790" s="120"/>
      <c r="I790" s="120"/>
      <c r="J790" s="120"/>
      <c r="K790" s="120"/>
      <c r="L790" s="120"/>
      <c r="M790" s="120"/>
    </row>
    <row r="791">
      <c r="A791" s="120"/>
      <c r="B791" s="120"/>
      <c r="C791" s="120"/>
      <c r="D791" s="120"/>
      <c r="E791" s="120"/>
      <c r="F791" s="120"/>
      <c r="G791" s="120"/>
      <c r="H791" s="120"/>
      <c r="I791" s="120"/>
      <c r="J791" s="120"/>
      <c r="K791" s="120"/>
      <c r="L791" s="120"/>
      <c r="M791" s="120"/>
    </row>
    <row r="792">
      <c r="A792" s="120"/>
      <c r="B792" s="120"/>
      <c r="C792" s="120"/>
      <c r="D792" s="120"/>
      <c r="E792" s="120"/>
      <c r="F792" s="120"/>
      <c r="G792" s="120"/>
      <c r="H792" s="120"/>
      <c r="I792" s="120"/>
      <c r="J792" s="120"/>
      <c r="K792" s="120"/>
      <c r="L792" s="120"/>
      <c r="M792" s="120"/>
    </row>
    <row r="793">
      <c r="A793" s="120"/>
      <c r="B793" s="120"/>
      <c r="C793" s="120"/>
      <c r="D793" s="120"/>
      <c r="E793" s="120"/>
      <c r="F793" s="120"/>
      <c r="G793" s="120"/>
      <c r="H793" s="120"/>
      <c r="I793" s="120"/>
      <c r="J793" s="120"/>
      <c r="K793" s="120"/>
      <c r="L793" s="120"/>
      <c r="M793" s="120"/>
    </row>
    <row r="794">
      <c r="A794" s="120"/>
      <c r="B794" s="120"/>
      <c r="C794" s="120"/>
      <c r="D794" s="120"/>
      <c r="E794" s="120"/>
      <c r="F794" s="120"/>
      <c r="G794" s="120"/>
      <c r="H794" s="120"/>
      <c r="I794" s="120"/>
      <c r="J794" s="120"/>
      <c r="K794" s="120"/>
      <c r="L794" s="120"/>
      <c r="M794" s="120"/>
    </row>
    <row r="795">
      <c r="A795" s="120"/>
      <c r="B795" s="120"/>
      <c r="C795" s="120"/>
      <c r="D795" s="120"/>
      <c r="E795" s="120"/>
      <c r="F795" s="120"/>
      <c r="G795" s="120"/>
      <c r="H795" s="120"/>
      <c r="I795" s="120"/>
      <c r="J795" s="120"/>
      <c r="K795" s="120"/>
      <c r="L795" s="120"/>
      <c r="M795" s="120"/>
    </row>
    <row r="796">
      <c r="A796" s="120"/>
      <c r="B796" s="120"/>
      <c r="C796" s="120"/>
      <c r="D796" s="120"/>
      <c r="E796" s="120"/>
      <c r="F796" s="120"/>
      <c r="G796" s="120"/>
      <c r="H796" s="120"/>
      <c r="I796" s="120"/>
      <c r="J796" s="120"/>
      <c r="K796" s="120"/>
      <c r="L796" s="120"/>
      <c r="M796" s="120"/>
    </row>
    <row r="797">
      <c r="A797" s="120"/>
      <c r="B797" s="120"/>
      <c r="C797" s="120"/>
      <c r="D797" s="120"/>
      <c r="E797" s="120"/>
      <c r="F797" s="120"/>
      <c r="G797" s="120"/>
      <c r="H797" s="120"/>
      <c r="I797" s="120"/>
      <c r="J797" s="120"/>
      <c r="K797" s="120"/>
      <c r="L797" s="120"/>
      <c r="M797" s="120"/>
    </row>
    <row r="798">
      <c r="A798" s="120"/>
      <c r="B798" s="120"/>
      <c r="C798" s="120"/>
      <c r="D798" s="120"/>
      <c r="E798" s="120"/>
      <c r="F798" s="120"/>
      <c r="G798" s="120"/>
      <c r="H798" s="120"/>
      <c r="I798" s="120"/>
      <c r="J798" s="120"/>
      <c r="K798" s="120"/>
      <c r="L798" s="120"/>
      <c r="M798" s="120"/>
    </row>
    <row r="799">
      <c r="A799" s="120"/>
      <c r="B799" s="120"/>
      <c r="C799" s="120"/>
      <c r="D799" s="120"/>
      <c r="E799" s="120"/>
      <c r="F799" s="120"/>
      <c r="G799" s="120"/>
      <c r="H799" s="120"/>
      <c r="I799" s="120"/>
      <c r="J799" s="120"/>
      <c r="K799" s="120"/>
      <c r="L799" s="120"/>
      <c r="M799" s="120"/>
    </row>
    <row r="800">
      <c r="A800" s="120"/>
      <c r="B800" s="120"/>
      <c r="C800" s="120"/>
      <c r="D800" s="120"/>
      <c r="E800" s="120"/>
      <c r="F800" s="120"/>
      <c r="G800" s="120"/>
      <c r="H800" s="120"/>
      <c r="I800" s="120"/>
      <c r="J800" s="120"/>
      <c r="K800" s="120"/>
      <c r="L800" s="120"/>
      <c r="M800" s="120"/>
    </row>
    <row r="801">
      <c r="A801" s="120"/>
      <c r="B801" s="120"/>
      <c r="C801" s="120"/>
      <c r="D801" s="120"/>
      <c r="E801" s="120"/>
      <c r="F801" s="120"/>
      <c r="G801" s="120"/>
      <c r="H801" s="120"/>
      <c r="I801" s="120"/>
      <c r="J801" s="120"/>
      <c r="K801" s="120"/>
      <c r="L801" s="120"/>
      <c r="M801" s="120"/>
    </row>
    <row r="802">
      <c r="A802" s="120"/>
      <c r="B802" s="120"/>
      <c r="C802" s="120"/>
      <c r="D802" s="120"/>
      <c r="E802" s="120"/>
      <c r="F802" s="120"/>
      <c r="G802" s="120"/>
      <c r="H802" s="120"/>
      <c r="I802" s="120"/>
      <c r="J802" s="120"/>
      <c r="K802" s="120"/>
      <c r="L802" s="120"/>
      <c r="M802" s="120"/>
    </row>
    <row r="803">
      <c r="A803" s="120"/>
      <c r="B803" s="120"/>
      <c r="C803" s="120"/>
      <c r="D803" s="120"/>
      <c r="E803" s="120"/>
      <c r="F803" s="120"/>
      <c r="G803" s="120"/>
      <c r="H803" s="120"/>
      <c r="I803" s="120"/>
      <c r="J803" s="120"/>
      <c r="K803" s="120"/>
      <c r="L803" s="120"/>
      <c r="M803" s="120"/>
    </row>
    <row r="804">
      <c r="A804" s="120"/>
      <c r="B804" s="120"/>
      <c r="C804" s="120"/>
      <c r="D804" s="120"/>
      <c r="E804" s="120"/>
      <c r="F804" s="120"/>
      <c r="G804" s="120"/>
      <c r="H804" s="120"/>
      <c r="I804" s="120"/>
      <c r="J804" s="120"/>
      <c r="K804" s="120"/>
      <c r="L804" s="120"/>
      <c r="M804" s="120"/>
    </row>
    <row r="805">
      <c r="A805" s="120"/>
      <c r="B805" s="120"/>
      <c r="C805" s="120"/>
      <c r="D805" s="120"/>
      <c r="E805" s="120"/>
      <c r="F805" s="120"/>
      <c r="G805" s="120"/>
      <c r="H805" s="120"/>
      <c r="I805" s="120"/>
      <c r="J805" s="120"/>
      <c r="K805" s="120"/>
      <c r="L805" s="120"/>
      <c r="M805" s="120"/>
    </row>
    <row r="806">
      <c r="A806" s="120"/>
      <c r="B806" s="120"/>
      <c r="C806" s="120"/>
      <c r="D806" s="120"/>
      <c r="E806" s="120"/>
      <c r="F806" s="120"/>
      <c r="G806" s="120"/>
      <c r="H806" s="120"/>
      <c r="I806" s="120"/>
      <c r="J806" s="120"/>
      <c r="K806" s="120"/>
      <c r="L806" s="120"/>
      <c r="M806" s="120"/>
    </row>
    <row r="807">
      <c r="A807" s="120"/>
      <c r="B807" s="120"/>
      <c r="C807" s="120"/>
      <c r="D807" s="120"/>
      <c r="E807" s="120"/>
      <c r="F807" s="120"/>
      <c r="G807" s="120"/>
      <c r="H807" s="120"/>
      <c r="I807" s="120"/>
      <c r="J807" s="120"/>
      <c r="K807" s="120"/>
      <c r="L807" s="120"/>
      <c r="M807" s="120"/>
    </row>
    <row r="808">
      <c r="A808" s="120"/>
      <c r="B808" s="120"/>
      <c r="C808" s="120"/>
      <c r="D808" s="120"/>
      <c r="E808" s="120"/>
      <c r="F808" s="120"/>
      <c r="G808" s="120"/>
      <c r="H808" s="120"/>
      <c r="I808" s="120"/>
      <c r="J808" s="120"/>
      <c r="K808" s="120"/>
      <c r="L808" s="120"/>
      <c r="M808" s="120"/>
    </row>
    <row r="809">
      <c r="A809" s="120"/>
      <c r="B809" s="120"/>
      <c r="C809" s="120"/>
      <c r="D809" s="120"/>
      <c r="E809" s="120"/>
      <c r="F809" s="120"/>
      <c r="G809" s="120"/>
      <c r="H809" s="120"/>
      <c r="I809" s="120"/>
      <c r="J809" s="120"/>
      <c r="K809" s="120"/>
      <c r="L809" s="120"/>
      <c r="M809" s="120"/>
    </row>
    <row r="810">
      <c r="A810" s="120"/>
      <c r="B810" s="120"/>
      <c r="C810" s="120"/>
      <c r="D810" s="120"/>
      <c r="E810" s="120"/>
      <c r="F810" s="120"/>
      <c r="G810" s="120"/>
      <c r="H810" s="120"/>
      <c r="I810" s="120"/>
      <c r="J810" s="120"/>
      <c r="K810" s="120"/>
      <c r="L810" s="120"/>
      <c r="M810" s="120"/>
    </row>
    <row r="811">
      <c r="A811" s="120"/>
      <c r="B811" s="120"/>
      <c r="C811" s="120"/>
      <c r="D811" s="120"/>
      <c r="E811" s="120"/>
      <c r="F811" s="120"/>
      <c r="G811" s="120"/>
      <c r="H811" s="120"/>
      <c r="I811" s="120"/>
      <c r="J811" s="120"/>
      <c r="K811" s="120"/>
      <c r="L811" s="120"/>
      <c r="M811" s="120"/>
    </row>
    <row r="812">
      <c r="A812" s="120"/>
      <c r="B812" s="120"/>
      <c r="C812" s="120"/>
      <c r="D812" s="120"/>
      <c r="E812" s="120"/>
      <c r="F812" s="120"/>
      <c r="G812" s="120"/>
      <c r="H812" s="120"/>
      <c r="I812" s="120"/>
      <c r="J812" s="120"/>
      <c r="K812" s="120"/>
      <c r="L812" s="120"/>
      <c r="M812" s="120"/>
    </row>
    <row r="813">
      <c r="A813" s="120"/>
      <c r="B813" s="120"/>
      <c r="C813" s="120"/>
      <c r="D813" s="120"/>
      <c r="E813" s="120"/>
      <c r="F813" s="120"/>
      <c r="G813" s="120"/>
      <c r="H813" s="120"/>
      <c r="I813" s="120"/>
      <c r="J813" s="120"/>
      <c r="K813" s="120"/>
      <c r="L813" s="120"/>
      <c r="M813" s="120"/>
    </row>
    <row r="814">
      <c r="A814" s="120"/>
      <c r="B814" s="120"/>
      <c r="C814" s="120"/>
      <c r="D814" s="120"/>
      <c r="E814" s="120"/>
      <c r="F814" s="120"/>
      <c r="G814" s="120"/>
      <c r="H814" s="120"/>
      <c r="I814" s="120"/>
      <c r="J814" s="120"/>
      <c r="K814" s="120"/>
      <c r="L814" s="120"/>
      <c r="M814" s="120"/>
    </row>
    <row r="815">
      <c r="A815" s="120"/>
      <c r="B815" s="120"/>
      <c r="C815" s="120"/>
      <c r="D815" s="120"/>
      <c r="E815" s="120"/>
      <c r="F815" s="120"/>
      <c r="G815" s="120"/>
      <c r="H815" s="120"/>
      <c r="I815" s="120"/>
      <c r="J815" s="120"/>
      <c r="K815" s="120"/>
      <c r="L815" s="120"/>
      <c r="M815" s="120"/>
    </row>
    <row r="816">
      <c r="A816" s="120"/>
      <c r="B816" s="120"/>
      <c r="C816" s="120"/>
      <c r="D816" s="120"/>
      <c r="E816" s="120"/>
      <c r="F816" s="120"/>
      <c r="G816" s="120"/>
      <c r="H816" s="120"/>
      <c r="I816" s="120"/>
      <c r="J816" s="120"/>
      <c r="K816" s="120"/>
      <c r="L816" s="120"/>
      <c r="M816" s="120"/>
    </row>
    <row r="817">
      <c r="A817" s="120"/>
      <c r="B817" s="120"/>
      <c r="C817" s="120"/>
      <c r="D817" s="120"/>
      <c r="E817" s="120"/>
      <c r="F817" s="120"/>
      <c r="G817" s="120"/>
      <c r="H817" s="120"/>
      <c r="I817" s="120"/>
      <c r="J817" s="120"/>
      <c r="K817" s="120"/>
      <c r="L817" s="120"/>
      <c r="M817" s="120"/>
    </row>
    <row r="818">
      <c r="A818" s="120"/>
      <c r="B818" s="120"/>
      <c r="C818" s="120"/>
      <c r="D818" s="120"/>
      <c r="E818" s="120"/>
      <c r="F818" s="120"/>
      <c r="G818" s="120"/>
      <c r="H818" s="120"/>
      <c r="I818" s="120"/>
      <c r="J818" s="120"/>
      <c r="K818" s="120"/>
      <c r="L818" s="120"/>
      <c r="M818" s="120"/>
    </row>
    <row r="819">
      <c r="A819" s="120"/>
      <c r="B819" s="120"/>
      <c r="C819" s="120"/>
      <c r="D819" s="120"/>
      <c r="E819" s="120"/>
      <c r="F819" s="120"/>
      <c r="G819" s="120"/>
      <c r="H819" s="120"/>
      <c r="I819" s="120"/>
      <c r="J819" s="120"/>
      <c r="K819" s="120"/>
      <c r="L819" s="120"/>
      <c r="M819" s="120"/>
    </row>
    <row r="820">
      <c r="A820" s="120"/>
      <c r="B820" s="120"/>
      <c r="C820" s="120"/>
      <c r="D820" s="120"/>
      <c r="E820" s="120"/>
      <c r="F820" s="120"/>
      <c r="G820" s="120"/>
      <c r="H820" s="120"/>
      <c r="I820" s="120"/>
      <c r="J820" s="120"/>
      <c r="K820" s="120"/>
      <c r="L820" s="120"/>
      <c r="M820" s="120"/>
    </row>
    <row r="821">
      <c r="A821" s="120"/>
      <c r="B821" s="120"/>
      <c r="C821" s="120"/>
      <c r="D821" s="120"/>
      <c r="E821" s="120"/>
      <c r="F821" s="120"/>
      <c r="G821" s="120"/>
      <c r="H821" s="120"/>
      <c r="I821" s="120"/>
      <c r="J821" s="120"/>
      <c r="K821" s="120"/>
      <c r="L821" s="120"/>
      <c r="M821" s="120"/>
    </row>
    <row r="822">
      <c r="A822" s="120"/>
      <c r="B822" s="120"/>
      <c r="C822" s="120"/>
      <c r="D822" s="120"/>
      <c r="E822" s="120"/>
      <c r="F822" s="120"/>
      <c r="G822" s="120"/>
      <c r="H822" s="120"/>
      <c r="I822" s="120"/>
      <c r="J822" s="120"/>
      <c r="K822" s="120"/>
      <c r="L822" s="120"/>
      <c r="M822" s="120"/>
    </row>
    <row r="823">
      <c r="A823" s="120"/>
      <c r="B823" s="120"/>
      <c r="C823" s="120"/>
      <c r="D823" s="120"/>
      <c r="E823" s="120"/>
      <c r="F823" s="120"/>
      <c r="G823" s="120"/>
      <c r="H823" s="120"/>
      <c r="I823" s="120"/>
      <c r="J823" s="120"/>
      <c r="K823" s="120"/>
      <c r="L823" s="120"/>
      <c r="M823" s="120"/>
    </row>
    <row r="824">
      <c r="A824" s="120"/>
      <c r="B824" s="120"/>
      <c r="C824" s="120"/>
      <c r="D824" s="120"/>
      <c r="E824" s="120"/>
      <c r="F824" s="120"/>
      <c r="G824" s="120"/>
      <c r="H824" s="120"/>
      <c r="I824" s="120"/>
      <c r="J824" s="120"/>
      <c r="K824" s="120"/>
      <c r="L824" s="120"/>
      <c r="M824" s="120"/>
    </row>
    <row r="825">
      <c r="A825" s="120"/>
      <c r="B825" s="120"/>
      <c r="C825" s="120"/>
      <c r="D825" s="120"/>
      <c r="E825" s="120"/>
      <c r="F825" s="120"/>
      <c r="G825" s="120"/>
      <c r="H825" s="120"/>
      <c r="I825" s="120"/>
      <c r="J825" s="120"/>
      <c r="K825" s="120"/>
      <c r="L825" s="120"/>
      <c r="M825" s="120"/>
    </row>
    <row r="826">
      <c r="A826" s="120"/>
      <c r="B826" s="120"/>
      <c r="C826" s="120"/>
      <c r="D826" s="120"/>
      <c r="E826" s="120"/>
      <c r="F826" s="120"/>
      <c r="G826" s="120"/>
      <c r="H826" s="120"/>
      <c r="I826" s="120"/>
      <c r="J826" s="120"/>
      <c r="K826" s="120"/>
      <c r="L826" s="120"/>
      <c r="M826" s="120"/>
    </row>
    <row r="827">
      <c r="A827" s="120"/>
      <c r="B827" s="120"/>
      <c r="C827" s="120"/>
      <c r="D827" s="120"/>
      <c r="E827" s="120"/>
      <c r="F827" s="120"/>
      <c r="G827" s="120"/>
      <c r="H827" s="120"/>
      <c r="I827" s="120"/>
      <c r="J827" s="120"/>
      <c r="K827" s="120"/>
      <c r="L827" s="120"/>
      <c r="M827" s="120"/>
    </row>
    <row r="828">
      <c r="A828" s="120"/>
      <c r="B828" s="120"/>
      <c r="C828" s="120"/>
      <c r="D828" s="120"/>
      <c r="E828" s="120"/>
      <c r="F828" s="120"/>
      <c r="G828" s="120"/>
      <c r="H828" s="120"/>
      <c r="I828" s="120"/>
      <c r="J828" s="120"/>
      <c r="K828" s="120"/>
      <c r="L828" s="120"/>
      <c r="M828" s="120"/>
    </row>
    <row r="829">
      <c r="A829" s="120"/>
      <c r="B829" s="120"/>
      <c r="C829" s="120"/>
      <c r="D829" s="120"/>
      <c r="E829" s="120"/>
      <c r="F829" s="120"/>
      <c r="G829" s="120"/>
      <c r="H829" s="120"/>
      <c r="I829" s="120"/>
      <c r="J829" s="120"/>
      <c r="K829" s="120"/>
      <c r="L829" s="120"/>
      <c r="M829" s="120"/>
    </row>
    <row r="830">
      <c r="A830" s="120"/>
      <c r="B830" s="120"/>
      <c r="C830" s="120"/>
      <c r="D830" s="120"/>
      <c r="E830" s="120"/>
      <c r="F830" s="120"/>
      <c r="G830" s="120"/>
      <c r="H830" s="120"/>
      <c r="I830" s="120"/>
      <c r="J830" s="120"/>
      <c r="K830" s="120"/>
      <c r="L830" s="120"/>
      <c r="M830" s="120"/>
    </row>
    <row r="831">
      <c r="A831" s="120"/>
      <c r="B831" s="120"/>
      <c r="C831" s="120"/>
      <c r="D831" s="120"/>
      <c r="E831" s="120"/>
      <c r="F831" s="120"/>
      <c r="G831" s="120"/>
      <c r="H831" s="120"/>
      <c r="I831" s="120"/>
      <c r="J831" s="120"/>
      <c r="K831" s="120"/>
      <c r="L831" s="120"/>
      <c r="M831" s="120"/>
    </row>
    <row r="832">
      <c r="A832" s="120"/>
      <c r="B832" s="120"/>
      <c r="C832" s="120"/>
      <c r="D832" s="120"/>
      <c r="E832" s="120"/>
      <c r="F832" s="120"/>
      <c r="G832" s="120"/>
      <c r="H832" s="120"/>
      <c r="I832" s="120"/>
      <c r="J832" s="120"/>
      <c r="K832" s="120"/>
      <c r="L832" s="120"/>
      <c r="M832" s="120"/>
    </row>
    <row r="833">
      <c r="A833" s="120"/>
      <c r="B833" s="120"/>
      <c r="C833" s="120"/>
      <c r="D833" s="120"/>
      <c r="E833" s="120"/>
      <c r="F833" s="120"/>
      <c r="G833" s="120"/>
      <c r="H833" s="120"/>
      <c r="I833" s="120"/>
      <c r="J833" s="120"/>
      <c r="K833" s="120"/>
      <c r="L833" s="120"/>
      <c r="M833" s="120"/>
    </row>
    <row r="834">
      <c r="A834" s="120"/>
      <c r="B834" s="120"/>
      <c r="C834" s="120"/>
      <c r="D834" s="120"/>
      <c r="E834" s="120"/>
      <c r="F834" s="120"/>
      <c r="G834" s="120"/>
      <c r="H834" s="120"/>
      <c r="I834" s="120"/>
      <c r="J834" s="120"/>
      <c r="K834" s="120"/>
      <c r="L834" s="120"/>
      <c r="M834" s="120"/>
    </row>
    <row r="835">
      <c r="A835" s="120"/>
      <c r="B835" s="120"/>
      <c r="C835" s="120"/>
      <c r="D835" s="120"/>
      <c r="E835" s="120"/>
      <c r="F835" s="120"/>
      <c r="G835" s="120"/>
      <c r="H835" s="120"/>
      <c r="I835" s="120"/>
      <c r="J835" s="120"/>
      <c r="K835" s="120"/>
      <c r="L835" s="120"/>
      <c r="M835" s="120"/>
    </row>
    <row r="836">
      <c r="A836" s="120"/>
      <c r="B836" s="120"/>
      <c r="C836" s="120"/>
      <c r="D836" s="120"/>
      <c r="E836" s="120"/>
      <c r="F836" s="120"/>
      <c r="G836" s="120"/>
      <c r="H836" s="120"/>
      <c r="I836" s="120"/>
      <c r="J836" s="120"/>
      <c r="K836" s="120"/>
      <c r="L836" s="120"/>
      <c r="M836" s="120"/>
    </row>
    <row r="837">
      <c r="A837" s="120"/>
      <c r="B837" s="120"/>
      <c r="C837" s="120"/>
      <c r="D837" s="120"/>
      <c r="E837" s="120"/>
      <c r="F837" s="120"/>
      <c r="G837" s="120"/>
      <c r="H837" s="120"/>
      <c r="I837" s="120"/>
      <c r="J837" s="120"/>
      <c r="K837" s="120"/>
      <c r="L837" s="120"/>
      <c r="M837" s="120"/>
    </row>
    <row r="838">
      <c r="A838" s="120"/>
      <c r="B838" s="120"/>
      <c r="C838" s="120"/>
      <c r="D838" s="120"/>
      <c r="E838" s="120"/>
      <c r="F838" s="120"/>
      <c r="G838" s="120"/>
      <c r="H838" s="120"/>
      <c r="I838" s="120"/>
      <c r="J838" s="120"/>
      <c r="K838" s="120"/>
      <c r="L838" s="120"/>
      <c r="M838" s="120"/>
    </row>
    <row r="839">
      <c r="A839" s="120"/>
      <c r="B839" s="120"/>
      <c r="C839" s="120"/>
      <c r="D839" s="120"/>
      <c r="E839" s="120"/>
      <c r="F839" s="120"/>
      <c r="G839" s="120"/>
      <c r="H839" s="120"/>
      <c r="I839" s="120"/>
      <c r="J839" s="120"/>
      <c r="K839" s="120"/>
      <c r="L839" s="120"/>
      <c r="M839" s="120"/>
    </row>
    <row r="840">
      <c r="A840" s="120"/>
      <c r="B840" s="120"/>
      <c r="C840" s="120"/>
      <c r="D840" s="120"/>
      <c r="E840" s="120"/>
      <c r="F840" s="120"/>
      <c r="G840" s="120"/>
      <c r="H840" s="120"/>
      <c r="I840" s="120"/>
      <c r="J840" s="120"/>
      <c r="K840" s="120"/>
      <c r="L840" s="120"/>
      <c r="M840" s="120"/>
    </row>
    <row r="841">
      <c r="A841" s="120"/>
      <c r="B841" s="120"/>
      <c r="C841" s="120"/>
      <c r="D841" s="120"/>
      <c r="E841" s="120"/>
      <c r="F841" s="120"/>
      <c r="G841" s="120"/>
      <c r="H841" s="120"/>
      <c r="I841" s="120"/>
      <c r="J841" s="120"/>
      <c r="K841" s="120"/>
      <c r="L841" s="120"/>
      <c r="M841" s="120"/>
    </row>
    <row r="842">
      <c r="A842" s="120"/>
      <c r="B842" s="120"/>
      <c r="C842" s="120"/>
      <c r="D842" s="120"/>
      <c r="E842" s="120"/>
      <c r="F842" s="120"/>
      <c r="G842" s="120"/>
      <c r="H842" s="120"/>
      <c r="I842" s="120"/>
      <c r="J842" s="120"/>
      <c r="K842" s="120"/>
      <c r="L842" s="120"/>
      <c r="M842" s="120"/>
    </row>
    <row r="843">
      <c r="A843" s="120"/>
      <c r="B843" s="120"/>
      <c r="C843" s="120"/>
      <c r="D843" s="120"/>
      <c r="E843" s="120"/>
      <c r="F843" s="120"/>
      <c r="G843" s="120"/>
      <c r="H843" s="120"/>
      <c r="I843" s="120"/>
      <c r="J843" s="120"/>
      <c r="K843" s="120"/>
      <c r="L843" s="120"/>
      <c r="M843" s="120"/>
    </row>
    <row r="844">
      <c r="A844" s="120"/>
      <c r="B844" s="120"/>
      <c r="C844" s="120"/>
      <c r="D844" s="120"/>
      <c r="E844" s="120"/>
      <c r="F844" s="120"/>
      <c r="G844" s="120"/>
      <c r="H844" s="120"/>
      <c r="I844" s="120"/>
      <c r="J844" s="120"/>
      <c r="K844" s="120"/>
      <c r="L844" s="120"/>
      <c r="M844" s="120"/>
    </row>
    <row r="845">
      <c r="A845" s="120"/>
      <c r="B845" s="120"/>
      <c r="C845" s="120"/>
      <c r="D845" s="120"/>
      <c r="E845" s="120"/>
      <c r="F845" s="120"/>
      <c r="G845" s="120"/>
      <c r="H845" s="120"/>
      <c r="I845" s="120"/>
      <c r="J845" s="120"/>
      <c r="K845" s="120"/>
      <c r="L845" s="120"/>
      <c r="M845" s="120"/>
    </row>
    <row r="846">
      <c r="A846" s="120"/>
      <c r="B846" s="120"/>
      <c r="C846" s="120"/>
      <c r="D846" s="120"/>
      <c r="E846" s="120"/>
      <c r="F846" s="120"/>
      <c r="G846" s="120"/>
      <c r="H846" s="120"/>
      <c r="I846" s="120"/>
      <c r="J846" s="120"/>
      <c r="K846" s="120"/>
      <c r="L846" s="120"/>
      <c r="M846" s="120"/>
    </row>
    <row r="847">
      <c r="A847" s="120"/>
      <c r="B847" s="120"/>
      <c r="C847" s="120"/>
      <c r="D847" s="120"/>
      <c r="E847" s="120"/>
      <c r="F847" s="120"/>
      <c r="G847" s="120"/>
      <c r="H847" s="120"/>
      <c r="I847" s="120"/>
      <c r="J847" s="120"/>
      <c r="K847" s="120"/>
      <c r="L847" s="120"/>
      <c r="M847" s="120"/>
    </row>
    <row r="848">
      <c r="A848" s="120"/>
      <c r="B848" s="120"/>
      <c r="C848" s="120"/>
      <c r="D848" s="120"/>
      <c r="E848" s="120"/>
      <c r="F848" s="120"/>
      <c r="G848" s="120"/>
      <c r="H848" s="120"/>
      <c r="I848" s="120"/>
      <c r="J848" s="120"/>
      <c r="K848" s="120"/>
      <c r="L848" s="120"/>
      <c r="M848" s="120"/>
    </row>
    <row r="849">
      <c r="A849" s="120"/>
      <c r="B849" s="120"/>
      <c r="C849" s="120"/>
      <c r="D849" s="120"/>
      <c r="E849" s="120"/>
      <c r="F849" s="120"/>
      <c r="G849" s="120"/>
      <c r="H849" s="120"/>
      <c r="I849" s="120"/>
      <c r="J849" s="120"/>
      <c r="K849" s="120"/>
      <c r="L849" s="120"/>
      <c r="M849" s="120"/>
    </row>
    <row r="850">
      <c r="A850" s="120"/>
      <c r="B850" s="120"/>
      <c r="C850" s="120"/>
      <c r="D850" s="120"/>
      <c r="E850" s="120"/>
      <c r="F850" s="120"/>
      <c r="G850" s="120"/>
      <c r="H850" s="120"/>
      <c r="I850" s="120"/>
      <c r="J850" s="120"/>
      <c r="K850" s="120"/>
      <c r="L850" s="120"/>
      <c r="M850" s="120"/>
    </row>
    <row r="851">
      <c r="A851" s="120"/>
      <c r="B851" s="120"/>
      <c r="C851" s="120"/>
      <c r="D851" s="120"/>
      <c r="E851" s="120"/>
      <c r="F851" s="120"/>
      <c r="G851" s="120"/>
      <c r="H851" s="120"/>
      <c r="I851" s="120"/>
      <c r="J851" s="120"/>
      <c r="K851" s="120"/>
      <c r="L851" s="120"/>
      <c r="M851" s="120"/>
    </row>
    <row r="852">
      <c r="A852" s="120"/>
      <c r="B852" s="120"/>
      <c r="C852" s="120"/>
      <c r="D852" s="120"/>
      <c r="E852" s="120"/>
      <c r="F852" s="120"/>
      <c r="G852" s="120"/>
      <c r="H852" s="120"/>
      <c r="I852" s="120"/>
      <c r="J852" s="120"/>
      <c r="K852" s="120"/>
      <c r="L852" s="120"/>
      <c r="M852" s="120"/>
    </row>
    <row r="853">
      <c r="A853" s="120"/>
      <c r="B853" s="120"/>
      <c r="C853" s="120"/>
      <c r="D853" s="120"/>
      <c r="E853" s="120"/>
      <c r="F853" s="120"/>
      <c r="G853" s="120"/>
      <c r="H853" s="120"/>
      <c r="I853" s="120"/>
      <c r="J853" s="120"/>
      <c r="K853" s="120"/>
      <c r="L853" s="120"/>
      <c r="M853" s="120"/>
    </row>
    <row r="854">
      <c r="A854" s="120"/>
      <c r="B854" s="120"/>
      <c r="C854" s="120"/>
      <c r="D854" s="120"/>
      <c r="E854" s="120"/>
      <c r="F854" s="120"/>
      <c r="G854" s="120"/>
      <c r="H854" s="120"/>
      <c r="I854" s="120"/>
      <c r="J854" s="120"/>
      <c r="K854" s="120"/>
      <c r="L854" s="120"/>
      <c r="M854" s="120"/>
    </row>
    <row r="855">
      <c r="A855" s="120"/>
      <c r="B855" s="120"/>
      <c r="C855" s="120"/>
      <c r="D855" s="120"/>
      <c r="E855" s="120"/>
      <c r="F855" s="120"/>
      <c r="G855" s="120"/>
      <c r="H855" s="120"/>
      <c r="I855" s="120"/>
      <c r="J855" s="120"/>
      <c r="K855" s="120"/>
      <c r="L855" s="120"/>
      <c r="M855" s="120"/>
    </row>
    <row r="856">
      <c r="A856" s="120"/>
      <c r="B856" s="120"/>
      <c r="C856" s="120"/>
      <c r="D856" s="120"/>
      <c r="E856" s="120"/>
      <c r="F856" s="120"/>
      <c r="G856" s="120"/>
      <c r="H856" s="120"/>
      <c r="I856" s="120"/>
      <c r="J856" s="120"/>
      <c r="K856" s="120"/>
      <c r="L856" s="120"/>
      <c r="M856" s="120"/>
    </row>
    <row r="857">
      <c r="A857" s="120"/>
      <c r="B857" s="120"/>
      <c r="C857" s="120"/>
      <c r="D857" s="120"/>
      <c r="E857" s="120"/>
      <c r="F857" s="120"/>
      <c r="G857" s="120"/>
      <c r="H857" s="120"/>
      <c r="I857" s="120"/>
      <c r="J857" s="120"/>
      <c r="K857" s="120"/>
      <c r="L857" s="120"/>
      <c r="M857" s="120"/>
    </row>
    <row r="858">
      <c r="A858" s="120"/>
      <c r="B858" s="120"/>
      <c r="C858" s="120"/>
      <c r="D858" s="120"/>
      <c r="E858" s="120"/>
      <c r="F858" s="120"/>
      <c r="G858" s="120"/>
      <c r="H858" s="120"/>
      <c r="I858" s="120"/>
      <c r="J858" s="120"/>
      <c r="K858" s="120"/>
      <c r="L858" s="120"/>
      <c r="M858" s="120"/>
    </row>
    <row r="859">
      <c r="A859" s="120"/>
      <c r="B859" s="120"/>
      <c r="C859" s="120"/>
      <c r="D859" s="120"/>
      <c r="E859" s="120"/>
      <c r="F859" s="120"/>
      <c r="G859" s="120"/>
      <c r="H859" s="120"/>
      <c r="I859" s="120"/>
      <c r="J859" s="120"/>
      <c r="K859" s="120"/>
      <c r="L859" s="120"/>
      <c r="M859" s="120"/>
    </row>
    <row r="860">
      <c r="A860" s="120"/>
      <c r="B860" s="120"/>
      <c r="C860" s="120"/>
      <c r="D860" s="120"/>
      <c r="E860" s="120"/>
      <c r="F860" s="120"/>
      <c r="G860" s="120"/>
      <c r="H860" s="120"/>
      <c r="I860" s="120"/>
      <c r="J860" s="120"/>
      <c r="K860" s="120"/>
      <c r="L860" s="120"/>
      <c r="M860" s="120"/>
    </row>
    <row r="861">
      <c r="A861" s="120"/>
      <c r="B861" s="120"/>
      <c r="C861" s="120"/>
      <c r="D861" s="120"/>
      <c r="E861" s="120"/>
      <c r="F861" s="120"/>
      <c r="G861" s="120"/>
      <c r="H861" s="120"/>
      <c r="I861" s="120"/>
      <c r="J861" s="120"/>
      <c r="K861" s="120"/>
      <c r="L861" s="120"/>
      <c r="M861" s="120"/>
    </row>
    <row r="862">
      <c r="A862" s="120"/>
      <c r="B862" s="120"/>
      <c r="C862" s="120"/>
      <c r="D862" s="120"/>
      <c r="E862" s="120"/>
      <c r="F862" s="120"/>
      <c r="G862" s="120"/>
      <c r="H862" s="120"/>
      <c r="I862" s="120"/>
      <c r="J862" s="120"/>
      <c r="K862" s="120"/>
      <c r="L862" s="120"/>
      <c r="M862" s="120"/>
    </row>
    <row r="863">
      <c r="A863" s="120"/>
      <c r="B863" s="120"/>
      <c r="C863" s="120"/>
      <c r="D863" s="120"/>
      <c r="E863" s="120"/>
      <c r="F863" s="120"/>
      <c r="G863" s="120"/>
      <c r="H863" s="120"/>
      <c r="I863" s="120"/>
      <c r="J863" s="120"/>
      <c r="K863" s="120"/>
      <c r="L863" s="120"/>
      <c r="M863" s="120"/>
    </row>
    <row r="864">
      <c r="A864" s="120"/>
      <c r="B864" s="120"/>
      <c r="C864" s="120"/>
      <c r="D864" s="120"/>
      <c r="E864" s="120"/>
      <c r="F864" s="120"/>
      <c r="G864" s="120"/>
      <c r="H864" s="120"/>
      <c r="I864" s="120"/>
      <c r="J864" s="120"/>
      <c r="K864" s="120"/>
      <c r="L864" s="120"/>
      <c r="M864" s="120"/>
    </row>
    <row r="865">
      <c r="A865" s="120"/>
      <c r="B865" s="120"/>
      <c r="C865" s="120"/>
      <c r="D865" s="120"/>
      <c r="E865" s="120"/>
      <c r="F865" s="120"/>
      <c r="G865" s="120"/>
      <c r="H865" s="120"/>
      <c r="I865" s="120"/>
      <c r="J865" s="120"/>
      <c r="K865" s="120"/>
      <c r="L865" s="120"/>
      <c r="M865" s="120"/>
    </row>
    <row r="866">
      <c r="A866" s="120"/>
      <c r="B866" s="120"/>
      <c r="C866" s="120"/>
      <c r="D866" s="120"/>
      <c r="E866" s="120"/>
      <c r="F866" s="120"/>
      <c r="G866" s="120"/>
      <c r="H866" s="120"/>
      <c r="I866" s="120"/>
      <c r="J866" s="120"/>
      <c r="K866" s="120"/>
      <c r="L866" s="120"/>
      <c r="M866" s="120"/>
    </row>
    <row r="867">
      <c r="A867" s="120"/>
      <c r="B867" s="120"/>
      <c r="C867" s="120"/>
      <c r="D867" s="120"/>
      <c r="E867" s="120"/>
      <c r="F867" s="120"/>
      <c r="G867" s="120"/>
      <c r="H867" s="120"/>
      <c r="I867" s="120"/>
      <c r="J867" s="120"/>
      <c r="K867" s="120"/>
      <c r="L867" s="120"/>
      <c r="M867" s="120"/>
    </row>
    <row r="868">
      <c r="A868" s="120"/>
      <c r="B868" s="120"/>
      <c r="C868" s="120"/>
      <c r="D868" s="120"/>
      <c r="E868" s="120"/>
      <c r="F868" s="120"/>
      <c r="G868" s="120"/>
      <c r="H868" s="120"/>
      <c r="I868" s="120"/>
      <c r="J868" s="120"/>
      <c r="K868" s="120"/>
      <c r="L868" s="120"/>
      <c r="M868" s="120"/>
    </row>
    <row r="869">
      <c r="A869" s="120"/>
      <c r="B869" s="120"/>
      <c r="C869" s="120"/>
      <c r="D869" s="120"/>
      <c r="E869" s="120"/>
      <c r="F869" s="120"/>
      <c r="G869" s="120"/>
      <c r="H869" s="120"/>
      <c r="I869" s="120"/>
      <c r="J869" s="120"/>
      <c r="K869" s="120"/>
      <c r="L869" s="120"/>
      <c r="M869" s="120"/>
    </row>
    <row r="870">
      <c r="A870" s="120"/>
      <c r="B870" s="120"/>
      <c r="C870" s="120"/>
      <c r="D870" s="120"/>
      <c r="E870" s="120"/>
      <c r="F870" s="120"/>
      <c r="G870" s="120"/>
      <c r="H870" s="120"/>
      <c r="I870" s="120"/>
      <c r="J870" s="120"/>
      <c r="K870" s="120"/>
      <c r="L870" s="120"/>
      <c r="M870" s="120"/>
    </row>
    <row r="871">
      <c r="A871" s="120"/>
      <c r="B871" s="120"/>
      <c r="C871" s="120"/>
      <c r="D871" s="120"/>
      <c r="E871" s="120"/>
      <c r="F871" s="120"/>
      <c r="G871" s="120"/>
      <c r="H871" s="120"/>
      <c r="I871" s="120"/>
      <c r="J871" s="120"/>
      <c r="K871" s="120"/>
      <c r="L871" s="120"/>
      <c r="M871" s="120"/>
    </row>
    <row r="872">
      <c r="A872" s="120"/>
      <c r="B872" s="120"/>
      <c r="C872" s="120"/>
      <c r="D872" s="120"/>
      <c r="E872" s="120"/>
      <c r="F872" s="120"/>
      <c r="G872" s="120"/>
      <c r="H872" s="120"/>
      <c r="I872" s="120"/>
      <c r="J872" s="120"/>
      <c r="K872" s="120"/>
      <c r="L872" s="120"/>
      <c r="M872" s="120"/>
    </row>
    <row r="873">
      <c r="A873" s="120"/>
      <c r="B873" s="120"/>
      <c r="C873" s="120"/>
      <c r="D873" s="120"/>
      <c r="E873" s="120"/>
      <c r="F873" s="120"/>
      <c r="G873" s="120"/>
      <c r="H873" s="120"/>
      <c r="I873" s="120"/>
      <c r="J873" s="120"/>
      <c r="K873" s="120"/>
      <c r="L873" s="120"/>
      <c r="M873" s="120"/>
    </row>
    <row r="874">
      <c r="A874" s="120"/>
      <c r="B874" s="120"/>
      <c r="C874" s="120"/>
      <c r="D874" s="120"/>
      <c r="E874" s="120"/>
      <c r="F874" s="120"/>
      <c r="G874" s="120"/>
      <c r="H874" s="120"/>
      <c r="I874" s="120"/>
      <c r="J874" s="120"/>
      <c r="K874" s="120"/>
      <c r="L874" s="120"/>
      <c r="M874" s="120"/>
    </row>
    <row r="875">
      <c r="A875" s="120"/>
      <c r="B875" s="120"/>
      <c r="C875" s="120"/>
      <c r="D875" s="120"/>
      <c r="E875" s="120"/>
      <c r="F875" s="120"/>
      <c r="G875" s="120"/>
      <c r="H875" s="120"/>
      <c r="I875" s="120"/>
      <c r="J875" s="120"/>
      <c r="K875" s="120"/>
      <c r="L875" s="120"/>
      <c r="M875" s="120"/>
    </row>
    <row r="876">
      <c r="A876" s="120"/>
      <c r="B876" s="120"/>
      <c r="C876" s="120"/>
      <c r="D876" s="120"/>
      <c r="E876" s="120"/>
      <c r="F876" s="120"/>
      <c r="G876" s="120"/>
      <c r="H876" s="120"/>
      <c r="I876" s="120"/>
      <c r="J876" s="120"/>
      <c r="K876" s="120"/>
      <c r="L876" s="120"/>
      <c r="M876" s="120"/>
    </row>
    <row r="877">
      <c r="A877" s="120"/>
      <c r="B877" s="120"/>
      <c r="C877" s="120"/>
      <c r="D877" s="120"/>
      <c r="E877" s="120"/>
      <c r="F877" s="120"/>
      <c r="G877" s="120"/>
      <c r="H877" s="120"/>
      <c r="I877" s="120"/>
      <c r="J877" s="120"/>
      <c r="K877" s="120"/>
      <c r="L877" s="120"/>
      <c r="M877" s="120"/>
    </row>
    <row r="878">
      <c r="A878" s="120"/>
      <c r="B878" s="120"/>
      <c r="C878" s="120"/>
      <c r="D878" s="120"/>
      <c r="E878" s="120"/>
      <c r="F878" s="120"/>
      <c r="G878" s="120"/>
      <c r="H878" s="120"/>
      <c r="I878" s="120"/>
      <c r="J878" s="120"/>
      <c r="K878" s="120"/>
      <c r="L878" s="120"/>
      <c r="M878" s="120"/>
    </row>
    <row r="879">
      <c r="A879" s="120"/>
      <c r="B879" s="120"/>
      <c r="C879" s="120"/>
      <c r="D879" s="120"/>
      <c r="E879" s="120"/>
      <c r="F879" s="120"/>
      <c r="G879" s="120"/>
      <c r="H879" s="120"/>
      <c r="I879" s="120"/>
      <c r="J879" s="120"/>
      <c r="K879" s="120"/>
      <c r="L879" s="120"/>
      <c r="M879" s="120"/>
    </row>
    <row r="880">
      <c r="A880" s="120"/>
      <c r="B880" s="120"/>
      <c r="C880" s="120"/>
      <c r="D880" s="120"/>
      <c r="E880" s="120"/>
      <c r="F880" s="120"/>
      <c r="G880" s="120"/>
      <c r="H880" s="120"/>
      <c r="I880" s="120"/>
      <c r="J880" s="120"/>
      <c r="K880" s="120"/>
      <c r="L880" s="120"/>
      <c r="M880" s="120"/>
    </row>
    <row r="881">
      <c r="A881" s="120"/>
      <c r="B881" s="120"/>
      <c r="C881" s="120"/>
      <c r="D881" s="120"/>
      <c r="E881" s="120"/>
      <c r="F881" s="120"/>
      <c r="G881" s="120"/>
      <c r="H881" s="120"/>
      <c r="I881" s="120"/>
      <c r="J881" s="120"/>
      <c r="K881" s="120"/>
      <c r="L881" s="120"/>
      <c r="M881" s="120"/>
    </row>
    <row r="882">
      <c r="A882" s="120"/>
      <c r="B882" s="120"/>
      <c r="C882" s="120"/>
      <c r="D882" s="120"/>
      <c r="E882" s="120"/>
      <c r="F882" s="120"/>
      <c r="G882" s="120"/>
      <c r="H882" s="120"/>
      <c r="I882" s="120"/>
      <c r="J882" s="120"/>
      <c r="K882" s="120"/>
      <c r="L882" s="120"/>
      <c r="M882" s="120"/>
    </row>
    <row r="883">
      <c r="A883" s="120"/>
      <c r="B883" s="120"/>
      <c r="C883" s="120"/>
      <c r="D883" s="120"/>
      <c r="E883" s="120"/>
      <c r="F883" s="120"/>
      <c r="G883" s="120"/>
      <c r="H883" s="120"/>
      <c r="I883" s="120"/>
      <c r="J883" s="120"/>
      <c r="K883" s="120"/>
      <c r="L883" s="120"/>
      <c r="M883" s="120"/>
    </row>
    <row r="884">
      <c r="A884" s="120"/>
      <c r="B884" s="120"/>
      <c r="C884" s="120"/>
      <c r="D884" s="120"/>
      <c r="E884" s="120"/>
      <c r="F884" s="120"/>
      <c r="G884" s="120"/>
      <c r="H884" s="120"/>
      <c r="I884" s="120"/>
      <c r="J884" s="120"/>
      <c r="K884" s="120"/>
      <c r="L884" s="120"/>
      <c r="M884" s="120"/>
    </row>
    <row r="885">
      <c r="A885" s="120"/>
      <c r="B885" s="120"/>
      <c r="C885" s="120"/>
      <c r="D885" s="120"/>
      <c r="E885" s="120"/>
      <c r="F885" s="120"/>
      <c r="G885" s="120"/>
      <c r="H885" s="120"/>
      <c r="I885" s="120"/>
      <c r="J885" s="120"/>
      <c r="K885" s="120"/>
      <c r="L885" s="120"/>
      <c r="M885" s="120"/>
    </row>
    <row r="886">
      <c r="A886" s="120"/>
      <c r="B886" s="120"/>
      <c r="C886" s="120"/>
      <c r="D886" s="120"/>
      <c r="E886" s="120"/>
      <c r="F886" s="120"/>
      <c r="G886" s="120"/>
      <c r="H886" s="120"/>
      <c r="I886" s="120"/>
      <c r="J886" s="120"/>
      <c r="K886" s="120"/>
      <c r="L886" s="120"/>
      <c r="M886" s="120"/>
    </row>
    <row r="887">
      <c r="A887" s="120"/>
      <c r="B887" s="120"/>
      <c r="C887" s="120"/>
      <c r="D887" s="120"/>
      <c r="E887" s="120"/>
      <c r="F887" s="120"/>
      <c r="G887" s="120"/>
      <c r="H887" s="120"/>
      <c r="I887" s="120"/>
      <c r="J887" s="120"/>
      <c r="K887" s="120"/>
      <c r="L887" s="120"/>
      <c r="M887" s="120"/>
    </row>
    <row r="888">
      <c r="A888" s="120"/>
      <c r="B888" s="120"/>
      <c r="C888" s="120"/>
      <c r="D888" s="120"/>
      <c r="E888" s="120"/>
      <c r="F888" s="120"/>
      <c r="G888" s="120"/>
      <c r="H888" s="120"/>
      <c r="I888" s="120"/>
      <c r="J888" s="120"/>
      <c r="K888" s="120"/>
      <c r="L888" s="120"/>
      <c r="M888" s="120"/>
    </row>
    <row r="889">
      <c r="A889" s="120"/>
      <c r="B889" s="120"/>
      <c r="C889" s="120"/>
      <c r="D889" s="120"/>
      <c r="E889" s="120"/>
      <c r="F889" s="120"/>
      <c r="G889" s="120"/>
      <c r="H889" s="120"/>
      <c r="I889" s="120"/>
      <c r="J889" s="120"/>
      <c r="K889" s="120"/>
      <c r="L889" s="120"/>
      <c r="M889" s="120"/>
    </row>
    <row r="890">
      <c r="A890" s="120"/>
      <c r="B890" s="120"/>
      <c r="C890" s="120"/>
      <c r="D890" s="120"/>
      <c r="E890" s="120"/>
      <c r="F890" s="120"/>
      <c r="G890" s="120"/>
      <c r="H890" s="120"/>
      <c r="I890" s="120"/>
      <c r="J890" s="120"/>
      <c r="K890" s="120"/>
      <c r="L890" s="120"/>
      <c r="M890" s="120"/>
    </row>
    <row r="891">
      <c r="A891" s="120"/>
      <c r="B891" s="120"/>
      <c r="C891" s="120"/>
      <c r="D891" s="120"/>
      <c r="E891" s="120"/>
      <c r="F891" s="120"/>
      <c r="G891" s="120"/>
      <c r="H891" s="120"/>
      <c r="I891" s="120"/>
      <c r="J891" s="120"/>
      <c r="K891" s="120"/>
      <c r="L891" s="120"/>
      <c r="M891" s="120"/>
    </row>
    <row r="892">
      <c r="A892" s="120"/>
      <c r="B892" s="120"/>
      <c r="C892" s="120"/>
      <c r="D892" s="120"/>
      <c r="E892" s="120"/>
      <c r="F892" s="120"/>
      <c r="G892" s="120"/>
      <c r="H892" s="120"/>
      <c r="I892" s="120"/>
      <c r="J892" s="120"/>
      <c r="K892" s="120"/>
      <c r="L892" s="120"/>
      <c r="M892" s="120"/>
    </row>
    <row r="893">
      <c r="A893" s="120"/>
      <c r="B893" s="120"/>
      <c r="C893" s="120"/>
      <c r="D893" s="120"/>
      <c r="E893" s="120"/>
      <c r="F893" s="120"/>
      <c r="G893" s="120"/>
      <c r="H893" s="120"/>
      <c r="I893" s="120"/>
      <c r="J893" s="120"/>
      <c r="K893" s="120"/>
      <c r="L893" s="120"/>
      <c r="M893" s="120"/>
    </row>
    <row r="894">
      <c r="A894" s="120"/>
      <c r="B894" s="120"/>
      <c r="C894" s="120"/>
      <c r="D894" s="120"/>
      <c r="E894" s="120"/>
      <c r="F894" s="120"/>
      <c r="G894" s="120"/>
      <c r="H894" s="120"/>
      <c r="I894" s="120"/>
      <c r="J894" s="120"/>
      <c r="K894" s="120"/>
      <c r="L894" s="120"/>
      <c r="M894" s="120"/>
    </row>
    <row r="895">
      <c r="A895" s="120"/>
      <c r="B895" s="120"/>
      <c r="C895" s="120"/>
      <c r="D895" s="120"/>
      <c r="E895" s="120"/>
      <c r="F895" s="120"/>
      <c r="G895" s="120"/>
      <c r="H895" s="120"/>
      <c r="I895" s="120"/>
      <c r="J895" s="120"/>
      <c r="K895" s="120"/>
      <c r="L895" s="120"/>
      <c r="M895" s="120"/>
    </row>
    <row r="896">
      <c r="A896" s="120"/>
      <c r="B896" s="120"/>
      <c r="C896" s="120"/>
      <c r="D896" s="120"/>
      <c r="E896" s="120"/>
      <c r="F896" s="120"/>
      <c r="G896" s="120"/>
      <c r="H896" s="120"/>
      <c r="I896" s="120"/>
      <c r="J896" s="120"/>
      <c r="K896" s="120"/>
      <c r="L896" s="120"/>
      <c r="M896" s="120"/>
    </row>
    <row r="897">
      <c r="A897" s="120"/>
      <c r="B897" s="120"/>
      <c r="C897" s="120"/>
      <c r="D897" s="120"/>
      <c r="E897" s="120"/>
      <c r="F897" s="120"/>
      <c r="G897" s="120"/>
      <c r="H897" s="120"/>
      <c r="I897" s="120"/>
      <c r="J897" s="120"/>
      <c r="K897" s="120"/>
      <c r="L897" s="120"/>
      <c r="M897" s="120"/>
    </row>
    <row r="898">
      <c r="A898" s="120"/>
      <c r="B898" s="120"/>
      <c r="C898" s="120"/>
      <c r="D898" s="120"/>
      <c r="E898" s="120"/>
      <c r="F898" s="120"/>
      <c r="G898" s="120"/>
      <c r="H898" s="120"/>
      <c r="I898" s="120"/>
      <c r="J898" s="120"/>
      <c r="K898" s="120"/>
      <c r="L898" s="120"/>
      <c r="M898" s="120"/>
    </row>
    <row r="899">
      <c r="A899" s="120"/>
      <c r="B899" s="120"/>
      <c r="C899" s="120"/>
      <c r="D899" s="120"/>
      <c r="E899" s="120"/>
      <c r="F899" s="120"/>
      <c r="G899" s="120"/>
      <c r="H899" s="120"/>
      <c r="I899" s="120"/>
      <c r="J899" s="120"/>
      <c r="K899" s="120"/>
      <c r="L899" s="120"/>
      <c r="M899" s="120"/>
    </row>
    <row r="900">
      <c r="A900" s="120"/>
      <c r="B900" s="120"/>
      <c r="C900" s="120"/>
      <c r="D900" s="120"/>
      <c r="E900" s="120"/>
      <c r="F900" s="120"/>
      <c r="G900" s="120"/>
      <c r="H900" s="120"/>
      <c r="I900" s="120"/>
      <c r="J900" s="120"/>
      <c r="K900" s="120"/>
      <c r="L900" s="120"/>
      <c r="M900" s="120"/>
    </row>
    <row r="901">
      <c r="A901" s="120"/>
      <c r="B901" s="120"/>
      <c r="C901" s="120"/>
      <c r="D901" s="120"/>
      <c r="E901" s="120"/>
      <c r="F901" s="120"/>
      <c r="G901" s="120"/>
      <c r="H901" s="120"/>
      <c r="I901" s="120"/>
      <c r="J901" s="120"/>
      <c r="K901" s="120"/>
      <c r="L901" s="120"/>
      <c r="M901" s="120"/>
    </row>
    <row r="902">
      <c r="A902" s="120"/>
      <c r="B902" s="120"/>
      <c r="C902" s="120"/>
      <c r="D902" s="120"/>
      <c r="E902" s="120"/>
      <c r="F902" s="120"/>
      <c r="G902" s="120"/>
      <c r="H902" s="120"/>
      <c r="I902" s="120"/>
      <c r="J902" s="120"/>
      <c r="K902" s="120"/>
      <c r="L902" s="120"/>
      <c r="M902" s="120"/>
    </row>
    <row r="903">
      <c r="A903" s="120"/>
      <c r="B903" s="120"/>
      <c r="C903" s="120"/>
      <c r="D903" s="120"/>
      <c r="E903" s="120"/>
      <c r="F903" s="120"/>
      <c r="G903" s="120"/>
      <c r="H903" s="120"/>
      <c r="I903" s="120"/>
      <c r="J903" s="120"/>
      <c r="K903" s="120"/>
      <c r="L903" s="120"/>
      <c r="M903" s="120"/>
    </row>
    <row r="904">
      <c r="A904" s="120"/>
      <c r="B904" s="120"/>
      <c r="C904" s="120"/>
      <c r="D904" s="120"/>
      <c r="E904" s="120"/>
      <c r="F904" s="120"/>
      <c r="G904" s="120"/>
      <c r="H904" s="120"/>
      <c r="I904" s="120"/>
      <c r="J904" s="120"/>
      <c r="K904" s="120"/>
      <c r="L904" s="120"/>
      <c r="M904" s="120"/>
    </row>
    <row r="905">
      <c r="A905" s="120"/>
      <c r="B905" s="120"/>
      <c r="C905" s="120"/>
      <c r="D905" s="120"/>
      <c r="E905" s="120"/>
      <c r="F905" s="120"/>
      <c r="G905" s="120"/>
      <c r="H905" s="120"/>
      <c r="I905" s="120"/>
      <c r="J905" s="120"/>
      <c r="K905" s="120"/>
      <c r="L905" s="120"/>
      <c r="M905" s="120"/>
    </row>
    <row r="906">
      <c r="A906" s="120"/>
      <c r="B906" s="120"/>
      <c r="C906" s="120"/>
      <c r="D906" s="120"/>
      <c r="E906" s="120"/>
      <c r="F906" s="120"/>
      <c r="G906" s="120"/>
      <c r="H906" s="120"/>
      <c r="I906" s="120"/>
      <c r="J906" s="120"/>
      <c r="K906" s="120"/>
      <c r="L906" s="120"/>
      <c r="M906" s="120"/>
    </row>
    <row r="907">
      <c r="A907" s="120"/>
      <c r="B907" s="120"/>
      <c r="C907" s="120"/>
      <c r="D907" s="120"/>
      <c r="E907" s="120"/>
      <c r="F907" s="120"/>
      <c r="G907" s="120"/>
      <c r="H907" s="120"/>
      <c r="I907" s="120"/>
      <c r="J907" s="120"/>
      <c r="K907" s="120"/>
      <c r="L907" s="120"/>
      <c r="M907" s="120"/>
    </row>
    <row r="908">
      <c r="A908" s="120"/>
      <c r="B908" s="120"/>
      <c r="C908" s="120"/>
      <c r="D908" s="120"/>
      <c r="E908" s="120"/>
      <c r="F908" s="120"/>
      <c r="G908" s="120"/>
      <c r="H908" s="120"/>
      <c r="I908" s="120"/>
      <c r="J908" s="120"/>
      <c r="K908" s="120"/>
      <c r="L908" s="120"/>
      <c r="M908" s="120"/>
    </row>
    <row r="909">
      <c r="A909" s="120"/>
      <c r="B909" s="120"/>
      <c r="C909" s="120"/>
      <c r="D909" s="120"/>
      <c r="E909" s="120"/>
      <c r="F909" s="120"/>
      <c r="G909" s="120"/>
      <c r="H909" s="120"/>
      <c r="I909" s="120"/>
      <c r="J909" s="120"/>
      <c r="K909" s="120"/>
      <c r="L909" s="120"/>
      <c r="M909" s="120"/>
    </row>
    <row r="910">
      <c r="A910" s="120"/>
      <c r="B910" s="120"/>
      <c r="C910" s="120"/>
      <c r="D910" s="120"/>
      <c r="E910" s="120"/>
      <c r="F910" s="120"/>
      <c r="G910" s="120"/>
      <c r="H910" s="120"/>
      <c r="I910" s="120"/>
      <c r="J910" s="120"/>
      <c r="K910" s="120"/>
      <c r="L910" s="120"/>
      <c r="M910" s="120"/>
    </row>
    <row r="911">
      <c r="A911" s="120"/>
      <c r="B911" s="120"/>
      <c r="C911" s="120"/>
      <c r="D911" s="120"/>
      <c r="E911" s="120"/>
      <c r="F911" s="120"/>
      <c r="G911" s="120"/>
      <c r="H911" s="120"/>
      <c r="I911" s="120"/>
      <c r="J911" s="120"/>
      <c r="K911" s="120"/>
      <c r="L911" s="120"/>
      <c r="M911" s="120"/>
    </row>
    <row r="912">
      <c r="A912" s="120"/>
      <c r="B912" s="120"/>
      <c r="C912" s="120"/>
      <c r="D912" s="120"/>
      <c r="E912" s="120"/>
      <c r="F912" s="120"/>
      <c r="G912" s="120"/>
      <c r="H912" s="120"/>
      <c r="I912" s="120"/>
      <c r="J912" s="120"/>
      <c r="K912" s="120"/>
      <c r="L912" s="120"/>
      <c r="M912" s="120"/>
    </row>
    <row r="913">
      <c r="A913" s="120"/>
      <c r="B913" s="120"/>
      <c r="C913" s="120"/>
      <c r="D913" s="120"/>
      <c r="E913" s="120"/>
      <c r="F913" s="120"/>
      <c r="G913" s="120"/>
      <c r="H913" s="120"/>
      <c r="I913" s="120"/>
      <c r="J913" s="120"/>
      <c r="K913" s="120"/>
      <c r="L913" s="120"/>
      <c r="M913" s="120"/>
    </row>
    <row r="914">
      <c r="A914" s="120"/>
      <c r="B914" s="120"/>
      <c r="C914" s="120"/>
      <c r="D914" s="120"/>
      <c r="E914" s="120"/>
      <c r="F914" s="120"/>
      <c r="G914" s="120"/>
      <c r="H914" s="120"/>
      <c r="I914" s="120"/>
      <c r="J914" s="120"/>
      <c r="K914" s="120"/>
      <c r="L914" s="120"/>
      <c r="M914" s="120"/>
    </row>
    <row r="915">
      <c r="A915" s="120"/>
      <c r="B915" s="120"/>
      <c r="C915" s="120"/>
      <c r="D915" s="120"/>
      <c r="E915" s="120"/>
      <c r="F915" s="120"/>
      <c r="G915" s="120"/>
      <c r="H915" s="120"/>
      <c r="I915" s="120"/>
      <c r="J915" s="120"/>
      <c r="K915" s="120"/>
      <c r="L915" s="120"/>
      <c r="M915" s="120"/>
    </row>
    <row r="916">
      <c r="A916" s="120"/>
      <c r="B916" s="120"/>
      <c r="C916" s="120"/>
      <c r="D916" s="120"/>
      <c r="E916" s="120"/>
      <c r="F916" s="120"/>
      <c r="G916" s="120"/>
      <c r="H916" s="120"/>
      <c r="I916" s="120"/>
      <c r="J916" s="120"/>
      <c r="K916" s="120"/>
      <c r="L916" s="120"/>
      <c r="M916" s="120"/>
    </row>
    <row r="917">
      <c r="A917" s="120"/>
      <c r="B917" s="120"/>
      <c r="C917" s="120"/>
      <c r="D917" s="120"/>
      <c r="E917" s="120"/>
      <c r="F917" s="120"/>
      <c r="G917" s="120"/>
      <c r="H917" s="120"/>
      <c r="I917" s="120"/>
      <c r="J917" s="120"/>
      <c r="K917" s="120"/>
      <c r="L917" s="120"/>
      <c r="M917" s="120"/>
    </row>
    <row r="918">
      <c r="A918" s="120"/>
      <c r="B918" s="120"/>
      <c r="C918" s="120"/>
      <c r="D918" s="120"/>
      <c r="E918" s="120"/>
      <c r="F918" s="120"/>
      <c r="G918" s="120"/>
      <c r="H918" s="120"/>
      <c r="I918" s="120"/>
      <c r="J918" s="120"/>
      <c r="K918" s="120"/>
      <c r="L918" s="120"/>
      <c r="M918" s="120"/>
    </row>
    <row r="919">
      <c r="A919" s="120"/>
      <c r="B919" s="120"/>
      <c r="C919" s="120"/>
      <c r="D919" s="120"/>
      <c r="E919" s="120"/>
      <c r="F919" s="120"/>
      <c r="G919" s="120"/>
      <c r="H919" s="120"/>
      <c r="I919" s="120"/>
      <c r="J919" s="120"/>
      <c r="K919" s="120"/>
      <c r="L919" s="120"/>
      <c r="M919" s="120"/>
    </row>
    <row r="920">
      <c r="A920" s="120"/>
      <c r="B920" s="120"/>
      <c r="C920" s="120"/>
      <c r="D920" s="120"/>
      <c r="E920" s="120"/>
      <c r="F920" s="120"/>
      <c r="G920" s="120"/>
      <c r="H920" s="120"/>
      <c r="I920" s="120"/>
      <c r="J920" s="120"/>
      <c r="K920" s="120"/>
      <c r="L920" s="120"/>
      <c r="M920" s="120"/>
    </row>
    <row r="921">
      <c r="A921" s="120"/>
      <c r="B921" s="120"/>
      <c r="C921" s="120"/>
      <c r="D921" s="120"/>
      <c r="E921" s="120"/>
      <c r="F921" s="120"/>
      <c r="G921" s="120"/>
      <c r="H921" s="120"/>
      <c r="I921" s="120"/>
      <c r="J921" s="120"/>
      <c r="K921" s="120"/>
      <c r="L921" s="120"/>
      <c r="M921" s="120"/>
    </row>
    <row r="922">
      <c r="A922" s="120"/>
      <c r="B922" s="120"/>
      <c r="C922" s="120"/>
      <c r="D922" s="120"/>
      <c r="E922" s="120"/>
      <c r="F922" s="120"/>
      <c r="G922" s="120"/>
      <c r="H922" s="120"/>
      <c r="I922" s="120"/>
      <c r="J922" s="120"/>
      <c r="K922" s="120"/>
      <c r="L922" s="120"/>
      <c r="M922" s="120"/>
    </row>
    <row r="923">
      <c r="A923" s="120"/>
      <c r="B923" s="120"/>
      <c r="C923" s="120"/>
      <c r="D923" s="120"/>
      <c r="E923" s="120"/>
      <c r="F923" s="120"/>
      <c r="G923" s="120"/>
      <c r="H923" s="120"/>
      <c r="I923" s="120"/>
      <c r="J923" s="120"/>
      <c r="K923" s="120"/>
      <c r="L923" s="120"/>
      <c r="M923" s="120"/>
    </row>
    <row r="924">
      <c r="A924" s="120"/>
      <c r="B924" s="120"/>
      <c r="C924" s="120"/>
      <c r="D924" s="120"/>
      <c r="E924" s="120"/>
      <c r="F924" s="120"/>
      <c r="G924" s="120"/>
      <c r="H924" s="120"/>
      <c r="I924" s="120"/>
      <c r="J924" s="120"/>
      <c r="K924" s="120"/>
      <c r="L924" s="120"/>
      <c r="M924" s="120"/>
    </row>
    <row r="925">
      <c r="A925" s="120"/>
      <c r="B925" s="120"/>
      <c r="C925" s="120"/>
      <c r="D925" s="120"/>
      <c r="E925" s="120"/>
      <c r="F925" s="120"/>
      <c r="G925" s="120"/>
      <c r="H925" s="120"/>
      <c r="I925" s="120"/>
      <c r="J925" s="120"/>
      <c r="K925" s="120"/>
      <c r="L925" s="120"/>
      <c r="M925" s="120"/>
    </row>
    <row r="926">
      <c r="A926" s="120"/>
      <c r="B926" s="120"/>
      <c r="C926" s="120"/>
      <c r="D926" s="120"/>
      <c r="E926" s="120"/>
      <c r="F926" s="120"/>
      <c r="G926" s="120"/>
      <c r="H926" s="120"/>
      <c r="I926" s="120"/>
      <c r="J926" s="120"/>
      <c r="K926" s="120"/>
      <c r="L926" s="120"/>
      <c r="M926" s="120"/>
    </row>
    <row r="927">
      <c r="A927" s="120"/>
      <c r="B927" s="120"/>
      <c r="C927" s="120"/>
      <c r="D927" s="120"/>
      <c r="E927" s="120"/>
      <c r="F927" s="120"/>
      <c r="G927" s="120"/>
      <c r="H927" s="120"/>
      <c r="I927" s="120"/>
      <c r="J927" s="120"/>
      <c r="K927" s="120"/>
      <c r="L927" s="120"/>
      <c r="M927" s="120"/>
    </row>
    <row r="928">
      <c r="A928" s="120"/>
      <c r="B928" s="120"/>
      <c r="C928" s="120"/>
      <c r="D928" s="120"/>
      <c r="E928" s="120"/>
      <c r="F928" s="120"/>
      <c r="G928" s="120"/>
      <c r="H928" s="120"/>
      <c r="I928" s="120"/>
      <c r="J928" s="120"/>
      <c r="K928" s="120"/>
      <c r="L928" s="120"/>
      <c r="M928" s="120"/>
    </row>
    <row r="929">
      <c r="A929" s="120"/>
      <c r="B929" s="120"/>
      <c r="C929" s="120"/>
      <c r="D929" s="120"/>
      <c r="E929" s="120"/>
      <c r="F929" s="120"/>
      <c r="G929" s="120"/>
      <c r="H929" s="120"/>
      <c r="I929" s="120"/>
      <c r="J929" s="120"/>
      <c r="K929" s="120"/>
      <c r="L929" s="120"/>
      <c r="M929" s="120"/>
    </row>
    <row r="930">
      <c r="A930" s="120"/>
      <c r="B930" s="120"/>
      <c r="C930" s="120"/>
      <c r="D930" s="120"/>
      <c r="E930" s="120"/>
      <c r="F930" s="120"/>
      <c r="G930" s="120"/>
      <c r="H930" s="120"/>
      <c r="I930" s="120"/>
      <c r="J930" s="120"/>
      <c r="K930" s="120"/>
      <c r="L930" s="120"/>
      <c r="M930" s="120"/>
    </row>
    <row r="931">
      <c r="A931" s="120"/>
      <c r="B931" s="120"/>
      <c r="C931" s="120"/>
      <c r="D931" s="120"/>
      <c r="E931" s="120"/>
      <c r="F931" s="120"/>
      <c r="G931" s="120"/>
      <c r="H931" s="120"/>
      <c r="I931" s="120"/>
      <c r="J931" s="120"/>
      <c r="K931" s="120"/>
      <c r="L931" s="120"/>
      <c r="M931" s="120"/>
    </row>
    <row r="932">
      <c r="A932" s="120"/>
      <c r="B932" s="120"/>
      <c r="C932" s="120"/>
      <c r="D932" s="120"/>
      <c r="E932" s="120"/>
      <c r="F932" s="120"/>
      <c r="G932" s="120"/>
      <c r="H932" s="120"/>
      <c r="I932" s="120"/>
      <c r="J932" s="120"/>
      <c r="K932" s="120"/>
      <c r="L932" s="120"/>
      <c r="M932" s="120"/>
    </row>
    <row r="933">
      <c r="A933" s="120"/>
      <c r="B933" s="120"/>
      <c r="C933" s="120"/>
      <c r="D933" s="120"/>
      <c r="E933" s="120"/>
      <c r="F933" s="120"/>
      <c r="G933" s="120"/>
      <c r="H933" s="120"/>
      <c r="I933" s="120"/>
      <c r="J933" s="120"/>
      <c r="K933" s="120"/>
      <c r="L933" s="120"/>
      <c r="M933" s="120"/>
    </row>
    <row r="934">
      <c r="A934" s="120"/>
      <c r="B934" s="120"/>
      <c r="C934" s="120"/>
      <c r="D934" s="120"/>
      <c r="E934" s="120"/>
      <c r="F934" s="120"/>
      <c r="G934" s="120"/>
      <c r="H934" s="120"/>
      <c r="I934" s="120"/>
      <c r="J934" s="120"/>
      <c r="K934" s="120"/>
      <c r="L934" s="120"/>
      <c r="M934" s="120"/>
    </row>
    <row r="935">
      <c r="A935" s="120"/>
      <c r="B935" s="120"/>
      <c r="C935" s="120"/>
      <c r="D935" s="120"/>
      <c r="E935" s="120"/>
      <c r="F935" s="120"/>
      <c r="G935" s="120"/>
      <c r="H935" s="120"/>
      <c r="I935" s="120"/>
      <c r="J935" s="120"/>
      <c r="K935" s="120"/>
      <c r="L935" s="120"/>
      <c r="M935" s="120"/>
    </row>
    <row r="936">
      <c r="A936" s="120"/>
      <c r="B936" s="120"/>
      <c r="C936" s="120"/>
      <c r="D936" s="120"/>
      <c r="E936" s="120"/>
      <c r="F936" s="120"/>
      <c r="G936" s="120"/>
      <c r="H936" s="120"/>
      <c r="I936" s="120"/>
      <c r="J936" s="120"/>
      <c r="K936" s="120"/>
      <c r="L936" s="120"/>
      <c r="M936" s="120"/>
    </row>
    <row r="937">
      <c r="A937" s="120"/>
      <c r="B937" s="120"/>
      <c r="C937" s="120"/>
      <c r="D937" s="120"/>
      <c r="E937" s="120"/>
      <c r="F937" s="120"/>
      <c r="G937" s="120"/>
      <c r="H937" s="120"/>
      <c r="I937" s="120"/>
      <c r="J937" s="120"/>
      <c r="K937" s="120"/>
      <c r="L937" s="120"/>
      <c r="M937" s="120"/>
    </row>
    <row r="938">
      <c r="A938" s="120"/>
      <c r="B938" s="120"/>
      <c r="C938" s="120"/>
      <c r="D938" s="120"/>
      <c r="E938" s="120"/>
      <c r="F938" s="120"/>
      <c r="G938" s="120"/>
      <c r="H938" s="120"/>
      <c r="I938" s="120"/>
      <c r="J938" s="120"/>
      <c r="K938" s="120"/>
      <c r="L938" s="120"/>
      <c r="M938" s="120"/>
    </row>
    <row r="939">
      <c r="A939" s="120"/>
      <c r="B939" s="120"/>
      <c r="C939" s="120"/>
      <c r="D939" s="120"/>
      <c r="E939" s="120"/>
      <c r="F939" s="120"/>
      <c r="G939" s="120"/>
      <c r="H939" s="120"/>
      <c r="I939" s="120"/>
      <c r="J939" s="120"/>
      <c r="K939" s="120"/>
      <c r="L939" s="120"/>
      <c r="M939" s="120"/>
    </row>
    <row r="940">
      <c r="A940" s="120"/>
      <c r="B940" s="120"/>
      <c r="C940" s="120"/>
      <c r="D940" s="120"/>
      <c r="E940" s="120"/>
      <c r="F940" s="120"/>
      <c r="G940" s="120"/>
      <c r="H940" s="120"/>
      <c r="I940" s="120"/>
      <c r="J940" s="120"/>
      <c r="K940" s="120"/>
      <c r="L940" s="120"/>
      <c r="M940" s="120"/>
    </row>
    <row r="941">
      <c r="A941" s="120"/>
      <c r="B941" s="120"/>
      <c r="C941" s="120"/>
      <c r="D941" s="120"/>
      <c r="E941" s="120"/>
      <c r="F941" s="120"/>
      <c r="G941" s="120"/>
      <c r="H941" s="120"/>
      <c r="I941" s="120"/>
      <c r="J941" s="120"/>
      <c r="K941" s="120"/>
      <c r="L941" s="120"/>
      <c r="M941" s="120"/>
    </row>
    <row r="942">
      <c r="A942" s="120"/>
      <c r="B942" s="120"/>
      <c r="C942" s="120"/>
      <c r="D942" s="120"/>
      <c r="E942" s="120"/>
      <c r="F942" s="120"/>
      <c r="G942" s="120"/>
      <c r="H942" s="120"/>
      <c r="I942" s="120"/>
      <c r="J942" s="120"/>
      <c r="K942" s="120"/>
      <c r="L942" s="120"/>
      <c r="M942" s="120"/>
    </row>
    <row r="943">
      <c r="A943" s="120"/>
      <c r="B943" s="120"/>
      <c r="C943" s="120"/>
      <c r="D943" s="120"/>
      <c r="E943" s="120"/>
      <c r="F943" s="120"/>
      <c r="G943" s="120"/>
      <c r="H943" s="120"/>
      <c r="I943" s="120"/>
      <c r="J943" s="120"/>
      <c r="K943" s="120"/>
      <c r="L943" s="120"/>
      <c r="M943" s="120"/>
    </row>
    <row r="944">
      <c r="A944" s="120"/>
      <c r="B944" s="120"/>
      <c r="C944" s="120"/>
      <c r="D944" s="120"/>
      <c r="E944" s="120"/>
      <c r="F944" s="120"/>
      <c r="G944" s="120"/>
      <c r="H944" s="120"/>
      <c r="I944" s="120"/>
      <c r="J944" s="120"/>
      <c r="K944" s="120"/>
      <c r="L944" s="120"/>
      <c r="M944" s="120"/>
    </row>
    <row r="945">
      <c r="A945" s="120"/>
      <c r="B945" s="120"/>
      <c r="C945" s="120"/>
      <c r="D945" s="120"/>
      <c r="E945" s="120"/>
      <c r="F945" s="120"/>
      <c r="G945" s="120"/>
      <c r="H945" s="120"/>
      <c r="I945" s="120"/>
      <c r="J945" s="120"/>
      <c r="K945" s="120"/>
      <c r="L945" s="120"/>
      <c r="M945" s="120"/>
    </row>
    <row r="946">
      <c r="A946" s="120"/>
      <c r="B946" s="120"/>
      <c r="C946" s="120"/>
      <c r="D946" s="120"/>
      <c r="E946" s="120"/>
      <c r="F946" s="120"/>
      <c r="G946" s="120"/>
      <c r="H946" s="120"/>
      <c r="I946" s="120"/>
      <c r="J946" s="120"/>
      <c r="K946" s="120"/>
      <c r="L946" s="120"/>
      <c r="M946" s="120"/>
    </row>
    <row r="947">
      <c r="A947" s="120"/>
      <c r="B947" s="120"/>
      <c r="C947" s="120"/>
      <c r="D947" s="120"/>
      <c r="E947" s="120"/>
      <c r="F947" s="120"/>
      <c r="G947" s="120"/>
      <c r="H947" s="120"/>
      <c r="I947" s="120"/>
      <c r="J947" s="120"/>
      <c r="K947" s="120"/>
      <c r="L947" s="120"/>
      <c r="M947" s="120"/>
    </row>
    <row r="948">
      <c r="A948" s="120"/>
      <c r="B948" s="120"/>
      <c r="C948" s="120"/>
      <c r="D948" s="120"/>
      <c r="E948" s="120"/>
      <c r="F948" s="120"/>
      <c r="G948" s="120"/>
      <c r="H948" s="120"/>
      <c r="I948" s="120"/>
      <c r="J948" s="120"/>
      <c r="K948" s="120"/>
      <c r="L948" s="120"/>
      <c r="M948" s="120"/>
    </row>
    <row r="949">
      <c r="A949" s="120"/>
      <c r="B949" s="120"/>
      <c r="C949" s="120"/>
      <c r="D949" s="120"/>
      <c r="E949" s="120"/>
      <c r="F949" s="120"/>
      <c r="G949" s="120"/>
      <c r="H949" s="120"/>
      <c r="I949" s="120"/>
      <c r="J949" s="120"/>
      <c r="K949" s="120"/>
      <c r="L949" s="120"/>
      <c r="M949" s="120"/>
    </row>
    <row r="950">
      <c r="A950" s="120"/>
      <c r="B950" s="120"/>
      <c r="C950" s="120"/>
      <c r="D950" s="120"/>
      <c r="E950" s="120"/>
      <c r="F950" s="120"/>
      <c r="G950" s="120"/>
      <c r="H950" s="120"/>
      <c r="I950" s="120"/>
      <c r="J950" s="120"/>
      <c r="K950" s="120"/>
      <c r="L950" s="120"/>
      <c r="M950" s="120"/>
    </row>
    <row r="951">
      <c r="A951" s="120"/>
      <c r="B951" s="120"/>
      <c r="C951" s="120"/>
      <c r="D951" s="120"/>
      <c r="E951" s="120"/>
      <c r="F951" s="120"/>
      <c r="G951" s="120"/>
      <c r="H951" s="120"/>
      <c r="I951" s="120"/>
      <c r="J951" s="120"/>
      <c r="K951" s="120"/>
      <c r="L951" s="120"/>
      <c r="M951" s="120"/>
    </row>
    <row r="952">
      <c r="A952" s="120"/>
      <c r="B952" s="120"/>
      <c r="C952" s="120"/>
      <c r="D952" s="120"/>
      <c r="E952" s="120"/>
      <c r="F952" s="120"/>
      <c r="G952" s="120"/>
      <c r="H952" s="120"/>
      <c r="I952" s="120"/>
      <c r="J952" s="120"/>
      <c r="K952" s="120"/>
      <c r="L952" s="120"/>
      <c r="M952" s="120"/>
    </row>
    <row r="953">
      <c r="A953" s="120"/>
      <c r="B953" s="120"/>
      <c r="C953" s="120"/>
      <c r="D953" s="120"/>
      <c r="E953" s="120"/>
      <c r="F953" s="120"/>
      <c r="G953" s="120"/>
      <c r="H953" s="120"/>
      <c r="I953" s="120"/>
      <c r="J953" s="120"/>
      <c r="K953" s="120"/>
      <c r="L953" s="120"/>
      <c r="M953" s="120"/>
    </row>
    <row r="954">
      <c r="A954" s="120"/>
      <c r="B954" s="120"/>
      <c r="C954" s="120"/>
      <c r="D954" s="120"/>
      <c r="E954" s="120"/>
      <c r="F954" s="120"/>
      <c r="G954" s="120"/>
      <c r="H954" s="120"/>
      <c r="I954" s="120"/>
      <c r="J954" s="120"/>
      <c r="K954" s="120"/>
      <c r="L954" s="120"/>
      <c r="M954" s="120"/>
    </row>
    <row r="955">
      <c r="A955" s="120"/>
      <c r="B955" s="120"/>
      <c r="C955" s="120"/>
      <c r="D955" s="120"/>
      <c r="E955" s="120"/>
      <c r="F955" s="120"/>
      <c r="G955" s="120"/>
      <c r="H955" s="120"/>
      <c r="I955" s="120"/>
      <c r="J955" s="120"/>
      <c r="K955" s="120"/>
      <c r="L955" s="120"/>
      <c r="M955" s="120"/>
    </row>
    <row r="956">
      <c r="A956" s="120"/>
      <c r="B956" s="120"/>
      <c r="C956" s="120"/>
      <c r="D956" s="120"/>
      <c r="E956" s="120"/>
      <c r="F956" s="120"/>
      <c r="G956" s="120"/>
      <c r="H956" s="120"/>
      <c r="I956" s="120"/>
      <c r="J956" s="120"/>
      <c r="K956" s="120"/>
      <c r="L956" s="120"/>
      <c r="M956" s="120"/>
    </row>
    <row r="957">
      <c r="A957" s="120"/>
      <c r="B957" s="120"/>
      <c r="C957" s="120"/>
      <c r="D957" s="120"/>
      <c r="E957" s="120"/>
      <c r="F957" s="120"/>
      <c r="G957" s="120"/>
      <c r="H957" s="120"/>
      <c r="I957" s="120"/>
      <c r="J957" s="120"/>
      <c r="K957" s="120"/>
      <c r="L957" s="120"/>
      <c r="M957" s="120"/>
    </row>
    <row r="958">
      <c r="A958" s="120"/>
      <c r="B958" s="120"/>
      <c r="C958" s="120"/>
      <c r="D958" s="120"/>
      <c r="E958" s="120"/>
      <c r="F958" s="120"/>
      <c r="G958" s="120"/>
      <c r="H958" s="120"/>
      <c r="I958" s="120"/>
      <c r="J958" s="120"/>
      <c r="K958" s="120"/>
      <c r="L958" s="120"/>
      <c r="M958" s="120"/>
    </row>
    <row r="959">
      <c r="A959" s="120"/>
      <c r="B959" s="120"/>
      <c r="C959" s="120"/>
      <c r="D959" s="120"/>
      <c r="E959" s="120"/>
      <c r="F959" s="120"/>
      <c r="G959" s="120"/>
      <c r="H959" s="120"/>
      <c r="I959" s="120"/>
      <c r="J959" s="120"/>
      <c r="K959" s="120"/>
      <c r="L959" s="120"/>
      <c r="M959" s="120"/>
    </row>
    <row r="960">
      <c r="A960" s="120"/>
      <c r="B960" s="120"/>
      <c r="C960" s="120"/>
      <c r="D960" s="120"/>
      <c r="E960" s="120"/>
      <c r="F960" s="120"/>
      <c r="G960" s="120"/>
      <c r="H960" s="120"/>
      <c r="I960" s="120"/>
      <c r="J960" s="120"/>
      <c r="K960" s="120"/>
      <c r="L960" s="120"/>
      <c r="M960" s="120"/>
    </row>
    <row r="961">
      <c r="A961" s="120"/>
      <c r="B961" s="120"/>
      <c r="C961" s="120"/>
      <c r="D961" s="120"/>
      <c r="E961" s="120"/>
      <c r="F961" s="120"/>
      <c r="G961" s="120"/>
      <c r="H961" s="120"/>
      <c r="I961" s="120"/>
      <c r="J961" s="120"/>
      <c r="K961" s="120"/>
      <c r="L961" s="120"/>
      <c r="M961" s="120"/>
    </row>
    <row r="962">
      <c r="A962" s="120"/>
      <c r="B962" s="120"/>
      <c r="C962" s="120"/>
      <c r="D962" s="120"/>
      <c r="E962" s="120"/>
      <c r="F962" s="120"/>
      <c r="G962" s="120"/>
      <c r="H962" s="120"/>
      <c r="I962" s="120"/>
      <c r="J962" s="120"/>
      <c r="K962" s="120"/>
      <c r="L962" s="120"/>
      <c r="M962" s="120"/>
    </row>
    <row r="963">
      <c r="A963" s="120"/>
      <c r="B963" s="120"/>
      <c r="C963" s="120"/>
      <c r="D963" s="120"/>
      <c r="E963" s="120"/>
      <c r="F963" s="120"/>
      <c r="G963" s="120"/>
      <c r="H963" s="120"/>
      <c r="I963" s="120"/>
      <c r="J963" s="120"/>
      <c r="K963" s="120"/>
      <c r="L963" s="120"/>
      <c r="M963" s="120"/>
    </row>
    <row r="964">
      <c r="A964" s="120"/>
      <c r="B964" s="120"/>
      <c r="C964" s="120"/>
      <c r="D964" s="120"/>
      <c r="E964" s="120"/>
      <c r="F964" s="120"/>
      <c r="G964" s="120"/>
      <c r="H964" s="120"/>
      <c r="I964" s="120"/>
      <c r="J964" s="120"/>
      <c r="K964" s="120"/>
      <c r="L964" s="120"/>
      <c r="M964" s="120"/>
    </row>
    <row r="965">
      <c r="A965" s="120"/>
      <c r="B965" s="120"/>
      <c r="C965" s="120"/>
      <c r="D965" s="120"/>
      <c r="E965" s="120"/>
      <c r="F965" s="120"/>
      <c r="G965" s="120"/>
      <c r="H965" s="120"/>
      <c r="I965" s="120"/>
      <c r="J965" s="120"/>
      <c r="K965" s="120"/>
      <c r="L965" s="120"/>
      <c r="M965" s="120"/>
    </row>
    <row r="966">
      <c r="A966" s="120"/>
      <c r="B966" s="120"/>
      <c r="C966" s="120"/>
      <c r="D966" s="120"/>
      <c r="E966" s="120"/>
      <c r="F966" s="120"/>
      <c r="G966" s="120"/>
      <c r="H966" s="120"/>
      <c r="I966" s="120"/>
      <c r="J966" s="120"/>
      <c r="K966" s="120"/>
      <c r="L966" s="120"/>
      <c r="M966" s="120"/>
    </row>
    <row r="967">
      <c r="A967" s="120"/>
      <c r="B967" s="120"/>
      <c r="C967" s="120"/>
      <c r="D967" s="120"/>
      <c r="E967" s="120"/>
      <c r="F967" s="120"/>
      <c r="G967" s="120"/>
      <c r="H967" s="120"/>
      <c r="I967" s="120"/>
      <c r="J967" s="120"/>
      <c r="K967" s="120"/>
      <c r="L967" s="120"/>
      <c r="M967" s="120"/>
    </row>
    <row r="968">
      <c r="A968" s="120"/>
      <c r="B968" s="120"/>
      <c r="C968" s="120"/>
      <c r="D968" s="120"/>
      <c r="E968" s="120"/>
      <c r="F968" s="120"/>
      <c r="G968" s="120"/>
      <c r="H968" s="120"/>
      <c r="I968" s="120"/>
      <c r="J968" s="120"/>
      <c r="K968" s="120"/>
      <c r="L968" s="120"/>
      <c r="M968" s="120"/>
    </row>
    <row r="969">
      <c r="A969" s="120"/>
      <c r="B969" s="120"/>
      <c r="C969" s="120"/>
      <c r="D969" s="120"/>
      <c r="E969" s="120"/>
      <c r="F969" s="120"/>
      <c r="G969" s="120"/>
      <c r="H969" s="120"/>
      <c r="I969" s="120"/>
      <c r="J969" s="120"/>
      <c r="K969" s="120"/>
      <c r="L969" s="120"/>
      <c r="M969" s="120"/>
    </row>
    <row r="970">
      <c r="A970" s="120"/>
      <c r="B970" s="120"/>
      <c r="C970" s="120"/>
      <c r="D970" s="120"/>
      <c r="E970" s="120"/>
      <c r="F970" s="120"/>
      <c r="G970" s="120"/>
      <c r="H970" s="120"/>
      <c r="I970" s="120"/>
      <c r="J970" s="120"/>
      <c r="K970" s="120"/>
      <c r="L970" s="120"/>
      <c r="M970" s="120"/>
    </row>
    <row r="971">
      <c r="A971" s="120"/>
      <c r="B971" s="120"/>
      <c r="C971" s="120"/>
      <c r="D971" s="120"/>
      <c r="E971" s="120"/>
      <c r="F971" s="120"/>
      <c r="G971" s="120"/>
      <c r="H971" s="120"/>
      <c r="I971" s="120"/>
      <c r="J971" s="120"/>
      <c r="K971" s="120"/>
      <c r="L971" s="120"/>
      <c r="M971" s="120"/>
    </row>
    <row r="972">
      <c r="A972" s="120"/>
      <c r="B972" s="120"/>
      <c r="C972" s="120"/>
      <c r="D972" s="120"/>
      <c r="E972" s="120"/>
      <c r="F972" s="120"/>
      <c r="G972" s="120"/>
      <c r="H972" s="120"/>
      <c r="I972" s="120"/>
      <c r="J972" s="120"/>
      <c r="K972" s="120"/>
      <c r="L972" s="120"/>
      <c r="M972" s="120"/>
    </row>
    <row r="973">
      <c r="A973" s="120"/>
      <c r="B973" s="120"/>
      <c r="C973" s="120"/>
      <c r="D973" s="120"/>
      <c r="E973" s="120"/>
      <c r="F973" s="120"/>
      <c r="G973" s="120"/>
      <c r="H973" s="120"/>
      <c r="I973" s="120"/>
      <c r="J973" s="120"/>
      <c r="K973" s="120"/>
      <c r="L973" s="120"/>
      <c r="M973" s="120"/>
    </row>
    <row r="974">
      <c r="A974" s="120"/>
      <c r="B974" s="120"/>
      <c r="C974" s="120"/>
      <c r="D974" s="120"/>
      <c r="E974" s="120"/>
      <c r="F974" s="120"/>
      <c r="G974" s="120"/>
      <c r="H974" s="120"/>
      <c r="I974" s="120"/>
      <c r="J974" s="120"/>
      <c r="K974" s="120"/>
      <c r="L974" s="120"/>
      <c r="M974" s="120"/>
    </row>
    <row r="975">
      <c r="A975" s="120"/>
      <c r="B975" s="120"/>
      <c r="C975" s="120"/>
      <c r="D975" s="120"/>
      <c r="E975" s="120"/>
      <c r="F975" s="120"/>
      <c r="G975" s="120"/>
      <c r="H975" s="120"/>
      <c r="I975" s="120"/>
      <c r="J975" s="120"/>
      <c r="K975" s="120"/>
      <c r="L975" s="120"/>
      <c r="M975" s="120"/>
    </row>
    <row r="976">
      <c r="A976" s="120"/>
      <c r="B976" s="120"/>
      <c r="C976" s="120"/>
      <c r="D976" s="120"/>
      <c r="E976" s="120"/>
      <c r="F976" s="120"/>
      <c r="G976" s="120"/>
      <c r="H976" s="120"/>
      <c r="I976" s="120"/>
      <c r="J976" s="120"/>
      <c r="K976" s="120"/>
      <c r="L976" s="120"/>
      <c r="M976" s="120"/>
    </row>
    <row r="977">
      <c r="A977" s="120"/>
      <c r="B977" s="120"/>
      <c r="C977" s="120"/>
      <c r="D977" s="120"/>
      <c r="E977" s="120"/>
      <c r="F977" s="120"/>
      <c r="G977" s="120"/>
      <c r="H977" s="120"/>
      <c r="I977" s="120"/>
      <c r="J977" s="120"/>
      <c r="K977" s="120"/>
      <c r="L977" s="120"/>
      <c r="M977" s="120"/>
    </row>
    <row r="978">
      <c r="A978" s="120"/>
      <c r="B978" s="120"/>
      <c r="C978" s="120"/>
      <c r="D978" s="120"/>
      <c r="E978" s="120"/>
      <c r="F978" s="120"/>
      <c r="G978" s="120"/>
      <c r="H978" s="120"/>
      <c r="I978" s="120"/>
      <c r="J978" s="120"/>
      <c r="K978" s="120"/>
      <c r="L978" s="120"/>
      <c r="M978" s="120"/>
    </row>
    <row r="979">
      <c r="A979" s="120"/>
      <c r="B979" s="120"/>
      <c r="C979" s="120"/>
      <c r="D979" s="120"/>
      <c r="E979" s="120"/>
      <c r="F979" s="120"/>
      <c r="G979" s="120"/>
      <c r="H979" s="120"/>
      <c r="I979" s="120"/>
      <c r="J979" s="120"/>
      <c r="K979" s="120"/>
      <c r="L979" s="120"/>
      <c r="M979" s="120"/>
    </row>
    <row r="980">
      <c r="A980" s="120"/>
      <c r="B980" s="120"/>
      <c r="C980" s="120"/>
      <c r="D980" s="120"/>
      <c r="E980" s="120"/>
      <c r="F980" s="120"/>
      <c r="G980" s="120"/>
      <c r="H980" s="120"/>
      <c r="I980" s="120"/>
      <c r="J980" s="120"/>
      <c r="K980" s="120"/>
      <c r="L980" s="120"/>
      <c r="M980" s="120"/>
    </row>
    <row r="981">
      <c r="A981" s="120"/>
      <c r="B981" s="120"/>
      <c r="C981" s="120"/>
      <c r="D981" s="120"/>
      <c r="E981" s="120"/>
      <c r="F981" s="120"/>
      <c r="G981" s="120"/>
      <c r="H981" s="120"/>
      <c r="I981" s="120"/>
      <c r="J981" s="120"/>
      <c r="K981" s="120"/>
      <c r="L981" s="120"/>
      <c r="M981" s="120"/>
    </row>
    <row r="982">
      <c r="A982" s="120"/>
      <c r="B982" s="120"/>
      <c r="C982" s="120"/>
      <c r="D982" s="120"/>
      <c r="E982" s="120"/>
      <c r="F982" s="120"/>
      <c r="G982" s="120"/>
      <c r="H982" s="120"/>
      <c r="I982" s="120"/>
      <c r="J982" s="120"/>
      <c r="K982" s="120"/>
      <c r="L982" s="120"/>
      <c r="M982" s="120"/>
    </row>
    <row r="983">
      <c r="A983" s="120"/>
      <c r="B983" s="120"/>
      <c r="C983" s="120"/>
      <c r="D983" s="120"/>
      <c r="E983" s="120"/>
      <c r="F983" s="120"/>
      <c r="G983" s="120"/>
      <c r="H983" s="120"/>
      <c r="I983" s="120"/>
      <c r="J983" s="120"/>
      <c r="K983" s="120"/>
      <c r="L983" s="120"/>
      <c r="M983" s="120"/>
    </row>
    <row r="984">
      <c r="A984" s="120"/>
      <c r="B984" s="120"/>
      <c r="C984" s="120"/>
      <c r="D984" s="120"/>
      <c r="E984" s="120"/>
      <c r="F984" s="120"/>
      <c r="G984" s="120"/>
      <c r="H984" s="120"/>
      <c r="I984" s="120"/>
      <c r="J984" s="120"/>
      <c r="K984" s="120"/>
      <c r="L984" s="120"/>
      <c r="M984" s="120"/>
    </row>
    <row r="985">
      <c r="A985" s="120"/>
      <c r="B985" s="120"/>
      <c r="C985" s="120"/>
      <c r="D985" s="120"/>
      <c r="E985" s="120"/>
      <c r="F985" s="120"/>
      <c r="G985" s="120"/>
      <c r="H985" s="120"/>
      <c r="I985" s="120"/>
      <c r="J985" s="120"/>
      <c r="K985" s="120"/>
      <c r="L985" s="120"/>
      <c r="M985" s="120"/>
    </row>
    <row r="986">
      <c r="A986" s="120"/>
      <c r="B986" s="120"/>
      <c r="C986" s="120"/>
      <c r="D986" s="120"/>
      <c r="E986" s="120"/>
      <c r="F986" s="120"/>
      <c r="G986" s="120"/>
      <c r="H986" s="120"/>
      <c r="I986" s="120"/>
      <c r="J986" s="120"/>
      <c r="K986" s="120"/>
      <c r="L986" s="120"/>
      <c r="M986" s="120"/>
    </row>
    <row r="987">
      <c r="A987" s="120"/>
      <c r="B987" s="120"/>
      <c r="C987" s="120"/>
      <c r="D987" s="120"/>
      <c r="E987" s="120"/>
      <c r="F987" s="120"/>
      <c r="G987" s="120"/>
      <c r="H987" s="120"/>
      <c r="I987" s="120"/>
      <c r="J987" s="120"/>
      <c r="K987" s="120"/>
      <c r="L987" s="120"/>
      <c r="M987" s="120"/>
    </row>
    <row r="988">
      <c r="A988" s="120"/>
      <c r="B988" s="120"/>
      <c r="C988" s="120"/>
      <c r="D988" s="120"/>
      <c r="E988" s="120"/>
      <c r="F988" s="120"/>
      <c r="G988" s="120"/>
      <c r="H988" s="120"/>
      <c r="I988" s="120"/>
      <c r="J988" s="120"/>
      <c r="K988" s="120"/>
      <c r="L988" s="120"/>
      <c r="M988" s="120"/>
    </row>
    <row r="989">
      <c r="A989" s="120"/>
      <c r="B989" s="120"/>
      <c r="C989" s="120"/>
      <c r="D989" s="120"/>
      <c r="E989" s="120"/>
      <c r="F989" s="120"/>
      <c r="G989" s="120"/>
      <c r="H989" s="120"/>
      <c r="I989" s="120"/>
      <c r="J989" s="120"/>
      <c r="K989" s="120"/>
      <c r="L989" s="120"/>
      <c r="M989" s="120"/>
    </row>
    <row r="990">
      <c r="A990" s="120"/>
      <c r="B990" s="120"/>
      <c r="C990" s="120"/>
      <c r="D990" s="120"/>
      <c r="E990" s="120"/>
      <c r="F990" s="120"/>
      <c r="G990" s="120"/>
      <c r="H990" s="120"/>
      <c r="I990" s="120"/>
      <c r="J990" s="120"/>
      <c r="K990" s="120"/>
      <c r="L990" s="120"/>
      <c r="M990" s="120"/>
    </row>
    <row r="991">
      <c r="A991" s="120"/>
      <c r="B991" s="120"/>
      <c r="C991" s="120"/>
      <c r="D991" s="120"/>
      <c r="E991" s="120"/>
      <c r="F991" s="120"/>
      <c r="G991" s="120"/>
      <c r="H991" s="120"/>
      <c r="I991" s="120"/>
      <c r="J991" s="120"/>
      <c r="K991" s="120"/>
      <c r="L991" s="120"/>
      <c r="M991" s="120"/>
    </row>
    <row r="992">
      <c r="A992" s="120"/>
      <c r="B992" s="120"/>
      <c r="C992" s="120"/>
      <c r="D992" s="120"/>
      <c r="E992" s="120"/>
      <c r="F992" s="120"/>
      <c r="G992" s="120"/>
      <c r="H992" s="120"/>
      <c r="I992" s="120"/>
      <c r="J992" s="120"/>
      <c r="K992" s="120"/>
      <c r="L992" s="120"/>
      <c r="M992" s="120"/>
    </row>
    <row r="993">
      <c r="A993" s="120"/>
      <c r="B993" s="120"/>
      <c r="C993" s="120"/>
      <c r="D993" s="120"/>
      <c r="E993" s="120"/>
      <c r="F993" s="120"/>
      <c r="G993" s="120"/>
      <c r="H993" s="120"/>
      <c r="I993" s="120"/>
      <c r="J993" s="120"/>
      <c r="K993" s="120"/>
      <c r="L993" s="120"/>
      <c r="M993" s="120"/>
    </row>
    <row r="994">
      <c r="A994" s="120"/>
      <c r="B994" s="120"/>
      <c r="C994" s="120"/>
      <c r="D994" s="120"/>
      <c r="E994" s="120"/>
      <c r="F994" s="120"/>
      <c r="G994" s="120"/>
      <c r="H994" s="120"/>
      <c r="I994" s="120"/>
      <c r="J994" s="120"/>
      <c r="K994" s="120"/>
      <c r="L994" s="120"/>
      <c r="M994" s="120"/>
    </row>
    <row r="995">
      <c r="A995" s="120"/>
      <c r="B995" s="120"/>
      <c r="C995" s="120"/>
      <c r="D995" s="120"/>
      <c r="E995" s="120"/>
      <c r="F995" s="120"/>
      <c r="G995" s="120"/>
      <c r="H995" s="120"/>
      <c r="I995" s="120"/>
      <c r="J995" s="120"/>
      <c r="K995" s="120"/>
      <c r="L995" s="120"/>
      <c r="M995" s="120"/>
    </row>
    <row r="996">
      <c r="A996" s="120"/>
      <c r="B996" s="120"/>
      <c r="C996" s="120"/>
      <c r="D996" s="120"/>
      <c r="E996" s="120"/>
      <c r="F996" s="120"/>
      <c r="G996" s="120"/>
      <c r="H996" s="120"/>
      <c r="I996" s="120"/>
      <c r="J996" s="120"/>
      <c r="K996" s="120"/>
      <c r="L996" s="120"/>
      <c r="M996" s="120"/>
    </row>
    <row r="997">
      <c r="A997" s="120"/>
      <c r="B997" s="120"/>
      <c r="C997" s="120"/>
      <c r="D997" s="120"/>
      <c r="E997" s="120"/>
      <c r="F997" s="120"/>
      <c r="G997" s="120"/>
      <c r="H997" s="120"/>
      <c r="I997" s="120"/>
      <c r="J997" s="120"/>
      <c r="K997" s="120"/>
      <c r="L997" s="120"/>
      <c r="M997" s="120"/>
    </row>
    <row r="998">
      <c r="A998" s="120"/>
      <c r="B998" s="120"/>
      <c r="C998" s="120"/>
      <c r="D998" s="120"/>
      <c r="E998" s="120"/>
      <c r="F998" s="120"/>
      <c r="G998" s="120"/>
      <c r="H998" s="120"/>
      <c r="I998" s="120"/>
      <c r="J998" s="120"/>
      <c r="K998" s="120"/>
      <c r="L998" s="120"/>
      <c r="M998" s="120"/>
    </row>
    <row r="999">
      <c r="A999" s="120"/>
      <c r="B999" s="120"/>
      <c r="C999" s="120"/>
      <c r="D999" s="120"/>
      <c r="E999" s="120"/>
      <c r="F999" s="120"/>
      <c r="G999" s="120"/>
      <c r="H999" s="120"/>
      <c r="I999" s="120"/>
      <c r="J999" s="120"/>
      <c r="K999" s="120"/>
      <c r="L999" s="120"/>
      <c r="M999" s="120"/>
    </row>
    <row r="1000">
      <c r="A1000" s="120"/>
      <c r="B1000" s="120"/>
      <c r="C1000" s="120"/>
      <c r="D1000" s="120"/>
      <c r="E1000" s="120"/>
      <c r="F1000" s="120"/>
      <c r="G1000" s="120"/>
      <c r="H1000" s="120"/>
      <c r="I1000" s="120"/>
      <c r="J1000" s="120"/>
      <c r="K1000" s="120"/>
      <c r="L1000" s="120"/>
      <c r="M1000" s="120"/>
    </row>
    <row r="1001">
      <c r="A1001" s="120"/>
      <c r="B1001" s="120"/>
      <c r="C1001" s="120"/>
      <c r="D1001" s="120"/>
      <c r="E1001" s="120"/>
      <c r="F1001" s="120"/>
      <c r="G1001" s="120"/>
      <c r="H1001" s="120"/>
      <c r="I1001" s="120"/>
      <c r="J1001" s="120"/>
      <c r="K1001" s="120"/>
      <c r="L1001" s="120"/>
      <c r="M1001" s="120"/>
    </row>
    <row r="1002">
      <c r="A1002" s="120"/>
      <c r="B1002" s="120"/>
      <c r="C1002" s="120"/>
      <c r="D1002" s="120"/>
      <c r="E1002" s="120"/>
      <c r="F1002" s="120"/>
      <c r="G1002" s="120"/>
      <c r="H1002" s="120"/>
      <c r="I1002" s="120"/>
      <c r="J1002" s="120"/>
      <c r="K1002" s="120"/>
      <c r="L1002" s="120"/>
      <c r="M1002" s="120"/>
    </row>
    <row r="1003">
      <c r="A1003" s="120"/>
      <c r="B1003" s="120"/>
      <c r="C1003" s="120"/>
      <c r="D1003" s="120"/>
      <c r="E1003" s="120"/>
      <c r="F1003" s="120"/>
      <c r="G1003" s="120"/>
      <c r="H1003" s="120"/>
      <c r="I1003" s="120"/>
      <c r="J1003" s="120"/>
      <c r="K1003" s="120"/>
      <c r="L1003" s="120"/>
      <c r="M1003" s="120"/>
    </row>
    <row r="1004">
      <c r="A1004" s="120"/>
      <c r="B1004" s="120"/>
      <c r="C1004" s="120"/>
      <c r="D1004" s="120"/>
      <c r="E1004" s="120"/>
      <c r="F1004" s="120"/>
      <c r="G1004" s="120"/>
      <c r="H1004" s="120"/>
      <c r="I1004" s="120"/>
      <c r="J1004" s="120"/>
      <c r="K1004" s="120"/>
      <c r="L1004" s="120"/>
      <c r="M1004" s="120"/>
    </row>
    <row r="1005">
      <c r="A1005" s="120"/>
      <c r="B1005" s="120"/>
      <c r="C1005" s="120"/>
      <c r="D1005" s="120"/>
      <c r="E1005" s="120"/>
      <c r="F1005" s="120"/>
      <c r="G1005" s="120"/>
      <c r="H1005" s="120"/>
      <c r="I1005" s="120"/>
      <c r="J1005" s="120"/>
      <c r="K1005" s="120"/>
      <c r="L1005" s="120"/>
      <c r="M1005" s="120"/>
    </row>
    <row r="1006">
      <c r="A1006" s="120"/>
      <c r="B1006" s="120"/>
      <c r="C1006" s="120"/>
      <c r="D1006" s="120"/>
      <c r="E1006" s="120"/>
      <c r="F1006" s="120"/>
      <c r="G1006" s="120"/>
      <c r="H1006" s="120"/>
      <c r="I1006" s="120"/>
      <c r="J1006" s="120"/>
      <c r="K1006" s="120"/>
      <c r="L1006" s="120"/>
      <c r="M1006" s="120"/>
    </row>
    <row r="1007">
      <c r="A1007" s="120"/>
      <c r="B1007" s="120"/>
      <c r="C1007" s="120"/>
      <c r="D1007" s="120"/>
      <c r="E1007" s="120"/>
      <c r="F1007" s="120"/>
      <c r="G1007" s="120"/>
      <c r="H1007" s="120"/>
      <c r="I1007" s="120"/>
      <c r="J1007" s="120"/>
      <c r="K1007" s="120"/>
      <c r="L1007" s="120"/>
      <c r="M1007" s="120"/>
    </row>
    <row r="1008">
      <c r="A1008" s="120"/>
      <c r="B1008" s="120"/>
      <c r="C1008" s="120"/>
      <c r="D1008" s="120"/>
      <c r="E1008" s="120"/>
      <c r="F1008" s="120"/>
      <c r="G1008" s="120"/>
      <c r="H1008" s="120"/>
      <c r="I1008" s="120"/>
      <c r="J1008" s="120"/>
      <c r="K1008" s="120"/>
      <c r="L1008" s="120"/>
      <c r="M1008" s="120"/>
    </row>
    <row r="1009">
      <c r="A1009" s="120"/>
      <c r="B1009" s="120"/>
      <c r="C1009" s="120"/>
      <c r="D1009" s="120"/>
      <c r="E1009" s="120"/>
      <c r="F1009" s="120"/>
      <c r="G1009" s="120"/>
      <c r="H1009" s="120"/>
      <c r="I1009" s="120"/>
      <c r="J1009" s="120"/>
      <c r="K1009" s="120"/>
      <c r="L1009" s="120"/>
      <c r="M1009" s="120"/>
    </row>
    <row r="1010">
      <c r="A1010" s="120"/>
      <c r="B1010" s="120"/>
      <c r="C1010" s="120"/>
      <c r="D1010" s="120"/>
      <c r="E1010" s="120"/>
      <c r="F1010" s="120"/>
      <c r="G1010" s="120"/>
      <c r="H1010" s="120"/>
      <c r="I1010" s="120"/>
      <c r="J1010" s="120"/>
      <c r="K1010" s="120"/>
      <c r="L1010" s="120"/>
      <c r="M1010" s="120"/>
    </row>
    <row r="1011">
      <c r="A1011" s="120"/>
      <c r="B1011" s="120"/>
      <c r="C1011" s="120"/>
      <c r="D1011" s="120"/>
      <c r="E1011" s="120"/>
      <c r="F1011" s="120"/>
      <c r="G1011" s="120"/>
      <c r="H1011" s="120"/>
      <c r="I1011" s="120"/>
      <c r="J1011" s="120"/>
      <c r="K1011" s="120"/>
      <c r="L1011" s="120"/>
      <c r="M1011" s="120"/>
    </row>
    <row r="1012">
      <c r="A1012" s="120"/>
      <c r="B1012" s="120"/>
      <c r="C1012" s="120"/>
      <c r="D1012" s="120"/>
      <c r="E1012" s="120"/>
      <c r="F1012" s="120"/>
      <c r="G1012" s="120"/>
      <c r="H1012" s="120"/>
      <c r="I1012" s="120"/>
      <c r="J1012" s="120"/>
      <c r="K1012" s="120"/>
      <c r="L1012" s="120"/>
      <c r="M1012" s="120"/>
    </row>
    <row r="1013">
      <c r="A1013" s="120"/>
      <c r="B1013" s="120"/>
      <c r="C1013" s="120"/>
      <c r="D1013" s="120"/>
      <c r="E1013" s="120"/>
      <c r="F1013" s="120"/>
      <c r="G1013" s="120"/>
      <c r="H1013" s="120"/>
      <c r="I1013" s="120"/>
      <c r="J1013" s="120"/>
      <c r="K1013" s="120"/>
      <c r="L1013" s="120"/>
      <c r="M1013" s="120"/>
    </row>
    <row r="1014">
      <c r="A1014" s="120"/>
      <c r="B1014" s="120"/>
      <c r="C1014" s="120"/>
      <c r="D1014" s="120"/>
      <c r="E1014" s="120"/>
      <c r="F1014" s="120"/>
      <c r="G1014" s="120"/>
      <c r="H1014" s="120"/>
      <c r="I1014" s="120"/>
      <c r="J1014" s="120"/>
      <c r="K1014" s="120"/>
      <c r="L1014" s="120"/>
      <c r="M1014" s="120"/>
    </row>
    <row r="1015">
      <c r="A1015" s="120"/>
      <c r="B1015" s="120"/>
      <c r="C1015" s="120"/>
      <c r="D1015" s="120"/>
      <c r="E1015" s="120"/>
      <c r="F1015" s="120"/>
      <c r="G1015" s="120"/>
      <c r="H1015" s="120"/>
      <c r="I1015" s="120"/>
      <c r="J1015" s="120"/>
      <c r="K1015" s="120"/>
      <c r="L1015" s="120"/>
      <c r="M1015" s="120"/>
    </row>
    <row r="1016">
      <c r="A1016" s="120"/>
      <c r="B1016" s="120"/>
      <c r="C1016" s="120"/>
      <c r="D1016" s="120"/>
      <c r="E1016" s="120"/>
      <c r="F1016" s="120"/>
      <c r="G1016" s="120"/>
      <c r="H1016" s="120"/>
      <c r="I1016" s="120"/>
      <c r="J1016" s="120"/>
      <c r="K1016" s="120"/>
      <c r="L1016" s="120"/>
      <c r="M1016" s="120"/>
    </row>
    <row r="1017">
      <c r="A1017" s="120"/>
      <c r="B1017" s="120"/>
      <c r="C1017" s="120"/>
      <c r="D1017" s="120"/>
      <c r="E1017" s="120"/>
      <c r="F1017" s="120"/>
      <c r="G1017" s="120"/>
      <c r="H1017" s="120"/>
      <c r="I1017" s="120"/>
      <c r="J1017" s="120"/>
      <c r="K1017" s="120"/>
      <c r="L1017" s="120"/>
      <c r="M1017" s="120"/>
    </row>
    <row r="1018">
      <c r="A1018" s="120"/>
      <c r="B1018" s="120"/>
      <c r="C1018" s="120"/>
      <c r="D1018" s="120"/>
      <c r="E1018" s="120"/>
      <c r="F1018" s="120"/>
      <c r="G1018" s="120"/>
      <c r="H1018" s="120"/>
      <c r="I1018" s="120"/>
      <c r="J1018" s="120"/>
      <c r="K1018" s="120"/>
      <c r="L1018" s="120"/>
      <c r="M1018" s="120"/>
    </row>
    <row r="1019">
      <c r="A1019" s="120"/>
      <c r="B1019" s="120"/>
      <c r="C1019" s="120"/>
      <c r="D1019" s="120"/>
      <c r="E1019" s="120"/>
      <c r="F1019" s="120"/>
      <c r="G1019" s="120"/>
      <c r="H1019" s="120"/>
      <c r="I1019" s="120"/>
      <c r="J1019" s="120"/>
      <c r="K1019" s="120"/>
      <c r="L1019" s="120"/>
      <c r="M1019" s="120"/>
    </row>
    <row r="1020">
      <c r="A1020" s="120"/>
      <c r="B1020" s="120"/>
      <c r="C1020" s="120"/>
      <c r="D1020" s="120"/>
      <c r="E1020" s="120"/>
      <c r="F1020" s="120"/>
      <c r="G1020" s="120"/>
      <c r="H1020" s="120"/>
      <c r="I1020" s="120"/>
      <c r="J1020" s="120"/>
      <c r="K1020" s="120"/>
      <c r="L1020" s="120"/>
      <c r="M1020" s="120"/>
    </row>
    <row r="1021">
      <c r="A1021" s="120"/>
      <c r="B1021" s="120"/>
      <c r="C1021" s="120"/>
      <c r="D1021" s="120"/>
      <c r="E1021" s="120"/>
      <c r="F1021" s="120"/>
      <c r="G1021" s="120"/>
      <c r="H1021" s="120"/>
      <c r="I1021" s="120"/>
      <c r="J1021" s="120"/>
      <c r="K1021" s="120"/>
      <c r="L1021" s="120"/>
      <c r="M1021" s="120"/>
    </row>
    <row r="1022">
      <c r="A1022" s="120"/>
      <c r="B1022" s="120"/>
      <c r="C1022" s="120"/>
      <c r="D1022" s="120"/>
      <c r="E1022" s="120"/>
      <c r="F1022" s="120"/>
      <c r="G1022" s="120"/>
      <c r="H1022" s="120"/>
      <c r="I1022" s="120"/>
      <c r="J1022" s="120"/>
      <c r="K1022" s="120"/>
      <c r="L1022" s="120"/>
      <c r="M1022" s="120"/>
    </row>
    <row r="1023">
      <c r="A1023" s="120"/>
      <c r="B1023" s="120"/>
      <c r="C1023" s="120"/>
      <c r="D1023" s="120"/>
      <c r="E1023" s="120"/>
      <c r="F1023" s="120"/>
      <c r="G1023" s="120"/>
      <c r="H1023" s="120"/>
      <c r="I1023" s="120"/>
      <c r="J1023" s="120"/>
      <c r="K1023" s="120"/>
      <c r="L1023" s="120"/>
      <c r="M1023" s="120"/>
    </row>
    <row r="1024">
      <c r="A1024" s="120"/>
      <c r="B1024" s="120"/>
      <c r="C1024" s="120"/>
      <c r="D1024" s="120"/>
      <c r="E1024" s="120"/>
      <c r="F1024" s="120"/>
      <c r="G1024" s="120"/>
      <c r="H1024" s="120"/>
      <c r="I1024" s="120"/>
      <c r="J1024" s="120"/>
      <c r="K1024" s="120"/>
      <c r="L1024" s="120"/>
      <c r="M1024" s="120"/>
    </row>
    <row r="1025">
      <c r="A1025" s="120"/>
      <c r="B1025" s="120"/>
      <c r="C1025" s="120"/>
      <c r="D1025" s="120"/>
      <c r="E1025" s="120"/>
      <c r="F1025" s="120"/>
      <c r="G1025" s="120"/>
      <c r="H1025" s="120"/>
      <c r="I1025" s="120"/>
      <c r="J1025" s="120"/>
      <c r="K1025" s="120"/>
      <c r="L1025" s="120"/>
      <c r="M1025" s="120"/>
    </row>
    <row r="1026">
      <c r="A1026" s="120"/>
      <c r="B1026" s="120"/>
      <c r="C1026" s="120"/>
      <c r="D1026" s="120"/>
      <c r="E1026" s="120"/>
      <c r="F1026" s="120"/>
      <c r="G1026" s="120"/>
      <c r="H1026" s="120"/>
      <c r="I1026" s="120"/>
      <c r="J1026" s="120"/>
      <c r="K1026" s="120"/>
      <c r="L1026" s="120"/>
      <c r="M1026" s="120"/>
    </row>
    <row r="1027">
      <c r="A1027" s="120"/>
      <c r="B1027" s="120"/>
      <c r="C1027" s="120"/>
      <c r="D1027" s="120"/>
      <c r="E1027" s="120"/>
      <c r="F1027" s="120"/>
      <c r="G1027" s="120"/>
      <c r="H1027" s="120"/>
      <c r="I1027" s="120"/>
      <c r="J1027" s="120"/>
      <c r="K1027" s="120"/>
      <c r="L1027" s="120"/>
      <c r="M1027" s="120"/>
    </row>
    <row r="1028">
      <c r="A1028" s="120"/>
      <c r="B1028" s="120"/>
      <c r="C1028" s="120"/>
      <c r="D1028" s="120"/>
      <c r="E1028" s="120"/>
      <c r="F1028" s="120"/>
      <c r="G1028" s="120"/>
      <c r="H1028" s="120"/>
      <c r="I1028" s="120"/>
      <c r="J1028" s="120"/>
      <c r="K1028" s="120"/>
      <c r="L1028" s="120"/>
      <c r="M1028" s="120"/>
    </row>
    <row r="1029">
      <c r="A1029" s="120"/>
      <c r="B1029" s="120"/>
      <c r="C1029" s="120"/>
      <c r="D1029" s="120"/>
      <c r="E1029" s="120"/>
      <c r="F1029" s="120"/>
      <c r="G1029" s="120"/>
      <c r="H1029" s="120"/>
      <c r="I1029" s="120"/>
      <c r="J1029" s="120"/>
      <c r="K1029" s="120"/>
      <c r="L1029" s="120"/>
      <c r="M1029" s="120"/>
    </row>
    <row r="1030">
      <c r="A1030" s="120"/>
      <c r="B1030" s="120"/>
      <c r="C1030" s="120"/>
      <c r="D1030" s="120"/>
      <c r="E1030" s="120"/>
      <c r="F1030" s="120"/>
      <c r="G1030" s="120"/>
      <c r="H1030" s="120"/>
      <c r="I1030" s="120"/>
      <c r="J1030" s="120"/>
      <c r="K1030" s="120"/>
      <c r="L1030" s="120"/>
      <c r="M1030" s="120"/>
    </row>
    <row r="1031">
      <c r="A1031" s="120"/>
      <c r="B1031" s="120"/>
      <c r="C1031" s="120"/>
      <c r="D1031" s="120"/>
      <c r="E1031" s="120"/>
      <c r="F1031" s="120"/>
      <c r="G1031" s="120"/>
      <c r="H1031" s="120"/>
      <c r="I1031" s="120"/>
      <c r="J1031" s="120"/>
      <c r="K1031" s="120"/>
      <c r="L1031" s="120"/>
      <c r="M1031" s="120"/>
    </row>
    <row r="1032">
      <c r="A1032" s="120"/>
      <c r="B1032" s="120"/>
      <c r="C1032" s="120"/>
      <c r="D1032" s="120"/>
      <c r="E1032" s="120"/>
      <c r="F1032" s="120"/>
      <c r="G1032" s="120"/>
      <c r="H1032" s="120"/>
      <c r="I1032" s="120"/>
      <c r="J1032" s="120"/>
      <c r="K1032" s="120"/>
      <c r="L1032" s="120"/>
      <c r="M1032" s="120"/>
    </row>
    <row r="1033">
      <c r="A1033" s="120"/>
      <c r="B1033" s="120"/>
      <c r="C1033" s="120"/>
      <c r="D1033" s="120"/>
      <c r="E1033" s="120"/>
      <c r="F1033" s="120"/>
      <c r="G1033" s="120"/>
      <c r="H1033" s="120"/>
      <c r="I1033" s="120"/>
      <c r="J1033" s="120"/>
      <c r="K1033" s="120"/>
      <c r="L1033" s="120"/>
      <c r="M1033" s="120"/>
    </row>
    <row r="1034">
      <c r="A1034" s="120"/>
      <c r="B1034" s="120"/>
      <c r="C1034" s="120"/>
      <c r="D1034" s="120"/>
      <c r="E1034" s="120"/>
      <c r="F1034" s="120"/>
      <c r="G1034" s="120"/>
      <c r="H1034" s="120"/>
      <c r="I1034" s="120"/>
      <c r="J1034" s="120"/>
      <c r="K1034" s="120"/>
      <c r="L1034" s="120"/>
      <c r="M1034" s="120"/>
    </row>
    <row r="1035">
      <c r="A1035" s="120"/>
      <c r="B1035" s="120"/>
      <c r="C1035" s="120"/>
      <c r="D1035" s="120"/>
      <c r="E1035" s="120"/>
      <c r="F1035" s="120"/>
      <c r="G1035" s="120"/>
      <c r="H1035" s="120"/>
      <c r="I1035" s="120"/>
      <c r="J1035" s="120"/>
      <c r="K1035" s="120"/>
      <c r="L1035" s="120"/>
      <c r="M1035" s="120"/>
    </row>
    <row r="1036">
      <c r="A1036" s="120"/>
      <c r="B1036" s="120"/>
      <c r="C1036" s="120"/>
      <c r="D1036" s="120"/>
      <c r="E1036" s="120"/>
      <c r="F1036" s="120"/>
      <c r="G1036" s="120"/>
      <c r="H1036" s="120"/>
      <c r="I1036" s="120"/>
      <c r="J1036" s="120"/>
      <c r="K1036" s="120"/>
      <c r="L1036" s="120"/>
      <c r="M1036" s="120"/>
    </row>
    <row r="1037">
      <c r="A1037" s="120"/>
      <c r="B1037" s="120"/>
      <c r="C1037" s="120"/>
      <c r="D1037" s="120"/>
      <c r="E1037" s="120"/>
      <c r="F1037" s="120"/>
      <c r="G1037" s="120"/>
      <c r="H1037" s="120"/>
      <c r="I1037" s="120"/>
      <c r="J1037" s="120"/>
      <c r="K1037" s="120"/>
      <c r="L1037" s="120"/>
      <c r="M1037" s="120"/>
    </row>
    <row r="1038">
      <c r="A1038" s="120"/>
      <c r="B1038" s="120"/>
      <c r="C1038" s="120"/>
      <c r="D1038" s="120"/>
      <c r="E1038" s="120"/>
      <c r="F1038" s="120"/>
      <c r="G1038" s="120"/>
      <c r="H1038" s="120"/>
      <c r="I1038" s="120"/>
      <c r="J1038" s="120"/>
      <c r="K1038" s="120"/>
      <c r="L1038" s="120"/>
      <c r="M1038" s="120"/>
    </row>
    <row r="1039">
      <c r="A1039" s="120"/>
      <c r="B1039" s="120"/>
      <c r="C1039" s="120"/>
      <c r="D1039" s="120"/>
      <c r="E1039" s="120"/>
      <c r="F1039" s="120"/>
      <c r="G1039" s="120"/>
      <c r="H1039" s="120"/>
      <c r="I1039" s="120"/>
      <c r="J1039" s="120"/>
      <c r="K1039" s="120"/>
      <c r="L1039" s="120"/>
      <c r="M1039" s="120"/>
    </row>
    <row r="1040">
      <c r="A1040" s="120"/>
      <c r="B1040" s="120"/>
      <c r="C1040" s="120"/>
      <c r="D1040" s="120"/>
      <c r="E1040" s="120"/>
      <c r="F1040" s="120"/>
      <c r="G1040" s="120"/>
      <c r="H1040" s="120"/>
      <c r="I1040" s="120"/>
      <c r="J1040" s="120"/>
      <c r="K1040" s="120"/>
      <c r="L1040" s="120"/>
      <c r="M1040" s="120"/>
    </row>
    <row r="1041">
      <c r="A1041" s="120"/>
      <c r="B1041" s="120"/>
      <c r="C1041" s="120"/>
      <c r="D1041" s="120"/>
      <c r="E1041" s="120"/>
      <c r="F1041" s="120"/>
      <c r="G1041" s="120"/>
      <c r="H1041" s="120"/>
      <c r="I1041" s="120"/>
      <c r="J1041" s="120"/>
      <c r="K1041" s="120"/>
      <c r="L1041" s="120"/>
      <c r="M1041" s="120"/>
    </row>
    <row r="1042">
      <c r="A1042" s="120"/>
      <c r="B1042" s="120"/>
      <c r="C1042" s="120"/>
      <c r="D1042" s="120"/>
      <c r="E1042" s="120"/>
      <c r="F1042" s="120"/>
      <c r="G1042" s="120"/>
      <c r="H1042" s="120"/>
      <c r="I1042" s="120"/>
      <c r="J1042" s="120"/>
      <c r="K1042" s="120"/>
      <c r="L1042" s="120"/>
      <c r="M1042" s="120"/>
    </row>
    <row r="1043">
      <c r="A1043" s="120"/>
      <c r="B1043" s="120"/>
      <c r="C1043" s="120"/>
      <c r="D1043" s="120"/>
      <c r="E1043" s="120"/>
      <c r="F1043" s="120"/>
      <c r="G1043" s="120"/>
      <c r="H1043" s="120"/>
      <c r="I1043" s="120"/>
      <c r="J1043" s="120"/>
      <c r="K1043" s="120"/>
      <c r="L1043" s="120"/>
      <c r="M1043" s="120"/>
    </row>
    <row r="1044">
      <c r="A1044" s="120"/>
      <c r="B1044" s="120"/>
      <c r="C1044" s="120"/>
      <c r="D1044" s="120"/>
      <c r="E1044" s="120"/>
      <c r="F1044" s="120"/>
      <c r="G1044" s="120"/>
      <c r="H1044" s="120"/>
      <c r="I1044" s="120"/>
      <c r="J1044" s="120"/>
      <c r="K1044" s="120"/>
      <c r="L1044" s="120"/>
      <c r="M1044" s="120"/>
    </row>
    <row r="1045">
      <c r="A1045" s="120"/>
      <c r="B1045" s="120"/>
      <c r="C1045" s="120"/>
      <c r="D1045" s="120"/>
      <c r="E1045" s="120"/>
      <c r="F1045" s="120"/>
      <c r="G1045" s="120"/>
      <c r="H1045" s="120"/>
      <c r="I1045" s="120"/>
      <c r="J1045" s="120"/>
      <c r="K1045" s="120"/>
      <c r="L1045" s="120"/>
      <c r="M1045" s="120"/>
    </row>
    <row r="1046">
      <c r="A1046" s="120"/>
      <c r="B1046" s="120"/>
      <c r="C1046" s="120"/>
      <c r="D1046" s="120"/>
      <c r="E1046" s="120"/>
      <c r="F1046" s="120"/>
      <c r="G1046" s="120"/>
      <c r="H1046" s="120"/>
      <c r="I1046" s="120"/>
      <c r="J1046" s="120"/>
      <c r="K1046" s="120"/>
      <c r="L1046" s="120"/>
      <c r="M1046" s="120"/>
    </row>
    <row r="1047">
      <c r="A1047" s="120"/>
      <c r="B1047" s="120"/>
      <c r="C1047" s="120"/>
      <c r="D1047" s="120"/>
      <c r="E1047" s="120"/>
      <c r="F1047" s="120"/>
      <c r="G1047" s="120"/>
      <c r="H1047" s="120"/>
      <c r="I1047" s="120"/>
      <c r="J1047" s="120"/>
      <c r="K1047" s="120"/>
      <c r="L1047" s="120"/>
      <c r="M1047" s="120"/>
    </row>
    <row r="1048">
      <c r="A1048" s="120"/>
      <c r="B1048" s="120"/>
      <c r="C1048" s="120"/>
      <c r="D1048" s="120"/>
      <c r="E1048" s="120"/>
      <c r="F1048" s="120"/>
      <c r="G1048" s="120"/>
      <c r="H1048" s="120"/>
      <c r="I1048" s="120"/>
      <c r="J1048" s="120"/>
      <c r="K1048" s="120"/>
      <c r="L1048" s="120"/>
      <c r="M1048" s="120"/>
    </row>
    <row r="1049">
      <c r="A1049" s="120"/>
      <c r="B1049" s="120"/>
      <c r="C1049" s="120"/>
      <c r="D1049" s="120"/>
      <c r="E1049" s="120"/>
      <c r="F1049" s="120"/>
      <c r="G1049" s="120"/>
      <c r="H1049" s="120"/>
      <c r="I1049" s="120"/>
      <c r="J1049" s="120"/>
      <c r="K1049" s="120"/>
      <c r="L1049" s="120"/>
      <c r="M1049" s="120"/>
    </row>
    <row r="1050">
      <c r="A1050" s="120"/>
      <c r="B1050" s="120"/>
      <c r="C1050" s="120"/>
      <c r="D1050" s="120"/>
      <c r="E1050" s="120"/>
      <c r="F1050" s="120"/>
      <c r="G1050" s="120"/>
      <c r="H1050" s="120"/>
      <c r="I1050" s="120"/>
      <c r="J1050" s="120"/>
      <c r="K1050" s="120"/>
      <c r="L1050" s="120"/>
      <c r="M1050" s="120"/>
    </row>
    <row r="1051">
      <c r="A1051" s="120"/>
      <c r="B1051" s="120"/>
      <c r="C1051" s="120"/>
      <c r="D1051" s="120"/>
      <c r="E1051" s="120"/>
      <c r="F1051" s="120"/>
      <c r="G1051" s="120"/>
      <c r="H1051" s="120"/>
      <c r="I1051" s="120"/>
      <c r="J1051" s="120"/>
      <c r="K1051" s="120"/>
      <c r="L1051" s="120"/>
      <c r="M1051" s="120"/>
    </row>
    <row r="1052">
      <c r="A1052" s="120"/>
      <c r="B1052" s="120"/>
      <c r="C1052" s="120"/>
      <c r="D1052" s="120"/>
      <c r="E1052" s="120"/>
      <c r="F1052" s="120"/>
      <c r="G1052" s="120"/>
      <c r="H1052" s="120"/>
      <c r="I1052" s="120"/>
      <c r="J1052" s="120"/>
      <c r="K1052" s="120"/>
      <c r="L1052" s="120"/>
      <c r="M1052" s="120"/>
    </row>
    <row r="1053">
      <c r="A1053" s="120"/>
      <c r="B1053" s="120"/>
      <c r="C1053" s="120"/>
      <c r="D1053" s="120"/>
      <c r="E1053" s="120"/>
      <c r="F1053" s="120"/>
      <c r="G1053" s="120"/>
      <c r="H1053" s="120"/>
      <c r="I1053" s="120"/>
      <c r="J1053" s="120"/>
      <c r="K1053" s="120"/>
      <c r="L1053" s="120"/>
      <c r="M1053" s="120"/>
    </row>
    <row r="1054">
      <c r="A1054" s="120"/>
      <c r="B1054" s="120"/>
      <c r="C1054" s="120"/>
      <c r="D1054" s="120"/>
      <c r="E1054" s="120"/>
      <c r="F1054" s="120"/>
      <c r="G1054" s="120"/>
      <c r="H1054" s="120"/>
      <c r="I1054" s="120"/>
      <c r="J1054" s="120"/>
      <c r="K1054" s="120"/>
      <c r="L1054" s="120"/>
      <c r="M1054" s="120"/>
    </row>
    <row r="1055">
      <c r="A1055" s="120"/>
      <c r="B1055" s="120"/>
      <c r="C1055" s="120"/>
      <c r="D1055" s="120"/>
      <c r="E1055" s="120"/>
      <c r="F1055" s="120"/>
      <c r="G1055" s="120"/>
      <c r="H1055" s="120"/>
      <c r="I1055" s="120"/>
      <c r="J1055" s="120"/>
      <c r="K1055" s="120"/>
      <c r="L1055" s="120"/>
      <c r="M1055" s="120"/>
    </row>
    <row r="1056">
      <c r="A1056" s="120"/>
      <c r="B1056" s="120"/>
      <c r="C1056" s="120"/>
      <c r="D1056" s="120"/>
      <c r="E1056" s="120"/>
      <c r="F1056" s="120"/>
      <c r="G1056" s="120"/>
      <c r="H1056" s="120"/>
      <c r="I1056" s="120"/>
      <c r="J1056" s="120"/>
      <c r="K1056" s="120"/>
      <c r="L1056" s="120"/>
      <c r="M1056" s="120"/>
    </row>
    <row r="1057">
      <c r="A1057" s="120"/>
      <c r="B1057" s="120"/>
      <c r="C1057" s="120"/>
      <c r="D1057" s="120"/>
      <c r="E1057" s="120"/>
      <c r="F1057" s="120"/>
      <c r="G1057" s="120"/>
      <c r="H1057" s="120"/>
      <c r="I1057" s="120"/>
      <c r="J1057" s="120"/>
      <c r="K1057" s="120"/>
      <c r="L1057" s="120"/>
      <c r="M1057" s="120"/>
    </row>
    <row r="1058">
      <c r="A1058" s="120"/>
      <c r="B1058" s="120"/>
      <c r="C1058" s="120"/>
      <c r="D1058" s="120"/>
      <c r="E1058" s="120"/>
      <c r="F1058" s="120"/>
      <c r="G1058" s="120"/>
      <c r="H1058" s="120"/>
      <c r="I1058" s="120"/>
      <c r="J1058" s="120"/>
      <c r="K1058" s="120"/>
      <c r="L1058" s="120"/>
      <c r="M1058" s="120"/>
    </row>
    <row r="1059">
      <c r="A1059" s="120"/>
      <c r="B1059" s="120"/>
      <c r="C1059" s="120"/>
      <c r="D1059" s="120"/>
      <c r="E1059" s="120"/>
      <c r="F1059" s="120"/>
      <c r="G1059" s="120"/>
      <c r="H1059" s="120"/>
      <c r="I1059" s="120"/>
      <c r="J1059" s="120"/>
      <c r="K1059" s="120"/>
      <c r="L1059" s="120"/>
      <c r="M1059" s="120"/>
    </row>
    <row r="1060">
      <c r="A1060" s="120"/>
      <c r="B1060" s="120"/>
      <c r="C1060" s="120"/>
      <c r="D1060" s="120"/>
      <c r="E1060" s="120"/>
      <c r="F1060" s="120"/>
      <c r="G1060" s="120"/>
      <c r="H1060" s="120"/>
      <c r="I1060" s="120"/>
      <c r="J1060" s="120"/>
      <c r="K1060" s="120"/>
      <c r="L1060" s="120"/>
      <c r="M1060" s="120"/>
    </row>
    <row r="1061">
      <c r="A1061" s="120"/>
      <c r="B1061" s="120"/>
      <c r="C1061" s="120"/>
      <c r="D1061" s="120"/>
      <c r="E1061" s="120"/>
      <c r="F1061" s="120"/>
      <c r="G1061" s="120"/>
      <c r="H1061" s="120"/>
      <c r="I1061" s="120"/>
      <c r="J1061" s="120"/>
      <c r="K1061" s="120"/>
      <c r="L1061" s="120"/>
      <c r="M1061" s="120"/>
    </row>
    <row r="1062">
      <c r="A1062" s="120"/>
      <c r="B1062" s="120"/>
      <c r="C1062" s="120"/>
      <c r="D1062" s="120"/>
      <c r="E1062" s="120"/>
      <c r="F1062" s="120"/>
      <c r="G1062" s="120"/>
      <c r="H1062" s="120"/>
      <c r="I1062" s="120"/>
      <c r="J1062" s="120"/>
      <c r="K1062" s="120"/>
      <c r="L1062" s="120"/>
      <c r="M1062" s="120"/>
    </row>
    <row r="1063">
      <c r="A1063" s="120"/>
      <c r="B1063" s="120"/>
      <c r="C1063" s="120"/>
      <c r="D1063" s="120"/>
      <c r="E1063" s="120"/>
      <c r="F1063" s="120"/>
      <c r="G1063" s="120"/>
      <c r="H1063" s="120"/>
      <c r="I1063" s="120"/>
      <c r="J1063" s="120"/>
      <c r="K1063" s="120"/>
      <c r="L1063" s="120"/>
      <c r="M1063" s="120"/>
    </row>
    <row r="1064">
      <c r="A1064" s="120"/>
      <c r="B1064" s="120"/>
      <c r="C1064" s="120"/>
      <c r="D1064" s="120"/>
      <c r="E1064" s="120"/>
      <c r="F1064" s="120"/>
      <c r="G1064" s="120"/>
      <c r="H1064" s="120"/>
      <c r="I1064" s="120"/>
      <c r="J1064" s="120"/>
      <c r="K1064" s="120"/>
      <c r="L1064" s="120"/>
      <c r="M1064" s="120"/>
    </row>
    <row r="1065">
      <c r="A1065" s="120"/>
      <c r="B1065" s="120"/>
      <c r="C1065" s="120"/>
      <c r="D1065" s="120"/>
      <c r="E1065" s="120"/>
      <c r="F1065" s="120"/>
      <c r="G1065" s="120"/>
      <c r="H1065" s="120"/>
      <c r="I1065" s="120"/>
      <c r="J1065" s="120"/>
      <c r="K1065" s="120"/>
      <c r="L1065" s="120"/>
      <c r="M1065" s="120"/>
    </row>
    <row r="1066">
      <c r="A1066" s="120"/>
      <c r="B1066" s="120"/>
      <c r="C1066" s="120"/>
      <c r="D1066" s="120"/>
      <c r="E1066" s="120"/>
      <c r="F1066" s="120"/>
      <c r="G1066" s="120"/>
      <c r="H1066" s="120"/>
      <c r="I1066" s="120"/>
      <c r="J1066" s="120"/>
      <c r="K1066" s="120"/>
      <c r="L1066" s="120"/>
      <c r="M1066" s="120"/>
    </row>
    <row r="1067">
      <c r="A1067" s="120"/>
      <c r="B1067" s="120"/>
      <c r="C1067" s="120"/>
      <c r="D1067" s="120"/>
      <c r="E1067" s="120"/>
      <c r="F1067" s="120"/>
      <c r="G1067" s="120"/>
      <c r="H1067" s="120"/>
      <c r="I1067" s="120"/>
      <c r="J1067" s="120"/>
      <c r="K1067" s="120"/>
      <c r="L1067" s="120"/>
      <c r="M1067" s="120"/>
    </row>
    <row r="1068">
      <c r="A1068" s="120"/>
      <c r="B1068" s="120"/>
      <c r="C1068" s="120"/>
      <c r="D1068" s="120"/>
      <c r="E1068" s="120"/>
      <c r="F1068" s="120"/>
      <c r="G1068" s="120"/>
      <c r="H1068" s="120"/>
      <c r="I1068" s="120"/>
      <c r="J1068" s="120"/>
      <c r="K1068" s="120"/>
      <c r="L1068" s="120"/>
      <c r="M1068" s="120"/>
    </row>
    <row r="1069">
      <c r="A1069" s="120"/>
      <c r="B1069" s="120"/>
      <c r="C1069" s="120"/>
      <c r="D1069" s="120"/>
      <c r="E1069" s="120"/>
      <c r="F1069" s="120"/>
      <c r="G1069" s="120"/>
      <c r="H1069" s="120"/>
      <c r="I1069" s="120"/>
      <c r="J1069" s="120"/>
      <c r="K1069" s="120"/>
      <c r="L1069" s="120"/>
      <c r="M1069" s="120"/>
    </row>
    <row r="1070">
      <c r="A1070" s="120"/>
      <c r="B1070" s="120"/>
      <c r="C1070" s="120"/>
      <c r="D1070" s="120"/>
      <c r="E1070" s="120"/>
      <c r="F1070" s="120"/>
      <c r="G1070" s="120"/>
      <c r="H1070" s="120"/>
      <c r="I1070" s="120"/>
      <c r="J1070" s="120"/>
      <c r="K1070" s="120"/>
      <c r="L1070" s="120"/>
      <c r="M1070" s="120"/>
    </row>
    <row r="1071">
      <c r="A1071" s="120"/>
      <c r="B1071" s="120"/>
      <c r="C1071" s="120"/>
      <c r="D1071" s="120"/>
      <c r="E1071" s="120"/>
      <c r="F1071" s="120"/>
      <c r="G1071" s="120"/>
      <c r="H1071" s="120"/>
      <c r="I1071" s="120"/>
      <c r="J1071" s="120"/>
      <c r="K1071" s="120"/>
      <c r="L1071" s="120"/>
      <c r="M1071" s="120"/>
    </row>
    <row r="1072">
      <c r="A1072" s="120"/>
      <c r="B1072" s="120"/>
      <c r="C1072" s="120"/>
      <c r="D1072" s="120"/>
      <c r="E1072" s="120"/>
      <c r="F1072" s="120"/>
      <c r="G1072" s="120"/>
      <c r="H1072" s="120"/>
      <c r="I1072" s="120"/>
      <c r="J1072" s="120"/>
      <c r="K1072" s="120"/>
      <c r="L1072" s="120"/>
      <c r="M1072" s="120"/>
    </row>
    <row r="1073">
      <c r="A1073" s="120"/>
      <c r="B1073" s="120"/>
      <c r="C1073" s="120"/>
      <c r="D1073" s="120"/>
      <c r="E1073" s="120"/>
      <c r="F1073" s="120"/>
      <c r="G1073" s="120"/>
      <c r="H1073" s="120"/>
      <c r="I1073" s="120"/>
      <c r="J1073" s="120"/>
      <c r="K1073" s="120"/>
      <c r="L1073" s="120"/>
      <c r="M1073" s="120"/>
    </row>
    <row r="1074">
      <c r="A1074" s="120"/>
      <c r="B1074" s="120"/>
      <c r="C1074" s="120"/>
      <c r="D1074" s="120"/>
      <c r="E1074" s="120"/>
      <c r="F1074" s="120"/>
      <c r="G1074" s="120"/>
      <c r="H1074" s="120"/>
      <c r="I1074" s="120"/>
      <c r="J1074" s="120"/>
      <c r="K1074" s="120"/>
      <c r="L1074" s="120"/>
      <c r="M1074" s="120"/>
    </row>
    <row r="1075">
      <c r="A1075" s="120"/>
      <c r="B1075" s="120"/>
      <c r="C1075" s="120"/>
      <c r="D1075" s="120"/>
      <c r="E1075" s="120"/>
      <c r="F1075" s="120"/>
      <c r="G1075" s="120"/>
      <c r="H1075" s="120"/>
      <c r="I1075" s="120"/>
      <c r="J1075" s="120"/>
      <c r="K1075" s="120"/>
      <c r="L1075" s="120"/>
      <c r="M1075" s="120"/>
    </row>
    <row r="1076">
      <c r="A1076" s="120"/>
      <c r="B1076" s="120"/>
      <c r="C1076" s="120"/>
      <c r="D1076" s="120"/>
      <c r="E1076" s="120"/>
      <c r="F1076" s="120"/>
      <c r="G1076" s="120"/>
      <c r="H1076" s="120"/>
      <c r="I1076" s="120"/>
      <c r="J1076" s="120"/>
      <c r="K1076" s="120"/>
      <c r="L1076" s="120"/>
      <c r="M1076" s="120"/>
    </row>
    <row r="1077">
      <c r="A1077" s="120"/>
      <c r="B1077" s="120"/>
      <c r="C1077" s="120"/>
      <c r="D1077" s="120"/>
      <c r="E1077" s="120"/>
      <c r="F1077" s="120"/>
      <c r="G1077" s="120"/>
      <c r="H1077" s="120"/>
      <c r="I1077" s="120"/>
      <c r="J1077" s="120"/>
      <c r="K1077" s="120"/>
      <c r="L1077" s="120"/>
      <c r="M1077" s="120"/>
    </row>
    <row r="1078">
      <c r="A1078" s="120"/>
      <c r="B1078" s="120"/>
      <c r="C1078" s="120"/>
      <c r="D1078" s="120"/>
      <c r="E1078" s="120"/>
      <c r="F1078" s="120"/>
      <c r="G1078" s="120"/>
      <c r="H1078" s="120"/>
      <c r="I1078" s="120"/>
      <c r="J1078" s="120"/>
      <c r="K1078" s="120"/>
      <c r="L1078" s="120"/>
      <c r="M1078" s="120"/>
    </row>
    <row r="1079">
      <c r="A1079" s="120"/>
      <c r="B1079" s="120"/>
      <c r="C1079" s="120"/>
      <c r="D1079" s="120"/>
      <c r="E1079" s="120"/>
      <c r="F1079" s="120"/>
      <c r="G1079" s="120"/>
      <c r="H1079" s="120"/>
      <c r="I1079" s="120"/>
      <c r="J1079" s="120"/>
      <c r="K1079" s="120"/>
      <c r="L1079" s="120"/>
      <c r="M1079" s="120"/>
    </row>
    <row r="1080">
      <c r="A1080" s="120"/>
      <c r="B1080" s="120"/>
      <c r="C1080" s="120"/>
      <c r="D1080" s="120"/>
      <c r="E1080" s="120"/>
      <c r="F1080" s="120"/>
      <c r="G1080" s="120"/>
      <c r="H1080" s="120"/>
      <c r="I1080" s="120"/>
      <c r="J1080" s="120"/>
      <c r="K1080" s="120"/>
      <c r="L1080" s="120"/>
      <c r="M1080" s="120"/>
    </row>
    <row r="1081">
      <c r="A1081" s="120"/>
      <c r="B1081" s="120"/>
      <c r="C1081" s="120"/>
      <c r="D1081" s="120"/>
      <c r="E1081" s="120"/>
      <c r="F1081" s="120"/>
      <c r="G1081" s="120"/>
      <c r="H1081" s="120"/>
      <c r="I1081" s="120"/>
      <c r="J1081" s="120"/>
      <c r="K1081" s="120"/>
      <c r="L1081" s="120"/>
      <c r="M1081" s="120"/>
    </row>
    <row r="1082">
      <c r="A1082" s="120"/>
      <c r="B1082" s="120"/>
      <c r="C1082" s="120"/>
      <c r="D1082" s="120"/>
      <c r="E1082" s="120"/>
      <c r="F1082" s="120"/>
      <c r="G1082" s="120"/>
      <c r="H1082" s="120"/>
      <c r="I1082" s="120"/>
      <c r="J1082" s="120"/>
      <c r="K1082" s="120"/>
      <c r="L1082" s="120"/>
      <c r="M1082" s="120"/>
    </row>
    <row r="1083">
      <c r="A1083" s="120"/>
      <c r="B1083" s="120"/>
      <c r="C1083" s="120"/>
      <c r="D1083" s="120"/>
      <c r="E1083" s="120"/>
      <c r="F1083" s="120"/>
      <c r="G1083" s="120"/>
      <c r="H1083" s="120"/>
      <c r="I1083" s="120"/>
      <c r="J1083" s="120"/>
      <c r="K1083" s="120"/>
      <c r="L1083" s="120"/>
      <c r="M1083" s="120"/>
    </row>
    <row r="1084">
      <c r="A1084" s="120"/>
      <c r="B1084" s="120"/>
      <c r="C1084" s="120"/>
      <c r="D1084" s="120"/>
      <c r="E1084" s="120"/>
      <c r="F1084" s="120"/>
      <c r="G1084" s="120"/>
      <c r="H1084" s="120"/>
      <c r="I1084" s="120"/>
      <c r="J1084" s="120"/>
      <c r="K1084" s="120"/>
      <c r="L1084" s="120"/>
      <c r="M1084" s="120"/>
    </row>
    <row r="1085">
      <c r="A1085" s="120"/>
      <c r="B1085" s="120"/>
      <c r="C1085" s="120"/>
      <c r="D1085" s="120"/>
      <c r="E1085" s="120"/>
      <c r="F1085" s="120"/>
      <c r="G1085" s="120"/>
      <c r="H1085" s="120"/>
      <c r="I1085" s="120"/>
      <c r="J1085" s="120"/>
      <c r="K1085" s="120"/>
      <c r="L1085" s="120"/>
      <c r="M1085" s="120"/>
    </row>
    <row r="1086">
      <c r="A1086" s="120"/>
      <c r="B1086" s="120"/>
      <c r="C1086" s="120"/>
      <c r="D1086" s="120"/>
      <c r="E1086" s="120"/>
      <c r="F1086" s="120"/>
      <c r="G1086" s="120"/>
      <c r="H1086" s="120"/>
      <c r="I1086" s="120"/>
      <c r="J1086" s="120"/>
      <c r="K1086" s="120"/>
      <c r="L1086" s="120"/>
      <c r="M1086" s="120"/>
    </row>
    <row r="1087">
      <c r="A1087" s="120"/>
      <c r="B1087" s="120"/>
      <c r="C1087" s="120"/>
      <c r="D1087" s="120"/>
      <c r="E1087" s="120"/>
      <c r="F1087" s="120"/>
      <c r="G1087" s="120"/>
      <c r="H1087" s="120"/>
      <c r="I1087" s="120"/>
      <c r="J1087" s="120"/>
      <c r="K1087" s="120"/>
      <c r="L1087" s="120"/>
      <c r="M1087" s="120"/>
    </row>
    <row r="1088">
      <c r="A1088" s="120"/>
      <c r="B1088" s="120"/>
      <c r="C1088" s="120"/>
      <c r="D1088" s="120"/>
      <c r="E1088" s="120"/>
      <c r="F1088" s="120"/>
      <c r="G1088" s="120"/>
      <c r="H1088" s="120"/>
      <c r="I1088" s="120"/>
      <c r="J1088" s="120"/>
      <c r="K1088" s="120"/>
      <c r="L1088" s="120"/>
      <c r="M1088" s="120"/>
    </row>
    <row r="1089">
      <c r="A1089" s="120"/>
      <c r="B1089" s="120"/>
      <c r="C1089" s="120"/>
      <c r="D1089" s="120"/>
      <c r="E1089" s="120"/>
      <c r="F1089" s="120"/>
      <c r="G1089" s="120"/>
      <c r="H1089" s="120"/>
      <c r="I1089" s="120"/>
      <c r="J1089" s="120"/>
      <c r="K1089" s="120"/>
      <c r="L1089" s="120"/>
      <c r="M1089" s="120"/>
    </row>
    <row r="1090">
      <c r="A1090" s="120"/>
      <c r="B1090" s="120"/>
      <c r="C1090" s="120"/>
      <c r="D1090" s="120"/>
      <c r="E1090" s="120"/>
      <c r="F1090" s="120"/>
      <c r="G1090" s="120"/>
      <c r="H1090" s="120"/>
      <c r="I1090" s="120"/>
      <c r="J1090" s="120"/>
      <c r="K1090" s="120"/>
      <c r="L1090" s="120"/>
      <c r="M1090" s="120"/>
    </row>
    <row r="1091">
      <c r="A1091" s="120"/>
      <c r="B1091" s="120"/>
      <c r="C1091" s="120"/>
      <c r="D1091" s="120"/>
      <c r="E1091" s="120"/>
      <c r="F1091" s="120"/>
      <c r="G1091" s="120"/>
      <c r="H1091" s="120"/>
      <c r="I1091" s="120"/>
      <c r="J1091" s="120"/>
      <c r="K1091" s="120"/>
      <c r="L1091" s="120"/>
      <c r="M1091" s="120"/>
    </row>
    <row r="1092">
      <c r="A1092" s="120"/>
      <c r="B1092" s="120"/>
      <c r="C1092" s="120"/>
      <c r="D1092" s="120"/>
      <c r="E1092" s="120"/>
      <c r="F1092" s="120"/>
      <c r="G1092" s="120"/>
      <c r="H1092" s="120"/>
      <c r="I1092" s="120"/>
      <c r="J1092" s="120"/>
      <c r="K1092" s="120"/>
      <c r="L1092" s="120"/>
      <c r="M1092" s="120"/>
    </row>
    <row r="1093">
      <c r="A1093" s="120"/>
      <c r="B1093" s="120"/>
      <c r="C1093" s="120"/>
      <c r="D1093" s="120"/>
      <c r="E1093" s="120"/>
      <c r="F1093" s="120"/>
      <c r="G1093" s="120"/>
      <c r="H1093" s="120"/>
      <c r="I1093" s="120"/>
      <c r="J1093" s="120"/>
      <c r="K1093" s="120"/>
      <c r="L1093" s="120"/>
      <c r="M1093" s="120"/>
    </row>
    <row r="1094">
      <c r="A1094" s="120"/>
      <c r="B1094" s="120"/>
      <c r="C1094" s="120"/>
      <c r="D1094" s="120"/>
      <c r="E1094" s="120"/>
      <c r="F1094" s="120"/>
      <c r="G1094" s="120"/>
      <c r="H1094" s="120"/>
      <c r="I1094" s="120"/>
      <c r="J1094" s="120"/>
      <c r="K1094" s="120"/>
      <c r="L1094" s="120"/>
      <c r="M1094" s="120"/>
    </row>
    <row r="1095">
      <c r="A1095" s="120"/>
      <c r="B1095" s="120"/>
      <c r="C1095" s="120"/>
      <c r="D1095" s="120"/>
      <c r="E1095" s="120"/>
      <c r="F1095" s="120"/>
      <c r="G1095" s="120"/>
      <c r="H1095" s="120"/>
      <c r="I1095" s="120"/>
      <c r="J1095" s="120"/>
      <c r="K1095" s="120"/>
      <c r="L1095" s="120"/>
      <c r="M1095" s="120"/>
    </row>
    <row r="1096">
      <c r="A1096" s="120"/>
      <c r="B1096" s="120"/>
      <c r="C1096" s="120"/>
      <c r="D1096" s="120"/>
      <c r="E1096" s="120"/>
      <c r="F1096" s="120"/>
      <c r="G1096" s="120"/>
      <c r="H1096" s="120"/>
      <c r="I1096" s="120"/>
      <c r="J1096" s="120"/>
      <c r="K1096" s="120"/>
      <c r="L1096" s="120"/>
      <c r="M1096" s="120"/>
    </row>
    <row r="1097">
      <c r="A1097" s="120"/>
      <c r="B1097" s="120"/>
      <c r="C1097" s="120"/>
      <c r="D1097" s="120"/>
      <c r="E1097" s="120"/>
      <c r="F1097" s="120"/>
      <c r="G1097" s="120"/>
      <c r="H1097" s="120"/>
      <c r="I1097" s="120"/>
      <c r="J1097" s="120"/>
      <c r="K1097" s="120"/>
      <c r="L1097" s="120"/>
      <c r="M1097" s="120"/>
    </row>
    <row r="1098">
      <c r="A1098" s="120"/>
      <c r="B1098" s="120"/>
      <c r="C1098" s="120"/>
      <c r="D1098" s="120"/>
      <c r="E1098" s="120"/>
      <c r="F1098" s="120"/>
      <c r="G1098" s="120"/>
      <c r="H1098" s="120"/>
      <c r="I1098" s="120"/>
      <c r="J1098" s="120"/>
      <c r="K1098" s="120"/>
      <c r="L1098" s="120"/>
      <c r="M1098" s="120"/>
    </row>
    <row r="1099">
      <c r="A1099" s="120"/>
      <c r="B1099" s="120"/>
      <c r="C1099" s="120"/>
      <c r="D1099" s="120"/>
      <c r="E1099" s="120"/>
      <c r="F1099" s="120"/>
      <c r="G1099" s="120"/>
      <c r="H1099" s="120"/>
      <c r="I1099" s="120"/>
      <c r="J1099" s="120"/>
      <c r="K1099" s="120"/>
      <c r="L1099" s="120"/>
      <c r="M1099" s="120"/>
    </row>
    <row r="1100">
      <c r="A1100" s="120"/>
      <c r="B1100" s="120"/>
      <c r="C1100" s="120"/>
      <c r="D1100" s="120"/>
      <c r="E1100" s="120"/>
      <c r="F1100" s="120"/>
      <c r="G1100" s="120"/>
      <c r="H1100" s="120"/>
      <c r="I1100" s="120"/>
      <c r="J1100" s="120"/>
      <c r="K1100" s="120"/>
      <c r="L1100" s="120"/>
      <c r="M1100" s="120"/>
    </row>
    <row r="1101">
      <c r="A1101" s="120"/>
      <c r="B1101" s="120"/>
      <c r="C1101" s="120"/>
      <c r="D1101" s="120"/>
      <c r="E1101" s="120"/>
      <c r="F1101" s="120"/>
      <c r="G1101" s="120"/>
      <c r="H1101" s="120"/>
      <c r="I1101" s="120"/>
      <c r="J1101" s="120"/>
      <c r="K1101" s="120"/>
      <c r="L1101" s="120"/>
      <c r="M1101" s="120"/>
    </row>
    <row r="1102">
      <c r="A1102" s="120"/>
      <c r="B1102" s="120"/>
      <c r="C1102" s="120"/>
      <c r="D1102" s="120"/>
      <c r="E1102" s="120"/>
      <c r="F1102" s="120"/>
      <c r="G1102" s="120"/>
      <c r="H1102" s="120"/>
      <c r="I1102" s="120"/>
      <c r="J1102" s="120"/>
      <c r="K1102" s="120"/>
      <c r="L1102" s="120"/>
      <c r="M1102" s="120"/>
    </row>
    <row r="1103">
      <c r="A1103" s="120"/>
      <c r="B1103" s="120"/>
      <c r="C1103" s="120"/>
      <c r="D1103" s="120"/>
      <c r="E1103" s="120"/>
      <c r="F1103" s="120"/>
      <c r="G1103" s="120"/>
      <c r="H1103" s="120"/>
      <c r="I1103" s="120"/>
      <c r="J1103" s="120"/>
      <c r="K1103" s="120"/>
      <c r="L1103" s="120"/>
      <c r="M1103" s="120"/>
    </row>
    <row r="1104">
      <c r="A1104" s="120"/>
      <c r="B1104" s="120"/>
      <c r="C1104" s="120"/>
      <c r="D1104" s="120"/>
      <c r="E1104" s="120"/>
      <c r="F1104" s="120"/>
      <c r="G1104" s="120"/>
      <c r="H1104" s="120"/>
      <c r="I1104" s="120"/>
      <c r="J1104" s="120"/>
      <c r="K1104" s="120"/>
      <c r="L1104" s="120"/>
      <c r="M1104" s="120"/>
    </row>
    <row r="1105">
      <c r="A1105" s="120"/>
      <c r="B1105" s="120"/>
      <c r="C1105" s="120"/>
      <c r="D1105" s="120"/>
      <c r="E1105" s="120"/>
      <c r="F1105" s="120"/>
      <c r="G1105" s="120"/>
      <c r="H1105" s="120"/>
      <c r="I1105" s="120"/>
      <c r="J1105" s="120"/>
      <c r="K1105" s="120"/>
      <c r="L1105" s="120"/>
      <c r="M1105" s="120"/>
    </row>
    <row r="1106">
      <c r="A1106" s="120"/>
      <c r="B1106" s="120"/>
      <c r="C1106" s="120"/>
      <c r="D1106" s="120"/>
      <c r="E1106" s="120"/>
      <c r="F1106" s="120"/>
      <c r="G1106" s="120"/>
      <c r="H1106" s="120"/>
      <c r="I1106" s="120"/>
      <c r="J1106" s="120"/>
      <c r="K1106" s="120"/>
      <c r="L1106" s="120"/>
      <c r="M1106" s="120"/>
    </row>
    <row r="1107">
      <c r="A1107" s="120"/>
      <c r="B1107" s="120"/>
      <c r="C1107" s="120"/>
      <c r="D1107" s="120"/>
      <c r="E1107" s="120"/>
      <c r="F1107" s="120"/>
      <c r="G1107" s="120"/>
      <c r="H1107" s="120"/>
      <c r="I1107" s="120"/>
      <c r="J1107" s="120"/>
      <c r="K1107" s="120"/>
      <c r="L1107" s="120"/>
      <c r="M1107" s="120"/>
    </row>
    <row r="1108">
      <c r="A1108" s="120"/>
      <c r="B1108" s="120"/>
      <c r="C1108" s="120"/>
      <c r="D1108" s="120"/>
      <c r="E1108" s="120"/>
      <c r="F1108" s="120"/>
      <c r="G1108" s="120"/>
      <c r="H1108" s="120"/>
      <c r="I1108" s="120"/>
      <c r="J1108" s="120"/>
      <c r="K1108" s="120"/>
      <c r="L1108" s="120"/>
      <c r="M1108" s="120"/>
    </row>
    <row r="1109">
      <c r="A1109" s="120"/>
      <c r="B1109" s="120"/>
      <c r="C1109" s="120"/>
      <c r="D1109" s="120"/>
      <c r="E1109" s="120"/>
      <c r="F1109" s="120"/>
      <c r="G1109" s="120"/>
      <c r="H1109" s="120"/>
      <c r="I1109" s="120"/>
      <c r="J1109" s="120"/>
      <c r="K1109" s="120"/>
      <c r="L1109" s="120"/>
      <c r="M1109" s="120"/>
    </row>
    <row r="1110">
      <c r="A1110" s="120"/>
      <c r="B1110" s="120"/>
      <c r="C1110" s="120"/>
      <c r="D1110" s="120"/>
      <c r="E1110" s="120"/>
      <c r="F1110" s="120"/>
      <c r="G1110" s="120"/>
      <c r="H1110" s="120"/>
      <c r="I1110" s="120"/>
      <c r="J1110" s="120"/>
      <c r="K1110" s="120"/>
      <c r="L1110" s="120"/>
      <c r="M1110" s="120"/>
    </row>
    <row r="1111">
      <c r="A1111" s="120"/>
      <c r="B1111" s="120"/>
      <c r="C1111" s="120"/>
      <c r="D1111" s="120"/>
      <c r="E1111" s="120"/>
      <c r="F1111" s="120"/>
      <c r="G1111" s="120"/>
      <c r="H1111" s="120"/>
      <c r="I1111" s="120"/>
      <c r="J1111" s="120"/>
      <c r="K1111" s="120"/>
      <c r="L1111" s="120"/>
      <c r="M1111" s="120"/>
    </row>
    <row r="1112">
      <c r="A1112" s="120"/>
      <c r="B1112" s="120"/>
      <c r="C1112" s="120"/>
      <c r="D1112" s="120"/>
      <c r="E1112" s="120"/>
      <c r="F1112" s="120"/>
      <c r="G1112" s="120"/>
      <c r="H1112" s="120"/>
      <c r="I1112" s="120"/>
      <c r="J1112" s="120"/>
      <c r="K1112" s="120"/>
      <c r="L1112" s="120"/>
      <c r="M1112" s="120"/>
    </row>
    <row r="1113">
      <c r="A1113" s="120"/>
      <c r="B1113" s="120"/>
      <c r="C1113" s="120"/>
      <c r="D1113" s="120"/>
      <c r="E1113" s="120"/>
      <c r="F1113" s="120"/>
      <c r="G1113" s="120"/>
      <c r="H1113" s="120"/>
      <c r="I1113" s="120"/>
      <c r="J1113" s="120"/>
      <c r="K1113" s="120"/>
      <c r="L1113" s="120"/>
      <c r="M1113" s="120"/>
    </row>
    <row r="1114">
      <c r="A1114" s="120"/>
      <c r="B1114" s="120"/>
      <c r="C1114" s="120"/>
      <c r="D1114" s="120"/>
      <c r="E1114" s="120"/>
      <c r="F1114" s="120"/>
      <c r="G1114" s="120"/>
      <c r="H1114" s="120"/>
      <c r="I1114" s="120"/>
      <c r="J1114" s="120"/>
      <c r="K1114" s="120"/>
      <c r="L1114" s="120"/>
      <c r="M1114" s="120"/>
    </row>
    <row r="1115">
      <c r="A1115" s="120"/>
      <c r="B1115" s="120"/>
      <c r="C1115" s="120"/>
      <c r="D1115" s="120"/>
      <c r="E1115" s="120"/>
      <c r="F1115" s="120"/>
      <c r="G1115" s="120"/>
      <c r="H1115" s="120"/>
      <c r="I1115" s="120"/>
      <c r="J1115" s="120"/>
      <c r="K1115" s="120"/>
      <c r="L1115" s="120"/>
      <c r="M1115" s="120"/>
    </row>
    <row r="1116">
      <c r="A1116" s="120"/>
      <c r="B1116" s="120"/>
      <c r="C1116" s="120"/>
      <c r="D1116" s="120"/>
      <c r="E1116" s="120"/>
      <c r="F1116" s="120"/>
      <c r="G1116" s="120"/>
      <c r="H1116" s="120"/>
      <c r="I1116" s="120"/>
      <c r="J1116" s="120"/>
      <c r="K1116" s="120"/>
      <c r="L1116" s="120"/>
      <c r="M1116" s="120"/>
    </row>
    <row r="1117">
      <c r="A1117" s="120"/>
      <c r="B1117" s="120"/>
      <c r="C1117" s="120"/>
      <c r="D1117" s="120"/>
      <c r="E1117" s="120"/>
      <c r="F1117" s="120"/>
      <c r="G1117" s="120"/>
      <c r="H1117" s="120"/>
      <c r="I1117" s="120"/>
      <c r="J1117" s="120"/>
      <c r="K1117" s="120"/>
      <c r="L1117" s="120"/>
      <c r="M1117" s="120"/>
    </row>
    <row r="1118">
      <c r="A1118" s="120"/>
      <c r="B1118" s="120"/>
      <c r="C1118" s="120"/>
      <c r="D1118" s="120"/>
      <c r="E1118" s="120"/>
      <c r="F1118" s="120"/>
      <c r="G1118" s="120"/>
      <c r="H1118" s="120"/>
      <c r="I1118" s="120"/>
      <c r="J1118" s="120"/>
      <c r="K1118" s="120"/>
      <c r="L1118" s="120"/>
      <c r="M1118" s="120"/>
    </row>
    <row r="1119">
      <c r="A1119" s="120"/>
      <c r="B1119" s="120"/>
      <c r="C1119" s="120"/>
      <c r="D1119" s="120"/>
      <c r="E1119" s="120"/>
      <c r="F1119" s="120"/>
      <c r="G1119" s="120"/>
      <c r="H1119" s="120"/>
      <c r="I1119" s="120"/>
      <c r="J1119" s="120"/>
      <c r="K1119" s="120"/>
      <c r="L1119" s="120"/>
      <c r="M1119" s="120"/>
    </row>
    <row r="1120">
      <c r="A1120" s="120"/>
      <c r="B1120" s="120"/>
      <c r="C1120" s="120"/>
      <c r="D1120" s="120"/>
      <c r="E1120" s="120"/>
      <c r="F1120" s="120"/>
      <c r="G1120" s="120"/>
      <c r="H1120" s="120"/>
      <c r="I1120" s="120"/>
      <c r="J1120" s="120"/>
      <c r="K1120" s="120"/>
      <c r="L1120" s="120"/>
      <c r="M1120" s="120"/>
    </row>
    <row r="1121">
      <c r="A1121" s="120"/>
      <c r="B1121" s="120"/>
      <c r="C1121" s="120"/>
      <c r="D1121" s="120"/>
      <c r="E1121" s="120"/>
      <c r="F1121" s="120"/>
      <c r="G1121" s="120"/>
      <c r="H1121" s="120"/>
      <c r="I1121" s="120"/>
      <c r="J1121" s="120"/>
      <c r="K1121" s="120"/>
      <c r="L1121" s="120"/>
      <c r="M1121" s="120"/>
    </row>
    <row r="1122">
      <c r="A1122" s="120"/>
      <c r="B1122" s="120"/>
      <c r="C1122" s="120"/>
      <c r="D1122" s="120"/>
      <c r="E1122" s="120"/>
      <c r="F1122" s="120"/>
      <c r="G1122" s="120"/>
      <c r="H1122" s="120"/>
      <c r="I1122" s="120"/>
      <c r="J1122" s="120"/>
      <c r="K1122" s="120"/>
      <c r="L1122" s="120"/>
      <c r="M1122" s="120"/>
    </row>
    <row r="1123">
      <c r="A1123" s="120"/>
      <c r="B1123" s="120"/>
      <c r="C1123" s="120"/>
      <c r="D1123" s="120"/>
      <c r="E1123" s="120"/>
      <c r="F1123" s="120"/>
      <c r="G1123" s="120"/>
      <c r="H1123" s="120"/>
      <c r="I1123" s="120"/>
      <c r="J1123" s="120"/>
      <c r="K1123" s="120"/>
      <c r="L1123" s="120"/>
      <c r="M1123" s="120"/>
    </row>
    <row r="1124">
      <c r="A1124" s="120"/>
      <c r="B1124" s="120"/>
      <c r="C1124" s="120"/>
      <c r="D1124" s="120"/>
      <c r="E1124" s="120"/>
      <c r="F1124" s="120"/>
      <c r="G1124" s="120"/>
      <c r="H1124" s="120"/>
      <c r="I1124" s="120"/>
      <c r="J1124" s="120"/>
      <c r="K1124" s="120"/>
      <c r="L1124" s="120"/>
      <c r="M1124" s="120"/>
    </row>
    <row r="1125">
      <c r="A1125" s="120"/>
      <c r="B1125" s="120"/>
      <c r="C1125" s="120"/>
      <c r="D1125" s="120"/>
      <c r="E1125" s="120"/>
      <c r="F1125" s="120"/>
      <c r="G1125" s="120"/>
      <c r="H1125" s="120"/>
      <c r="I1125" s="120"/>
      <c r="J1125" s="120"/>
      <c r="K1125" s="120"/>
      <c r="L1125" s="120"/>
      <c r="M1125" s="120"/>
    </row>
    <row r="1126">
      <c r="A1126" s="120"/>
      <c r="B1126" s="120"/>
      <c r="C1126" s="120"/>
      <c r="D1126" s="120"/>
      <c r="E1126" s="120"/>
      <c r="F1126" s="120"/>
      <c r="G1126" s="120"/>
      <c r="H1126" s="120"/>
      <c r="I1126" s="120"/>
      <c r="J1126" s="120"/>
      <c r="K1126" s="120"/>
      <c r="L1126" s="120"/>
      <c r="M1126" s="120"/>
    </row>
    <row r="1127">
      <c r="A1127" s="120"/>
      <c r="B1127" s="120"/>
      <c r="C1127" s="120"/>
      <c r="D1127" s="120"/>
      <c r="E1127" s="120"/>
      <c r="F1127" s="120"/>
      <c r="G1127" s="120"/>
      <c r="H1127" s="120"/>
      <c r="I1127" s="120"/>
      <c r="J1127" s="120"/>
      <c r="K1127" s="120"/>
      <c r="L1127" s="120"/>
      <c r="M1127" s="120"/>
    </row>
    <row r="1128">
      <c r="A1128" s="120"/>
      <c r="B1128" s="120"/>
      <c r="C1128" s="120"/>
      <c r="D1128" s="120"/>
      <c r="E1128" s="120"/>
      <c r="F1128" s="120"/>
      <c r="G1128" s="120"/>
      <c r="H1128" s="120"/>
      <c r="I1128" s="120"/>
      <c r="J1128" s="120"/>
      <c r="K1128" s="120"/>
      <c r="L1128" s="120"/>
      <c r="M1128" s="120"/>
    </row>
    <row r="1129">
      <c r="A1129" s="120"/>
      <c r="B1129" s="120"/>
      <c r="C1129" s="120"/>
      <c r="D1129" s="120"/>
      <c r="E1129" s="120"/>
      <c r="F1129" s="120"/>
      <c r="G1129" s="120"/>
      <c r="H1129" s="120"/>
      <c r="I1129" s="120"/>
      <c r="J1129" s="120"/>
      <c r="K1129" s="120"/>
      <c r="L1129" s="120"/>
      <c r="M1129" s="120"/>
    </row>
    <row r="1130">
      <c r="A1130" s="120"/>
      <c r="B1130" s="120"/>
      <c r="C1130" s="120"/>
      <c r="D1130" s="120"/>
      <c r="E1130" s="120"/>
      <c r="F1130" s="120"/>
      <c r="G1130" s="120"/>
      <c r="H1130" s="120"/>
      <c r="I1130" s="120"/>
      <c r="J1130" s="120"/>
      <c r="K1130" s="120"/>
      <c r="L1130" s="120"/>
      <c r="M1130" s="120"/>
    </row>
    <row r="1131">
      <c r="A1131" s="120"/>
      <c r="B1131" s="120"/>
      <c r="C1131" s="120"/>
      <c r="D1131" s="120"/>
      <c r="E1131" s="120"/>
      <c r="F1131" s="120"/>
      <c r="G1131" s="120"/>
      <c r="H1131" s="120"/>
      <c r="I1131" s="120"/>
      <c r="J1131" s="120"/>
      <c r="K1131" s="120"/>
      <c r="L1131" s="120"/>
      <c r="M1131" s="120"/>
    </row>
    <row r="1132">
      <c r="A1132" s="120"/>
      <c r="B1132" s="120"/>
      <c r="C1132" s="120"/>
      <c r="D1132" s="120"/>
      <c r="E1132" s="120"/>
      <c r="F1132" s="120"/>
      <c r="G1132" s="120"/>
      <c r="H1132" s="120"/>
      <c r="I1132" s="120"/>
      <c r="J1132" s="120"/>
      <c r="K1132" s="120"/>
      <c r="L1132" s="120"/>
      <c r="M1132" s="120"/>
    </row>
    <row r="1133">
      <c r="A1133" s="120"/>
      <c r="B1133" s="120"/>
      <c r="C1133" s="120"/>
      <c r="D1133" s="120"/>
      <c r="E1133" s="120"/>
      <c r="F1133" s="120"/>
      <c r="G1133" s="120"/>
      <c r="H1133" s="120"/>
      <c r="I1133" s="120"/>
      <c r="J1133" s="120"/>
      <c r="K1133" s="120"/>
      <c r="L1133" s="120"/>
      <c r="M1133" s="120"/>
    </row>
    <row r="1134">
      <c r="A1134" s="120"/>
      <c r="B1134" s="120"/>
      <c r="C1134" s="120"/>
      <c r="D1134" s="120"/>
      <c r="E1134" s="120"/>
      <c r="F1134" s="120"/>
      <c r="G1134" s="120"/>
      <c r="H1134" s="120"/>
      <c r="I1134" s="120"/>
      <c r="J1134" s="120"/>
      <c r="K1134" s="120"/>
      <c r="L1134" s="120"/>
      <c r="M1134" s="120"/>
    </row>
    <row r="1135">
      <c r="A1135" s="120"/>
      <c r="B1135" s="120"/>
      <c r="C1135" s="120"/>
      <c r="D1135" s="120"/>
      <c r="E1135" s="120"/>
      <c r="F1135" s="120"/>
      <c r="G1135" s="120"/>
      <c r="H1135" s="120"/>
      <c r="I1135" s="120"/>
      <c r="J1135" s="120"/>
      <c r="K1135" s="120"/>
      <c r="L1135" s="120"/>
      <c r="M1135" s="120"/>
    </row>
    <row r="1136">
      <c r="A1136" s="120"/>
      <c r="B1136" s="120"/>
      <c r="C1136" s="120"/>
      <c r="D1136" s="120"/>
      <c r="E1136" s="120"/>
      <c r="F1136" s="120"/>
      <c r="G1136" s="120"/>
      <c r="H1136" s="120"/>
      <c r="I1136" s="120"/>
      <c r="J1136" s="120"/>
      <c r="K1136" s="120"/>
      <c r="L1136" s="120"/>
      <c r="M1136" s="120"/>
    </row>
    <row r="1137">
      <c r="A1137" s="120"/>
      <c r="B1137" s="120"/>
      <c r="C1137" s="120"/>
      <c r="D1137" s="120"/>
      <c r="E1137" s="120"/>
      <c r="F1137" s="120"/>
      <c r="G1137" s="120"/>
      <c r="H1137" s="120"/>
      <c r="I1137" s="120"/>
      <c r="J1137" s="120"/>
      <c r="K1137" s="120"/>
      <c r="L1137" s="120"/>
      <c r="M1137" s="120"/>
    </row>
    <row r="1138">
      <c r="A1138" s="120"/>
      <c r="B1138" s="120"/>
      <c r="C1138" s="120"/>
      <c r="D1138" s="120"/>
      <c r="E1138" s="120"/>
      <c r="F1138" s="120"/>
      <c r="G1138" s="120"/>
      <c r="H1138" s="120"/>
      <c r="I1138" s="120"/>
      <c r="J1138" s="120"/>
      <c r="K1138" s="120"/>
      <c r="L1138" s="120"/>
      <c r="M1138" s="120"/>
    </row>
    <row r="1139">
      <c r="A1139" s="120"/>
      <c r="B1139" s="120"/>
      <c r="C1139" s="120"/>
      <c r="D1139" s="120"/>
      <c r="E1139" s="120"/>
      <c r="F1139" s="120"/>
      <c r="G1139" s="120"/>
      <c r="H1139" s="120"/>
      <c r="I1139" s="120"/>
      <c r="J1139" s="120"/>
      <c r="K1139" s="120"/>
      <c r="L1139" s="120"/>
      <c r="M1139" s="120"/>
    </row>
    <row r="1140">
      <c r="A1140" s="120"/>
      <c r="B1140" s="120"/>
      <c r="C1140" s="120"/>
      <c r="D1140" s="120"/>
      <c r="E1140" s="120"/>
      <c r="F1140" s="120"/>
      <c r="G1140" s="120"/>
      <c r="H1140" s="120"/>
      <c r="I1140" s="120"/>
      <c r="J1140" s="120"/>
      <c r="K1140" s="120"/>
      <c r="L1140" s="120"/>
      <c r="M1140" s="120"/>
    </row>
    <row r="1141">
      <c r="A1141" s="120"/>
      <c r="B1141" s="120"/>
      <c r="C1141" s="120"/>
      <c r="D1141" s="120"/>
      <c r="E1141" s="120"/>
      <c r="F1141" s="120"/>
      <c r="G1141" s="120"/>
      <c r="H1141" s="120"/>
      <c r="I1141" s="120"/>
      <c r="J1141" s="120"/>
      <c r="K1141" s="120"/>
      <c r="L1141" s="120"/>
      <c r="M1141" s="120"/>
    </row>
    <row r="1142">
      <c r="A1142" s="120"/>
      <c r="B1142" s="120"/>
      <c r="C1142" s="120"/>
      <c r="D1142" s="120"/>
      <c r="E1142" s="120"/>
      <c r="F1142" s="120"/>
      <c r="G1142" s="120"/>
      <c r="H1142" s="120"/>
      <c r="I1142" s="120"/>
      <c r="J1142" s="120"/>
      <c r="K1142" s="120"/>
      <c r="L1142" s="120"/>
      <c r="M1142" s="120"/>
    </row>
    <row r="1143">
      <c r="A1143" s="120"/>
      <c r="B1143" s="120"/>
      <c r="C1143" s="120"/>
      <c r="D1143" s="120"/>
      <c r="E1143" s="120"/>
      <c r="F1143" s="120"/>
      <c r="G1143" s="120"/>
      <c r="H1143" s="120"/>
      <c r="I1143" s="120"/>
      <c r="J1143" s="120"/>
      <c r="K1143" s="120"/>
      <c r="L1143" s="120"/>
      <c r="M1143" s="120"/>
    </row>
    <row r="1144">
      <c r="A1144" s="120"/>
      <c r="B1144" s="120"/>
      <c r="C1144" s="120"/>
      <c r="D1144" s="120"/>
      <c r="E1144" s="120"/>
      <c r="F1144" s="120"/>
      <c r="G1144" s="120"/>
      <c r="H1144" s="120"/>
      <c r="I1144" s="120"/>
      <c r="J1144" s="120"/>
      <c r="K1144" s="120"/>
      <c r="L1144" s="120"/>
      <c r="M1144" s="120"/>
    </row>
    <row r="1145">
      <c r="A1145" s="120"/>
      <c r="B1145" s="120"/>
      <c r="C1145" s="120"/>
      <c r="D1145" s="120"/>
      <c r="E1145" s="120"/>
      <c r="F1145" s="120"/>
      <c r="G1145" s="120"/>
      <c r="H1145" s="120"/>
      <c r="I1145" s="120"/>
      <c r="J1145" s="120"/>
      <c r="K1145" s="120"/>
      <c r="L1145" s="120"/>
      <c r="M1145" s="120"/>
    </row>
    <row r="1146">
      <c r="A1146" s="120"/>
      <c r="B1146" s="120"/>
      <c r="C1146" s="120"/>
      <c r="D1146" s="120"/>
      <c r="E1146" s="120"/>
      <c r="F1146" s="120"/>
      <c r="G1146" s="120"/>
      <c r="H1146" s="120"/>
      <c r="I1146" s="120"/>
      <c r="J1146" s="120"/>
      <c r="K1146" s="120"/>
      <c r="L1146" s="120"/>
      <c r="M1146" s="120"/>
    </row>
    <row r="1147">
      <c r="A1147" s="120"/>
      <c r="B1147" s="120"/>
      <c r="C1147" s="120"/>
      <c r="D1147" s="120"/>
      <c r="E1147" s="120"/>
      <c r="F1147" s="120"/>
      <c r="G1147" s="120"/>
      <c r="H1147" s="120"/>
      <c r="I1147" s="120"/>
      <c r="J1147" s="120"/>
      <c r="K1147" s="120"/>
      <c r="L1147" s="120"/>
      <c r="M1147" s="120"/>
    </row>
    <row r="1148">
      <c r="A1148" s="120"/>
      <c r="B1148" s="120"/>
      <c r="C1148" s="120"/>
      <c r="D1148" s="120"/>
      <c r="E1148" s="120"/>
      <c r="F1148" s="120"/>
      <c r="G1148" s="120"/>
      <c r="H1148" s="120"/>
      <c r="I1148" s="120"/>
      <c r="J1148" s="120"/>
      <c r="K1148" s="120"/>
      <c r="L1148" s="120"/>
      <c r="M1148" s="120"/>
    </row>
    <row r="1149">
      <c r="A1149" s="120"/>
      <c r="B1149" s="120"/>
      <c r="C1149" s="120"/>
      <c r="D1149" s="120"/>
      <c r="E1149" s="120"/>
      <c r="F1149" s="120"/>
      <c r="G1149" s="120"/>
      <c r="H1149" s="120"/>
      <c r="I1149" s="120"/>
      <c r="J1149" s="120"/>
      <c r="K1149" s="120"/>
      <c r="L1149" s="120"/>
      <c r="M1149" s="120"/>
    </row>
    <row r="1150">
      <c r="A1150" s="120"/>
      <c r="B1150" s="120"/>
      <c r="C1150" s="120"/>
      <c r="D1150" s="120"/>
      <c r="E1150" s="120"/>
      <c r="F1150" s="120"/>
      <c r="G1150" s="120"/>
      <c r="H1150" s="120"/>
      <c r="I1150" s="120"/>
      <c r="J1150" s="120"/>
      <c r="K1150" s="120"/>
      <c r="L1150" s="120"/>
      <c r="M1150" s="120"/>
    </row>
    <row r="1151">
      <c r="A1151" s="120"/>
      <c r="B1151" s="120"/>
      <c r="C1151" s="120"/>
      <c r="D1151" s="120"/>
      <c r="E1151" s="120"/>
      <c r="F1151" s="120"/>
      <c r="G1151" s="120"/>
      <c r="H1151" s="120"/>
      <c r="I1151" s="120"/>
      <c r="J1151" s="120"/>
      <c r="K1151" s="120"/>
      <c r="L1151" s="120"/>
      <c r="M1151" s="120"/>
    </row>
    <row r="1152">
      <c r="A1152" s="120"/>
      <c r="B1152" s="120"/>
      <c r="C1152" s="120"/>
      <c r="D1152" s="120"/>
      <c r="E1152" s="120"/>
      <c r="F1152" s="120"/>
      <c r="G1152" s="120"/>
      <c r="H1152" s="120"/>
      <c r="I1152" s="120"/>
      <c r="J1152" s="120"/>
      <c r="K1152" s="120"/>
      <c r="L1152" s="120"/>
      <c r="M1152" s="120"/>
    </row>
    <row r="1153">
      <c r="A1153" s="120"/>
      <c r="B1153" s="120"/>
      <c r="C1153" s="120"/>
      <c r="D1153" s="120"/>
      <c r="E1153" s="120"/>
      <c r="F1153" s="120"/>
      <c r="G1153" s="120"/>
      <c r="H1153" s="120"/>
      <c r="I1153" s="120"/>
      <c r="J1153" s="120"/>
      <c r="K1153" s="120"/>
      <c r="L1153" s="120"/>
      <c r="M1153" s="120"/>
    </row>
    <row r="1154">
      <c r="A1154" s="120"/>
      <c r="B1154" s="120"/>
      <c r="C1154" s="120"/>
      <c r="D1154" s="120"/>
      <c r="E1154" s="120"/>
      <c r="F1154" s="120"/>
      <c r="G1154" s="120"/>
      <c r="H1154" s="120"/>
      <c r="I1154" s="120"/>
      <c r="J1154" s="120"/>
      <c r="K1154" s="120"/>
      <c r="L1154" s="120"/>
      <c r="M1154" s="120"/>
    </row>
    <row r="1155">
      <c r="A1155" s="120"/>
      <c r="B1155" s="120"/>
      <c r="C1155" s="120"/>
      <c r="D1155" s="120"/>
      <c r="E1155" s="120"/>
      <c r="F1155" s="120"/>
      <c r="G1155" s="120"/>
      <c r="H1155" s="120"/>
      <c r="I1155" s="120"/>
      <c r="J1155" s="120"/>
      <c r="K1155" s="120"/>
      <c r="L1155" s="120"/>
      <c r="M1155" s="120"/>
    </row>
    <row r="1156">
      <c r="A1156" s="120"/>
      <c r="B1156" s="120"/>
      <c r="C1156" s="120"/>
      <c r="D1156" s="120"/>
      <c r="E1156" s="120"/>
      <c r="F1156" s="120"/>
      <c r="G1156" s="120"/>
      <c r="H1156" s="120"/>
      <c r="I1156" s="120"/>
      <c r="J1156" s="120"/>
      <c r="K1156" s="120"/>
      <c r="L1156" s="120"/>
      <c r="M1156" s="120"/>
    </row>
    <row r="1157">
      <c r="A1157" s="120"/>
      <c r="B1157" s="120"/>
      <c r="C1157" s="120"/>
      <c r="D1157" s="120"/>
      <c r="E1157" s="120"/>
      <c r="F1157" s="120"/>
      <c r="G1157" s="120"/>
      <c r="H1157" s="120"/>
      <c r="I1157" s="120"/>
      <c r="J1157" s="120"/>
      <c r="K1157" s="120"/>
      <c r="L1157" s="120"/>
      <c r="M1157" s="120"/>
    </row>
    <row r="1158">
      <c r="A1158" s="120"/>
      <c r="B1158" s="120"/>
      <c r="C1158" s="120"/>
      <c r="D1158" s="120"/>
      <c r="E1158" s="120"/>
      <c r="F1158" s="120"/>
      <c r="G1158" s="120"/>
      <c r="H1158" s="120"/>
      <c r="I1158" s="120"/>
      <c r="J1158" s="120"/>
      <c r="K1158" s="120"/>
      <c r="L1158" s="120"/>
      <c r="M1158" s="120"/>
    </row>
    <row r="1159">
      <c r="A1159" s="120"/>
      <c r="B1159" s="120"/>
      <c r="C1159" s="120"/>
      <c r="D1159" s="120"/>
      <c r="E1159" s="120"/>
      <c r="F1159" s="120"/>
      <c r="G1159" s="120"/>
      <c r="H1159" s="120"/>
      <c r="I1159" s="120"/>
      <c r="J1159" s="120"/>
      <c r="K1159" s="120"/>
      <c r="L1159" s="120"/>
      <c r="M1159" s="120"/>
    </row>
    <row r="1160">
      <c r="A1160" s="120"/>
      <c r="B1160" s="120"/>
      <c r="C1160" s="120"/>
      <c r="D1160" s="120"/>
      <c r="E1160" s="120"/>
      <c r="F1160" s="120"/>
      <c r="G1160" s="120"/>
      <c r="H1160" s="120"/>
      <c r="I1160" s="120"/>
      <c r="J1160" s="120"/>
      <c r="K1160" s="120"/>
      <c r="L1160" s="120"/>
      <c r="M1160" s="120"/>
    </row>
    <row r="1161">
      <c r="A1161" s="120"/>
      <c r="B1161" s="120"/>
      <c r="C1161" s="120"/>
      <c r="D1161" s="120"/>
      <c r="E1161" s="120"/>
      <c r="F1161" s="120"/>
      <c r="G1161" s="120"/>
      <c r="H1161" s="120"/>
      <c r="I1161" s="120"/>
      <c r="J1161" s="120"/>
      <c r="K1161" s="120"/>
      <c r="L1161" s="120"/>
      <c r="M1161" s="120"/>
    </row>
    <row r="1162">
      <c r="A1162" s="120"/>
      <c r="B1162" s="120"/>
      <c r="C1162" s="120"/>
      <c r="D1162" s="120"/>
      <c r="E1162" s="120"/>
      <c r="F1162" s="120"/>
      <c r="G1162" s="120"/>
      <c r="H1162" s="120"/>
      <c r="I1162" s="120"/>
      <c r="J1162" s="120"/>
      <c r="K1162" s="120"/>
      <c r="L1162" s="120"/>
      <c r="M1162" s="120"/>
    </row>
    <row r="1163">
      <c r="A1163" s="120"/>
      <c r="B1163" s="120"/>
      <c r="C1163" s="120"/>
      <c r="D1163" s="120"/>
      <c r="E1163" s="120"/>
      <c r="F1163" s="120"/>
      <c r="G1163" s="120"/>
      <c r="H1163" s="120"/>
      <c r="I1163" s="120"/>
      <c r="J1163" s="120"/>
      <c r="K1163" s="120"/>
      <c r="L1163" s="120"/>
      <c r="M1163" s="120"/>
    </row>
    <row r="1164">
      <c r="A1164" s="120"/>
      <c r="B1164" s="120"/>
      <c r="C1164" s="120"/>
      <c r="D1164" s="120"/>
      <c r="E1164" s="120"/>
      <c r="F1164" s="120"/>
      <c r="G1164" s="120"/>
      <c r="H1164" s="120"/>
      <c r="I1164" s="120"/>
      <c r="J1164" s="120"/>
      <c r="K1164" s="120"/>
      <c r="L1164" s="120"/>
      <c r="M1164" s="120"/>
    </row>
    <row r="1165">
      <c r="A1165" s="120"/>
      <c r="B1165" s="120"/>
      <c r="C1165" s="120"/>
      <c r="D1165" s="120"/>
      <c r="E1165" s="120"/>
      <c r="F1165" s="120"/>
      <c r="G1165" s="120"/>
      <c r="H1165" s="120"/>
      <c r="I1165" s="120"/>
      <c r="J1165" s="120"/>
      <c r="K1165" s="120"/>
      <c r="L1165" s="120"/>
      <c r="M1165" s="120"/>
    </row>
    <row r="1166">
      <c r="A1166" s="120"/>
      <c r="B1166" s="120"/>
      <c r="C1166" s="120"/>
      <c r="D1166" s="120"/>
      <c r="E1166" s="120"/>
      <c r="F1166" s="120"/>
      <c r="G1166" s="120"/>
      <c r="H1166" s="120"/>
      <c r="I1166" s="120"/>
      <c r="J1166" s="120"/>
      <c r="K1166" s="120"/>
      <c r="L1166" s="120"/>
      <c r="M1166" s="120"/>
    </row>
    <row r="1167">
      <c r="A1167" s="120"/>
      <c r="B1167" s="120"/>
      <c r="C1167" s="120"/>
      <c r="D1167" s="120"/>
      <c r="E1167" s="120"/>
      <c r="F1167" s="120"/>
      <c r="G1167" s="120"/>
      <c r="H1167" s="120"/>
      <c r="I1167" s="120"/>
      <c r="J1167" s="120"/>
      <c r="K1167" s="120"/>
      <c r="L1167" s="120"/>
      <c r="M1167" s="120"/>
    </row>
    <row r="1168">
      <c r="A1168" s="120"/>
      <c r="B1168" s="120"/>
      <c r="C1168" s="120"/>
      <c r="D1168" s="120"/>
      <c r="E1168" s="120"/>
      <c r="F1168" s="120"/>
      <c r="G1168" s="120"/>
      <c r="H1168" s="120"/>
      <c r="I1168" s="120"/>
      <c r="J1168" s="120"/>
      <c r="K1168" s="120"/>
      <c r="L1168" s="120"/>
      <c r="M1168" s="120"/>
    </row>
    <row r="1169">
      <c r="A1169" s="120"/>
      <c r="B1169" s="120"/>
      <c r="C1169" s="120"/>
      <c r="D1169" s="120"/>
      <c r="E1169" s="120"/>
      <c r="F1169" s="120"/>
      <c r="G1169" s="120"/>
      <c r="H1169" s="120"/>
      <c r="I1169" s="120"/>
      <c r="J1169" s="120"/>
      <c r="K1169" s="120"/>
      <c r="L1169" s="120"/>
      <c r="M1169" s="120"/>
    </row>
    <row r="1170">
      <c r="A1170" s="120"/>
      <c r="B1170" s="120"/>
      <c r="C1170" s="120"/>
      <c r="D1170" s="120"/>
      <c r="E1170" s="120"/>
      <c r="F1170" s="120"/>
      <c r="G1170" s="120"/>
      <c r="H1170" s="120"/>
      <c r="I1170" s="120"/>
      <c r="J1170" s="120"/>
      <c r="K1170" s="120"/>
      <c r="L1170" s="120"/>
      <c r="M1170" s="120"/>
    </row>
    <row r="1171">
      <c r="A1171" s="120"/>
      <c r="B1171" s="120"/>
      <c r="C1171" s="120"/>
      <c r="D1171" s="120"/>
      <c r="E1171" s="120"/>
      <c r="F1171" s="120"/>
      <c r="G1171" s="120"/>
      <c r="H1171" s="120"/>
      <c r="I1171" s="120"/>
      <c r="J1171" s="120"/>
      <c r="K1171" s="120"/>
      <c r="L1171" s="120"/>
      <c r="M1171" s="120"/>
    </row>
    <row r="1172">
      <c r="A1172" s="120"/>
      <c r="B1172" s="120"/>
      <c r="C1172" s="120"/>
      <c r="D1172" s="120"/>
      <c r="E1172" s="120"/>
      <c r="F1172" s="120"/>
      <c r="G1172" s="120"/>
      <c r="H1172" s="120"/>
      <c r="I1172" s="120"/>
      <c r="J1172" s="120"/>
      <c r="K1172" s="120"/>
      <c r="L1172" s="120"/>
      <c r="M1172" s="120"/>
    </row>
    <row r="1173">
      <c r="A1173" s="120"/>
      <c r="B1173" s="120"/>
      <c r="C1173" s="120"/>
      <c r="D1173" s="120"/>
      <c r="E1173" s="120"/>
      <c r="F1173" s="120"/>
      <c r="G1173" s="120"/>
      <c r="H1173" s="120"/>
      <c r="I1173" s="120"/>
      <c r="J1173" s="120"/>
      <c r="K1173" s="120"/>
      <c r="L1173" s="120"/>
      <c r="M1173" s="120"/>
    </row>
    <row r="1174">
      <c r="A1174" s="120"/>
      <c r="B1174" s="120"/>
      <c r="C1174" s="120"/>
      <c r="D1174" s="120"/>
      <c r="E1174" s="120"/>
      <c r="F1174" s="120"/>
      <c r="G1174" s="120"/>
      <c r="H1174" s="120"/>
      <c r="I1174" s="120"/>
      <c r="J1174" s="120"/>
      <c r="K1174" s="120"/>
      <c r="L1174" s="120"/>
      <c r="M1174" s="120"/>
    </row>
    <row r="1175">
      <c r="A1175" s="120"/>
      <c r="B1175" s="120"/>
      <c r="C1175" s="120"/>
      <c r="D1175" s="120"/>
      <c r="E1175" s="120"/>
      <c r="F1175" s="120"/>
      <c r="G1175" s="120"/>
      <c r="H1175" s="120"/>
      <c r="I1175" s="120"/>
      <c r="J1175" s="120"/>
      <c r="K1175" s="120"/>
      <c r="L1175" s="120"/>
      <c r="M1175" s="120"/>
    </row>
    <row r="1176">
      <c r="A1176" s="120"/>
      <c r="B1176" s="120"/>
      <c r="C1176" s="120"/>
      <c r="D1176" s="120"/>
      <c r="E1176" s="120"/>
      <c r="F1176" s="120"/>
      <c r="G1176" s="120"/>
      <c r="H1176" s="120"/>
      <c r="I1176" s="120"/>
      <c r="J1176" s="120"/>
      <c r="K1176" s="120"/>
      <c r="L1176" s="120"/>
      <c r="M1176" s="120"/>
    </row>
    <row r="1177">
      <c r="A1177" s="120"/>
      <c r="B1177" s="120"/>
      <c r="C1177" s="120"/>
      <c r="D1177" s="120"/>
      <c r="E1177" s="120"/>
      <c r="F1177" s="120"/>
      <c r="G1177" s="120"/>
      <c r="H1177" s="120"/>
      <c r="I1177" s="120"/>
      <c r="J1177" s="120"/>
      <c r="K1177" s="120"/>
      <c r="L1177" s="120"/>
      <c r="M1177" s="120"/>
    </row>
    <row r="1178">
      <c r="A1178" s="120"/>
      <c r="B1178" s="120"/>
      <c r="C1178" s="120"/>
      <c r="D1178" s="120"/>
      <c r="E1178" s="120"/>
      <c r="F1178" s="120"/>
      <c r="G1178" s="120"/>
      <c r="H1178" s="120"/>
      <c r="I1178" s="120"/>
      <c r="J1178" s="120"/>
      <c r="K1178" s="120"/>
      <c r="L1178" s="120"/>
      <c r="M1178" s="120"/>
    </row>
    <row r="1179">
      <c r="A1179" s="120"/>
      <c r="B1179" s="120"/>
      <c r="C1179" s="120"/>
      <c r="D1179" s="120"/>
      <c r="E1179" s="120"/>
      <c r="F1179" s="120"/>
      <c r="G1179" s="120"/>
      <c r="H1179" s="120"/>
      <c r="I1179" s="120"/>
      <c r="J1179" s="120"/>
      <c r="K1179" s="120"/>
      <c r="L1179" s="120"/>
      <c r="M1179" s="120"/>
    </row>
    <row r="1180">
      <c r="A1180" s="120"/>
      <c r="B1180" s="120"/>
      <c r="C1180" s="120"/>
      <c r="D1180" s="120"/>
      <c r="E1180" s="120"/>
      <c r="F1180" s="120"/>
      <c r="G1180" s="120"/>
      <c r="H1180" s="120"/>
      <c r="I1180" s="120"/>
      <c r="J1180" s="120"/>
      <c r="K1180" s="120"/>
      <c r="L1180" s="120"/>
      <c r="M1180" s="120"/>
    </row>
    <row r="1181">
      <c r="A1181" s="120"/>
      <c r="B1181" s="120"/>
      <c r="C1181" s="120"/>
      <c r="D1181" s="120"/>
      <c r="E1181" s="120"/>
      <c r="F1181" s="120"/>
      <c r="G1181" s="120"/>
      <c r="H1181" s="120"/>
      <c r="I1181" s="120"/>
      <c r="J1181" s="120"/>
      <c r="K1181" s="120"/>
      <c r="L1181" s="120"/>
      <c r="M1181" s="120"/>
    </row>
    <row r="1182">
      <c r="A1182" s="120"/>
      <c r="B1182" s="120"/>
      <c r="C1182" s="120"/>
      <c r="D1182" s="120"/>
      <c r="E1182" s="120"/>
      <c r="F1182" s="120"/>
      <c r="G1182" s="120"/>
      <c r="H1182" s="120"/>
      <c r="I1182" s="120"/>
      <c r="J1182" s="120"/>
      <c r="K1182" s="120"/>
      <c r="L1182" s="120"/>
      <c r="M1182" s="120"/>
    </row>
    <row r="1183">
      <c r="A1183" s="120"/>
      <c r="B1183" s="120"/>
      <c r="C1183" s="120"/>
      <c r="D1183" s="120"/>
      <c r="E1183" s="120"/>
      <c r="F1183" s="120"/>
      <c r="G1183" s="120"/>
      <c r="H1183" s="120"/>
      <c r="I1183" s="120"/>
      <c r="J1183" s="120"/>
      <c r="K1183" s="120"/>
      <c r="L1183" s="120"/>
      <c r="M1183" s="120"/>
    </row>
    <row r="1184">
      <c r="A1184" s="120"/>
      <c r="B1184" s="120"/>
      <c r="C1184" s="120"/>
      <c r="D1184" s="120"/>
      <c r="E1184" s="120"/>
      <c r="F1184" s="120"/>
      <c r="G1184" s="120"/>
      <c r="H1184" s="120"/>
      <c r="I1184" s="120"/>
      <c r="J1184" s="120"/>
      <c r="K1184" s="120"/>
      <c r="L1184" s="120"/>
      <c r="M1184" s="120"/>
    </row>
    <row r="1185">
      <c r="A1185" s="120"/>
      <c r="B1185" s="120"/>
      <c r="C1185" s="120"/>
      <c r="D1185" s="120"/>
      <c r="E1185" s="120"/>
      <c r="F1185" s="120"/>
      <c r="G1185" s="120"/>
      <c r="H1185" s="120"/>
      <c r="I1185" s="120"/>
      <c r="J1185" s="120"/>
      <c r="K1185" s="120"/>
      <c r="L1185" s="120"/>
      <c r="M1185" s="120"/>
    </row>
    <row r="1186">
      <c r="A1186" s="120"/>
      <c r="B1186" s="120"/>
      <c r="C1186" s="120"/>
      <c r="D1186" s="120"/>
      <c r="E1186" s="120"/>
      <c r="F1186" s="120"/>
      <c r="G1186" s="120"/>
      <c r="H1186" s="120"/>
      <c r="I1186" s="120"/>
      <c r="J1186" s="120"/>
      <c r="K1186" s="120"/>
      <c r="L1186" s="120"/>
      <c r="M1186" s="120"/>
    </row>
    <row r="1187">
      <c r="A1187" s="120"/>
      <c r="B1187" s="120"/>
      <c r="C1187" s="120"/>
      <c r="D1187" s="120"/>
      <c r="E1187" s="120"/>
      <c r="F1187" s="120"/>
      <c r="G1187" s="120"/>
      <c r="H1187" s="120"/>
      <c r="I1187" s="120"/>
      <c r="J1187" s="120"/>
      <c r="K1187" s="120"/>
      <c r="L1187" s="120"/>
      <c r="M1187" s="120"/>
    </row>
    <row r="1188">
      <c r="A1188" s="120"/>
      <c r="B1188" s="120"/>
      <c r="C1188" s="120"/>
      <c r="D1188" s="120"/>
      <c r="E1188" s="120"/>
      <c r="F1188" s="120"/>
      <c r="G1188" s="120"/>
      <c r="H1188" s="120"/>
      <c r="I1188" s="120"/>
      <c r="J1188" s="120"/>
      <c r="K1188" s="120"/>
      <c r="L1188" s="120"/>
      <c r="M1188" s="120"/>
    </row>
    <row r="1189">
      <c r="A1189" s="120"/>
      <c r="B1189" s="120"/>
      <c r="C1189" s="120"/>
      <c r="D1189" s="120"/>
      <c r="E1189" s="120"/>
      <c r="F1189" s="120"/>
      <c r="G1189" s="120"/>
      <c r="H1189" s="120"/>
      <c r="I1189" s="120"/>
      <c r="J1189" s="120"/>
      <c r="K1189" s="120"/>
      <c r="L1189" s="120"/>
      <c r="M1189" s="120"/>
    </row>
    <row r="1190">
      <c r="A1190" s="120"/>
      <c r="B1190" s="120"/>
      <c r="C1190" s="120"/>
      <c r="D1190" s="120"/>
      <c r="E1190" s="120"/>
      <c r="F1190" s="120"/>
      <c r="G1190" s="120"/>
      <c r="H1190" s="120"/>
      <c r="I1190" s="120"/>
      <c r="J1190" s="120"/>
      <c r="K1190" s="120"/>
      <c r="L1190" s="120"/>
      <c r="M1190" s="120"/>
    </row>
    <row r="1191">
      <c r="A1191" s="120"/>
      <c r="B1191" s="120"/>
      <c r="C1191" s="120"/>
      <c r="D1191" s="120"/>
      <c r="E1191" s="120"/>
      <c r="F1191" s="120"/>
      <c r="G1191" s="120"/>
      <c r="H1191" s="120"/>
      <c r="I1191" s="120"/>
      <c r="J1191" s="120"/>
      <c r="K1191" s="120"/>
      <c r="L1191" s="120"/>
      <c r="M1191" s="120"/>
    </row>
    <row r="1192">
      <c r="A1192" s="120"/>
      <c r="B1192" s="120"/>
      <c r="C1192" s="120"/>
      <c r="D1192" s="120"/>
      <c r="E1192" s="120"/>
      <c r="F1192" s="120"/>
      <c r="G1192" s="120"/>
      <c r="H1192" s="120"/>
      <c r="I1192" s="120"/>
      <c r="J1192" s="120"/>
      <c r="K1192" s="120"/>
      <c r="L1192" s="120"/>
      <c r="M1192" s="120"/>
    </row>
    <row r="1193">
      <c r="A1193" s="120"/>
      <c r="B1193" s="120"/>
      <c r="C1193" s="120"/>
      <c r="D1193" s="120"/>
      <c r="E1193" s="120"/>
      <c r="F1193" s="120"/>
      <c r="G1193" s="120"/>
      <c r="H1193" s="120"/>
      <c r="I1193" s="120"/>
      <c r="J1193" s="120"/>
      <c r="K1193" s="120"/>
      <c r="L1193" s="120"/>
      <c r="M1193" s="120"/>
    </row>
    <row r="1194">
      <c r="A1194" s="120"/>
      <c r="B1194" s="120"/>
      <c r="C1194" s="120"/>
      <c r="D1194" s="120"/>
      <c r="E1194" s="120"/>
      <c r="F1194" s="120"/>
      <c r="G1194" s="120"/>
      <c r="H1194" s="120"/>
      <c r="I1194" s="120"/>
      <c r="J1194" s="120"/>
      <c r="K1194" s="120"/>
      <c r="L1194" s="120"/>
      <c r="M1194" s="120"/>
    </row>
    <row r="1195">
      <c r="A1195" s="120"/>
      <c r="B1195" s="120"/>
      <c r="C1195" s="120"/>
      <c r="D1195" s="120"/>
      <c r="E1195" s="120"/>
      <c r="F1195" s="120"/>
      <c r="G1195" s="120"/>
      <c r="H1195" s="120"/>
      <c r="I1195" s="120"/>
      <c r="J1195" s="120"/>
      <c r="K1195" s="120"/>
      <c r="L1195" s="120"/>
      <c r="M1195" s="120"/>
    </row>
    <row r="1196">
      <c r="A1196" s="120"/>
      <c r="B1196" s="120"/>
      <c r="C1196" s="120"/>
      <c r="D1196" s="120"/>
      <c r="E1196" s="120"/>
      <c r="F1196" s="120"/>
      <c r="G1196" s="120"/>
      <c r="H1196" s="120"/>
      <c r="I1196" s="120"/>
      <c r="J1196" s="120"/>
      <c r="K1196" s="120"/>
      <c r="L1196" s="120"/>
      <c r="M1196" s="120"/>
    </row>
    <row r="1197">
      <c r="A1197" s="120"/>
      <c r="B1197" s="120"/>
      <c r="C1197" s="120"/>
      <c r="D1197" s="120"/>
      <c r="E1197" s="120"/>
      <c r="F1197" s="120"/>
      <c r="G1197" s="120"/>
      <c r="H1197" s="120"/>
      <c r="I1197" s="120"/>
      <c r="J1197" s="120"/>
      <c r="K1197" s="120"/>
      <c r="L1197" s="120"/>
      <c r="M1197" s="120"/>
    </row>
    <row r="1198">
      <c r="A1198" s="120"/>
      <c r="B1198" s="120"/>
      <c r="C1198" s="120"/>
      <c r="D1198" s="120"/>
      <c r="E1198" s="120"/>
      <c r="F1198" s="120"/>
      <c r="G1198" s="120"/>
      <c r="H1198" s="120"/>
      <c r="I1198" s="120"/>
      <c r="J1198" s="120"/>
      <c r="K1198" s="120"/>
      <c r="L1198" s="120"/>
      <c r="M1198" s="120"/>
    </row>
    <row r="1199">
      <c r="A1199" s="120"/>
      <c r="B1199" s="120"/>
      <c r="C1199" s="120"/>
      <c r="D1199" s="120"/>
      <c r="E1199" s="120"/>
      <c r="F1199" s="120"/>
      <c r="G1199" s="120"/>
      <c r="H1199" s="120"/>
      <c r="I1199" s="120"/>
      <c r="J1199" s="120"/>
      <c r="K1199" s="120"/>
      <c r="L1199" s="120"/>
      <c r="M1199" s="120"/>
    </row>
    <row r="1200">
      <c r="A1200" s="120"/>
      <c r="B1200" s="120"/>
      <c r="C1200" s="120"/>
      <c r="D1200" s="120"/>
      <c r="E1200" s="120"/>
      <c r="F1200" s="120"/>
      <c r="G1200" s="120"/>
      <c r="H1200" s="120"/>
      <c r="I1200" s="120"/>
      <c r="J1200" s="120"/>
      <c r="K1200" s="120"/>
      <c r="L1200" s="120"/>
      <c r="M1200" s="120"/>
    </row>
    <row r="1201">
      <c r="A1201" s="120"/>
      <c r="B1201" s="120"/>
      <c r="C1201" s="120"/>
      <c r="D1201" s="120"/>
      <c r="E1201" s="120"/>
      <c r="F1201" s="120"/>
      <c r="G1201" s="120"/>
      <c r="H1201" s="120"/>
      <c r="I1201" s="120"/>
      <c r="J1201" s="120"/>
      <c r="K1201" s="120"/>
      <c r="L1201" s="120"/>
      <c r="M1201" s="120"/>
    </row>
    <row r="1202">
      <c r="A1202" s="120"/>
      <c r="B1202" s="120"/>
      <c r="C1202" s="120"/>
      <c r="D1202" s="120"/>
      <c r="E1202" s="120"/>
      <c r="F1202" s="120"/>
      <c r="G1202" s="120"/>
      <c r="H1202" s="120"/>
      <c r="I1202" s="120"/>
      <c r="J1202" s="120"/>
      <c r="K1202" s="120"/>
      <c r="L1202" s="120"/>
      <c r="M1202" s="120"/>
    </row>
    <row r="1203">
      <c r="A1203" s="120"/>
      <c r="B1203" s="120"/>
      <c r="C1203" s="120"/>
      <c r="D1203" s="120"/>
      <c r="E1203" s="120"/>
      <c r="F1203" s="120"/>
      <c r="G1203" s="120"/>
      <c r="H1203" s="120"/>
      <c r="I1203" s="120"/>
      <c r="J1203" s="120"/>
      <c r="K1203" s="120"/>
      <c r="L1203" s="120"/>
      <c r="M1203" s="120"/>
    </row>
    <row r="1204">
      <c r="A1204" s="120"/>
      <c r="B1204" s="120"/>
      <c r="C1204" s="120"/>
      <c r="D1204" s="120"/>
      <c r="E1204" s="120"/>
      <c r="F1204" s="120"/>
      <c r="G1204" s="120"/>
      <c r="H1204" s="120"/>
      <c r="I1204" s="120"/>
      <c r="J1204" s="120"/>
      <c r="K1204" s="120"/>
      <c r="L1204" s="120"/>
      <c r="M1204" s="120"/>
    </row>
    <row r="1205">
      <c r="A1205" s="120"/>
      <c r="B1205" s="120"/>
      <c r="C1205" s="120"/>
      <c r="D1205" s="120"/>
      <c r="E1205" s="120"/>
      <c r="F1205" s="120"/>
      <c r="G1205" s="120"/>
      <c r="H1205" s="120"/>
      <c r="I1205" s="120"/>
      <c r="J1205" s="120"/>
      <c r="K1205" s="120"/>
      <c r="L1205" s="120"/>
      <c r="M1205" s="120"/>
    </row>
    <row r="1206">
      <c r="A1206" s="120"/>
      <c r="B1206" s="120"/>
      <c r="C1206" s="120"/>
      <c r="D1206" s="120"/>
      <c r="E1206" s="120"/>
      <c r="F1206" s="120"/>
      <c r="G1206" s="120"/>
      <c r="H1206" s="120"/>
      <c r="I1206" s="120"/>
      <c r="J1206" s="120"/>
      <c r="K1206" s="120"/>
      <c r="L1206" s="120"/>
      <c r="M1206" s="120"/>
    </row>
    <row r="1207">
      <c r="A1207" s="120"/>
      <c r="B1207" s="120"/>
      <c r="C1207" s="120"/>
      <c r="D1207" s="120"/>
      <c r="E1207" s="120"/>
      <c r="F1207" s="120"/>
      <c r="G1207" s="120"/>
      <c r="H1207" s="120"/>
      <c r="I1207" s="120"/>
      <c r="J1207" s="120"/>
      <c r="K1207" s="120"/>
      <c r="L1207" s="120"/>
      <c r="M1207" s="120"/>
    </row>
    <row r="1208">
      <c r="A1208" s="120"/>
      <c r="B1208" s="120"/>
      <c r="C1208" s="120"/>
      <c r="D1208" s="120"/>
      <c r="E1208" s="120"/>
      <c r="F1208" s="120"/>
      <c r="G1208" s="120"/>
      <c r="H1208" s="120"/>
      <c r="I1208" s="120"/>
      <c r="J1208" s="120"/>
      <c r="K1208" s="120"/>
      <c r="L1208" s="120"/>
      <c r="M1208" s="120"/>
    </row>
    <row r="1209">
      <c r="A1209" s="120"/>
      <c r="B1209" s="120"/>
      <c r="C1209" s="120"/>
      <c r="D1209" s="120"/>
      <c r="E1209" s="120"/>
      <c r="F1209" s="120"/>
      <c r="G1209" s="120"/>
      <c r="H1209" s="120"/>
      <c r="I1209" s="120"/>
      <c r="J1209" s="120"/>
      <c r="K1209" s="120"/>
      <c r="L1209" s="120"/>
      <c r="M1209" s="120"/>
    </row>
    <row r="1210">
      <c r="A1210" s="120"/>
      <c r="B1210" s="120"/>
      <c r="C1210" s="120"/>
      <c r="D1210" s="120"/>
      <c r="E1210" s="120"/>
      <c r="F1210" s="120"/>
      <c r="G1210" s="120"/>
      <c r="H1210" s="120"/>
      <c r="I1210" s="120"/>
      <c r="J1210" s="120"/>
      <c r="K1210" s="120"/>
      <c r="L1210" s="120"/>
      <c r="M1210" s="120"/>
    </row>
    <row r="1211">
      <c r="A1211" s="120"/>
      <c r="B1211" s="120"/>
      <c r="C1211" s="120"/>
      <c r="D1211" s="120"/>
      <c r="E1211" s="120"/>
      <c r="F1211" s="120"/>
      <c r="G1211" s="120"/>
      <c r="H1211" s="120"/>
      <c r="I1211" s="120"/>
      <c r="J1211" s="120"/>
      <c r="K1211" s="120"/>
      <c r="L1211" s="120"/>
      <c r="M1211" s="120"/>
    </row>
    <row r="1212">
      <c r="A1212" s="120"/>
      <c r="B1212" s="120"/>
      <c r="C1212" s="120"/>
      <c r="D1212" s="120"/>
      <c r="E1212" s="120"/>
      <c r="F1212" s="120"/>
      <c r="G1212" s="120"/>
      <c r="H1212" s="120"/>
      <c r="I1212" s="120"/>
      <c r="J1212" s="120"/>
      <c r="K1212" s="120"/>
      <c r="L1212" s="120"/>
      <c r="M1212" s="120"/>
    </row>
    <row r="1213">
      <c r="A1213" s="120"/>
      <c r="B1213" s="120"/>
      <c r="C1213" s="120"/>
      <c r="D1213" s="120"/>
      <c r="E1213" s="120"/>
      <c r="F1213" s="120"/>
      <c r="G1213" s="120"/>
      <c r="H1213" s="120"/>
      <c r="I1213" s="120"/>
      <c r="J1213" s="120"/>
      <c r="K1213" s="120"/>
      <c r="L1213" s="120"/>
      <c r="M1213" s="120"/>
    </row>
    <row r="1214">
      <c r="A1214" s="120"/>
      <c r="B1214" s="120"/>
      <c r="C1214" s="120"/>
      <c r="D1214" s="120"/>
      <c r="E1214" s="120"/>
      <c r="F1214" s="120"/>
      <c r="G1214" s="120"/>
      <c r="H1214" s="120"/>
      <c r="I1214" s="120"/>
      <c r="J1214" s="120"/>
      <c r="K1214" s="120"/>
      <c r="L1214" s="120"/>
      <c r="M1214" s="120"/>
    </row>
    <row r="1215">
      <c r="A1215" s="120"/>
      <c r="B1215" s="120"/>
      <c r="C1215" s="120"/>
      <c r="D1215" s="120"/>
      <c r="E1215" s="120"/>
      <c r="F1215" s="120"/>
      <c r="G1215" s="120"/>
      <c r="H1215" s="120"/>
      <c r="I1215" s="120"/>
      <c r="J1215" s="120"/>
      <c r="K1215" s="120"/>
      <c r="L1215" s="120"/>
      <c r="M1215" s="120"/>
    </row>
    <row r="1216">
      <c r="A1216" s="120"/>
      <c r="B1216" s="120"/>
      <c r="C1216" s="120"/>
      <c r="D1216" s="120"/>
      <c r="E1216" s="120"/>
      <c r="F1216" s="120"/>
      <c r="G1216" s="120"/>
      <c r="H1216" s="120"/>
      <c r="I1216" s="120"/>
      <c r="J1216" s="120"/>
      <c r="K1216" s="120"/>
      <c r="L1216" s="120"/>
      <c r="M1216" s="120"/>
    </row>
    <row r="1217">
      <c r="A1217" s="120"/>
      <c r="B1217" s="120"/>
      <c r="C1217" s="120"/>
      <c r="D1217" s="120"/>
      <c r="E1217" s="120"/>
      <c r="F1217" s="120"/>
      <c r="G1217" s="120"/>
      <c r="H1217" s="120"/>
      <c r="I1217" s="120"/>
      <c r="J1217" s="120"/>
      <c r="K1217" s="120"/>
      <c r="L1217" s="120"/>
      <c r="M1217" s="120"/>
    </row>
    <row r="1218">
      <c r="A1218" s="120"/>
      <c r="B1218" s="120"/>
      <c r="C1218" s="120"/>
      <c r="D1218" s="120"/>
      <c r="E1218" s="120"/>
      <c r="F1218" s="120"/>
      <c r="G1218" s="120"/>
      <c r="H1218" s="120"/>
      <c r="I1218" s="120"/>
      <c r="J1218" s="120"/>
      <c r="K1218" s="120"/>
      <c r="L1218" s="120"/>
      <c r="M1218" s="120"/>
    </row>
    <row r="1219">
      <c r="A1219" s="120"/>
      <c r="B1219" s="120"/>
      <c r="C1219" s="120"/>
      <c r="D1219" s="120"/>
      <c r="E1219" s="120"/>
      <c r="F1219" s="120"/>
      <c r="G1219" s="120"/>
      <c r="H1219" s="120"/>
      <c r="I1219" s="120"/>
      <c r="J1219" s="120"/>
      <c r="K1219" s="120"/>
      <c r="L1219" s="120"/>
      <c r="M1219" s="120"/>
    </row>
    <row r="1220">
      <c r="A1220" s="120"/>
      <c r="B1220" s="120"/>
      <c r="C1220" s="120"/>
      <c r="D1220" s="120"/>
      <c r="E1220" s="120"/>
      <c r="F1220" s="120"/>
      <c r="G1220" s="120"/>
      <c r="H1220" s="120"/>
      <c r="I1220" s="120"/>
      <c r="J1220" s="120"/>
      <c r="K1220" s="120"/>
      <c r="L1220" s="120"/>
      <c r="M1220" s="120"/>
    </row>
    <row r="1221">
      <c r="A1221" s="120"/>
      <c r="B1221" s="120"/>
      <c r="C1221" s="120"/>
      <c r="D1221" s="120"/>
      <c r="E1221" s="120"/>
      <c r="F1221" s="120"/>
      <c r="G1221" s="120"/>
      <c r="H1221" s="120"/>
      <c r="I1221" s="120"/>
      <c r="J1221" s="120"/>
      <c r="K1221" s="120"/>
      <c r="L1221" s="120"/>
      <c r="M1221" s="120"/>
    </row>
    <row r="1222">
      <c r="A1222" s="120"/>
      <c r="B1222" s="120"/>
      <c r="C1222" s="120"/>
      <c r="D1222" s="120"/>
      <c r="E1222" s="120"/>
      <c r="F1222" s="120"/>
      <c r="G1222" s="120"/>
      <c r="H1222" s="120"/>
      <c r="I1222" s="120"/>
      <c r="J1222" s="120"/>
      <c r="K1222" s="120"/>
      <c r="L1222" s="120"/>
      <c r="M1222" s="120"/>
    </row>
    <row r="1223">
      <c r="A1223" s="120"/>
      <c r="B1223" s="120"/>
      <c r="C1223" s="120"/>
      <c r="D1223" s="120"/>
      <c r="E1223" s="120"/>
      <c r="F1223" s="120"/>
      <c r="G1223" s="120"/>
      <c r="H1223" s="120"/>
      <c r="I1223" s="120"/>
      <c r="J1223" s="120"/>
      <c r="K1223" s="120"/>
      <c r="L1223" s="120"/>
      <c r="M1223" s="120"/>
    </row>
    <row r="1224">
      <c r="A1224" s="120"/>
      <c r="B1224" s="120"/>
      <c r="C1224" s="120"/>
      <c r="D1224" s="120"/>
      <c r="E1224" s="120"/>
      <c r="F1224" s="120"/>
      <c r="G1224" s="120"/>
      <c r="H1224" s="120"/>
      <c r="I1224" s="120"/>
      <c r="J1224" s="120"/>
      <c r="K1224" s="120"/>
      <c r="L1224" s="120"/>
      <c r="M1224" s="120"/>
    </row>
    <row r="1225">
      <c r="A1225" s="120"/>
      <c r="B1225" s="120"/>
      <c r="C1225" s="120"/>
      <c r="D1225" s="120"/>
      <c r="E1225" s="120"/>
      <c r="F1225" s="120"/>
      <c r="G1225" s="120"/>
      <c r="H1225" s="120"/>
      <c r="I1225" s="120"/>
      <c r="J1225" s="120"/>
      <c r="K1225" s="120"/>
      <c r="L1225" s="120"/>
      <c r="M1225" s="120"/>
    </row>
    <row r="1226">
      <c r="A1226" s="120"/>
      <c r="B1226" s="120"/>
      <c r="C1226" s="120"/>
      <c r="D1226" s="120"/>
      <c r="E1226" s="120"/>
      <c r="F1226" s="120"/>
      <c r="G1226" s="120"/>
      <c r="H1226" s="120"/>
      <c r="I1226" s="120"/>
      <c r="J1226" s="120"/>
      <c r="K1226" s="120"/>
      <c r="L1226" s="120"/>
      <c r="M1226" s="120"/>
    </row>
    <row r="1227">
      <c r="A1227" s="120"/>
      <c r="B1227" s="120"/>
      <c r="C1227" s="120"/>
      <c r="D1227" s="120"/>
      <c r="E1227" s="120"/>
      <c r="F1227" s="120"/>
      <c r="G1227" s="120"/>
      <c r="H1227" s="120"/>
      <c r="I1227" s="120"/>
      <c r="J1227" s="120"/>
      <c r="K1227" s="120"/>
      <c r="L1227" s="120"/>
      <c r="M1227" s="120"/>
    </row>
    <row r="1228">
      <c r="A1228" s="120"/>
      <c r="B1228" s="120"/>
      <c r="C1228" s="120"/>
      <c r="D1228" s="120"/>
      <c r="E1228" s="120"/>
      <c r="F1228" s="120"/>
      <c r="G1228" s="120"/>
      <c r="H1228" s="120"/>
      <c r="I1228" s="120"/>
      <c r="J1228" s="120"/>
      <c r="K1228" s="120"/>
      <c r="L1228" s="120"/>
      <c r="M1228" s="120"/>
    </row>
    <row r="1229">
      <c r="A1229" s="120"/>
      <c r="B1229" s="120"/>
      <c r="C1229" s="120"/>
      <c r="D1229" s="120"/>
      <c r="E1229" s="120"/>
      <c r="F1229" s="120"/>
      <c r="G1229" s="120"/>
      <c r="H1229" s="120"/>
      <c r="I1229" s="120"/>
      <c r="J1229" s="120"/>
      <c r="K1229" s="120"/>
      <c r="L1229" s="120"/>
      <c r="M1229" s="120"/>
    </row>
    <row r="1230">
      <c r="A1230" s="120"/>
      <c r="B1230" s="120"/>
      <c r="C1230" s="120"/>
      <c r="D1230" s="120"/>
      <c r="E1230" s="120"/>
      <c r="F1230" s="120"/>
      <c r="G1230" s="120"/>
      <c r="H1230" s="120"/>
      <c r="I1230" s="120"/>
      <c r="J1230" s="120"/>
      <c r="K1230" s="120"/>
      <c r="L1230" s="120"/>
      <c r="M1230" s="120"/>
    </row>
    <row r="1231">
      <c r="A1231" s="120"/>
      <c r="B1231" s="120"/>
      <c r="C1231" s="120"/>
      <c r="D1231" s="120"/>
      <c r="E1231" s="120"/>
      <c r="F1231" s="120"/>
      <c r="G1231" s="120"/>
      <c r="H1231" s="120"/>
      <c r="I1231" s="120"/>
      <c r="J1231" s="120"/>
      <c r="K1231" s="120"/>
      <c r="L1231" s="120"/>
      <c r="M1231" s="120"/>
    </row>
    <row r="1232">
      <c r="A1232" s="120"/>
      <c r="B1232" s="120"/>
      <c r="C1232" s="120"/>
      <c r="D1232" s="120"/>
      <c r="E1232" s="120"/>
      <c r="F1232" s="120"/>
      <c r="G1232" s="120"/>
      <c r="H1232" s="120"/>
      <c r="I1232" s="120"/>
      <c r="J1232" s="120"/>
      <c r="K1232" s="120"/>
      <c r="L1232" s="120"/>
      <c r="M1232" s="120"/>
    </row>
    <row r="1233">
      <c r="A1233" s="120"/>
      <c r="B1233" s="120"/>
      <c r="C1233" s="120"/>
      <c r="D1233" s="120"/>
      <c r="E1233" s="120"/>
      <c r="F1233" s="120"/>
      <c r="G1233" s="120"/>
      <c r="H1233" s="120"/>
      <c r="I1233" s="120"/>
      <c r="J1233" s="120"/>
      <c r="K1233" s="120"/>
      <c r="L1233" s="120"/>
      <c r="M1233" s="120"/>
    </row>
    <row r="1234">
      <c r="A1234" s="120"/>
      <c r="B1234" s="120"/>
      <c r="C1234" s="120"/>
      <c r="D1234" s="120"/>
      <c r="E1234" s="120"/>
      <c r="F1234" s="120"/>
      <c r="G1234" s="120"/>
      <c r="H1234" s="120"/>
      <c r="I1234" s="120"/>
      <c r="J1234" s="120"/>
      <c r="K1234" s="120"/>
      <c r="L1234" s="120"/>
      <c r="M1234" s="120"/>
    </row>
    <row r="1235">
      <c r="A1235" s="120"/>
      <c r="B1235" s="120"/>
      <c r="C1235" s="120"/>
      <c r="D1235" s="120"/>
      <c r="E1235" s="120"/>
      <c r="F1235" s="120"/>
      <c r="G1235" s="120"/>
      <c r="H1235" s="120"/>
      <c r="I1235" s="120"/>
      <c r="J1235" s="120"/>
      <c r="K1235" s="120"/>
      <c r="L1235" s="120"/>
      <c r="M1235" s="120"/>
    </row>
    <row r="1236">
      <c r="A1236" s="120"/>
      <c r="B1236" s="120"/>
      <c r="C1236" s="120"/>
      <c r="D1236" s="120"/>
      <c r="E1236" s="120"/>
      <c r="F1236" s="120"/>
      <c r="G1236" s="120"/>
      <c r="H1236" s="120"/>
      <c r="I1236" s="120"/>
      <c r="J1236" s="120"/>
      <c r="K1236" s="120"/>
      <c r="L1236" s="120"/>
      <c r="M1236" s="120"/>
    </row>
    <row r="1237">
      <c r="A1237" s="120"/>
      <c r="B1237" s="120"/>
      <c r="C1237" s="120"/>
      <c r="D1237" s="120"/>
      <c r="E1237" s="120"/>
      <c r="F1237" s="120"/>
      <c r="G1237" s="120"/>
      <c r="H1237" s="120"/>
      <c r="I1237" s="120"/>
      <c r="J1237" s="120"/>
      <c r="K1237" s="120"/>
      <c r="L1237" s="120"/>
      <c r="M1237" s="120"/>
    </row>
    <row r="1238">
      <c r="A1238" s="120"/>
      <c r="B1238" s="120"/>
      <c r="C1238" s="120"/>
      <c r="D1238" s="120"/>
      <c r="E1238" s="120"/>
      <c r="F1238" s="120"/>
      <c r="G1238" s="120"/>
      <c r="H1238" s="120"/>
      <c r="I1238" s="120"/>
      <c r="J1238" s="120"/>
      <c r="K1238" s="120"/>
      <c r="L1238" s="120"/>
      <c r="M1238" s="120"/>
    </row>
    <row r="1239">
      <c r="A1239" s="120"/>
      <c r="B1239" s="120"/>
      <c r="C1239" s="120"/>
      <c r="D1239" s="120"/>
      <c r="E1239" s="120"/>
      <c r="F1239" s="120"/>
      <c r="G1239" s="120"/>
      <c r="H1239" s="120"/>
      <c r="I1239" s="120"/>
      <c r="J1239" s="120"/>
      <c r="K1239" s="120"/>
      <c r="L1239" s="120"/>
      <c r="M1239" s="120"/>
    </row>
    <row r="1240">
      <c r="A1240" s="120"/>
      <c r="B1240" s="120"/>
      <c r="C1240" s="120"/>
      <c r="D1240" s="120"/>
      <c r="E1240" s="120"/>
      <c r="F1240" s="120"/>
      <c r="G1240" s="120"/>
      <c r="H1240" s="120"/>
      <c r="I1240" s="120"/>
      <c r="J1240" s="120"/>
      <c r="K1240" s="120"/>
      <c r="L1240" s="120"/>
      <c r="M1240" s="120"/>
    </row>
    <row r="1241">
      <c r="A1241" s="120"/>
      <c r="B1241" s="120"/>
      <c r="C1241" s="120"/>
      <c r="D1241" s="120"/>
      <c r="E1241" s="120"/>
      <c r="F1241" s="120"/>
      <c r="G1241" s="120"/>
      <c r="H1241" s="120"/>
      <c r="I1241" s="120"/>
      <c r="J1241" s="120"/>
      <c r="K1241" s="120"/>
      <c r="L1241" s="120"/>
      <c r="M1241" s="120"/>
    </row>
    <row r="1242">
      <c r="A1242" s="120"/>
      <c r="B1242" s="120"/>
      <c r="C1242" s="120"/>
      <c r="D1242" s="120"/>
      <c r="E1242" s="120"/>
      <c r="F1242" s="120"/>
      <c r="G1242" s="120"/>
      <c r="H1242" s="120"/>
      <c r="I1242" s="120"/>
      <c r="J1242" s="120"/>
      <c r="K1242" s="120"/>
      <c r="L1242" s="120"/>
      <c r="M1242" s="120"/>
    </row>
    <row r="1243">
      <c r="A1243" s="120"/>
      <c r="B1243" s="120"/>
      <c r="C1243" s="120"/>
      <c r="D1243" s="120"/>
      <c r="E1243" s="120"/>
      <c r="F1243" s="120"/>
      <c r="G1243" s="120"/>
      <c r="H1243" s="120"/>
      <c r="I1243" s="120"/>
      <c r="J1243" s="120"/>
      <c r="K1243" s="120"/>
      <c r="L1243" s="120"/>
      <c r="M1243" s="120"/>
    </row>
    <row r="1244">
      <c r="A1244" s="120"/>
      <c r="B1244" s="120"/>
      <c r="C1244" s="120"/>
      <c r="D1244" s="120"/>
      <c r="E1244" s="120"/>
      <c r="F1244" s="120"/>
      <c r="G1244" s="120"/>
      <c r="H1244" s="120"/>
      <c r="I1244" s="120"/>
      <c r="J1244" s="120"/>
      <c r="K1244" s="120"/>
      <c r="L1244" s="120"/>
      <c r="M1244" s="120"/>
    </row>
    <row r="1245">
      <c r="A1245" s="120"/>
      <c r="B1245" s="120"/>
      <c r="C1245" s="120"/>
      <c r="D1245" s="120"/>
      <c r="E1245" s="120"/>
      <c r="F1245" s="120"/>
      <c r="G1245" s="120"/>
      <c r="H1245" s="120"/>
      <c r="I1245" s="120"/>
      <c r="J1245" s="120"/>
      <c r="K1245" s="120"/>
      <c r="L1245" s="120"/>
      <c r="M1245" s="120"/>
    </row>
    <row r="1246">
      <c r="A1246" s="120"/>
      <c r="B1246" s="120"/>
      <c r="C1246" s="120"/>
      <c r="D1246" s="120"/>
      <c r="E1246" s="120"/>
      <c r="F1246" s="120"/>
      <c r="G1246" s="120"/>
      <c r="H1246" s="120"/>
      <c r="I1246" s="120"/>
      <c r="J1246" s="120"/>
      <c r="K1246" s="120"/>
      <c r="L1246" s="120"/>
      <c r="M1246" s="120"/>
    </row>
    <row r="1247">
      <c r="A1247" s="120"/>
      <c r="B1247" s="120"/>
      <c r="C1247" s="120"/>
      <c r="D1247" s="120"/>
      <c r="E1247" s="120"/>
      <c r="F1247" s="120"/>
      <c r="G1247" s="120"/>
      <c r="H1247" s="120"/>
      <c r="I1247" s="120"/>
      <c r="J1247" s="120"/>
      <c r="K1247" s="120"/>
      <c r="L1247" s="120"/>
      <c r="M1247" s="120"/>
    </row>
    <row r="1248">
      <c r="A1248" s="120"/>
      <c r="B1248" s="120"/>
      <c r="C1248" s="120"/>
      <c r="D1248" s="120"/>
      <c r="E1248" s="120"/>
      <c r="F1248" s="120"/>
      <c r="G1248" s="120"/>
      <c r="H1248" s="120"/>
      <c r="I1248" s="120"/>
      <c r="J1248" s="120"/>
      <c r="K1248" s="120"/>
      <c r="L1248" s="120"/>
      <c r="M1248" s="120"/>
    </row>
    <row r="1249">
      <c r="A1249" s="120"/>
      <c r="B1249" s="120"/>
      <c r="C1249" s="120"/>
      <c r="D1249" s="120"/>
      <c r="E1249" s="120"/>
      <c r="F1249" s="120"/>
      <c r="G1249" s="120"/>
      <c r="H1249" s="120"/>
      <c r="I1249" s="120"/>
      <c r="J1249" s="120"/>
      <c r="K1249" s="120"/>
      <c r="L1249" s="120"/>
      <c r="M1249" s="120"/>
    </row>
    <row r="1250">
      <c r="A1250" s="120"/>
      <c r="B1250" s="120"/>
      <c r="C1250" s="120"/>
      <c r="D1250" s="120"/>
      <c r="E1250" s="120"/>
      <c r="F1250" s="120"/>
      <c r="G1250" s="120"/>
      <c r="H1250" s="120"/>
      <c r="I1250" s="120"/>
      <c r="J1250" s="120"/>
      <c r="K1250" s="120"/>
      <c r="L1250" s="120"/>
      <c r="M1250" s="120"/>
    </row>
    <row r="1251">
      <c r="A1251" s="120"/>
      <c r="B1251" s="120"/>
      <c r="C1251" s="120"/>
      <c r="D1251" s="120"/>
      <c r="E1251" s="120"/>
      <c r="F1251" s="120"/>
      <c r="G1251" s="120"/>
      <c r="H1251" s="120"/>
      <c r="I1251" s="120"/>
      <c r="J1251" s="120"/>
      <c r="K1251" s="120"/>
      <c r="L1251" s="120"/>
      <c r="M1251" s="120"/>
    </row>
    <row r="1252">
      <c r="A1252" s="120"/>
      <c r="B1252" s="120"/>
      <c r="C1252" s="120"/>
      <c r="D1252" s="120"/>
      <c r="E1252" s="120"/>
      <c r="F1252" s="120"/>
      <c r="G1252" s="120"/>
      <c r="H1252" s="120"/>
      <c r="I1252" s="120"/>
      <c r="J1252" s="120"/>
      <c r="K1252" s="120"/>
      <c r="L1252" s="120"/>
      <c r="M1252" s="120"/>
    </row>
    <row r="1253">
      <c r="A1253" s="120"/>
      <c r="B1253" s="120"/>
      <c r="C1253" s="120"/>
      <c r="D1253" s="120"/>
      <c r="E1253" s="120"/>
      <c r="F1253" s="120"/>
      <c r="G1253" s="120"/>
      <c r="H1253" s="120"/>
      <c r="I1253" s="120"/>
      <c r="J1253" s="120"/>
      <c r="K1253" s="120"/>
      <c r="L1253" s="120"/>
      <c r="M1253" s="120"/>
    </row>
    <row r="1254">
      <c r="A1254" s="120"/>
      <c r="B1254" s="120"/>
      <c r="C1254" s="120"/>
      <c r="D1254" s="120"/>
      <c r="E1254" s="120"/>
      <c r="F1254" s="120"/>
      <c r="G1254" s="120"/>
      <c r="H1254" s="120"/>
      <c r="I1254" s="120"/>
      <c r="J1254" s="120"/>
      <c r="K1254" s="120"/>
      <c r="L1254" s="120"/>
      <c r="M1254" s="120"/>
    </row>
    <row r="1255">
      <c r="A1255" s="120"/>
      <c r="B1255" s="120"/>
      <c r="C1255" s="120"/>
      <c r="D1255" s="120"/>
      <c r="E1255" s="120"/>
      <c r="F1255" s="120"/>
      <c r="G1255" s="120"/>
      <c r="H1255" s="120"/>
      <c r="I1255" s="120"/>
      <c r="J1255" s="120"/>
      <c r="K1255" s="120"/>
      <c r="L1255" s="120"/>
      <c r="M1255" s="120"/>
    </row>
    <row r="1256">
      <c r="A1256" s="120"/>
      <c r="B1256" s="120"/>
      <c r="C1256" s="120"/>
      <c r="D1256" s="120"/>
      <c r="E1256" s="120"/>
      <c r="F1256" s="120"/>
      <c r="G1256" s="120"/>
      <c r="H1256" s="120"/>
      <c r="I1256" s="120"/>
      <c r="J1256" s="120"/>
      <c r="K1256" s="120"/>
      <c r="L1256" s="120"/>
      <c r="M1256" s="120"/>
    </row>
    <row r="1257">
      <c r="A1257" s="120"/>
      <c r="B1257" s="120"/>
      <c r="C1257" s="120"/>
      <c r="D1257" s="120"/>
      <c r="E1257" s="120"/>
      <c r="F1257" s="120"/>
      <c r="G1257" s="120"/>
      <c r="H1257" s="120"/>
      <c r="I1257" s="120"/>
      <c r="J1257" s="120"/>
      <c r="K1257" s="120"/>
      <c r="L1257" s="120"/>
      <c r="M1257" s="120"/>
    </row>
    <row r="1258">
      <c r="A1258" s="120"/>
      <c r="B1258" s="120"/>
      <c r="C1258" s="120"/>
      <c r="D1258" s="120"/>
      <c r="E1258" s="120"/>
      <c r="F1258" s="120"/>
      <c r="G1258" s="120"/>
      <c r="H1258" s="120"/>
      <c r="I1258" s="120"/>
      <c r="J1258" s="120"/>
      <c r="K1258" s="120"/>
      <c r="L1258" s="120"/>
      <c r="M1258" s="120"/>
    </row>
    <row r="1259">
      <c r="A1259" s="120"/>
      <c r="B1259" s="120"/>
      <c r="C1259" s="120"/>
      <c r="D1259" s="120"/>
      <c r="E1259" s="120"/>
      <c r="F1259" s="120"/>
      <c r="G1259" s="120"/>
      <c r="H1259" s="120"/>
      <c r="I1259" s="120"/>
      <c r="J1259" s="120"/>
      <c r="K1259" s="120"/>
      <c r="L1259" s="120"/>
      <c r="M1259" s="120"/>
    </row>
    <row r="1260">
      <c r="A1260" s="120"/>
      <c r="B1260" s="120"/>
      <c r="C1260" s="120"/>
      <c r="D1260" s="120"/>
      <c r="E1260" s="120"/>
      <c r="F1260" s="120"/>
      <c r="G1260" s="120"/>
      <c r="H1260" s="120"/>
      <c r="I1260" s="120"/>
      <c r="J1260" s="120"/>
      <c r="K1260" s="120"/>
      <c r="L1260" s="120"/>
      <c r="M1260" s="120"/>
    </row>
    <row r="1261">
      <c r="A1261" s="120"/>
      <c r="B1261" s="120"/>
      <c r="C1261" s="120"/>
      <c r="D1261" s="120"/>
      <c r="E1261" s="120"/>
      <c r="F1261" s="120"/>
      <c r="G1261" s="120"/>
      <c r="H1261" s="120"/>
      <c r="I1261" s="120"/>
      <c r="J1261" s="120"/>
      <c r="K1261" s="120"/>
      <c r="L1261" s="120"/>
      <c r="M1261" s="120"/>
    </row>
    <row r="1262">
      <c r="A1262" s="120"/>
      <c r="B1262" s="120"/>
      <c r="C1262" s="120"/>
      <c r="D1262" s="120"/>
      <c r="E1262" s="120"/>
      <c r="F1262" s="120"/>
      <c r="G1262" s="120"/>
      <c r="H1262" s="120"/>
      <c r="I1262" s="120"/>
      <c r="J1262" s="120"/>
      <c r="K1262" s="120"/>
      <c r="L1262" s="120"/>
      <c r="M1262" s="120"/>
    </row>
    <row r="1263">
      <c r="A1263" s="120"/>
      <c r="B1263" s="120"/>
      <c r="C1263" s="120"/>
      <c r="D1263" s="120"/>
      <c r="E1263" s="120"/>
      <c r="F1263" s="120"/>
      <c r="G1263" s="120"/>
      <c r="H1263" s="120"/>
      <c r="I1263" s="120"/>
      <c r="J1263" s="120"/>
      <c r="K1263" s="120"/>
      <c r="L1263" s="120"/>
      <c r="M1263" s="120"/>
    </row>
    <row r="1264">
      <c r="A1264" s="120"/>
      <c r="B1264" s="120"/>
      <c r="C1264" s="120"/>
      <c r="D1264" s="120"/>
      <c r="E1264" s="120"/>
      <c r="F1264" s="120"/>
      <c r="G1264" s="120"/>
      <c r="H1264" s="120"/>
      <c r="I1264" s="120"/>
      <c r="J1264" s="120"/>
      <c r="K1264" s="120"/>
      <c r="L1264" s="120"/>
      <c r="M1264" s="120"/>
    </row>
    <row r="1265">
      <c r="A1265" s="120"/>
      <c r="B1265" s="120"/>
      <c r="C1265" s="120"/>
      <c r="D1265" s="120"/>
      <c r="E1265" s="120"/>
      <c r="F1265" s="120"/>
      <c r="G1265" s="120"/>
      <c r="H1265" s="120"/>
      <c r="I1265" s="120"/>
      <c r="J1265" s="120"/>
      <c r="K1265" s="120"/>
      <c r="L1265" s="120"/>
      <c r="M1265" s="120"/>
    </row>
    <row r="1266">
      <c r="A1266" s="120"/>
      <c r="B1266" s="120"/>
      <c r="C1266" s="120"/>
      <c r="D1266" s="120"/>
      <c r="E1266" s="120"/>
      <c r="F1266" s="120"/>
      <c r="G1266" s="120"/>
      <c r="H1266" s="120"/>
      <c r="I1266" s="120"/>
      <c r="J1266" s="120"/>
      <c r="K1266" s="120"/>
      <c r="L1266" s="120"/>
      <c r="M1266" s="120"/>
    </row>
    <row r="1267">
      <c r="A1267" s="120"/>
      <c r="B1267" s="120"/>
      <c r="C1267" s="120"/>
      <c r="D1267" s="120"/>
      <c r="E1267" s="120"/>
      <c r="F1267" s="120"/>
      <c r="G1267" s="120"/>
      <c r="H1267" s="120"/>
      <c r="I1267" s="120"/>
      <c r="J1267" s="120"/>
      <c r="K1267" s="120"/>
      <c r="L1267" s="120"/>
      <c r="M1267" s="120"/>
    </row>
    <row r="1268">
      <c r="A1268" s="120"/>
      <c r="B1268" s="120"/>
      <c r="C1268" s="120"/>
      <c r="D1268" s="120"/>
      <c r="E1268" s="120"/>
      <c r="F1268" s="120"/>
      <c r="G1268" s="120"/>
      <c r="H1268" s="120"/>
      <c r="I1268" s="120"/>
      <c r="J1268" s="120"/>
      <c r="K1268" s="120"/>
      <c r="L1268" s="120"/>
      <c r="M1268" s="120"/>
    </row>
    <row r="1269">
      <c r="A1269" s="120"/>
      <c r="B1269" s="120"/>
      <c r="C1269" s="120"/>
      <c r="D1269" s="120"/>
      <c r="E1269" s="120"/>
      <c r="F1269" s="120"/>
      <c r="G1269" s="120"/>
      <c r="H1269" s="120"/>
      <c r="I1269" s="120"/>
      <c r="J1269" s="120"/>
      <c r="K1269" s="120"/>
      <c r="L1269" s="120"/>
      <c r="M1269" s="120"/>
    </row>
    <row r="1270">
      <c r="A1270" s="120"/>
      <c r="B1270" s="120"/>
      <c r="C1270" s="120"/>
      <c r="D1270" s="120"/>
      <c r="E1270" s="120"/>
      <c r="F1270" s="120"/>
      <c r="G1270" s="120"/>
      <c r="H1270" s="120"/>
      <c r="I1270" s="120"/>
      <c r="J1270" s="120"/>
      <c r="K1270" s="120"/>
      <c r="L1270" s="120"/>
      <c r="M1270" s="120"/>
    </row>
    <row r="1271">
      <c r="A1271" s="120"/>
      <c r="B1271" s="120"/>
      <c r="C1271" s="120"/>
      <c r="D1271" s="120"/>
      <c r="E1271" s="120"/>
      <c r="F1271" s="120"/>
      <c r="G1271" s="120"/>
      <c r="H1271" s="120"/>
      <c r="I1271" s="120"/>
      <c r="J1271" s="120"/>
      <c r="K1271" s="120"/>
      <c r="L1271" s="120"/>
      <c r="M1271" s="120"/>
    </row>
    <row r="1272">
      <c r="A1272" s="120"/>
      <c r="B1272" s="120"/>
      <c r="C1272" s="120"/>
      <c r="D1272" s="120"/>
      <c r="E1272" s="120"/>
      <c r="F1272" s="120"/>
      <c r="G1272" s="120"/>
      <c r="H1272" s="120"/>
      <c r="I1272" s="120"/>
      <c r="J1272" s="120"/>
      <c r="K1272" s="120"/>
      <c r="L1272" s="120"/>
      <c r="M1272" s="120"/>
    </row>
    <row r="1273">
      <c r="A1273" s="120"/>
      <c r="B1273" s="120"/>
      <c r="C1273" s="120"/>
      <c r="D1273" s="120"/>
      <c r="E1273" s="120"/>
      <c r="F1273" s="120"/>
      <c r="G1273" s="120"/>
      <c r="H1273" s="120"/>
      <c r="I1273" s="120"/>
      <c r="J1273" s="120"/>
      <c r="K1273" s="120"/>
      <c r="L1273" s="120"/>
      <c r="M1273" s="120"/>
    </row>
    <row r="1274">
      <c r="A1274" s="120"/>
      <c r="B1274" s="120"/>
      <c r="C1274" s="120"/>
      <c r="D1274" s="120"/>
      <c r="E1274" s="120"/>
      <c r="F1274" s="120"/>
      <c r="G1274" s="120"/>
      <c r="H1274" s="120"/>
      <c r="I1274" s="120"/>
      <c r="J1274" s="120"/>
      <c r="K1274" s="120"/>
      <c r="L1274" s="120"/>
      <c r="M1274" s="120"/>
    </row>
    <row r="1275">
      <c r="A1275" s="120"/>
      <c r="B1275" s="120"/>
      <c r="C1275" s="120"/>
      <c r="D1275" s="120"/>
      <c r="E1275" s="120"/>
      <c r="F1275" s="120"/>
      <c r="G1275" s="120"/>
      <c r="H1275" s="120"/>
      <c r="I1275" s="120"/>
      <c r="J1275" s="120"/>
      <c r="K1275" s="120"/>
      <c r="L1275" s="120"/>
      <c r="M1275" s="120"/>
    </row>
    <row r="1276">
      <c r="A1276" s="120"/>
      <c r="B1276" s="120"/>
      <c r="C1276" s="120"/>
      <c r="D1276" s="120"/>
      <c r="E1276" s="120"/>
      <c r="F1276" s="120"/>
      <c r="G1276" s="120"/>
      <c r="H1276" s="120"/>
      <c r="I1276" s="120"/>
      <c r="J1276" s="120"/>
      <c r="K1276" s="120"/>
      <c r="L1276" s="120"/>
      <c r="M1276" s="120"/>
    </row>
    <row r="1277">
      <c r="A1277" s="120"/>
      <c r="B1277" s="120"/>
      <c r="C1277" s="120"/>
      <c r="D1277" s="120"/>
      <c r="E1277" s="120"/>
      <c r="F1277" s="120"/>
      <c r="G1277" s="120"/>
      <c r="H1277" s="120"/>
      <c r="I1277" s="120"/>
      <c r="J1277" s="120"/>
      <c r="K1277" s="120"/>
      <c r="L1277" s="120"/>
      <c r="M1277" s="120"/>
    </row>
    <row r="1278">
      <c r="A1278" s="120"/>
      <c r="B1278" s="120"/>
      <c r="C1278" s="120"/>
      <c r="D1278" s="120"/>
      <c r="E1278" s="120"/>
      <c r="F1278" s="120"/>
      <c r="G1278" s="120"/>
      <c r="H1278" s="120"/>
      <c r="I1278" s="120"/>
      <c r="J1278" s="120"/>
      <c r="K1278" s="120"/>
      <c r="L1278" s="120"/>
      <c r="M1278" s="120"/>
    </row>
    <row r="1279">
      <c r="A1279" s="120"/>
      <c r="B1279" s="120"/>
      <c r="C1279" s="120"/>
      <c r="D1279" s="120"/>
      <c r="E1279" s="120"/>
      <c r="F1279" s="120"/>
      <c r="G1279" s="120"/>
      <c r="H1279" s="120"/>
      <c r="I1279" s="120"/>
      <c r="J1279" s="120"/>
      <c r="K1279" s="120"/>
      <c r="L1279" s="120"/>
      <c r="M1279" s="120"/>
    </row>
    <row r="1280">
      <c r="A1280" s="120"/>
      <c r="B1280" s="120"/>
      <c r="C1280" s="120"/>
      <c r="D1280" s="120"/>
      <c r="E1280" s="120"/>
      <c r="F1280" s="120"/>
      <c r="G1280" s="120"/>
      <c r="H1280" s="120"/>
      <c r="I1280" s="120"/>
      <c r="J1280" s="120"/>
      <c r="K1280" s="120"/>
      <c r="L1280" s="120"/>
      <c r="M1280" s="120"/>
    </row>
    <row r="1281">
      <c r="A1281" s="120"/>
      <c r="B1281" s="120"/>
      <c r="C1281" s="120"/>
      <c r="D1281" s="120"/>
      <c r="E1281" s="120"/>
      <c r="F1281" s="120"/>
      <c r="G1281" s="120"/>
      <c r="H1281" s="120"/>
      <c r="I1281" s="120"/>
      <c r="J1281" s="120"/>
      <c r="K1281" s="120"/>
      <c r="L1281" s="120"/>
      <c r="M1281" s="120"/>
    </row>
    <row r="1282">
      <c r="A1282" s="120"/>
      <c r="B1282" s="120"/>
      <c r="C1282" s="120"/>
      <c r="D1282" s="120"/>
      <c r="E1282" s="120"/>
      <c r="F1282" s="120"/>
      <c r="G1282" s="120"/>
      <c r="H1282" s="120"/>
      <c r="I1282" s="120"/>
      <c r="J1282" s="120"/>
      <c r="K1282" s="120"/>
      <c r="L1282" s="120"/>
      <c r="M1282" s="120"/>
    </row>
    <row r="1283">
      <c r="A1283" s="120"/>
      <c r="B1283" s="120"/>
      <c r="C1283" s="120"/>
      <c r="D1283" s="120"/>
      <c r="E1283" s="120"/>
      <c r="F1283" s="120"/>
      <c r="G1283" s="120"/>
      <c r="H1283" s="120"/>
      <c r="I1283" s="120"/>
      <c r="J1283" s="120"/>
      <c r="K1283" s="120"/>
      <c r="L1283" s="120"/>
      <c r="M1283" s="120"/>
    </row>
    <row r="1284">
      <c r="A1284" s="120"/>
      <c r="B1284" s="120"/>
      <c r="C1284" s="120"/>
      <c r="D1284" s="120"/>
      <c r="E1284" s="120"/>
      <c r="F1284" s="120"/>
      <c r="G1284" s="120"/>
      <c r="H1284" s="120"/>
      <c r="I1284" s="120"/>
      <c r="J1284" s="120"/>
      <c r="K1284" s="120"/>
      <c r="L1284" s="120"/>
      <c r="M1284" s="120"/>
    </row>
    <row r="1285">
      <c r="A1285" s="120"/>
      <c r="B1285" s="120"/>
      <c r="C1285" s="120"/>
      <c r="D1285" s="120"/>
      <c r="E1285" s="120"/>
      <c r="F1285" s="120"/>
      <c r="G1285" s="120"/>
      <c r="H1285" s="120"/>
      <c r="I1285" s="120"/>
      <c r="J1285" s="120"/>
      <c r="K1285" s="120"/>
      <c r="L1285" s="120"/>
      <c r="M1285" s="120"/>
    </row>
    <row r="1286">
      <c r="A1286" s="120"/>
      <c r="B1286" s="120"/>
      <c r="C1286" s="120"/>
      <c r="D1286" s="120"/>
      <c r="E1286" s="120"/>
      <c r="F1286" s="120"/>
      <c r="G1286" s="120"/>
      <c r="H1286" s="120"/>
      <c r="I1286" s="120"/>
      <c r="J1286" s="120"/>
      <c r="K1286" s="120"/>
      <c r="L1286" s="120"/>
      <c r="M1286" s="120"/>
    </row>
    <row r="1287">
      <c r="A1287" s="120"/>
      <c r="B1287" s="120"/>
      <c r="C1287" s="120"/>
      <c r="D1287" s="120"/>
      <c r="E1287" s="120"/>
      <c r="F1287" s="120"/>
      <c r="G1287" s="120"/>
      <c r="H1287" s="120"/>
      <c r="I1287" s="120"/>
      <c r="J1287" s="120"/>
      <c r="K1287" s="120"/>
      <c r="L1287" s="120"/>
      <c r="M1287" s="120"/>
    </row>
    <row r="1288">
      <c r="A1288" s="120"/>
      <c r="B1288" s="120"/>
      <c r="C1288" s="120"/>
      <c r="D1288" s="120"/>
      <c r="E1288" s="120"/>
      <c r="F1288" s="120"/>
      <c r="G1288" s="120"/>
      <c r="H1288" s="120"/>
      <c r="I1288" s="120"/>
      <c r="J1288" s="120"/>
      <c r="K1288" s="120"/>
      <c r="L1288" s="120"/>
      <c r="M1288" s="120"/>
    </row>
    <row r="1289">
      <c r="A1289" s="120"/>
      <c r="B1289" s="120"/>
      <c r="C1289" s="120"/>
      <c r="D1289" s="120"/>
      <c r="E1289" s="120"/>
      <c r="F1289" s="120"/>
      <c r="G1289" s="120"/>
      <c r="H1289" s="120"/>
      <c r="I1289" s="120"/>
      <c r="J1289" s="120"/>
      <c r="K1289" s="120"/>
      <c r="L1289" s="120"/>
      <c r="M1289" s="120"/>
    </row>
    <row r="1290">
      <c r="A1290" s="120"/>
      <c r="B1290" s="120"/>
      <c r="C1290" s="120"/>
      <c r="D1290" s="120"/>
      <c r="E1290" s="120"/>
      <c r="F1290" s="120"/>
      <c r="G1290" s="120"/>
      <c r="H1290" s="120"/>
      <c r="I1290" s="120"/>
      <c r="J1290" s="120"/>
      <c r="K1290" s="120"/>
      <c r="L1290" s="120"/>
      <c r="M1290" s="120"/>
    </row>
    <row r="1291">
      <c r="A1291" s="120"/>
      <c r="B1291" s="120"/>
      <c r="C1291" s="120"/>
      <c r="D1291" s="120"/>
      <c r="E1291" s="120"/>
      <c r="F1291" s="120"/>
      <c r="G1291" s="120"/>
      <c r="H1291" s="120"/>
      <c r="I1291" s="120"/>
      <c r="J1291" s="120"/>
      <c r="K1291" s="120"/>
      <c r="L1291" s="120"/>
      <c r="M1291" s="120"/>
    </row>
    <row r="1292">
      <c r="A1292" s="120"/>
      <c r="B1292" s="120"/>
      <c r="C1292" s="120"/>
      <c r="D1292" s="120"/>
      <c r="E1292" s="120"/>
      <c r="F1292" s="120"/>
      <c r="G1292" s="120"/>
      <c r="H1292" s="120"/>
      <c r="I1292" s="120"/>
      <c r="J1292" s="120"/>
      <c r="K1292" s="120"/>
      <c r="L1292" s="120"/>
      <c r="M1292" s="120"/>
    </row>
    <row r="1293">
      <c r="A1293" s="120"/>
      <c r="B1293" s="120"/>
      <c r="C1293" s="120"/>
      <c r="D1293" s="120"/>
      <c r="E1293" s="120"/>
      <c r="F1293" s="120"/>
      <c r="G1293" s="120"/>
      <c r="H1293" s="120"/>
      <c r="I1293" s="120"/>
      <c r="J1293" s="120"/>
      <c r="K1293" s="120"/>
      <c r="L1293" s="120"/>
      <c r="M1293" s="120"/>
    </row>
    <row r="1294">
      <c r="A1294" s="120"/>
      <c r="B1294" s="120"/>
      <c r="C1294" s="120"/>
      <c r="D1294" s="120"/>
      <c r="E1294" s="120"/>
      <c r="F1294" s="120"/>
      <c r="G1294" s="120"/>
      <c r="H1294" s="120"/>
      <c r="I1294" s="120"/>
      <c r="J1294" s="120"/>
      <c r="K1294" s="120"/>
      <c r="L1294" s="120"/>
      <c r="M1294" s="120"/>
    </row>
    <row r="1295">
      <c r="A1295" s="120"/>
      <c r="B1295" s="120"/>
      <c r="C1295" s="120"/>
      <c r="D1295" s="120"/>
      <c r="E1295" s="120"/>
      <c r="F1295" s="120"/>
      <c r="G1295" s="120"/>
      <c r="H1295" s="120"/>
      <c r="I1295" s="120"/>
      <c r="J1295" s="120"/>
      <c r="K1295" s="120"/>
      <c r="L1295" s="120"/>
      <c r="M1295" s="120"/>
    </row>
    <row r="1296">
      <c r="A1296" s="120"/>
      <c r="B1296" s="120"/>
      <c r="C1296" s="120"/>
      <c r="D1296" s="120"/>
      <c r="E1296" s="120"/>
      <c r="F1296" s="120"/>
      <c r="G1296" s="120"/>
      <c r="H1296" s="120"/>
      <c r="I1296" s="120"/>
      <c r="J1296" s="120"/>
      <c r="K1296" s="120"/>
      <c r="L1296" s="120"/>
      <c r="M1296" s="120"/>
    </row>
    <row r="1297">
      <c r="A1297" s="120"/>
      <c r="B1297" s="120"/>
      <c r="C1297" s="120"/>
      <c r="D1297" s="120"/>
      <c r="E1297" s="120"/>
      <c r="F1297" s="120"/>
      <c r="G1297" s="120"/>
      <c r="H1297" s="120"/>
      <c r="I1297" s="120"/>
      <c r="J1297" s="120"/>
      <c r="K1297" s="120"/>
      <c r="L1297" s="120"/>
      <c r="M1297" s="120"/>
    </row>
    <row r="1298">
      <c r="A1298" s="120"/>
      <c r="B1298" s="120"/>
      <c r="C1298" s="120"/>
      <c r="D1298" s="120"/>
      <c r="E1298" s="120"/>
      <c r="F1298" s="120"/>
      <c r="G1298" s="120"/>
      <c r="H1298" s="120"/>
      <c r="I1298" s="120"/>
      <c r="J1298" s="120"/>
      <c r="K1298" s="120"/>
      <c r="L1298" s="120"/>
      <c r="M1298" s="120"/>
    </row>
    <row r="1299">
      <c r="A1299" s="120"/>
      <c r="B1299" s="120"/>
      <c r="C1299" s="120"/>
      <c r="D1299" s="120"/>
      <c r="E1299" s="120"/>
      <c r="F1299" s="120"/>
      <c r="G1299" s="120"/>
      <c r="H1299" s="120"/>
      <c r="I1299" s="120"/>
      <c r="J1299" s="120"/>
      <c r="K1299" s="120"/>
      <c r="L1299" s="120"/>
      <c r="M1299" s="120"/>
    </row>
    <row r="1300">
      <c r="A1300" s="120"/>
      <c r="B1300" s="120"/>
      <c r="C1300" s="120"/>
      <c r="D1300" s="120"/>
      <c r="E1300" s="120"/>
      <c r="F1300" s="120"/>
      <c r="G1300" s="120"/>
      <c r="H1300" s="120"/>
      <c r="I1300" s="120"/>
      <c r="J1300" s="120"/>
      <c r="K1300" s="120"/>
      <c r="L1300" s="120"/>
      <c r="M1300" s="120"/>
    </row>
    <row r="1301">
      <c r="A1301" s="120"/>
      <c r="B1301" s="120"/>
      <c r="C1301" s="120"/>
      <c r="D1301" s="120"/>
      <c r="E1301" s="120"/>
      <c r="F1301" s="120"/>
      <c r="G1301" s="120"/>
      <c r="H1301" s="120"/>
      <c r="I1301" s="120"/>
      <c r="J1301" s="120"/>
      <c r="K1301" s="120"/>
      <c r="L1301" s="120"/>
      <c r="M1301" s="120"/>
    </row>
    <row r="1302">
      <c r="A1302" s="120"/>
      <c r="B1302" s="120"/>
      <c r="C1302" s="120"/>
      <c r="D1302" s="120"/>
      <c r="E1302" s="120"/>
      <c r="F1302" s="120"/>
      <c r="G1302" s="120"/>
      <c r="H1302" s="120"/>
      <c r="I1302" s="120"/>
      <c r="J1302" s="120"/>
      <c r="K1302" s="120"/>
      <c r="L1302" s="120"/>
      <c r="M1302" s="120"/>
    </row>
    <row r="1303">
      <c r="A1303" s="120"/>
      <c r="B1303" s="120"/>
      <c r="C1303" s="120"/>
      <c r="D1303" s="120"/>
      <c r="E1303" s="120"/>
      <c r="F1303" s="120"/>
      <c r="G1303" s="120"/>
      <c r="H1303" s="120"/>
      <c r="I1303" s="120"/>
      <c r="J1303" s="120"/>
      <c r="K1303" s="120"/>
      <c r="L1303" s="120"/>
      <c r="M1303" s="120"/>
    </row>
    <row r="1304">
      <c r="A1304" s="120"/>
      <c r="B1304" s="120"/>
      <c r="C1304" s="120"/>
      <c r="D1304" s="120"/>
      <c r="E1304" s="120"/>
      <c r="F1304" s="120"/>
      <c r="G1304" s="120"/>
      <c r="H1304" s="120"/>
      <c r="I1304" s="120"/>
      <c r="J1304" s="120"/>
      <c r="K1304" s="120"/>
      <c r="L1304" s="120"/>
      <c r="M1304" s="120"/>
    </row>
    <row r="1305">
      <c r="A1305" s="120"/>
      <c r="B1305" s="120"/>
      <c r="C1305" s="120"/>
      <c r="D1305" s="120"/>
      <c r="E1305" s="120"/>
      <c r="F1305" s="120"/>
      <c r="G1305" s="120"/>
      <c r="H1305" s="120"/>
      <c r="I1305" s="120"/>
      <c r="J1305" s="120"/>
      <c r="K1305" s="120"/>
      <c r="L1305" s="120"/>
      <c r="M1305" s="120"/>
    </row>
    <row r="1306">
      <c r="A1306" s="120"/>
      <c r="B1306" s="120"/>
      <c r="C1306" s="120"/>
      <c r="D1306" s="120"/>
      <c r="E1306" s="120"/>
      <c r="F1306" s="120"/>
      <c r="G1306" s="120"/>
      <c r="H1306" s="120"/>
      <c r="I1306" s="120"/>
      <c r="J1306" s="120"/>
      <c r="K1306" s="120"/>
      <c r="L1306" s="120"/>
      <c r="M1306" s="120"/>
    </row>
    <row r="1307">
      <c r="A1307" s="120"/>
      <c r="B1307" s="120"/>
      <c r="C1307" s="120"/>
      <c r="D1307" s="120"/>
      <c r="E1307" s="120"/>
      <c r="F1307" s="120"/>
      <c r="G1307" s="120"/>
      <c r="H1307" s="120"/>
      <c r="I1307" s="120"/>
      <c r="J1307" s="120"/>
      <c r="K1307" s="120"/>
      <c r="L1307" s="120"/>
      <c r="M1307" s="120"/>
    </row>
    <row r="1308">
      <c r="A1308" s="120"/>
      <c r="B1308" s="120"/>
      <c r="C1308" s="120"/>
      <c r="D1308" s="120"/>
      <c r="E1308" s="120"/>
      <c r="F1308" s="120"/>
      <c r="G1308" s="120"/>
      <c r="H1308" s="120"/>
      <c r="I1308" s="120"/>
      <c r="J1308" s="120"/>
      <c r="K1308" s="120"/>
      <c r="L1308" s="120"/>
      <c r="M1308" s="120"/>
    </row>
    <row r="1309">
      <c r="A1309" s="120"/>
      <c r="B1309" s="120"/>
      <c r="C1309" s="120"/>
      <c r="D1309" s="120"/>
      <c r="E1309" s="120"/>
      <c r="F1309" s="120"/>
      <c r="G1309" s="120"/>
      <c r="H1309" s="120"/>
      <c r="I1309" s="120"/>
      <c r="J1309" s="120"/>
      <c r="K1309" s="120"/>
      <c r="L1309" s="120"/>
      <c r="M1309" s="120"/>
    </row>
    <row r="1310">
      <c r="A1310" s="120"/>
      <c r="B1310" s="120"/>
      <c r="C1310" s="120"/>
      <c r="D1310" s="120"/>
      <c r="E1310" s="120"/>
      <c r="F1310" s="120"/>
      <c r="G1310" s="120"/>
      <c r="H1310" s="120"/>
      <c r="I1310" s="120"/>
      <c r="J1310" s="120"/>
      <c r="K1310" s="120"/>
      <c r="L1310" s="120"/>
      <c r="M1310" s="120"/>
    </row>
    <row r="1311">
      <c r="A1311" s="120"/>
      <c r="B1311" s="120"/>
      <c r="C1311" s="120"/>
      <c r="D1311" s="120"/>
      <c r="E1311" s="120"/>
      <c r="F1311" s="120"/>
      <c r="G1311" s="120"/>
      <c r="H1311" s="120"/>
      <c r="I1311" s="120"/>
      <c r="J1311" s="120"/>
      <c r="K1311" s="120"/>
      <c r="L1311" s="120"/>
      <c r="M1311" s="120"/>
    </row>
    <row r="1312">
      <c r="A1312" s="120"/>
      <c r="B1312" s="120"/>
      <c r="C1312" s="120"/>
      <c r="D1312" s="120"/>
      <c r="E1312" s="120"/>
      <c r="F1312" s="120"/>
      <c r="G1312" s="120"/>
      <c r="H1312" s="120"/>
      <c r="I1312" s="120"/>
      <c r="J1312" s="120"/>
      <c r="K1312" s="120"/>
      <c r="L1312" s="120"/>
      <c r="M1312" s="120"/>
    </row>
    <row r="1313">
      <c r="A1313" s="120"/>
      <c r="B1313" s="120"/>
      <c r="C1313" s="120"/>
      <c r="D1313" s="120"/>
      <c r="E1313" s="120"/>
      <c r="F1313" s="120"/>
      <c r="G1313" s="120"/>
      <c r="H1313" s="120"/>
      <c r="I1313" s="120"/>
      <c r="J1313" s="120"/>
      <c r="K1313" s="120"/>
      <c r="L1313" s="120"/>
      <c r="M1313" s="120"/>
    </row>
    <row r="1314">
      <c r="A1314" s="120"/>
      <c r="B1314" s="120"/>
      <c r="C1314" s="120"/>
      <c r="D1314" s="120"/>
      <c r="E1314" s="120"/>
      <c r="F1314" s="120"/>
      <c r="G1314" s="120"/>
      <c r="H1314" s="120"/>
      <c r="I1314" s="120"/>
      <c r="J1314" s="120"/>
      <c r="K1314" s="120"/>
      <c r="L1314" s="120"/>
      <c r="M1314" s="120"/>
    </row>
    <row r="1315">
      <c r="A1315" s="120"/>
      <c r="B1315" s="120"/>
      <c r="C1315" s="120"/>
      <c r="D1315" s="120"/>
      <c r="E1315" s="120"/>
      <c r="F1315" s="120"/>
      <c r="G1315" s="120"/>
      <c r="H1315" s="120"/>
      <c r="I1315" s="120"/>
      <c r="J1315" s="120"/>
      <c r="K1315" s="120"/>
      <c r="L1315" s="120"/>
      <c r="M1315" s="120"/>
    </row>
    <row r="1316">
      <c r="A1316" s="120"/>
      <c r="B1316" s="120"/>
      <c r="C1316" s="120"/>
      <c r="D1316" s="120"/>
      <c r="E1316" s="120"/>
      <c r="F1316" s="120"/>
      <c r="G1316" s="120"/>
      <c r="H1316" s="120"/>
      <c r="I1316" s="120"/>
      <c r="J1316" s="120"/>
      <c r="K1316" s="120"/>
      <c r="L1316" s="120"/>
      <c r="M1316" s="120"/>
    </row>
    <row r="1317">
      <c r="A1317" s="120"/>
      <c r="B1317" s="120"/>
      <c r="C1317" s="120"/>
      <c r="D1317" s="120"/>
      <c r="E1317" s="120"/>
      <c r="F1317" s="120"/>
      <c r="G1317" s="120"/>
      <c r="H1317" s="120"/>
      <c r="I1317" s="120"/>
      <c r="J1317" s="120"/>
      <c r="K1317" s="120"/>
      <c r="L1317" s="120"/>
      <c r="M1317" s="120"/>
    </row>
    <row r="1318">
      <c r="A1318" s="120"/>
      <c r="B1318" s="120"/>
      <c r="C1318" s="120"/>
      <c r="D1318" s="120"/>
      <c r="E1318" s="120"/>
      <c r="F1318" s="120"/>
      <c r="G1318" s="120"/>
      <c r="H1318" s="120"/>
      <c r="I1318" s="120"/>
      <c r="J1318" s="120"/>
      <c r="K1318" s="120"/>
      <c r="L1318" s="120"/>
      <c r="M1318" s="120"/>
    </row>
    <row r="1319">
      <c r="A1319" s="120"/>
      <c r="B1319" s="120"/>
      <c r="C1319" s="120"/>
      <c r="D1319" s="120"/>
      <c r="E1319" s="120"/>
      <c r="F1319" s="120"/>
      <c r="G1319" s="120"/>
      <c r="H1319" s="120"/>
      <c r="I1319" s="120"/>
      <c r="J1319" s="120"/>
      <c r="K1319" s="120"/>
      <c r="L1319" s="120"/>
      <c r="M1319" s="120"/>
    </row>
    <row r="1320">
      <c r="A1320" s="120"/>
      <c r="B1320" s="120"/>
      <c r="C1320" s="120"/>
      <c r="D1320" s="120"/>
      <c r="E1320" s="120"/>
      <c r="F1320" s="120"/>
      <c r="G1320" s="120"/>
      <c r="H1320" s="120"/>
      <c r="I1320" s="120"/>
      <c r="J1320" s="120"/>
      <c r="K1320" s="120"/>
      <c r="L1320" s="120"/>
      <c r="M1320" s="120"/>
    </row>
    <row r="1321">
      <c r="A1321" s="120"/>
      <c r="B1321" s="120"/>
      <c r="C1321" s="120"/>
      <c r="D1321" s="120"/>
      <c r="E1321" s="120"/>
      <c r="F1321" s="120"/>
      <c r="G1321" s="120"/>
      <c r="H1321" s="120"/>
      <c r="I1321" s="120"/>
      <c r="J1321" s="120"/>
      <c r="K1321" s="120"/>
      <c r="L1321" s="120"/>
      <c r="M1321" s="120"/>
    </row>
    <row r="1322">
      <c r="A1322" s="120"/>
      <c r="B1322" s="120"/>
      <c r="C1322" s="120"/>
      <c r="D1322" s="120"/>
      <c r="E1322" s="120"/>
      <c r="F1322" s="120"/>
      <c r="G1322" s="120"/>
      <c r="H1322" s="120"/>
      <c r="I1322" s="120"/>
      <c r="J1322" s="120"/>
      <c r="K1322" s="120"/>
      <c r="L1322" s="120"/>
      <c r="M1322" s="120"/>
    </row>
    <row r="1323">
      <c r="A1323" s="120"/>
      <c r="B1323" s="120"/>
      <c r="C1323" s="120"/>
      <c r="D1323" s="120"/>
      <c r="E1323" s="120"/>
      <c r="F1323" s="120"/>
      <c r="G1323" s="120"/>
      <c r="H1323" s="120"/>
      <c r="I1323" s="120"/>
      <c r="J1323" s="120"/>
      <c r="K1323" s="120"/>
      <c r="L1323" s="120"/>
      <c r="M1323" s="120"/>
    </row>
    <row r="1324">
      <c r="A1324" s="120"/>
      <c r="B1324" s="120"/>
      <c r="C1324" s="120"/>
      <c r="D1324" s="120"/>
      <c r="E1324" s="120"/>
      <c r="F1324" s="120"/>
      <c r="G1324" s="120"/>
      <c r="H1324" s="120"/>
      <c r="I1324" s="120"/>
      <c r="J1324" s="120"/>
      <c r="K1324" s="120"/>
      <c r="L1324" s="120"/>
      <c r="M1324" s="120"/>
    </row>
    <row r="1325">
      <c r="A1325" s="120"/>
      <c r="B1325" s="120"/>
      <c r="C1325" s="120"/>
      <c r="D1325" s="120"/>
      <c r="E1325" s="120"/>
      <c r="F1325" s="120"/>
      <c r="G1325" s="120"/>
      <c r="H1325" s="120"/>
      <c r="I1325" s="120"/>
      <c r="J1325" s="120"/>
      <c r="K1325" s="120"/>
      <c r="L1325" s="120"/>
      <c r="M1325" s="120"/>
    </row>
    <row r="1326">
      <c r="A1326" s="120"/>
      <c r="B1326" s="120"/>
      <c r="C1326" s="120"/>
      <c r="D1326" s="120"/>
      <c r="E1326" s="120"/>
      <c r="F1326" s="120"/>
      <c r="G1326" s="120"/>
      <c r="H1326" s="120"/>
      <c r="I1326" s="120"/>
      <c r="J1326" s="120"/>
      <c r="K1326" s="120"/>
      <c r="L1326" s="120"/>
      <c r="M1326" s="120"/>
    </row>
    <row r="1327">
      <c r="A1327" s="120"/>
      <c r="B1327" s="120"/>
      <c r="C1327" s="120"/>
      <c r="D1327" s="120"/>
      <c r="E1327" s="120"/>
      <c r="F1327" s="120"/>
      <c r="G1327" s="120"/>
      <c r="H1327" s="120"/>
      <c r="I1327" s="120"/>
      <c r="J1327" s="120"/>
      <c r="K1327" s="120"/>
      <c r="L1327" s="120"/>
      <c r="M1327" s="120"/>
    </row>
    <row r="1328">
      <c r="A1328" s="120"/>
      <c r="B1328" s="120"/>
      <c r="C1328" s="120"/>
      <c r="D1328" s="120"/>
      <c r="E1328" s="120"/>
      <c r="F1328" s="120"/>
      <c r="G1328" s="120"/>
      <c r="H1328" s="120"/>
      <c r="I1328" s="120"/>
      <c r="J1328" s="120"/>
      <c r="K1328" s="120"/>
      <c r="L1328" s="120"/>
      <c r="M1328" s="120"/>
    </row>
    <row r="1329">
      <c r="A1329" s="120"/>
      <c r="B1329" s="120"/>
      <c r="C1329" s="120"/>
      <c r="D1329" s="120"/>
      <c r="E1329" s="120"/>
      <c r="F1329" s="120"/>
      <c r="G1329" s="120"/>
      <c r="H1329" s="120"/>
      <c r="I1329" s="120"/>
      <c r="J1329" s="120"/>
      <c r="K1329" s="120"/>
      <c r="L1329" s="120"/>
      <c r="M1329" s="120"/>
    </row>
    <row r="1330">
      <c r="A1330" s="120"/>
      <c r="B1330" s="120"/>
      <c r="C1330" s="120"/>
      <c r="D1330" s="120"/>
      <c r="E1330" s="120"/>
      <c r="F1330" s="120"/>
      <c r="G1330" s="120"/>
      <c r="H1330" s="120"/>
      <c r="I1330" s="120"/>
      <c r="J1330" s="120"/>
      <c r="K1330" s="120"/>
      <c r="L1330" s="120"/>
      <c r="M1330" s="120"/>
    </row>
    <row r="1331">
      <c r="A1331" s="120"/>
      <c r="B1331" s="120"/>
      <c r="C1331" s="120"/>
      <c r="D1331" s="120"/>
      <c r="E1331" s="120"/>
      <c r="F1331" s="120"/>
      <c r="G1331" s="120"/>
      <c r="H1331" s="120"/>
      <c r="I1331" s="120"/>
      <c r="J1331" s="120"/>
      <c r="K1331" s="120"/>
      <c r="L1331" s="120"/>
      <c r="M1331" s="120"/>
    </row>
    <row r="1332">
      <c r="A1332" s="120"/>
      <c r="B1332" s="120"/>
      <c r="C1332" s="120"/>
      <c r="D1332" s="120"/>
      <c r="E1332" s="120"/>
      <c r="F1332" s="120"/>
      <c r="G1332" s="120"/>
      <c r="H1332" s="120"/>
      <c r="I1332" s="120"/>
      <c r="J1332" s="120"/>
      <c r="K1332" s="120"/>
      <c r="L1332" s="120"/>
      <c r="M1332" s="120"/>
    </row>
    <row r="1333">
      <c r="A1333" s="120"/>
      <c r="B1333" s="120"/>
      <c r="C1333" s="120"/>
      <c r="D1333" s="120"/>
      <c r="E1333" s="120"/>
      <c r="F1333" s="120"/>
      <c r="G1333" s="120"/>
      <c r="H1333" s="120"/>
      <c r="I1333" s="120"/>
      <c r="J1333" s="120"/>
      <c r="K1333" s="120"/>
      <c r="L1333" s="120"/>
      <c r="M1333" s="120"/>
    </row>
    <row r="1334">
      <c r="A1334" s="120"/>
      <c r="B1334" s="120"/>
      <c r="C1334" s="120"/>
      <c r="D1334" s="120"/>
      <c r="E1334" s="120"/>
      <c r="F1334" s="120"/>
      <c r="G1334" s="120"/>
      <c r="H1334" s="120"/>
      <c r="I1334" s="120"/>
      <c r="J1334" s="120"/>
      <c r="K1334" s="120"/>
      <c r="L1334" s="120"/>
      <c r="M1334" s="120"/>
    </row>
    <row r="1335">
      <c r="A1335" s="120"/>
      <c r="B1335" s="120"/>
      <c r="C1335" s="120"/>
      <c r="D1335" s="120"/>
      <c r="E1335" s="120"/>
      <c r="F1335" s="120"/>
      <c r="G1335" s="120"/>
      <c r="H1335" s="120"/>
      <c r="I1335" s="120"/>
      <c r="J1335" s="120"/>
      <c r="K1335" s="120"/>
      <c r="L1335" s="120"/>
      <c r="M1335" s="120"/>
    </row>
    <row r="1336">
      <c r="A1336" s="120"/>
      <c r="B1336" s="120"/>
      <c r="C1336" s="120"/>
      <c r="D1336" s="120"/>
      <c r="E1336" s="120"/>
      <c r="F1336" s="120"/>
      <c r="G1336" s="120"/>
      <c r="H1336" s="120"/>
      <c r="I1336" s="120"/>
      <c r="J1336" s="120"/>
      <c r="K1336" s="120"/>
      <c r="L1336" s="120"/>
      <c r="M1336" s="120"/>
    </row>
    <row r="1337">
      <c r="A1337" s="120"/>
      <c r="B1337" s="120"/>
      <c r="C1337" s="120"/>
      <c r="D1337" s="120"/>
      <c r="E1337" s="120"/>
      <c r="F1337" s="120"/>
      <c r="G1337" s="120"/>
      <c r="H1337" s="120"/>
      <c r="I1337" s="120"/>
      <c r="J1337" s="120"/>
      <c r="K1337" s="120"/>
      <c r="L1337" s="120"/>
      <c r="M1337" s="120"/>
    </row>
    <row r="1338">
      <c r="A1338" s="120"/>
      <c r="B1338" s="120"/>
      <c r="C1338" s="120"/>
      <c r="D1338" s="120"/>
      <c r="E1338" s="120"/>
      <c r="F1338" s="120"/>
      <c r="G1338" s="120"/>
      <c r="H1338" s="120"/>
      <c r="I1338" s="120"/>
      <c r="J1338" s="120"/>
      <c r="K1338" s="120"/>
      <c r="L1338" s="120"/>
      <c r="M1338" s="120"/>
    </row>
    <row r="1339">
      <c r="A1339" s="120"/>
      <c r="B1339" s="120"/>
      <c r="C1339" s="120"/>
      <c r="D1339" s="120"/>
      <c r="E1339" s="120"/>
      <c r="F1339" s="120"/>
      <c r="G1339" s="120"/>
      <c r="H1339" s="120"/>
      <c r="I1339" s="120"/>
      <c r="J1339" s="120"/>
      <c r="K1339" s="120"/>
      <c r="L1339" s="120"/>
      <c r="M1339" s="120"/>
    </row>
    <row r="1340">
      <c r="A1340" s="120"/>
      <c r="B1340" s="120"/>
      <c r="C1340" s="120"/>
      <c r="D1340" s="120"/>
      <c r="E1340" s="120"/>
      <c r="F1340" s="120"/>
      <c r="G1340" s="120"/>
      <c r="H1340" s="120"/>
      <c r="I1340" s="120"/>
      <c r="J1340" s="120"/>
      <c r="K1340" s="120"/>
      <c r="L1340" s="120"/>
      <c r="M1340" s="120"/>
    </row>
    <row r="1341">
      <c r="A1341" s="120"/>
      <c r="B1341" s="120"/>
      <c r="C1341" s="120"/>
      <c r="D1341" s="120"/>
      <c r="E1341" s="120"/>
      <c r="F1341" s="120"/>
      <c r="G1341" s="120"/>
      <c r="H1341" s="120"/>
      <c r="I1341" s="120"/>
      <c r="J1341" s="120"/>
      <c r="K1341" s="120"/>
      <c r="L1341" s="120"/>
      <c r="M1341" s="120"/>
    </row>
    <row r="1342">
      <c r="A1342" s="120"/>
      <c r="B1342" s="120"/>
      <c r="C1342" s="120"/>
      <c r="D1342" s="120"/>
      <c r="E1342" s="120"/>
      <c r="F1342" s="120"/>
      <c r="G1342" s="120"/>
      <c r="H1342" s="120"/>
      <c r="I1342" s="120"/>
      <c r="J1342" s="120"/>
      <c r="K1342" s="120"/>
      <c r="L1342" s="120"/>
      <c r="M1342" s="120"/>
    </row>
    <row r="1343">
      <c r="A1343" s="120"/>
      <c r="B1343" s="120"/>
      <c r="C1343" s="120"/>
      <c r="D1343" s="120"/>
      <c r="E1343" s="120"/>
      <c r="F1343" s="120"/>
      <c r="G1343" s="120"/>
      <c r="H1343" s="120"/>
      <c r="I1343" s="120"/>
      <c r="J1343" s="120"/>
      <c r="K1343" s="120"/>
      <c r="L1343" s="120"/>
      <c r="M1343" s="120"/>
    </row>
    <row r="1344">
      <c r="A1344" s="120"/>
      <c r="B1344" s="120"/>
      <c r="C1344" s="120"/>
      <c r="D1344" s="120"/>
      <c r="E1344" s="120"/>
      <c r="F1344" s="120"/>
      <c r="G1344" s="120"/>
      <c r="H1344" s="120"/>
      <c r="I1344" s="120"/>
      <c r="J1344" s="120"/>
      <c r="K1344" s="120"/>
      <c r="L1344" s="120"/>
      <c r="M1344" s="120"/>
    </row>
    <row r="1345">
      <c r="A1345" s="120"/>
      <c r="B1345" s="120"/>
      <c r="C1345" s="120"/>
      <c r="D1345" s="120"/>
      <c r="E1345" s="120"/>
      <c r="F1345" s="120"/>
      <c r="G1345" s="120"/>
      <c r="H1345" s="120"/>
      <c r="I1345" s="120"/>
      <c r="J1345" s="120"/>
      <c r="K1345" s="120"/>
      <c r="L1345" s="120"/>
      <c r="M1345" s="120"/>
    </row>
    <row r="1346">
      <c r="A1346" s="120"/>
      <c r="B1346" s="120"/>
      <c r="C1346" s="120"/>
      <c r="D1346" s="120"/>
      <c r="E1346" s="120"/>
      <c r="F1346" s="120"/>
      <c r="G1346" s="120"/>
      <c r="H1346" s="120"/>
      <c r="I1346" s="120"/>
      <c r="J1346" s="120"/>
      <c r="K1346" s="120"/>
      <c r="L1346" s="120"/>
      <c r="M1346" s="120"/>
    </row>
    <row r="1347">
      <c r="A1347" s="120"/>
      <c r="B1347" s="120"/>
      <c r="C1347" s="120"/>
      <c r="D1347" s="120"/>
      <c r="E1347" s="120"/>
      <c r="F1347" s="120"/>
      <c r="G1347" s="120"/>
      <c r="H1347" s="120"/>
      <c r="I1347" s="120"/>
      <c r="J1347" s="120"/>
      <c r="K1347" s="120"/>
      <c r="L1347" s="120"/>
      <c r="M1347" s="120"/>
    </row>
    <row r="1348">
      <c r="A1348" s="120"/>
      <c r="B1348" s="120"/>
      <c r="C1348" s="120"/>
      <c r="D1348" s="120"/>
      <c r="E1348" s="120"/>
      <c r="F1348" s="120"/>
      <c r="G1348" s="120"/>
      <c r="H1348" s="120"/>
      <c r="I1348" s="120"/>
      <c r="J1348" s="120"/>
      <c r="K1348" s="120"/>
      <c r="L1348" s="120"/>
      <c r="M1348" s="120"/>
    </row>
    <row r="1349">
      <c r="A1349" s="120"/>
      <c r="B1349" s="120"/>
      <c r="C1349" s="120"/>
      <c r="D1349" s="120"/>
      <c r="E1349" s="120"/>
      <c r="F1349" s="120"/>
      <c r="G1349" s="120"/>
      <c r="H1349" s="120"/>
      <c r="I1349" s="120"/>
      <c r="J1349" s="120"/>
      <c r="K1349" s="120"/>
      <c r="L1349" s="120"/>
      <c r="M1349" s="120"/>
    </row>
    <row r="1350">
      <c r="A1350" s="120"/>
      <c r="B1350" s="120"/>
      <c r="C1350" s="120"/>
      <c r="D1350" s="120"/>
      <c r="E1350" s="120"/>
      <c r="F1350" s="120"/>
      <c r="G1350" s="120"/>
      <c r="H1350" s="120"/>
      <c r="I1350" s="120"/>
      <c r="J1350" s="120"/>
      <c r="K1350" s="120"/>
      <c r="L1350" s="120"/>
      <c r="M1350" s="120"/>
    </row>
    <row r="1351">
      <c r="A1351" s="120"/>
      <c r="B1351" s="120"/>
      <c r="C1351" s="120"/>
      <c r="D1351" s="120"/>
      <c r="E1351" s="120"/>
      <c r="F1351" s="120"/>
      <c r="G1351" s="120"/>
      <c r="H1351" s="120"/>
      <c r="I1351" s="120"/>
      <c r="J1351" s="120"/>
      <c r="K1351" s="120"/>
      <c r="L1351" s="120"/>
      <c r="M1351" s="120"/>
    </row>
    <row r="1352">
      <c r="A1352" s="120"/>
      <c r="B1352" s="120"/>
      <c r="C1352" s="120"/>
      <c r="D1352" s="120"/>
      <c r="E1352" s="120"/>
      <c r="F1352" s="120"/>
      <c r="G1352" s="120"/>
      <c r="H1352" s="120"/>
      <c r="I1352" s="120"/>
      <c r="J1352" s="120"/>
      <c r="K1352" s="120"/>
      <c r="L1352" s="120"/>
      <c r="M1352" s="120"/>
    </row>
    <row r="1353">
      <c r="A1353" s="120"/>
      <c r="B1353" s="120"/>
      <c r="C1353" s="120"/>
      <c r="D1353" s="120"/>
      <c r="E1353" s="120"/>
      <c r="F1353" s="120"/>
      <c r="G1353" s="120"/>
      <c r="H1353" s="120"/>
      <c r="I1353" s="120"/>
      <c r="J1353" s="120"/>
      <c r="K1353" s="120"/>
      <c r="L1353" s="120"/>
      <c r="M1353" s="120"/>
    </row>
    <row r="1354">
      <c r="A1354" s="120"/>
      <c r="B1354" s="120"/>
      <c r="C1354" s="120"/>
      <c r="D1354" s="120"/>
      <c r="E1354" s="120"/>
      <c r="F1354" s="120"/>
      <c r="G1354" s="120"/>
      <c r="H1354" s="120"/>
      <c r="I1354" s="120"/>
      <c r="J1354" s="120"/>
      <c r="K1354" s="120"/>
      <c r="L1354" s="120"/>
      <c r="M1354" s="120"/>
    </row>
    <row r="1355">
      <c r="A1355" s="120"/>
      <c r="B1355" s="120"/>
      <c r="C1355" s="120"/>
      <c r="D1355" s="120"/>
      <c r="E1355" s="120"/>
      <c r="F1355" s="120"/>
      <c r="G1355" s="120"/>
      <c r="H1355" s="120"/>
      <c r="I1355" s="120"/>
      <c r="J1355" s="120"/>
      <c r="K1355" s="120"/>
      <c r="L1355" s="120"/>
      <c r="M1355" s="120"/>
    </row>
    <row r="1356">
      <c r="A1356" s="120"/>
      <c r="B1356" s="120"/>
      <c r="C1356" s="120"/>
      <c r="D1356" s="120"/>
      <c r="E1356" s="120"/>
      <c r="F1356" s="120"/>
      <c r="G1356" s="120"/>
      <c r="H1356" s="120"/>
      <c r="I1356" s="120"/>
      <c r="J1356" s="120"/>
      <c r="K1356" s="120"/>
      <c r="L1356" s="120"/>
      <c r="M1356" s="120"/>
    </row>
    <row r="1357">
      <c r="A1357" s="120"/>
      <c r="B1357" s="120"/>
      <c r="C1357" s="120"/>
      <c r="D1357" s="120"/>
      <c r="E1357" s="120"/>
      <c r="F1357" s="120"/>
      <c r="G1357" s="120"/>
      <c r="H1357" s="120"/>
      <c r="I1357" s="120"/>
      <c r="J1357" s="120"/>
      <c r="K1357" s="120"/>
      <c r="L1357" s="120"/>
      <c r="M1357" s="120"/>
    </row>
    <row r="1358">
      <c r="A1358" s="120"/>
      <c r="B1358" s="120"/>
      <c r="C1358" s="120"/>
      <c r="D1358" s="120"/>
      <c r="E1358" s="120"/>
      <c r="F1358" s="120"/>
      <c r="G1358" s="120"/>
      <c r="H1358" s="120"/>
      <c r="I1358" s="120"/>
      <c r="J1358" s="120"/>
      <c r="K1358" s="120"/>
      <c r="L1358" s="120"/>
      <c r="M1358" s="120"/>
    </row>
    <row r="1359">
      <c r="A1359" s="120"/>
      <c r="B1359" s="120"/>
      <c r="C1359" s="120"/>
      <c r="D1359" s="120"/>
      <c r="E1359" s="120"/>
      <c r="F1359" s="120"/>
      <c r="G1359" s="120"/>
      <c r="H1359" s="120"/>
      <c r="I1359" s="120"/>
      <c r="J1359" s="120"/>
      <c r="K1359" s="120"/>
      <c r="L1359" s="120"/>
      <c r="M1359" s="120"/>
    </row>
    <row r="1360">
      <c r="A1360" s="120"/>
      <c r="B1360" s="120"/>
      <c r="C1360" s="120"/>
      <c r="D1360" s="120"/>
      <c r="E1360" s="120"/>
      <c r="F1360" s="120"/>
      <c r="G1360" s="120"/>
      <c r="H1360" s="120"/>
      <c r="I1360" s="120"/>
      <c r="J1360" s="120"/>
      <c r="K1360" s="120"/>
      <c r="L1360" s="120"/>
      <c r="M1360" s="120"/>
    </row>
    <row r="1361">
      <c r="A1361" s="120"/>
      <c r="B1361" s="120"/>
      <c r="C1361" s="120"/>
      <c r="D1361" s="120"/>
      <c r="E1361" s="120"/>
      <c r="F1361" s="120"/>
      <c r="G1361" s="120"/>
      <c r="H1361" s="120"/>
      <c r="I1361" s="120"/>
      <c r="J1361" s="120"/>
      <c r="K1361" s="120"/>
      <c r="L1361" s="120"/>
      <c r="M1361" s="120"/>
    </row>
    <row r="1362">
      <c r="A1362" s="120"/>
      <c r="B1362" s="120"/>
      <c r="C1362" s="120"/>
      <c r="D1362" s="120"/>
      <c r="E1362" s="120"/>
      <c r="F1362" s="120"/>
      <c r="G1362" s="120"/>
      <c r="H1362" s="120"/>
      <c r="I1362" s="120"/>
      <c r="J1362" s="120"/>
      <c r="K1362" s="120"/>
      <c r="L1362" s="120"/>
      <c r="M1362" s="120"/>
    </row>
    <row r="1363">
      <c r="A1363" s="120"/>
      <c r="B1363" s="120"/>
      <c r="C1363" s="120"/>
      <c r="D1363" s="120"/>
      <c r="E1363" s="120"/>
      <c r="F1363" s="120"/>
      <c r="G1363" s="120"/>
      <c r="H1363" s="120"/>
      <c r="I1363" s="120"/>
      <c r="J1363" s="120"/>
      <c r="K1363" s="120"/>
      <c r="L1363" s="120"/>
      <c r="M1363" s="120"/>
    </row>
    <row r="1364">
      <c r="A1364" s="120"/>
      <c r="B1364" s="120"/>
      <c r="C1364" s="120"/>
      <c r="D1364" s="120"/>
      <c r="E1364" s="120"/>
      <c r="F1364" s="120"/>
      <c r="G1364" s="120"/>
      <c r="H1364" s="120"/>
      <c r="I1364" s="120"/>
      <c r="J1364" s="120"/>
      <c r="K1364" s="120"/>
      <c r="L1364" s="120"/>
      <c r="M1364" s="120"/>
    </row>
    <row r="1365">
      <c r="A1365" s="120"/>
      <c r="B1365" s="120"/>
      <c r="C1365" s="120"/>
      <c r="D1365" s="120"/>
      <c r="E1365" s="120"/>
      <c r="F1365" s="120"/>
      <c r="G1365" s="120"/>
      <c r="H1365" s="120"/>
      <c r="I1365" s="120"/>
      <c r="J1365" s="120"/>
      <c r="K1365" s="120"/>
      <c r="L1365" s="120"/>
      <c r="M1365" s="120"/>
    </row>
    <row r="1366">
      <c r="A1366" s="120"/>
      <c r="B1366" s="120"/>
      <c r="C1366" s="120"/>
      <c r="D1366" s="120"/>
      <c r="E1366" s="120"/>
      <c r="F1366" s="120"/>
      <c r="G1366" s="120"/>
      <c r="H1366" s="120"/>
      <c r="I1366" s="120"/>
      <c r="J1366" s="120"/>
      <c r="K1366" s="120"/>
      <c r="L1366" s="120"/>
      <c r="M1366" s="120"/>
    </row>
    <row r="1367">
      <c r="A1367" s="120"/>
      <c r="B1367" s="120"/>
      <c r="C1367" s="120"/>
      <c r="D1367" s="120"/>
      <c r="E1367" s="120"/>
      <c r="F1367" s="120"/>
      <c r="G1367" s="120"/>
      <c r="H1367" s="120"/>
      <c r="I1367" s="120"/>
      <c r="J1367" s="120"/>
      <c r="K1367" s="120"/>
      <c r="L1367" s="120"/>
      <c r="M1367" s="120"/>
    </row>
    <row r="1368">
      <c r="A1368" s="120"/>
      <c r="B1368" s="120"/>
      <c r="C1368" s="120"/>
      <c r="D1368" s="120"/>
      <c r="E1368" s="120"/>
      <c r="F1368" s="120"/>
      <c r="G1368" s="120"/>
      <c r="H1368" s="120"/>
      <c r="I1368" s="120"/>
      <c r="J1368" s="120"/>
      <c r="K1368" s="120"/>
      <c r="L1368" s="120"/>
      <c r="M1368" s="120"/>
    </row>
    <row r="1369">
      <c r="A1369" s="120"/>
      <c r="B1369" s="120"/>
      <c r="C1369" s="120"/>
      <c r="D1369" s="120"/>
      <c r="E1369" s="120"/>
      <c r="F1369" s="120"/>
      <c r="G1369" s="120"/>
      <c r="H1369" s="120"/>
      <c r="I1369" s="120"/>
      <c r="J1369" s="120"/>
      <c r="K1369" s="120"/>
      <c r="L1369" s="120"/>
      <c r="M1369" s="120"/>
    </row>
    <row r="1370">
      <c r="A1370" s="120"/>
      <c r="B1370" s="120"/>
      <c r="C1370" s="120"/>
      <c r="D1370" s="120"/>
      <c r="E1370" s="120"/>
      <c r="F1370" s="120"/>
      <c r="G1370" s="120"/>
      <c r="H1370" s="120"/>
      <c r="I1370" s="120"/>
      <c r="J1370" s="120"/>
      <c r="K1370" s="120"/>
      <c r="L1370" s="120"/>
      <c r="M1370" s="120"/>
    </row>
    <row r="1371">
      <c r="A1371" s="120"/>
      <c r="B1371" s="120"/>
      <c r="C1371" s="120"/>
      <c r="D1371" s="120"/>
      <c r="E1371" s="120"/>
      <c r="F1371" s="120"/>
      <c r="G1371" s="120"/>
      <c r="H1371" s="120"/>
      <c r="I1371" s="120"/>
      <c r="J1371" s="120"/>
      <c r="K1371" s="120"/>
      <c r="L1371" s="120"/>
      <c r="M1371" s="120"/>
    </row>
    <row r="1372">
      <c r="A1372" s="120"/>
      <c r="B1372" s="120"/>
      <c r="C1372" s="120"/>
      <c r="D1372" s="120"/>
      <c r="E1372" s="120"/>
      <c r="F1372" s="120"/>
      <c r="G1372" s="120"/>
      <c r="H1372" s="120"/>
      <c r="I1372" s="120"/>
      <c r="J1372" s="120"/>
      <c r="K1372" s="120"/>
      <c r="L1372" s="120"/>
      <c r="M1372" s="120"/>
    </row>
    <row r="1373">
      <c r="A1373" s="120"/>
      <c r="B1373" s="120"/>
      <c r="C1373" s="120"/>
      <c r="D1373" s="120"/>
      <c r="E1373" s="120"/>
      <c r="F1373" s="120"/>
      <c r="G1373" s="120"/>
      <c r="H1373" s="120"/>
      <c r="I1373" s="120"/>
      <c r="J1373" s="120"/>
      <c r="K1373" s="120"/>
      <c r="L1373" s="120"/>
      <c r="M1373" s="120"/>
    </row>
    <row r="1374">
      <c r="A1374" s="120"/>
      <c r="B1374" s="120"/>
      <c r="C1374" s="120"/>
      <c r="D1374" s="120"/>
      <c r="E1374" s="120"/>
      <c r="F1374" s="120"/>
      <c r="G1374" s="120"/>
      <c r="H1374" s="120"/>
      <c r="I1374" s="120"/>
      <c r="J1374" s="120"/>
      <c r="K1374" s="120"/>
      <c r="L1374" s="120"/>
      <c r="M1374" s="120"/>
    </row>
    <row r="1375">
      <c r="A1375" s="120"/>
      <c r="B1375" s="120"/>
      <c r="C1375" s="120"/>
      <c r="D1375" s="120"/>
      <c r="E1375" s="120"/>
      <c r="F1375" s="120"/>
      <c r="G1375" s="120"/>
      <c r="H1375" s="120"/>
      <c r="I1375" s="120"/>
      <c r="J1375" s="120"/>
      <c r="K1375" s="120"/>
      <c r="L1375" s="120"/>
      <c r="M1375" s="120"/>
    </row>
    <row r="1376">
      <c r="A1376" s="120"/>
      <c r="B1376" s="120"/>
      <c r="C1376" s="120"/>
      <c r="D1376" s="120"/>
      <c r="E1376" s="120"/>
      <c r="F1376" s="120"/>
      <c r="G1376" s="120"/>
      <c r="H1376" s="120"/>
      <c r="I1376" s="120"/>
      <c r="J1376" s="120"/>
      <c r="K1376" s="120"/>
      <c r="L1376" s="120"/>
      <c r="M1376" s="120"/>
    </row>
    <row r="1377">
      <c r="A1377" s="120"/>
      <c r="B1377" s="120"/>
      <c r="C1377" s="120"/>
      <c r="D1377" s="120"/>
      <c r="E1377" s="120"/>
      <c r="F1377" s="120"/>
      <c r="G1377" s="120"/>
      <c r="H1377" s="120"/>
      <c r="I1377" s="120"/>
      <c r="J1377" s="120"/>
      <c r="K1377" s="120"/>
      <c r="L1377" s="120"/>
      <c r="M1377" s="120"/>
    </row>
    <row r="1378">
      <c r="A1378" s="120"/>
      <c r="B1378" s="120"/>
      <c r="C1378" s="120"/>
      <c r="D1378" s="120"/>
      <c r="E1378" s="120"/>
      <c r="F1378" s="120"/>
      <c r="G1378" s="120"/>
      <c r="H1378" s="120"/>
      <c r="I1378" s="120"/>
      <c r="J1378" s="120"/>
      <c r="K1378" s="120"/>
      <c r="L1378" s="120"/>
      <c r="M1378" s="120"/>
    </row>
    <row r="1379">
      <c r="A1379" s="120"/>
      <c r="B1379" s="120"/>
      <c r="C1379" s="120"/>
      <c r="D1379" s="120"/>
      <c r="E1379" s="120"/>
      <c r="F1379" s="120"/>
      <c r="G1379" s="120"/>
      <c r="H1379" s="120"/>
      <c r="I1379" s="120"/>
      <c r="J1379" s="120"/>
      <c r="K1379" s="120"/>
      <c r="L1379" s="120"/>
      <c r="M1379" s="120"/>
    </row>
    <row r="1380">
      <c r="A1380" s="120"/>
      <c r="B1380" s="120"/>
      <c r="C1380" s="120"/>
      <c r="D1380" s="120"/>
      <c r="E1380" s="120"/>
      <c r="F1380" s="120"/>
      <c r="G1380" s="120"/>
      <c r="H1380" s="120"/>
      <c r="I1380" s="120"/>
      <c r="J1380" s="120"/>
      <c r="K1380" s="120"/>
      <c r="L1380" s="120"/>
      <c r="M1380" s="120"/>
    </row>
    <row r="1381">
      <c r="A1381" s="120"/>
      <c r="B1381" s="120"/>
      <c r="C1381" s="120"/>
      <c r="D1381" s="120"/>
      <c r="E1381" s="120"/>
      <c r="F1381" s="120"/>
      <c r="G1381" s="120"/>
      <c r="H1381" s="120"/>
      <c r="I1381" s="120"/>
      <c r="J1381" s="120"/>
      <c r="K1381" s="120"/>
      <c r="L1381" s="120"/>
      <c r="M1381" s="120"/>
    </row>
    <row r="1382">
      <c r="A1382" s="120"/>
      <c r="B1382" s="120"/>
      <c r="C1382" s="120"/>
      <c r="D1382" s="120"/>
      <c r="E1382" s="120"/>
      <c r="F1382" s="120"/>
      <c r="G1382" s="120"/>
      <c r="H1382" s="120"/>
      <c r="I1382" s="120"/>
      <c r="J1382" s="120"/>
      <c r="K1382" s="120"/>
      <c r="L1382" s="120"/>
      <c r="M1382" s="120"/>
    </row>
    <row r="1383">
      <c r="A1383" s="120"/>
      <c r="B1383" s="120"/>
      <c r="C1383" s="120"/>
      <c r="D1383" s="120"/>
      <c r="E1383" s="120"/>
      <c r="F1383" s="120"/>
      <c r="G1383" s="120"/>
      <c r="H1383" s="120"/>
      <c r="I1383" s="120"/>
      <c r="J1383" s="120"/>
      <c r="K1383" s="120"/>
      <c r="L1383" s="120"/>
      <c r="M1383" s="120"/>
    </row>
    <row r="1384">
      <c r="A1384" s="120"/>
      <c r="B1384" s="120"/>
      <c r="C1384" s="120"/>
      <c r="D1384" s="120"/>
      <c r="E1384" s="120"/>
      <c r="F1384" s="120"/>
      <c r="G1384" s="120"/>
      <c r="H1384" s="120"/>
      <c r="I1384" s="120"/>
      <c r="J1384" s="120"/>
      <c r="K1384" s="120"/>
      <c r="L1384" s="120"/>
      <c r="M1384" s="120"/>
    </row>
    <row r="1385">
      <c r="A1385" s="120"/>
      <c r="B1385" s="120"/>
      <c r="C1385" s="120"/>
      <c r="D1385" s="120"/>
      <c r="E1385" s="120"/>
      <c r="F1385" s="120"/>
      <c r="G1385" s="120"/>
      <c r="H1385" s="120"/>
      <c r="I1385" s="120"/>
      <c r="J1385" s="120"/>
      <c r="K1385" s="120"/>
      <c r="L1385" s="120"/>
      <c r="M1385" s="120"/>
    </row>
    <row r="1386">
      <c r="A1386" s="120"/>
      <c r="B1386" s="120"/>
      <c r="C1386" s="120"/>
      <c r="D1386" s="120"/>
      <c r="E1386" s="120"/>
      <c r="F1386" s="120"/>
      <c r="G1386" s="120"/>
      <c r="H1386" s="120"/>
      <c r="I1386" s="120"/>
      <c r="J1386" s="120"/>
      <c r="K1386" s="120"/>
      <c r="L1386" s="120"/>
      <c r="M1386" s="120"/>
    </row>
    <row r="1387">
      <c r="A1387" s="120"/>
      <c r="B1387" s="120"/>
      <c r="C1387" s="120"/>
      <c r="D1387" s="120"/>
      <c r="E1387" s="120"/>
      <c r="F1387" s="120"/>
      <c r="G1387" s="120"/>
      <c r="H1387" s="120"/>
      <c r="I1387" s="120"/>
      <c r="J1387" s="120"/>
      <c r="K1387" s="120"/>
      <c r="L1387" s="120"/>
      <c r="M1387" s="120"/>
    </row>
    <row r="1388">
      <c r="A1388" s="120"/>
      <c r="B1388" s="120"/>
      <c r="C1388" s="120"/>
      <c r="D1388" s="120"/>
      <c r="E1388" s="120"/>
      <c r="F1388" s="120"/>
      <c r="G1388" s="120"/>
      <c r="H1388" s="120"/>
      <c r="I1388" s="120"/>
      <c r="J1388" s="120"/>
      <c r="K1388" s="120"/>
      <c r="L1388" s="120"/>
      <c r="M1388" s="120"/>
    </row>
    <row r="1389">
      <c r="A1389" s="120"/>
      <c r="B1389" s="120"/>
      <c r="C1389" s="120"/>
      <c r="D1389" s="120"/>
      <c r="E1389" s="120"/>
      <c r="F1389" s="120"/>
      <c r="G1389" s="120"/>
      <c r="H1389" s="120"/>
      <c r="I1389" s="120"/>
      <c r="J1389" s="120"/>
      <c r="K1389" s="120"/>
      <c r="L1389" s="120"/>
      <c r="M1389" s="120"/>
    </row>
    <row r="1390">
      <c r="A1390" s="120"/>
      <c r="B1390" s="120"/>
      <c r="C1390" s="120"/>
      <c r="D1390" s="120"/>
      <c r="E1390" s="120"/>
      <c r="F1390" s="120"/>
      <c r="G1390" s="120"/>
      <c r="H1390" s="120"/>
      <c r="I1390" s="120"/>
      <c r="J1390" s="120"/>
      <c r="K1390" s="120"/>
      <c r="L1390" s="120"/>
      <c r="M1390" s="120"/>
    </row>
    <row r="1391">
      <c r="A1391" s="120"/>
      <c r="B1391" s="120"/>
      <c r="C1391" s="120"/>
      <c r="D1391" s="120"/>
      <c r="E1391" s="120"/>
      <c r="F1391" s="120"/>
      <c r="G1391" s="120"/>
      <c r="H1391" s="120"/>
      <c r="I1391" s="120"/>
      <c r="J1391" s="120"/>
      <c r="K1391" s="120"/>
      <c r="L1391" s="120"/>
      <c r="M1391" s="120"/>
    </row>
    <row r="1392">
      <c r="A1392" s="120"/>
      <c r="B1392" s="120"/>
      <c r="C1392" s="120"/>
      <c r="D1392" s="120"/>
      <c r="E1392" s="120"/>
      <c r="F1392" s="120"/>
      <c r="G1392" s="120"/>
      <c r="H1392" s="120"/>
      <c r="I1392" s="120"/>
      <c r="J1392" s="120"/>
      <c r="K1392" s="120"/>
      <c r="L1392" s="120"/>
      <c r="M1392" s="120"/>
    </row>
    <row r="1393">
      <c r="A1393" s="120"/>
      <c r="B1393" s="120"/>
      <c r="C1393" s="120"/>
      <c r="D1393" s="120"/>
      <c r="E1393" s="120"/>
      <c r="F1393" s="120"/>
      <c r="G1393" s="120"/>
      <c r="H1393" s="120"/>
      <c r="I1393" s="120"/>
      <c r="J1393" s="120"/>
      <c r="K1393" s="120"/>
      <c r="L1393" s="120"/>
      <c r="M1393" s="120"/>
    </row>
    <row r="1394">
      <c r="A1394" s="120"/>
      <c r="B1394" s="120"/>
      <c r="C1394" s="120"/>
      <c r="D1394" s="120"/>
      <c r="E1394" s="120"/>
      <c r="F1394" s="120"/>
      <c r="G1394" s="120"/>
      <c r="H1394" s="120"/>
      <c r="I1394" s="120"/>
      <c r="J1394" s="120"/>
      <c r="K1394" s="120"/>
      <c r="L1394" s="120"/>
      <c r="M1394" s="120"/>
    </row>
    <row r="1395">
      <c r="A1395" s="120"/>
      <c r="B1395" s="120"/>
      <c r="C1395" s="120"/>
      <c r="D1395" s="120"/>
      <c r="E1395" s="120"/>
      <c r="F1395" s="120"/>
      <c r="G1395" s="120"/>
      <c r="H1395" s="120"/>
      <c r="I1395" s="120"/>
      <c r="J1395" s="120"/>
      <c r="K1395" s="120"/>
      <c r="L1395" s="120"/>
      <c r="M1395" s="120"/>
    </row>
    <row r="1396">
      <c r="A1396" s="120"/>
      <c r="B1396" s="120"/>
      <c r="C1396" s="120"/>
      <c r="D1396" s="120"/>
      <c r="E1396" s="120"/>
      <c r="F1396" s="120"/>
      <c r="G1396" s="120"/>
      <c r="H1396" s="120"/>
      <c r="I1396" s="120"/>
      <c r="J1396" s="120"/>
      <c r="K1396" s="120"/>
      <c r="L1396" s="120"/>
      <c r="M1396" s="120"/>
    </row>
    <row r="1397">
      <c r="A1397" s="120"/>
      <c r="B1397" s="120"/>
      <c r="C1397" s="120"/>
      <c r="D1397" s="120"/>
      <c r="E1397" s="120"/>
      <c r="F1397" s="120"/>
      <c r="G1397" s="120"/>
      <c r="H1397" s="120"/>
      <c r="I1397" s="120"/>
      <c r="J1397" s="120"/>
      <c r="K1397" s="120"/>
      <c r="L1397" s="120"/>
      <c r="M1397" s="120"/>
    </row>
    <row r="1398">
      <c r="A1398" s="120"/>
      <c r="B1398" s="120"/>
      <c r="C1398" s="120"/>
      <c r="D1398" s="120"/>
      <c r="E1398" s="120"/>
      <c r="F1398" s="120"/>
      <c r="G1398" s="120"/>
      <c r="H1398" s="120"/>
      <c r="I1398" s="120"/>
      <c r="J1398" s="120"/>
      <c r="K1398" s="120"/>
      <c r="L1398" s="120"/>
      <c r="M1398" s="120"/>
    </row>
    <row r="1399">
      <c r="A1399" s="120"/>
      <c r="B1399" s="120"/>
      <c r="C1399" s="120"/>
      <c r="D1399" s="120"/>
      <c r="E1399" s="120"/>
      <c r="F1399" s="120"/>
      <c r="G1399" s="120"/>
      <c r="H1399" s="120"/>
      <c r="I1399" s="120"/>
      <c r="J1399" s="120"/>
      <c r="K1399" s="120"/>
      <c r="L1399" s="120"/>
      <c r="M1399" s="120"/>
    </row>
    <row r="1400">
      <c r="A1400" s="120"/>
      <c r="B1400" s="120"/>
      <c r="C1400" s="120"/>
      <c r="D1400" s="120"/>
      <c r="E1400" s="120"/>
      <c r="F1400" s="120"/>
      <c r="G1400" s="120"/>
      <c r="H1400" s="120"/>
      <c r="I1400" s="120"/>
      <c r="J1400" s="120"/>
      <c r="K1400" s="120"/>
      <c r="L1400" s="120"/>
      <c r="M1400" s="120"/>
    </row>
    <row r="1401">
      <c r="A1401" s="120"/>
      <c r="B1401" s="120"/>
      <c r="C1401" s="120"/>
      <c r="D1401" s="120"/>
      <c r="E1401" s="120"/>
      <c r="F1401" s="120"/>
      <c r="G1401" s="120"/>
      <c r="H1401" s="120"/>
      <c r="I1401" s="120"/>
      <c r="J1401" s="120"/>
      <c r="K1401" s="120"/>
      <c r="L1401" s="120"/>
      <c r="M1401" s="120"/>
    </row>
    <row r="1402">
      <c r="A1402" s="120"/>
      <c r="B1402" s="120"/>
      <c r="C1402" s="120"/>
      <c r="D1402" s="120"/>
      <c r="E1402" s="120"/>
      <c r="F1402" s="120"/>
      <c r="G1402" s="120"/>
      <c r="H1402" s="120"/>
      <c r="I1402" s="120"/>
      <c r="J1402" s="120"/>
      <c r="K1402" s="120"/>
      <c r="L1402" s="120"/>
      <c r="M1402" s="120"/>
    </row>
    <row r="1403">
      <c r="A1403" s="120"/>
      <c r="B1403" s="120"/>
      <c r="C1403" s="120"/>
      <c r="D1403" s="120"/>
      <c r="E1403" s="120"/>
      <c r="F1403" s="120"/>
      <c r="G1403" s="120"/>
      <c r="H1403" s="120"/>
      <c r="I1403" s="120"/>
      <c r="J1403" s="120"/>
      <c r="K1403" s="120"/>
      <c r="L1403" s="120"/>
      <c r="M1403" s="120"/>
    </row>
    <row r="1404">
      <c r="A1404" s="120"/>
      <c r="B1404" s="120"/>
      <c r="C1404" s="120"/>
      <c r="D1404" s="120"/>
      <c r="E1404" s="120"/>
      <c r="F1404" s="120"/>
      <c r="G1404" s="120"/>
      <c r="H1404" s="120"/>
      <c r="I1404" s="120"/>
      <c r="J1404" s="120"/>
      <c r="K1404" s="120"/>
      <c r="L1404" s="120"/>
      <c r="M1404" s="120"/>
    </row>
    <row r="1405">
      <c r="A1405" s="120"/>
      <c r="B1405" s="120"/>
      <c r="C1405" s="120"/>
      <c r="D1405" s="120"/>
      <c r="E1405" s="120"/>
      <c r="F1405" s="120"/>
      <c r="G1405" s="120"/>
      <c r="H1405" s="120"/>
      <c r="I1405" s="120"/>
      <c r="J1405" s="120"/>
      <c r="K1405" s="120"/>
      <c r="L1405" s="120"/>
      <c r="M1405" s="120"/>
    </row>
    <row r="1406">
      <c r="A1406" s="120"/>
      <c r="B1406" s="120"/>
      <c r="C1406" s="120"/>
      <c r="D1406" s="120"/>
      <c r="E1406" s="120"/>
      <c r="F1406" s="120"/>
      <c r="G1406" s="120"/>
      <c r="H1406" s="120"/>
      <c r="I1406" s="120"/>
      <c r="J1406" s="120"/>
      <c r="K1406" s="120"/>
      <c r="L1406" s="120"/>
      <c r="M1406" s="120"/>
    </row>
    <row r="1407">
      <c r="A1407" s="120"/>
      <c r="B1407" s="120"/>
      <c r="C1407" s="120"/>
      <c r="D1407" s="120"/>
      <c r="E1407" s="120"/>
      <c r="F1407" s="120"/>
      <c r="G1407" s="120"/>
      <c r="H1407" s="120"/>
      <c r="I1407" s="120"/>
      <c r="J1407" s="120"/>
      <c r="K1407" s="120"/>
      <c r="L1407" s="120"/>
      <c r="M1407" s="120"/>
    </row>
    <row r="1408">
      <c r="A1408" s="120"/>
      <c r="B1408" s="120"/>
      <c r="C1408" s="120"/>
      <c r="D1408" s="120"/>
      <c r="E1408" s="120"/>
      <c r="F1408" s="120"/>
      <c r="G1408" s="120"/>
      <c r="H1408" s="120"/>
      <c r="I1408" s="120"/>
      <c r="J1408" s="120"/>
      <c r="K1408" s="120"/>
      <c r="L1408" s="120"/>
      <c r="M1408" s="120"/>
    </row>
    <row r="1409">
      <c r="A1409" s="120"/>
      <c r="B1409" s="120"/>
      <c r="C1409" s="120"/>
      <c r="D1409" s="120"/>
      <c r="E1409" s="120"/>
      <c r="F1409" s="120"/>
      <c r="G1409" s="120"/>
      <c r="H1409" s="120"/>
      <c r="I1409" s="120"/>
      <c r="J1409" s="120"/>
      <c r="K1409" s="120"/>
      <c r="L1409" s="120"/>
      <c r="M1409" s="120"/>
    </row>
    <row r="1410">
      <c r="A1410" s="120"/>
      <c r="B1410" s="120"/>
      <c r="C1410" s="120"/>
      <c r="D1410" s="120"/>
      <c r="E1410" s="120"/>
      <c r="F1410" s="120"/>
      <c r="G1410" s="120"/>
      <c r="H1410" s="120"/>
      <c r="I1410" s="120"/>
      <c r="J1410" s="120"/>
      <c r="K1410" s="120"/>
      <c r="L1410" s="120"/>
      <c r="M1410" s="120"/>
    </row>
    <row r="1411">
      <c r="A1411" s="120"/>
      <c r="B1411" s="120"/>
      <c r="C1411" s="120"/>
      <c r="D1411" s="120"/>
      <c r="E1411" s="120"/>
      <c r="F1411" s="120"/>
      <c r="G1411" s="120"/>
      <c r="H1411" s="120"/>
      <c r="I1411" s="120"/>
      <c r="J1411" s="120"/>
      <c r="K1411" s="120"/>
      <c r="L1411" s="120"/>
      <c r="M1411" s="120"/>
    </row>
    <row r="1412">
      <c r="A1412" s="120"/>
      <c r="B1412" s="120"/>
      <c r="C1412" s="120"/>
      <c r="D1412" s="120"/>
      <c r="E1412" s="120"/>
      <c r="F1412" s="120"/>
      <c r="G1412" s="120"/>
      <c r="H1412" s="120"/>
      <c r="I1412" s="120"/>
      <c r="J1412" s="120"/>
      <c r="K1412" s="120"/>
      <c r="L1412" s="120"/>
      <c r="M1412" s="120"/>
    </row>
    <row r="1413">
      <c r="A1413" s="120"/>
      <c r="B1413" s="120"/>
      <c r="C1413" s="120"/>
      <c r="D1413" s="120"/>
      <c r="E1413" s="120"/>
      <c r="F1413" s="120"/>
      <c r="G1413" s="120"/>
      <c r="H1413" s="120"/>
      <c r="I1413" s="120"/>
      <c r="J1413" s="120"/>
      <c r="K1413" s="120"/>
      <c r="L1413" s="120"/>
      <c r="M1413" s="120"/>
    </row>
    <row r="1414">
      <c r="A1414" s="120"/>
      <c r="B1414" s="120"/>
      <c r="C1414" s="120"/>
      <c r="D1414" s="120"/>
      <c r="E1414" s="120"/>
      <c r="F1414" s="120"/>
      <c r="G1414" s="120"/>
      <c r="H1414" s="120"/>
      <c r="I1414" s="120"/>
      <c r="J1414" s="120"/>
      <c r="K1414" s="120"/>
      <c r="L1414" s="120"/>
      <c r="M1414" s="120"/>
    </row>
    <row r="1415">
      <c r="A1415" s="120"/>
      <c r="B1415" s="120"/>
      <c r="C1415" s="120"/>
      <c r="D1415" s="120"/>
      <c r="E1415" s="120"/>
      <c r="F1415" s="120"/>
      <c r="G1415" s="120"/>
      <c r="H1415" s="120"/>
      <c r="I1415" s="120"/>
      <c r="J1415" s="120"/>
      <c r="K1415" s="120"/>
      <c r="L1415" s="120"/>
      <c r="M1415" s="120"/>
    </row>
    <row r="1416">
      <c r="A1416" s="120"/>
      <c r="B1416" s="120"/>
      <c r="C1416" s="120"/>
      <c r="D1416" s="120"/>
      <c r="E1416" s="120"/>
      <c r="F1416" s="120"/>
      <c r="G1416" s="120"/>
      <c r="H1416" s="120"/>
      <c r="I1416" s="120"/>
      <c r="J1416" s="120"/>
      <c r="K1416" s="120"/>
      <c r="L1416" s="120"/>
      <c r="M1416" s="120"/>
    </row>
    <row r="1417">
      <c r="A1417" s="120"/>
      <c r="B1417" s="120"/>
      <c r="C1417" s="120"/>
      <c r="D1417" s="120"/>
      <c r="E1417" s="120"/>
      <c r="F1417" s="120"/>
      <c r="G1417" s="120"/>
      <c r="H1417" s="120"/>
      <c r="I1417" s="120"/>
      <c r="J1417" s="120"/>
      <c r="K1417" s="120"/>
      <c r="L1417" s="120"/>
      <c r="M1417" s="120"/>
    </row>
    <row r="1418">
      <c r="A1418" s="120"/>
      <c r="B1418" s="120"/>
      <c r="C1418" s="120"/>
      <c r="D1418" s="120"/>
      <c r="E1418" s="120"/>
      <c r="F1418" s="120"/>
      <c r="G1418" s="120"/>
      <c r="H1418" s="120"/>
      <c r="I1418" s="120"/>
      <c r="J1418" s="120"/>
      <c r="K1418" s="120"/>
      <c r="L1418" s="120"/>
      <c r="M1418" s="120"/>
    </row>
    <row r="1419">
      <c r="A1419" s="120"/>
      <c r="B1419" s="120"/>
      <c r="C1419" s="120"/>
      <c r="D1419" s="120"/>
      <c r="E1419" s="120"/>
      <c r="F1419" s="120"/>
      <c r="G1419" s="120"/>
      <c r="H1419" s="120"/>
      <c r="I1419" s="120"/>
      <c r="J1419" s="120"/>
      <c r="K1419" s="120"/>
      <c r="L1419" s="120"/>
      <c r="M1419" s="120"/>
    </row>
    <row r="1420">
      <c r="A1420" s="120"/>
      <c r="B1420" s="120"/>
      <c r="C1420" s="120"/>
      <c r="D1420" s="120"/>
      <c r="E1420" s="120"/>
      <c r="F1420" s="120"/>
      <c r="G1420" s="120"/>
      <c r="H1420" s="120"/>
      <c r="I1420" s="120"/>
      <c r="J1420" s="120"/>
      <c r="K1420" s="120"/>
      <c r="L1420" s="120"/>
      <c r="M1420" s="120"/>
    </row>
    <row r="1421">
      <c r="A1421" s="120"/>
      <c r="B1421" s="120"/>
      <c r="C1421" s="120"/>
      <c r="D1421" s="120"/>
      <c r="E1421" s="120"/>
      <c r="F1421" s="120"/>
      <c r="G1421" s="120"/>
      <c r="H1421" s="120"/>
      <c r="I1421" s="120"/>
      <c r="J1421" s="120"/>
      <c r="K1421" s="120"/>
      <c r="L1421" s="120"/>
      <c r="M1421" s="120"/>
    </row>
    <row r="1422">
      <c r="A1422" s="120"/>
      <c r="B1422" s="120"/>
      <c r="C1422" s="120"/>
      <c r="D1422" s="120"/>
      <c r="E1422" s="120"/>
      <c r="F1422" s="120"/>
      <c r="G1422" s="120"/>
      <c r="H1422" s="120"/>
      <c r="I1422" s="120"/>
      <c r="J1422" s="120"/>
      <c r="K1422" s="120"/>
      <c r="L1422" s="120"/>
      <c r="M1422" s="120"/>
    </row>
    <row r="1423">
      <c r="A1423" s="120"/>
      <c r="B1423" s="120"/>
      <c r="C1423" s="120"/>
      <c r="D1423" s="120"/>
      <c r="E1423" s="120"/>
      <c r="F1423" s="120"/>
      <c r="G1423" s="120"/>
      <c r="H1423" s="120"/>
      <c r="I1423" s="120"/>
      <c r="J1423" s="120"/>
      <c r="K1423" s="120"/>
      <c r="L1423" s="120"/>
      <c r="M1423" s="120"/>
    </row>
    <row r="1424">
      <c r="A1424" s="120"/>
      <c r="B1424" s="120"/>
      <c r="C1424" s="120"/>
      <c r="D1424" s="120"/>
      <c r="E1424" s="120"/>
      <c r="F1424" s="120"/>
      <c r="G1424" s="120"/>
      <c r="H1424" s="120"/>
      <c r="I1424" s="120"/>
      <c r="J1424" s="120"/>
      <c r="K1424" s="120"/>
      <c r="L1424" s="120"/>
      <c r="M1424" s="120"/>
    </row>
    <row r="1425">
      <c r="A1425" s="120"/>
      <c r="B1425" s="120"/>
      <c r="C1425" s="120"/>
      <c r="D1425" s="120"/>
      <c r="E1425" s="120"/>
      <c r="F1425" s="120"/>
      <c r="G1425" s="120"/>
      <c r="H1425" s="120"/>
      <c r="I1425" s="120"/>
      <c r="J1425" s="120"/>
      <c r="K1425" s="120"/>
      <c r="L1425" s="120"/>
      <c r="M1425" s="120"/>
    </row>
    <row r="1426">
      <c r="A1426" s="120"/>
      <c r="B1426" s="120"/>
      <c r="C1426" s="120"/>
      <c r="D1426" s="120"/>
      <c r="E1426" s="120"/>
      <c r="F1426" s="120"/>
      <c r="G1426" s="120"/>
      <c r="H1426" s="120"/>
      <c r="I1426" s="120"/>
      <c r="J1426" s="120"/>
      <c r="K1426" s="120"/>
      <c r="L1426" s="120"/>
      <c r="M1426" s="120"/>
    </row>
    <row r="1427">
      <c r="A1427" s="120"/>
      <c r="B1427" s="120"/>
      <c r="C1427" s="120"/>
      <c r="D1427" s="120"/>
      <c r="E1427" s="120"/>
      <c r="F1427" s="120"/>
      <c r="G1427" s="120"/>
      <c r="H1427" s="120"/>
      <c r="I1427" s="120"/>
      <c r="J1427" s="120"/>
      <c r="K1427" s="120"/>
      <c r="L1427" s="120"/>
      <c r="M1427" s="120"/>
    </row>
    <row r="1428">
      <c r="A1428" s="120"/>
      <c r="B1428" s="120"/>
      <c r="C1428" s="120"/>
      <c r="D1428" s="120"/>
      <c r="E1428" s="120"/>
      <c r="F1428" s="120"/>
      <c r="G1428" s="120"/>
      <c r="H1428" s="120"/>
      <c r="I1428" s="120"/>
      <c r="J1428" s="120"/>
      <c r="K1428" s="120"/>
      <c r="L1428" s="120"/>
      <c r="M1428" s="120"/>
    </row>
    <row r="1429">
      <c r="A1429" s="120"/>
      <c r="B1429" s="120"/>
      <c r="C1429" s="120"/>
      <c r="D1429" s="120"/>
      <c r="E1429" s="120"/>
      <c r="F1429" s="120"/>
      <c r="G1429" s="120"/>
      <c r="H1429" s="120"/>
      <c r="I1429" s="120"/>
      <c r="J1429" s="120"/>
      <c r="K1429" s="120"/>
      <c r="L1429" s="120"/>
      <c r="M1429" s="120"/>
    </row>
    <row r="1430">
      <c r="A1430" s="120"/>
      <c r="B1430" s="120"/>
      <c r="C1430" s="120"/>
      <c r="D1430" s="120"/>
      <c r="E1430" s="120"/>
      <c r="F1430" s="120"/>
      <c r="G1430" s="120"/>
      <c r="H1430" s="120"/>
      <c r="I1430" s="120"/>
      <c r="J1430" s="120"/>
      <c r="K1430" s="120"/>
      <c r="L1430" s="120"/>
      <c r="M1430" s="120"/>
    </row>
    <row r="1431">
      <c r="A1431" s="120"/>
      <c r="B1431" s="120"/>
      <c r="C1431" s="120"/>
      <c r="D1431" s="120"/>
      <c r="E1431" s="120"/>
      <c r="F1431" s="120"/>
      <c r="G1431" s="120"/>
      <c r="H1431" s="120"/>
      <c r="I1431" s="120"/>
      <c r="J1431" s="120"/>
      <c r="K1431" s="120"/>
      <c r="L1431" s="120"/>
      <c r="M1431" s="120"/>
    </row>
    <row r="1432">
      <c r="A1432" s="120"/>
      <c r="B1432" s="120"/>
      <c r="C1432" s="120"/>
      <c r="D1432" s="120"/>
      <c r="E1432" s="120"/>
      <c r="F1432" s="120"/>
      <c r="G1432" s="120"/>
      <c r="H1432" s="120"/>
      <c r="I1432" s="120"/>
      <c r="J1432" s="120"/>
      <c r="K1432" s="120"/>
      <c r="L1432" s="120"/>
      <c r="M1432" s="120"/>
    </row>
    <row r="1433">
      <c r="A1433" s="120"/>
      <c r="B1433" s="120"/>
      <c r="C1433" s="120"/>
      <c r="D1433" s="120"/>
      <c r="E1433" s="120"/>
      <c r="F1433" s="120"/>
      <c r="G1433" s="120"/>
      <c r="H1433" s="120"/>
      <c r="I1433" s="120"/>
      <c r="J1433" s="120"/>
      <c r="K1433" s="120"/>
      <c r="L1433" s="120"/>
      <c r="M1433" s="120"/>
    </row>
    <row r="1434">
      <c r="A1434" s="120"/>
      <c r="B1434" s="120"/>
      <c r="C1434" s="120"/>
      <c r="D1434" s="120"/>
      <c r="E1434" s="120"/>
      <c r="F1434" s="120"/>
      <c r="G1434" s="120"/>
      <c r="H1434" s="120"/>
      <c r="I1434" s="120"/>
      <c r="J1434" s="120"/>
      <c r="K1434" s="120"/>
      <c r="L1434" s="120"/>
      <c r="M1434" s="120"/>
    </row>
    <row r="1435">
      <c r="A1435" s="120"/>
      <c r="B1435" s="120"/>
      <c r="C1435" s="120"/>
      <c r="D1435" s="120"/>
      <c r="E1435" s="120"/>
      <c r="F1435" s="120"/>
      <c r="G1435" s="120"/>
      <c r="H1435" s="120"/>
      <c r="I1435" s="120"/>
      <c r="J1435" s="120"/>
      <c r="K1435" s="120"/>
      <c r="L1435" s="120"/>
      <c r="M1435" s="120"/>
    </row>
    <row r="1436">
      <c r="A1436" s="120"/>
      <c r="B1436" s="120"/>
      <c r="C1436" s="120"/>
      <c r="D1436" s="120"/>
      <c r="E1436" s="120"/>
      <c r="F1436" s="120"/>
      <c r="G1436" s="120"/>
      <c r="H1436" s="120"/>
      <c r="I1436" s="120"/>
      <c r="J1436" s="120"/>
      <c r="K1436" s="120"/>
      <c r="L1436" s="120"/>
      <c r="M1436" s="120"/>
    </row>
    <row r="1437">
      <c r="A1437" s="120"/>
      <c r="B1437" s="120"/>
      <c r="C1437" s="120"/>
      <c r="D1437" s="120"/>
      <c r="E1437" s="120"/>
      <c r="F1437" s="120"/>
      <c r="G1437" s="120"/>
      <c r="H1437" s="120"/>
      <c r="I1437" s="120"/>
      <c r="J1437" s="120"/>
      <c r="K1437" s="120"/>
      <c r="L1437" s="120"/>
      <c r="M1437" s="120"/>
    </row>
    <row r="1438">
      <c r="A1438" s="120"/>
      <c r="B1438" s="120"/>
      <c r="C1438" s="120"/>
      <c r="D1438" s="120"/>
      <c r="E1438" s="120"/>
      <c r="F1438" s="120"/>
      <c r="G1438" s="120"/>
      <c r="H1438" s="120"/>
      <c r="I1438" s="120"/>
      <c r="J1438" s="120"/>
      <c r="K1438" s="120"/>
      <c r="L1438" s="120"/>
      <c r="M1438" s="120"/>
    </row>
    <row r="1439">
      <c r="A1439" s="120"/>
      <c r="B1439" s="120"/>
      <c r="C1439" s="120"/>
      <c r="D1439" s="120"/>
      <c r="E1439" s="120"/>
      <c r="F1439" s="120"/>
      <c r="G1439" s="120"/>
      <c r="H1439" s="120"/>
      <c r="I1439" s="120"/>
      <c r="J1439" s="120"/>
      <c r="K1439" s="120"/>
      <c r="L1439" s="120"/>
      <c r="M1439" s="120"/>
    </row>
    <row r="1440">
      <c r="A1440" s="120"/>
      <c r="B1440" s="120"/>
      <c r="C1440" s="120"/>
      <c r="D1440" s="120"/>
      <c r="E1440" s="120"/>
      <c r="F1440" s="120"/>
      <c r="G1440" s="120"/>
      <c r="H1440" s="120"/>
      <c r="I1440" s="120"/>
      <c r="J1440" s="120"/>
      <c r="K1440" s="120"/>
      <c r="L1440" s="120"/>
      <c r="M1440" s="120"/>
    </row>
    <row r="1441">
      <c r="A1441" s="120"/>
      <c r="B1441" s="120"/>
      <c r="C1441" s="120"/>
      <c r="D1441" s="120"/>
      <c r="E1441" s="120"/>
      <c r="F1441" s="120"/>
      <c r="G1441" s="120"/>
      <c r="H1441" s="120"/>
      <c r="I1441" s="120"/>
      <c r="J1441" s="120"/>
      <c r="K1441" s="120"/>
      <c r="L1441" s="120"/>
      <c r="M1441" s="120"/>
    </row>
    <row r="1442">
      <c r="A1442" s="120"/>
      <c r="B1442" s="120"/>
      <c r="C1442" s="120"/>
      <c r="D1442" s="120"/>
      <c r="E1442" s="120"/>
      <c r="F1442" s="120"/>
      <c r="G1442" s="120"/>
      <c r="H1442" s="120"/>
      <c r="I1442" s="120"/>
      <c r="J1442" s="120"/>
      <c r="K1442" s="120"/>
      <c r="L1442" s="120"/>
      <c r="M1442" s="120"/>
    </row>
    <row r="1443">
      <c r="A1443" s="120"/>
      <c r="B1443" s="120"/>
      <c r="C1443" s="120"/>
      <c r="D1443" s="120"/>
      <c r="E1443" s="120"/>
      <c r="F1443" s="120"/>
      <c r="G1443" s="120"/>
      <c r="H1443" s="120"/>
      <c r="I1443" s="120"/>
      <c r="J1443" s="120"/>
      <c r="K1443" s="120"/>
      <c r="L1443" s="120"/>
      <c r="M1443" s="120"/>
    </row>
    <row r="1444">
      <c r="A1444" s="120"/>
      <c r="B1444" s="120"/>
      <c r="C1444" s="120"/>
      <c r="D1444" s="120"/>
      <c r="E1444" s="120"/>
      <c r="F1444" s="120"/>
      <c r="G1444" s="120"/>
      <c r="H1444" s="120"/>
      <c r="I1444" s="120"/>
      <c r="J1444" s="120"/>
      <c r="K1444" s="120"/>
      <c r="L1444" s="120"/>
      <c r="M1444" s="120"/>
    </row>
    <row r="1445">
      <c r="A1445" s="120"/>
      <c r="B1445" s="120"/>
      <c r="C1445" s="120"/>
      <c r="D1445" s="120"/>
      <c r="E1445" s="120"/>
      <c r="F1445" s="120"/>
      <c r="G1445" s="120"/>
      <c r="H1445" s="120"/>
      <c r="I1445" s="120"/>
      <c r="J1445" s="120"/>
      <c r="K1445" s="120"/>
      <c r="L1445" s="120"/>
      <c r="M1445" s="120"/>
    </row>
    <row r="1446">
      <c r="A1446" s="120"/>
      <c r="B1446" s="120"/>
      <c r="C1446" s="120"/>
      <c r="D1446" s="120"/>
      <c r="E1446" s="120"/>
      <c r="F1446" s="120"/>
      <c r="G1446" s="120"/>
      <c r="H1446" s="120"/>
      <c r="I1446" s="120"/>
      <c r="J1446" s="120"/>
      <c r="K1446" s="120"/>
      <c r="L1446" s="120"/>
      <c r="M1446" s="120"/>
    </row>
    <row r="1447">
      <c r="A1447" s="120"/>
      <c r="B1447" s="120"/>
      <c r="C1447" s="120"/>
      <c r="D1447" s="120"/>
      <c r="E1447" s="120"/>
      <c r="F1447" s="120"/>
      <c r="G1447" s="120"/>
      <c r="H1447" s="120"/>
      <c r="I1447" s="120"/>
      <c r="J1447" s="120"/>
      <c r="K1447" s="120"/>
      <c r="L1447" s="120"/>
      <c r="M1447" s="120"/>
    </row>
    <row r="1448">
      <c r="A1448" s="120"/>
      <c r="B1448" s="120"/>
      <c r="C1448" s="120"/>
      <c r="D1448" s="120"/>
      <c r="E1448" s="120"/>
      <c r="F1448" s="120"/>
      <c r="G1448" s="120"/>
      <c r="H1448" s="120"/>
      <c r="I1448" s="120"/>
      <c r="J1448" s="120"/>
      <c r="K1448" s="120"/>
      <c r="L1448" s="120"/>
      <c r="M1448" s="120"/>
    </row>
    <row r="1449">
      <c r="A1449" s="120"/>
      <c r="B1449" s="120"/>
      <c r="C1449" s="120"/>
      <c r="D1449" s="120"/>
      <c r="E1449" s="120"/>
      <c r="F1449" s="120"/>
      <c r="G1449" s="120"/>
      <c r="H1449" s="120"/>
      <c r="I1449" s="120"/>
      <c r="J1449" s="120"/>
      <c r="K1449" s="120"/>
      <c r="L1449" s="120"/>
      <c r="M1449" s="120"/>
    </row>
    <row r="1450">
      <c r="A1450" s="120"/>
      <c r="B1450" s="120"/>
      <c r="C1450" s="120"/>
      <c r="D1450" s="120"/>
      <c r="E1450" s="120"/>
      <c r="F1450" s="120"/>
      <c r="G1450" s="120"/>
      <c r="H1450" s="120"/>
      <c r="I1450" s="120"/>
      <c r="J1450" s="120"/>
      <c r="K1450" s="120"/>
      <c r="L1450" s="120"/>
      <c r="M1450" s="120"/>
    </row>
    <row r="1451">
      <c r="A1451" s="120"/>
      <c r="B1451" s="120"/>
      <c r="C1451" s="120"/>
      <c r="D1451" s="120"/>
      <c r="E1451" s="120"/>
      <c r="F1451" s="120"/>
      <c r="G1451" s="120"/>
      <c r="H1451" s="120"/>
      <c r="I1451" s="120"/>
      <c r="J1451" s="120"/>
      <c r="K1451" s="120"/>
      <c r="L1451" s="120"/>
      <c r="M1451" s="120"/>
    </row>
    <row r="1452">
      <c r="A1452" s="120"/>
      <c r="B1452" s="120"/>
      <c r="C1452" s="120"/>
      <c r="D1452" s="120"/>
      <c r="E1452" s="120"/>
      <c r="F1452" s="120"/>
      <c r="G1452" s="120"/>
      <c r="H1452" s="120"/>
      <c r="I1452" s="120"/>
      <c r="J1452" s="120"/>
      <c r="K1452" s="120"/>
      <c r="L1452" s="120"/>
      <c r="M1452" s="120"/>
    </row>
    <row r="1453">
      <c r="A1453" s="120"/>
      <c r="B1453" s="120"/>
      <c r="C1453" s="120"/>
      <c r="D1453" s="120"/>
      <c r="E1453" s="120"/>
      <c r="F1453" s="120"/>
      <c r="G1453" s="120"/>
      <c r="H1453" s="120"/>
      <c r="I1453" s="120"/>
      <c r="J1453" s="120"/>
      <c r="K1453" s="120"/>
      <c r="L1453" s="120"/>
      <c r="M1453" s="120"/>
    </row>
    <row r="1454">
      <c r="A1454" s="120"/>
      <c r="B1454" s="120"/>
      <c r="C1454" s="120"/>
      <c r="D1454" s="120"/>
      <c r="E1454" s="120"/>
      <c r="F1454" s="120"/>
      <c r="G1454" s="120"/>
      <c r="H1454" s="120"/>
      <c r="I1454" s="120"/>
      <c r="J1454" s="120"/>
      <c r="K1454" s="120"/>
      <c r="L1454" s="120"/>
      <c r="M1454" s="120"/>
    </row>
    <row r="1455">
      <c r="A1455" s="120"/>
      <c r="B1455" s="120"/>
      <c r="C1455" s="120"/>
      <c r="D1455" s="120"/>
      <c r="E1455" s="120"/>
      <c r="F1455" s="120"/>
      <c r="G1455" s="120"/>
      <c r="H1455" s="120"/>
      <c r="I1455" s="120"/>
      <c r="J1455" s="120"/>
      <c r="K1455" s="120"/>
      <c r="L1455" s="120"/>
      <c r="M1455" s="120"/>
    </row>
    <row r="1456">
      <c r="A1456" s="120"/>
      <c r="B1456" s="120"/>
      <c r="C1456" s="120"/>
      <c r="D1456" s="120"/>
      <c r="E1456" s="120"/>
      <c r="F1456" s="120"/>
      <c r="G1456" s="120"/>
      <c r="H1456" s="120"/>
      <c r="I1456" s="120"/>
      <c r="J1456" s="120"/>
      <c r="K1456" s="120"/>
      <c r="L1456" s="120"/>
      <c r="M1456" s="120"/>
    </row>
    <row r="1457">
      <c r="A1457" s="120"/>
      <c r="B1457" s="120"/>
      <c r="C1457" s="120"/>
      <c r="D1457" s="120"/>
      <c r="E1457" s="120"/>
      <c r="F1457" s="120"/>
      <c r="G1457" s="120"/>
      <c r="H1457" s="120"/>
      <c r="I1457" s="120"/>
      <c r="J1457" s="120"/>
      <c r="K1457" s="120"/>
      <c r="L1457" s="120"/>
      <c r="M1457" s="120"/>
    </row>
    <row r="1458">
      <c r="A1458" s="120"/>
      <c r="B1458" s="120"/>
      <c r="C1458" s="120"/>
      <c r="D1458" s="120"/>
      <c r="E1458" s="120"/>
      <c r="F1458" s="120"/>
      <c r="G1458" s="120"/>
      <c r="H1458" s="120"/>
      <c r="I1458" s="120"/>
      <c r="J1458" s="120"/>
      <c r="K1458" s="120"/>
      <c r="L1458" s="120"/>
      <c r="M1458" s="120"/>
    </row>
    <row r="1459">
      <c r="A1459" s="120"/>
      <c r="B1459" s="120"/>
      <c r="C1459" s="120"/>
      <c r="D1459" s="120"/>
      <c r="E1459" s="120"/>
      <c r="F1459" s="120"/>
      <c r="G1459" s="120"/>
      <c r="H1459" s="120"/>
      <c r="I1459" s="120"/>
      <c r="J1459" s="120"/>
      <c r="K1459" s="120"/>
      <c r="L1459" s="120"/>
      <c r="M1459" s="120"/>
    </row>
    <row r="1460">
      <c r="A1460" s="120"/>
      <c r="B1460" s="120"/>
      <c r="C1460" s="120"/>
      <c r="D1460" s="120"/>
      <c r="E1460" s="120"/>
      <c r="F1460" s="120"/>
      <c r="G1460" s="120"/>
      <c r="H1460" s="120"/>
      <c r="I1460" s="120"/>
      <c r="J1460" s="120"/>
      <c r="K1460" s="120"/>
      <c r="L1460" s="120"/>
      <c r="M1460" s="120"/>
    </row>
    <row r="1461">
      <c r="A1461" s="120"/>
      <c r="B1461" s="120"/>
      <c r="C1461" s="120"/>
      <c r="D1461" s="120"/>
      <c r="E1461" s="120"/>
      <c r="F1461" s="120"/>
      <c r="G1461" s="120"/>
      <c r="H1461" s="120"/>
      <c r="I1461" s="120"/>
      <c r="J1461" s="120"/>
      <c r="K1461" s="120"/>
      <c r="L1461" s="120"/>
      <c r="M1461" s="120"/>
    </row>
    <row r="1462">
      <c r="A1462" s="120"/>
      <c r="B1462" s="120"/>
      <c r="C1462" s="120"/>
      <c r="D1462" s="120"/>
      <c r="E1462" s="120"/>
      <c r="F1462" s="120"/>
      <c r="G1462" s="120"/>
      <c r="H1462" s="120"/>
      <c r="I1462" s="120"/>
      <c r="J1462" s="120"/>
      <c r="K1462" s="120"/>
      <c r="L1462" s="120"/>
      <c r="M1462" s="120"/>
    </row>
    <row r="1463">
      <c r="A1463" s="120"/>
      <c r="B1463" s="120"/>
      <c r="C1463" s="120"/>
      <c r="D1463" s="120"/>
      <c r="E1463" s="120"/>
      <c r="F1463" s="120"/>
      <c r="G1463" s="120"/>
      <c r="H1463" s="120"/>
      <c r="I1463" s="120"/>
      <c r="J1463" s="120"/>
      <c r="K1463" s="120"/>
      <c r="L1463" s="120"/>
      <c r="M1463" s="120"/>
    </row>
    <row r="1464">
      <c r="A1464" s="120"/>
      <c r="B1464" s="120"/>
      <c r="C1464" s="120"/>
      <c r="D1464" s="120"/>
      <c r="E1464" s="120"/>
      <c r="F1464" s="120"/>
      <c r="G1464" s="120"/>
      <c r="H1464" s="120"/>
      <c r="I1464" s="120"/>
      <c r="J1464" s="120"/>
      <c r="K1464" s="120"/>
      <c r="L1464" s="120"/>
      <c r="M1464" s="120"/>
    </row>
    <row r="1465">
      <c r="A1465" s="120"/>
      <c r="B1465" s="120"/>
      <c r="C1465" s="120"/>
      <c r="D1465" s="120"/>
      <c r="E1465" s="120"/>
      <c r="F1465" s="120"/>
      <c r="G1465" s="120"/>
      <c r="H1465" s="120"/>
      <c r="I1465" s="120"/>
      <c r="J1465" s="120"/>
      <c r="K1465" s="120"/>
      <c r="L1465" s="120"/>
      <c r="M1465" s="120"/>
    </row>
    <row r="1466">
      <c r="A1466" s="120"/>
      <c r="B1466" s="120"/>
      <c r="C1466" s="120"/>
      <c r="D1466" s="120"/>
      <c r="E1466" s="120"/>
      <c r="F1466" s="120"/>
      <c r="G1466" s="120"/>
      <c r="H1466" s="120"/>
      <c r="I1466" s="120"/>
      <c r="J1466" s="120"/>
      <c r="K1466" s="120"/>
      <c r="L1466" s="120"/>
      <c r="M1466" s="120"/>
    </row>
    <row r="1467">
      <c r="A1467" s="120"/>
      <c r="B1467" s="120"/>
      <c r="C1467" s="120"/>
      <c r="D1467" s="120"/>
      <c r="E1467" s="120"/>
      <c r="F1467" s="120"/>
      <c r="G1467" s="120"/>
      <c r="H1467" s="120"/>
      <c r="I1467" s="120"/>
      <c r="J1467" s="120"/>
      <c r="K1467" s="120"/>
      <c r="L1467" s="120"/>
      <c r="M1467" s="120"/>
    </row>
    <row r="1468">
      <c r="A1468" s="120"/>
      <c r="B1468" s="120"/>
      <c r="C1468" s="120"/>
      <c r="D1468" s="120"/>
      <c r="E1468" s="120"/>
      <c r="F1468" s="120"/>
      <c r="G1468" s="120"/>
      <c r="H1468" s="120"/>
      <c r="I1468" s="120"/>
      <c r="J1468" s="120"/>
      <c r="K1468" s="120"/>
      <c r="L1468" s="120"/>
      <c r="M1468" s="120"/>
    </row>
    <row r="1469">
      <c r="A1469" s="120"/>
      <c r="B1469" s="120"/>
      <c r="C1469" s="120"/>
      <c r="D1469" s="120"/>
      <c r="E1469" s="120"/>
      <c r="F1469" s="120"/>
      <c r="G1469" s="120"/>
      <c r="H1469" s="120"/>
      <c r="I1469" s="120"/>
      <c r="J1469" s="120"/>
      <c r="K1469" s="120"/>
      <c r="L1469" s="120"/>
      <c r="M1469" s="120"/>
    </row>
    <row r="1470">
      <c r="A1470" s="120"/>
      <c r="B1470" s="120"/>
      <c r="C1470" s="120"/>
      <c r="D1470" s="120"/>
      <c r="E1470" s="120"/>
      <c r="F1470" s="120"/>
      <c r="G1470" s="120"/>
      <c r="H1470" s="120"/>
      <c r="I1470" s="120"/>
      <c r="J1470" s="120"/>
      <c r="K1470" s="120"/>
      <c r="L1470" s="120"/>
      <c r="M1470" s="120"/>
    </row>
    <row r="1471">
      <c r="A1471" s="120"/>
      <c r="B1471" s="120"/>
      <c r="C1471" s="120"/>
      <c r="D1471" s="120"/>
      <c r="E1471" s="120"/>
      <c r="F1471" s="120"/>
      <c r="G1471" s="120"/>
      <c r="H1471" s="120"/>
      <c r="I1471" s="120"/>
      <c r="J1471" s="120"/>
      <c r="K1471" s="120"/>
      <c r="L1471" s="120"/>
      <c r="M1471" s="120"/>
    </row>
    <row r="1472">
      <c r="A1472" s="120"/>
      <c r="B1472" s="120"/>
      <c r="C1472" s="120"/>
      <c r="D1472" s="120"/>
      <c r="E1472" s="120"/>
      <c r="F1472" s="120"/>
      <c r="G1472" s="120"/>
      <c r="H1472" s="120"/>
      <c r="I1472" s="120"/>
      <c r="J1472" s="120"/>
      <c r="K1472" s="120"/>
      <c r="L1472" s="120"/>
      <c r="M1472" s="120"/>
    </row>
    <row r="1473">
      <c r="A1473" s="120"/>
      <c r="B1473" s="120"/>
      <c r="C1473" s="120"/>
      <c r="D1473" s="120"/>
      <c r="E1473" s="120"/>
      <c r="F1473" s="120"/>
      <c r="G1473" s="120"/>
      <c r="H1473" s="120"/>
      <c r="I1473" s="120"/>
      <c r="J1473" s="120"/>
      <c r="K1473" s="120"/>
      <c r="L1473" s="120"/>
      <c r="M1473" s="120"/>
    </row>
    <row r="1474">
      <c r="A1474" s="120"/>
      <c r="B1474" s="120"/>
      <c r="C1474" s="120"/>
      <c r="D1474" s="120"/>
      <c r="E1474" s="120"/>
      <c r="F1474" s="120"/>
      <c r="G1474" s="120"/>
      <c r="H1474" s="120"/>
      <c r="I1474" s="120"/>
      <c r="J1474" s="120"/>
      <c r="K1474" s="120"/>
      <c r="L1474" s="120"/>
      <c r="M1474" s="120"/>
    </row>
    <row r="1475">
      <c r="A1475" s="120"/>
      <c r="B1475" s="120"/>
      <c r="C1475" s="120"/>
      <c r="D1475" s="120"/>
      <c r="E1475" s="120"/>
      <c r="F1475" s="120"/>
      <c r="G1475" s="120"/>
      <c r="H1475" s="120"/>
      <c r="I1475" s="120"/>
      <c r="J1475" s="120"/>
      <c r="K1475" s="120"/>
      <c r="L1475" s="120"/>
      <c r="M1475" s="120"/>
    </row>
    <row r="1476">
      <c r="A1476" s="120"/>
      <c r="B1476" s="120"/>
      <c r="C1476" s="120"/>
      <c r="D1476" s="120"/>
      <c r="E1476" s="120"/>
      <c r="F1476" s="120"/>
      <c r="G1476" s="120"/>
      <c r="H1476" s="120"/>
      <c r="I1476" s="120"/>
      <c r="J1476" s="120"/>
      <c r="K1476" s="120"/>
      <c r="L1476" s="120"/>
      <c r="M1476" s="120"/>
    </row>
    <row r="1477">
      <c r="A1477" s="120"/>
      <c r="B1477" s="120"/>
      <c r="C1477" s="120"/>
      <c r="D1477" s="120"/>
      <c r="E1477" s="120"/>
      <c r="F1477" s="120"/>
      <c r="G1477" s="120"/>
      <c r="H1477" s="120"/>
      <c r="I1477" s="120"/>
      <c r="J1477" s="120"/>
      <c r="K1477" s="120"/>
      <c r="L1477" s="120"/>
      <c r="M1477" s="120"/>
    </row>
    <row r="1478">
      <c r="A1478" s="120"/>
      <c r="B1478" s="120"/>
      <c r="C1478" s="120"/>
      <c r="D1478" s="120"/>
      <c r="E1478" s="120"/>
      <c r="F1478" s="120"/>
      <c r="G1478" s="120"/>
      <c r="H1478" s="120"/>
      <c r="I1478" s="120"/>
      <c r="J1478" s="120"/>
      <c r="K1478" s="120"/>
      <c r="L1478" s="120"/>
      <c r="M1478" s="120"/>
    </row>
    <row r="1479">
      <c r="A1479" s="120"/>
      <c r="B1479" s="120"/>
      <c r="C1479" s="120"/>
      <c r="D1479" s="120"/>
      <c r="E1479" s="120"/>
      <c r="F1479" s="120"/>
      <c r="G1479" s="120"/>
      <c r="H1479" s="120"/>
      <c r="I1479" s="120"/>
      <c r="J1479" s="120"/>
      <c r="K1479" s="120"/>
      <c r="L1479" s="120"/>
      <c r="M1479" s="120"/>
    </row>
    <row r="1480">
      <c r="A1480" s="120"/>
      <c r="B1480" s="120"/>
      <c r="C1480" s="120"/>
      <c r="D1480" s="120"/>
      <c r="E1480" s="120"/>
      <c r="F1480" s="120"/>
      <c r="G1480" s="120"/>
      <c r="H1480" s="120"/>
      <c r="I1480" s="120"/>
      <c r="J1480" s="120"/>
      <c r="K1480" s="120"/>
      <c r="L1480" s="120"/>
      <c r="M1480" s="120"/>
    </row>
    <row r="1481">
      <c r="A1481" s="120"/>
      <c r="B1481" s="120"/>
      <c r="C1481" s="120"/>
      <c r="D1481" s="120"/>
      <c r="E1481" s="120"/>
      <c r="F1481" s="120"/>
      <c r="G1481" s="120"/>
      <c r="H1481" s="120"/>
      <c r="I1481" s="120"/>
      <c r="J1481" s="120"/>
      <c r="K1481" s="120"/>
      <c r="L1481" s="120"/>
      <c r="M1481" s="120"/>
    </row>
    <row r="1482">
      <c r="A1482" s="120"/>
      <c r="B1482" s="120"/>
      <c r="C1482" s="120"/>
      <c r="D1482" s="120"/>
      <c r="E1482" s="120"/>
      <c r="F1482" s="120"/>
      <c r="G1482" s="120"/>
      <c r="H1482" s="120"/>
      <c r="I1482" s="120"/>
      <c r="J1482" s="120"/>
      <c r="K1482" s="120"/>
      <c r="L1482" s="120"/>
      <c r="M1482" s="120"/>
    </row>
    <row r="1483">
      <c r="A1483" s="120"/>
      <c r="B1483" s="120"/>
      <c r="C1483" s="120"/>
      <c r="D1483" s="120"/>
      <c r="E1483" s="120"/>
      <c r="F1483" s="120"/>
      <c r="G1483" s="120"/>
      <c r="H1483" s="120"/>
      <c r="I1483" s="120"/>
      <c r="J1483" s="120"/>
      <c r="K1483" s="120"/>
      <c r="L1483" s="120"/>
      <c r="M1483" s="120"/>
    </row>
    <row r="1484">
      <c r="A1484" s="120"/>
      <c r="B1484" s="120"/>
      <c r="C1484" s="120"/>
      <c r="D1484" s="120"/>
      <c r="E1484" s="120"/>
      <c r="F1484" s="120"/>
      <c r="G1484" s="120"/>
      <c r="H1484" s="120"/>
      <c r="I1484" s="120"/>
      <c r="J1484" s="120"/>
      <c r="K1484" s="120"/>
      <c r="L1484" s="120"/>
      <c r="M1484" s="120"/>
    </row>
    <row r="1485">
      <c r="A1485" s="120"/>
      <c r="B1485" s="120"/>
      <c r="C1485" s="120"/>
      <c r="D1485" s="120"/>
      <c r="E1485" s="120"/>
      <c r="F1485" s="120"/>
      <c r="G1485" s="120"/>
      <c r="H1485" s="120"/>
      <c r="I1485" s="120"/>
      <c r="J1485" s="120"/>
      <c r="K1485" s="120"/>
      <c r="L1485" s="120"/>
      <c r="M1485" s="120"/>
    </row>
    <row r="1486">
      <c r="A1486" s="120"/>
      <c r="B1486" s="120"/>
      <c r="C1486" s="120"/>
      <c r="D1486" s="120"/>
      <c r="E1486" s="120"/>
      <c r="F1486" s="120"/>
      <c r="G1486" s="120"/>
      <c r="H1486" s="120"/>
      <c r="I1486" s="120"/>
      <c r="J1486" s="120"/>
      <c r="K1486" s="120"/>
      <c r="L1486" s="120"/>
      <c r="M1486" s="120"/>
    </row>
    <row r="1487">
      <c r="A1487" s="120"/>
      <c r="B1487" s="120"/>
      <c r="C1487" s="120"/>
      <c r="D1487" s="120"/>
      <c r="E1487" s="120"/>
      <c r="F1487" s="120"/>
      <c r="G1487" s="120"/>
      <c r="H1487" s="120"/>
      <c r="I1487" s="120"/>
      <c r="J1487" s="120"/>
      <c r="K1487" s="120"/>
      <c r="L1487" s="120"/>
      <c r="M1487" s="120"/>
    </row>
    <row r="1488">
      <c r="A1488" s="120"/>
      <c r="B1488" s="120"/>
      <c r="C1488" s="120"/>
      <c r="D1488" s="120"/>
      <c r="E1488" s="120"/>
      <c r="F1488" s="120"/>
      <c r="G1488" s="120"/>
      <c r="H1488" s="120"/>
      <c r="I1488" s="120"/>
      <c r="J1488" s="120"/>
      <c r="K1488" s="120"/>
      <c r="L1488" s="120"/>
      <c r="M1488" s="120"/>
    </row>
    <row r="1489">
      <c r="A1489" s="120"/>
      <c r="B1489" s="120"/>
      <c r="C1489" s="120"/>
      <c r="D1489" s="120"/>
      <c r="E1489" s="120"/>
      <c r="F1489" s="120"/>
      <c r="G1489" s="120"/>
      <c r="H1489" s="120"/>
      <c r="I1489" s="120"/>
      <c r="J1489" s="120"/>
      <c r="K1489" s="120"/>
      <c r="L1489" s="120"/>
      <c r="M1489" s="120"/>
    </row>
    <row r="1490">
      <c r="A1490" s="120"/>
      <c r="B1490" s="120"/>
      <c r="C1490" s="120"/>
      <c r="D1490" s="120"/>
      <c r="E1490" s="120"/>
      <c r="F1490" s="120"/>
      <c r="G1490" s="120"/>
      <c r="H1490" s="120"/>
      <c r="I1490" s="120"/>
      <c r="J1490" s="120"/>
      <c r="K1490" s="120"/>
      <c r="L1490" s="120"/>
      <c r="M1490" s="120"/>
    </row>
    <row r="1491">
      <c r="A1491" s="120"/>
      <c r="B1491" s="120"/>
      <c r="C1491" s="120"/>
      <c r="D1491" s="120"/>
      <c r="E1491" s="120"/>
      <c r="F1491" s="120"/>
      <c r="G1491" s="120"/>
      <c r="H1491" s="120"/>
      <c r="I1491" s="120"/>
      <c r="J1491" s="120"/>
      <c r="K1491" s="120"/>
      <c r="L1491" s="120"/>
      <c r="M1491" s="120"/>
    </row>
    <row r="1492">
      <c r="A1492" s="120"/>
      <c r="B1492" s="120"/>
      <c r="C1492" s="120"/>
      <c r="D1492" s="120"/>
      <c r="E1492" s="120"/>
      <c r="F1492" s="120"/>
      <c r="G1492" s="120"/>
      <c r="H1492" s="120"/>
      <c r="I1492" s="120"/>
      <c r="J1492" s="120"/>
      <c r="K1492" s="120"/>
      <c r="L1492" s="120"/>
      <c r="M1492" s="120"/>
    </row>
    <row r="1493">
      <c r="A1493" s="120"/>
      <c r="B1493" s="120"/>
      <c r="C1493" s="120"/>
      <c r="D1493" s="120"/>
      <c r="E1493" s="120"/>
      <c r="F1493" s="120"/>
      <c r="G1493" s="120"/>
      <c r="H1493" s="120"/>
      <c r="I1493" s="120"/>
      <c r="J1493" s="120"/>
      <c r="K1493" s="120"/>
      <c r="L1493" s="120"/>
      <c r="M1493" s="120"/>
    </row>
    <row r="1494">
      <c r="A1494" s="120"/>
      <c r="B1494" s="120"/>
      <c r="C1494" s="120"/>
      <c r="D1494" s="120"/>
      <c r="E1494" s="120"/>
      <c r="F1494" s="120"/>
      <c r="G1494" s="120"/>
      <c r="H1494" s="120"/>
      <c r="I1494" s="120"/>
      <c r="J1494" s="120"/>
      <c r="K1494" s="120"/>
      <c r="L1494" s="120"/>
      <c r="M1494" s="120"/>
    </row>
    <row r="1495">
      <c r="A1495" s="120"/>
      <c r="B1495" s="120"/>
      <c r="C1495" s="120"/>
      <c r="D1495" s="120"/>
      <c r="E1495" s="120"/>
      <c r="F1495" s="120"/>
      <c r="G1495" s="120"/>
      <c r="H1495" s="120"/>
      <c r="I1495" s="120"/>
      <c r="J1495" s="120"/>
      <c r="K1495" s="120"/>
      <c r="L1495" s="120"/>
      <c r="M1495" s="120"/>
    </row>
    <row r="1496">
      <c r="A1496" s="120"/>
      <c r="B1496" s="120"/>
      <c r="C1496" s="120"/>
      <c r="D1496" s="120"/>
      <c r="E1496" s="120"/>
      <c r="F1496" s="120"/>
      <c r="G1496" s="120"/>
      <c r="H1496" s="120"/>
      <c r="I1496" s="120"/>
      <c r="J1496" s="120"/>
      <c r="K1496" s="120"/>
      <c r="L1496" s="120"/>
      <c r="M1496" s="120"/>
    </row>
    <row r="1497">
      <c r="A1497" s="120"/>
      <c r="B1497" s="120"/>
      <c r="C1497" s="120"/>
      <c r="D1497" s="120"/>
      <c r="E1497" s="120"/>
      <c r="F1497" s="120"/>
      <c r="G1497" s="120"/>
      <c r="H1497" s="120"/>
      <c r="I1497" s="120"/>
      <c r="J1497" s="120"/>
      <c r="K1497" s="120"/>
      <c r="L1497" s="120"/>
      <c r="M1497" s="120"/>
    </row>
    <row r="1498">
      <c r="A1498" s="120"/>
      <c r="B1498" s="120"/>
      <c r="C1498" s="120"/>
      <c r="D1498" s="120"/>
      <c r="E1498" s="120"/>
      <c r="F1498" s="120"/>
      <c r="G1498" s="120"/>
      <c r="H1498" s="120"/>
      <c r="I1498" s="120"/>
      <c r="J1498" s="120"/>
      <c r="K1498" s="120"/>
      <c r="L1498" s="120"/>
      <c r="M1498" s="120"/>
    </row>
    <row r="1499">
      <c r="A1499" s="120"/>
      <c r="B1499" s="120"/>
      <c r="C1499" s="120"/>
      <c r="D1499" s="120"/>
      <c r="E1499" s="120"/>
      <c r="F1499" s="120"/>
      <c r="G1499" s="120"/>
      <c r="H1499" s="120"/>
      <c r="I1499" s="120"/>
      <c r="J1499" s="120"/>
      <c r="K1499" s="120"/>
      <c r="L1499" s="120"/>
      <c r="M1499" s="120"/>
    </row>
    <row r="1500">
      <c r="A1500" s="120"/>
      <c r="B1500" s="120"/>
      <c r="C1500" s="120"/>
      <c r="D1500" s="120"/>
      <c r="E1500" s="120"/>
      <c r="F1500" s="120"/>
      <c r="G1500" s="120"/>
      <c r="H1500" s="120"/>
      <c r="I1500" s="120"/>
      <c r="J1500" s="120"/>
      <c r="K1500" s="120"/>
      <c r="L1500" s="120"/>
      <c r="M1500" s="120"/>
    </row>
    <row r="1501">
      <c r="A1501" s="120"/>
      <c r="B1501" s="120"/>
      <c r="C1501" s="120"/>
      <c r="D1501" s="120"/>
      <c r="E1501" s="120"/>
      <c r="F1501" s="120"/>
      <c r="G1501" s="120"/>
      <c r="H1501" s="120"/>
      <c r="I1501" s="120"/>
      <c r="J1501" s="120"/>
      <c r="K1501" s="120"/>
      <c r="L1501" s="120"/>
      <c r="M1501" s="120"/>
    </row>
    <row r="1502">
      <c r="A1502" s="120"/>
      <c r="B1502" s="120"/>
      <c r="C1502" s="120"/>
      <c r="D1502" s="120"/>
      <c r="E1502" s="120"/>
      <c r="F1502" s="120"/>
      <c r="G1502" s="120"/>
      <c r="H1502" s="120"/>
      <c r="I1502" s="120"/>
      <c r="J1502" s="120"/>
      <c r="K1502" s="120"/>
      <c r="L1502" s="120"/>
      <c r="M1502" s="120"/>
    </row>
    <row r="1503">
      <c r="A1503" s="120"/>
      <c r="B1503" s="120"/>
      <c r="C1503" s="120"/>
      <c r="D1503" s="120"/>
      <c r="E1503" s="120"/>
      <c r="F1503" s="120"/>
      <c r="G1503" s="120"/>
      <c r="H1503" s="120"/>
      <c r="I1503" s="120"/>
      <c r="J1503" s="120"/>
      <c r="K1503" s="120"/>
      <c r="L1503" s="120"/>
      <c r="M1503" s="120"/>
    </row>
    <row r="1504">
      <c r="A1504" s="120"/>
      <c r="B1504" s="120"/>
      <c r="C1504" s="120"/>
      <c r="D1504" s="120"/>
      <c r="E1504" s="120"/>
      <c r="F1504" s="120"/>
      <c r="G1504" s="120"/>
      <c r="H1504" s="120"/>
      <c r="I1504" s="120"/>
      <c r="J1504" s="120"/>
      <c r="K1504" s="120"/>
      <c r="L1504" s="120"/>
      <c r="M1504" s="120"/>
    </row>
    <row r="1505">
      <c r="A1505" s="120"/>
      <c r="B1505" s="120"/>
      <c r="C1505" s="120"/>
      <c r="D1505" s="120"/>
      <c r="E1505" s="120"/>
      <c r="F1505" s="120"/>
      <c r="G1505" s="120"/>
      <c r="H1505" s="120"/>
      <c r="I1505" s="120"/>
      <c r="J1505" s="120"/>
      <c r="K1505" s="120"/>
      <c r="L1505" s="120"/>
      <c r="M1505" s="120"/>
    </row>
    <row r="1506">
      <c r="A1506" s="120"/>
      <c r="B1506" s="120"/>
      <c r="C1506" s="120"/>
      <c r="D1506" s="120"/>
      <c r="E1506" s="120"/>
      <c r="F1506" s="120"/>
      <c r="G1506" s="120"/>
      <c r="H1506" s="120"/>
      <c r="I1506" s="120"/>
      <c r="J1506" s="120"/>
      <c r="K1506" s="120"/>
      <c r="L1506" s="120"/>
      <c r="M1506" s="120"/>
    </row>
    <row r="1507">
      <c r="A1507" s="120"/>
      <c r="B1507" s="120"/>
      <c r="C1507" s="120"/>
      <c r="D1507" s="120"/>
      <c r="E1507" s="120"/>
      <c r="F1507" s="120"/>
      <c r="G1507" s="120"/>
      <c r="H1507" s="120"/>
      <c r="I1507" s="120"/>
      <c r="J1507" s="120"/>
      <c r="K1507" s="120"/>
      <c r="L1507" s="120"/>
      <c r="M1507" s="120"/>
    </row>
    <row r="1508">
      <c r="A1508" s="120"/>
      <c r="B1508" s="120"/>
      <c r="C1508" s="120"/>
      <c r="D1508" s="120"/>
      <c r="E1508" s="120"/>
      <c r="F1508" s="120"/>
      <c r="G1508" s="120"/>
      <c r="H1508" s="120"/>
      <c r="I1508" s="120"/>
      <c r="J1508" s="120"/>
      <c r="K1508" s="120"/>
      <c r="L1508" s="120"/>
      <c r="M1508" s="120"/>
    </row>
    <row r="1509">
      <c r="A1509" s="120"/>
      <c r="B1509" s="120"/>
      <c r="C1509" s="120"/>
      <c r="D1509" s="120"/>
      <c r="E1509" s="120"/>
      <c r="F1509" s="120"/>
      <c r="G1509" s="120"/>
      <c r="H1509" s="120"/>
      <c r="I1509" s="120"/>
      <c r="J1509" s="120"/>
      <c r="K1509" s="120"/>
      <c r="L1509" s="120"/>
      <c r="M1509" s="120"/>
    </row>
    <row r="1510">
      <c r="A1510" s="120"/>
      <c r="B1510" s="120"/>
      <c r="C1510" s="120"/>
      <c r="D1510" s="120"/>
      <c r="E1510" s="120"/>
      <c r="F1510" s="120"/>
      <c r="G1510" s="120"/>
      <c r="H1510" s="120"/>
      <c r="I1510" s="120"/>
      <c r="J1510" s="120"/>
      <c r="K1510" s="120"/>
      <c r="L1510" s="120"/>
      <c r="M1510" s="120"/>
    </row>
    <row r="1511">
      <c r="A1511" s="120"/>
      <c r="B1511" s="120"/>
      <c r="C1511" s="120"/>
      <c r="D1511" s="120"/>
      <c r="E1511" s="120"/>
      <c r="F1511" s="120"/>
      <c r="G1511" s="120"/>
      <c r="H1511" s="120"/>
      <c r="I1511" s="120"/>
      <c r="J1511" s="120"/>
      <c r="K1511" s="120"/>
      <c r="L1511" s="120"/>
      <c r="M1511" s="120"/>
    </row>
    <row r="1512">
      <c r="A1512" s="120"/>
      <c r="B1512" s="120"/>
      <c r="C1512" s="120"/>
      <c r="D1512" s="120"/>
      <c r="E1512" s="120"/>
      <c r="F1512" s="120"/>
      <c r="G1512" s="120"/>
      <c r="H1512" s="120"/>
      <c r="I1512" s="120"/>
      <c r="J1512" s="120"/>
      <c r="K1512" s="120"/>
      <c r="L1512" s="120"/>
      <c r="M1512" s="120"/>
    </row>
    <row r="1513">
      <c r="A1513" s="120"/>
      <c r="B1513" s="120"/>
      <c r="C1513" s="120"/>
      <c r="D1513" s="120"/>
      <c r="E1513" s="120"/>
      <c r="F1513" s="120"/>
      <c r="G1513" s="120"/>
      <c r="H1513" s="120"/>
      <c r="I1513" s="120"/>
      <c r="J1513" s="120"/>
      <c r="K1513" s="120"/>
      <c r="L1513" s="120"/>
      <c r="M1513" s="120"/>
    </row>
    <row r="1514">
      <c r="A1514" s="120"/>
      <c r="B1514" s="120"/>
      <c r="C1514" s="120"/>
      <c r="D1514" s="120"/>
      <c r="E1514" s="120"/>
      <c r="F1514" s="120"/>
      <c r="G1514" s="120"/>
      <c r="H1514" s="120"/>
      <c r="I1514" s="120"/>
      <c r="J1514" s="120"/>
      <c r="K1514" s="120"/>
      <c r="L1514" s="120"/>
      <c r="M1514" s="120"/>
    </row>
    <row r="1515">
      <c r="A1515" s="120"/>
      <c r="B1515" s="120"/>
      <c r="C1515" s="120"/>
      <c r="D1515" s="120"/>
      <c r="E1515" s="120"/>
      <c r="F1515" s="120"/>
      <c r="G1515" s="120"/>
      <c r="H1515" s="120"/>
      <c r="I1515" s="120"/>
      <c r="J1515" s="120"/>
      <c r="K1515" s="120"/>
      <c r="L1515" s="120"/>
      <c r="M1515" s="120"/>
    </row>
    <row r="1516">
      <c r="A1516" s="120"/>
      <c r="B1516" s="120"/>
      <c r="C1516" s="120"/>
      <c r="D1516" s="120"/>
      <c r="E1516" s="120"/>
      <c r="F1516" s="120"/>
      <c r="G1516" s="120"/>
      <c r="H1516" s="120"/>
      <c r="I1516" s="120"/>
      <c r="J1516" s="120"/>
      <c r="K1516" s="120"/>
      <c r="L1516" s="120"/>
      <c r="M1516" s="120"/>
    </row>
    <row r="1517">
      <c r="A1517" s="120"/>
      <c r="B1517" s="120"/>
      <c r="C1517" s="120"/>
      <c r="D1517" s="120"/>
      <c r="E1517" s="120"/>
      <c r="F1517" s="120"/>
      <c r="G1517" s="120"/>
      <c r="H1517" s="120"/>
      <c r="I1517" s="120"/>
      <c r="J1517" s="120"/>
      <c r="K1517" s="120"/>
      <c r="L1517" s="120"/>
      <c r="M1517" s="120"/>
    </row>
    <row r="1518">
      <c r="A1518" s="120"/>
      <c r="B1518" s="120"/>
      <c r="C1518" s="120"/>
      <c r="D1518" s="120"/>
      <c r="E1518" s="120"/>
      <c r="F1518" s="120"/>
      <c r="G1518" s="120"/>
      <c r="H1518" s="120"/>
      <c r="I1518" s="120"/>
      <c r="J1518" s="120"/>
      <c r="K1518" s="120"/>
      <c r="L1518" s="120"/>
      <c r="M1518" s="120"/>
    </row>
    <row r="1519">
      <c r="A1519" s="120"/>
      <c r="B1519" s="120"/>
      <c r="C1519" s="120"/>
      <c r="D1519" s="120"/>
      <c r="E1519" s="120"/>
      <c r="F1519" s="120"/>
      <c r="G1519" s="120"/>
      <c r="H1519" s="120"/>
      <c r="I1519" s="120"/>
      <c r="J1519" s="120"/>
      <c r="K1519" s="120"/>
      <c r="L1519" s="120"/>
      <c r="M1519" s="120"/>
    </row>
    <row r="1520">
      <c r="A1520" s="120"/>
      <c r="B1520" s="120"/>
      <c r="C1520" s="120"/>
      <c r="D1520" s="120"/>
      <c r="E1520" s="120"/>
      <c r="F1520" s="120"/>
      <c r="G1520" s="120"/>
      <c r="H1520" s="120"/>
      <c r="I1520" s="120"/>
      <c r="J1520" s="120"/>
      <c r="K1520" s="120"/>
      <c r="L1520" s="120"/>
      <c r="M1520" s="120"/>
    </row>
    <row r="1521">
      <c r="A1521" s="120"/>
      <c r="B1521" s="120"/>
      <c r="C1521" s="120"/>
      <c r="D1521" s="120"/>
      <c r="E1521" s="120"/>
      <c r="F1521" s="120"/>
      <c r="G1521" s="120"/>
      <c r="H1521" s="120"/>
      <c r="I1521" s="120"/>
      <c r="J1521" s="120"/>
      <c r="K1521" s="120"/>
      <c r="L1521" s="120"/>
      <c r="M1521" s="120"/>
    </row>
    <row r="1522">
      <c r="A1522" s="120"/>
      <c r="B1522" s="120"/>
      <c r="C1522" s="120"/>
      <c r="D1522" s="120"/>
      <c r="E1522" s="120"/>
      <c r="F1522" s="120"/>
      <c r="G1522" s="120"/>
      <c r="H1522" s="120"/>
      <c r="I1522" s="120"/>
      <c r="J1522" s="120"/>
      <c r="K1522" s="120"/>
      <c r="L1522" s="120"/>
      <c r="M1522" s="120"/>
    </row>
    <row r="1523">
      <c r="A1523" s="120"/>
      <c r="B1523" s="120"/>
      <c r="C1523" s="120"/>
      <c r="D1523" s="120"/>
      <c r="E1523" s="120"/>
      <c r="F1523" s="120"/>
      <c r="G1523" s="120"/>
      <c r="H1523" s="120"/>
      <c r="I1523" s="120"/>
      <c r="J1523" s="120"/>
      <c r="K1523" s="120"/>
      <c r="L1523" s="120"/>
      <c r="M1523" s="120"/>
    </row>
    <row r="1524">
      <c r="A1524" s="120"/>
      <c r="B1524" s="120"/>
      <c r="C1524" s="120"/>
      <c r="D1524" s="120"/>
      <c r="E1524" s="120"/>
      <c r="F1524" s="120"/>
      <c r="G1524" s="120"/>
      <c r="H1524" s="120"/>
      <c r="I1524" s="120"/>
      <c r="J1524" s="120"/>
      <c r="K1524" s="120"/>
      <c r="L1524" s="120"/>
      <c r="M1524" s="120"/>
    </row>
    <row r="1525">
      <c r="A1525" s="120"/>
      <c r="B1525" s="120"/>
      <c r="C1525" s="120"/>
      <c r="D1525" s="120"/>
      <c r="E1525" s="120"/>
      <c r="F1525" s="120"/>
      <c r="G1525" s="120"/>
      <c r="H1525" s="120"/>
      <c r="I1525" s="120"/>
      <c r="J1525" s="120"/>
      <c r="K1525" s="120"/>
      <c r="L1525" s="120"/>
      <c r="M1525" s="120"/>
    </row>
    <row r="1526">
      <c r="A1526" s="120"/>
      <c r="B1526" s="120"/>
      <c r="C1526" s="120"/>
      <c r="D1526" s="120"/>
      <c r="E1526" s="120"/>
      <c r="F1526" s="120"/>
      <c r="G1526" s="120"/>
      <c r="H1526" s="120"/>
      <c r="I1526" s="120"/>
      <c r="J1526" s="120"/>
      <c r="K1526" s="120"/>
      <c r="L1526" s="120"/>
      <c r="M1526" s="120"/>
    </row>
    <row r="1527">
      <c r="A1527" s="120"/>
      <c r="B1527" s="120"/>
      <c r="C1527" s="120"/>
      <c r="D1527" s="120"/>
      <c r="E1527" s="120"/>
      <c r="F1527" s="120"/>
      <c r="G1527" s="120"/>
      <c r="H1527" s="120"/>
      <c r="I1527" s="120"/>
      <c r="J1527" s="120"/>
      <c r="K1527" s="120"/>
      <c r="L1527" s="120"/>
      <c r="M1527" s="120"/>
    </row>
    <row r="1528">
      <c r="A1528" s="120"/>
      <c r="B1528" s="120"/>
      <c r="C1528" s="120"/>
      <c r="D1528" s="120"/>
      <c r="E1528" s="120"/>
      <c r="F1528" s="120"/>
      <c r="G1528" s="120"/>
      <c r="H1528" s="120"/>
      <c r="I1528" s="120"/>
      <c r="J1528" s="120"/>
      <c r="K1528" s="120"/>
      <c r="L1528" s="120"/>
      <c r="M1528" s="120"/>
    </row>
    <row r="1529">
      <c r="A1529" s="120"/>
      <c r="B1529" s="120"/>
      <c r="C1529" s="120"/>
      <c r="D1529" s="120"/>
      <c r="E1529" s="120"/>
      <c r="F1529" s="120"/>
      <c r="G1529" s="120"/>
      <c r="H1529" s="120"/>
      <c r="I1529" s="120"/>
      <c r="J1529" s="120"/>
      <c r="K1529" s="120"/>
      <c r="L1529" s="120"/>
      <c r="M1529" s="120"/>
    </row>
    <row r="1530">
      <c r="A1530" s="120"/>
      <c r="B1530" s="120"/>
      <c r="C1530" s="120"/>
      <c r="D1530" s="120"/>
      <c r="E1530" s="120"/>
      <c r="F1530" s="120"/>
      <c r="G1530" s="120"/>
      <c r="H1530" s="120"/>
      <c r="I1530" s="120"/>
      <c r="J1530" s="120"/>
      <c r="K1530" s="120"/>
      <c r="L1530" s="120"/>
      <c r="M1530" s="120"/>
    </row>
    <row r="1531">
      <c r="A1531" s="120"/>
      <c r="B1531" s="120"/>
      <c r="C1531" s="120"/>
      <c r="D1531" s="120"/>
      <c r="E1531" s="120"/>
      <c r="F1531" s="120"/>
      <c r="G1531" s="120"/>
      <c r="H1531" s="120"/>
      <c r="I1531" s="120"/>
      <c r="J1531" s="120"/>
      <c r="K1531" s="120"/>
      <c r="L1531" s="120"/>
      <c r="M1531" s="120"/>
    </row>
    <row r="1532">
      <c r="A1532" s="120"/>
      <c r="B1532" s="120"/>
      <c r="C1532" s="120"/>
      <c r="D1532" s="120"/>
      <c r="E1532" s="120"/>
      <c r="F1532" s="120"/>
      <c r="G1532" s="120"/>
      <c r="H1532" s="120"/>
      <c r="I1532" s="120"/>
      <c r="J1532" s="120"/>
      <c r="K1532" s="120"/>
      <c r="L1532" s="120"/>
      <c r="M1532" s="120"/>
    </row>
    <row r="1533">
      <c r="A1533" s="120"/>
      <c r="B1533" s="120"/>
      <c r="C1533" s="120"/>
      <c r="D1533" s="120"/>
      <c r="E1533" s="120"/>
      <c r="F1533" s="120"/>
      <c r="G1533" s="120"/>
      <c r="H1533" s="120"/>
      <c r="I1533" s="120"/>
      <c r="J1533" s="120"/>
      <c r="K1533" s="120"/>
      <c r="L1533" s="120"/>
      <c r="M1533" s="120"/>
    </row>
    <row r="1534">
      <c r="A1534" s="120"/>
      <c r="B1534" s="120"/>
      <c r="C1534" s="120"/>
      <c r="D1534" s="120"/>
      <c r="E1534" s="120"/>
      <c r="F1534" s="120"/>
      <c r="G1534" s="120"/>
      <c r="H1534" s="120"/>
      <c r="I1534" s="120"/>
      <c r="J1534" s="120"/>
      <c r="K1534" s="120"/>
      <c r="L1534" s="120"/>
      <c r="M1534" s="120"/>
    </row>
    <row r="1535">
      <c r="A1535" s="120"/>
      <c r="B1535" s="120"/>
      <c r="C1535" s="120"/>
      <c r="D1535" s="120"/>
      <c r="E1535" s="120"/>
      <c r="F1535" s="120"/>
      <c r="G1535" s="120"/>
      <c r="H1535" s="120"/>
      <c r="I1535" s="120"/>
      <c r="J1535" s="120"/>
      <c r="K1535" s="120"/>
      <c r="L1535" s="120"/>
      <c r="M1535" s="120"/>
    </row>
    <row r="1536">
      <c r="A1536" s="120"/>
      <c r="B1536" s="120"/>
      <c r="C1536" s="120"/>
      <c r="D1536" s="120"/>
      <c r="E1536" s="120"/>
      <c r="F1536" s="120"/>
      <c r="G1536" s="120"/>
      <c r="H1536" s="120"/>
      <c r="I1536" s="120"/>
      <c r="J1536" s="120"/>
      <c r="K1536" s="120"/>
      <c r="L1536" s="120"/>
      <c r="M1536" s="120"/>
    </row>
    <row r="1537">
      <c r="A1537" s="120"/>
      <c r="B1537" s="120"/>
      <c r="C1537" s="120"/>
      <c r="D1537" s="120"/>
      <c r="E1537" s="120"/>
      <c r="F1537" s="120"/>
      <c r="G1537" s="120"/>
      <c r="H1537" s="120"/>
      <c r="I1537" s="120"/>
      <c r="J1537" s="120"/>
      <c r="K1537" s="120"/>
      <c r="L1537" s="120"/>
      <c r="M1537" s="120"/>
    </row>
    <row r="1538">
      <c r="A1538" s="120"/>
      <c r="B1538" s="120"/>
      <c r="C1538" s="120"/>
      <c r="D1538" s="120"/>
      <c r="E1538" s="120"/>
      <c r="F1538" s="120"/>
      <c r="G1538" s="120"/>
      <c r="H1538" s="120"/>
      <c r="I1538" s="120"/>
      <c r="J1538" s="120"/>
      <c r="K1538" s="120"/>
      <c r="L1538" s="120"/>
      <c r="M1538" s="120"/>
    </row>
    <row r="1539">
      <c r="A1539" s="120"/>
      <c r="B1539" s="120"/>
      <c r="C1539" s="120"/>
      <c r="D1539" s="120"/>
      <c r="E1539" s="120"/>
      <c r="F1539" s="120"/>
      <c r="G1539" s="120"/>
      <c r="H1539" s="120"/>
      <c r="I1539" s="120"/>
      <c r="J1539" s="120"/>
      <c r="K1539" s="120"/>
      <c r="L1539" s="120"/>
      <c r="M1539" s="120"/>
    </row>
    <row r="1540">
      <c r="A1540" s="120"/>
      <c r="B1540" s="120"/>
      <c r="C1540" s="120"/>
      <c r="D1540" s="120"/>
      <c r="E1540" s="120"/>
      <c r="F1540" s="120"/>
      <c r="G1540" s="120"/>
      <c r="H1540" s="120"/>
      <c r="I1540" s="120"/>
      <c r="J1540" s="120"/>
      <c r="K1540" s="120"/>
      <c r="L1540" s="120"/>
      <c r="M1540" s="120"/>
    </row>
    <row r="1541">
      <c r="A1541" s="120"/>
      <c r="B1541" s="120"/>
      <c r="C1541" s="120"/>
      <c r="D1541" s="120"/>
      <c r="E1541" s="120"/>
      <c r="F1541" s="120"/>
      <c r="G1541" s="120"/>
      <c r="H1541" s="120"/>
      <c r="I1541" s="120"/>
      <c r="J1541" s="120"/>
      <c r="K1541" s="120"/>
      <c r="L1541" s="120"/>
      <c r="M1541" s="120"/>
    </row>
    <row r="1542">
      <c r="A1542" s="120"/>
      <c r="B1542" s="120"/>
      <c r="C1542" s="120"/>
      <c r="D1542" s="120"/>
      <c r="E1542" s="120"/>
      <c r="F1542" s="120"/>
      <c r="G1542" s="120"/>
      <c r="H1542" s="120"/>
      <c r="I1542" s="120"/>
      <c r="J1542" s="120"/>
      <c r="K1542" s="120"/>
      <c r="L1542" s="120"/>
      <c r="M1542" s="120"/>
    </row>
    <row r="1543">
      <c r="A1543" s="120"/>
      <c r="B1543" s="120"/>
      <c r="C1543" s="120"/>
      <c r="D1543" s="120"/>
      <c r="E1543" s="120"/>
      <c r="F1543" s="120"/>
      <c r="G1543" s="120"/>
      <c r="H1543" s="120"/>
      <c r="I1543" s="120"/>
      <c r="J1543" s="120"/>
      <c r="K1543" s="120"/>
      <c r="L1543" s="120"/>
      <c r="M1543" s="120"/>
    </row>
    <row r="1544">
      <c r="A1544" s="120"/>
      <c r="B1544" s="120"/>
      <c r="C1544" s="120"/>
      <c r="D1544" s="120"/>
      <c r="E1544" s="120"/>
      <c r="F1544" s="120"/>
      <c r="G1544" s="120"/>
      <c r="H1544" s="120"/>
      <c r="I1544" s="120"/>
      <c r="J1544" s="120"/>
      <c r="K1544" s="120"/>
      <c r="L1544" s="120"/>
      <c r="M1544" s="120"/>
    </row>
    <row r="1545">
      <c r="A1545" s="120"/>
      <c r="B1545" s="120"/>
      <c r="C1545" s="120"/>
      <c r="D1545" s="120"/>
      <c r="E1545" s="120"/>
      <c r="F1545" s="120"/>
      <c r="G1545" s="120"/>
      <c r="H1545" s="120"/>
      <c r="I1545" s="120"/>
      <c r="J1545" s="120"/>
      <c r="K1545" s="120"/>
      <c r="L1545" s="120"/>
      <c r="M1545" s="120"/>
    </row>
    <row r="1546">
      <c r="A1546" s="120"/>
      <c r="B1546" s="120"/>
      <c r="C1546" s="120"/>
      <c r="D1546" s="120"/>
      <c r="E1546" s="120"/>
      <c r="F1546" s="120"/>
      <c r="G1546" s="120"/>
      <c r="H1546" s="120"/>
      <c r="I1546" s="120"/>
      <c r="J1546" s="120"/>
      <c r="K1546" s="120"/>
      <c r="L1546" s="120"/>
      <c r="M1546" s="120"/>
    </row>
    <row r="1547">
      <c r="A1547" s="120"/>
      <c r="B1547" s="120"/>
      <c r="C1547" s="120"/>
      <c r="D1547" s="120"/>
      <c r="E1547" s="120"/>
      <c r="F1547" s="120"/>
      <c r="G1547" s="120"/>
      <c r="H1547" s="120"/>
      <c r="I1547" s="120"/>
      <c r="J1547" s="120"/>
      <c r="K1547" s="120"/>
      <c r="L1547" s="120"/>
      <c r="M1547" s="120"/>
    </row>
    <row r="1548">
      <c r="A1548" s="120"/>
      <c r="B1548" s="120"/>
      <c r="C1548" s="120"/>
      <c r="D1548" s="120"/>
      <c r="E1548" s="120"/>
      <c r="F1548" s="120"/>
      <c r="G1548" s="120"/>
      <c r="H1548" s="120"/>
      <c r="I1548" s="120"/>
      <c r="J1548" s="120"/>
      <c r="K1548" s="120"/>
      <c r="L1548" s="120"/>
      <c r="M1548" s="120"/>
    </row>
    <row r="1549">
      <c r="A1549" s="120"/>
      <c r="B1549" s="120"/>
      <c r="C1549" s="120"/>
      <c r="D1549" s="120"/>
      <c r="E1549" s="120"/>
      <c r="F1549" s="120"/>
      <c r="G1549" s="120"/>
      <c r="H1549" s="120"/>
      <c r="I1549" s="120"/>
      <c r="J1549" s="120"/>
      <c r="K1549" s="120"/>
      <c r="L1549" s="120"/>
      <c r="M1549" s="120"/>
    </row>
    <row r="1550">
      <c r="A1550" s="120"/>
      <c r="B1550" s="120"/>
      <c r="C1550" s="120"/>
      <c r="D1550" s="120"/>
      <c r="E1550" s="120"/>
      <c r="F1550" s="120"/>
      <c r="G1550" s="120"/>
      <c r="H1550" s="120"/>
      <c r="I1550" s="120"/>
      <c r="J1550" s="120"/>
      <c r="K1550" s="120"/>
      <c r="L1550" s="120"/>
      <c r="M1550" s="120"/>
    </row>
    <row r="1551">
      <c r="A1551" s="120"/>
      <c r="B1551" s="120"/>
      <c r="C1551" s="120"/>
      <c r="D1551" s="120"/>
      <c r="E1551" s="120"/>
      <c r="F1551" s="120"/>
      <c r="G1551" s="120"/>
      <c r="H1551" s="120"/>
      <c r="I1551" s="120"/>
      <c r="J1551" s="120"/>
      <c r="K1551" s="120"/>
      <c r="L1551" s="120"/>
      <c r="M1551" s="120"/>
    </row>
    <row r="1552">
      <c r="A1552" s="120"/>
      <c r="B1552" s="120"/>
      <c r="C1552" s="120"/>
      <c r="D1552" s="120"/>
      <c r="E1552" s="120"/>
      <c r="F1552" s="120"/>
      <c r="G1552" s="120"/>
      <c r="H1552" s="120"/>
      <c r="I1552" s="120"/>
      <c r="J1552" s="120"/>
      <c r="K1552" s="120"/>
      <c r="L1552" s="120"/>
      <c r="M1552" s="120"/>
    </row>
    <row r="1553">
      <c r="A1553" s="120"/>
      <c r="B1553" s="120"/>
      <c r="C1553" s="120"/>
      <c r="D1553" s="120"/>
      <c r="E1553" s="120"/>
      <c r="F1553" s="120"/>
      <c r="G1553" s="120"/>
      <c r="H1553" s="120"/>
      <c r="I1553" s="120"/>
      <c r="J1553" s="120"/>
      <c r="K1553" s="120"/>
      <c r="L1553" s="120"/>
      <c r="M1553" s="120"/>
    </row>
    <row r="1554">
      <c r="A1554" s="120"/>
      <c r="B1554" s="120"/>
      <c r="C1554" s="120"/>
      <c r="D1554" s="120"/>
      <c r="E1554" s="120"/>
      <c r="F1554" s="120"/>
      <c r="G1554" s="120"/>
      <c r="H1554" s="120"/>
      <c r="I1554" s="120"/>
      <c r="J1554" s="120"/>
      <c r="K1554" s="120"/>
      <c r="L1554" s="120"/>
      <c r="M1554" s="120"/>
    </row>
    <row r="1555">
      <c r="A1555" s="120"/>
      <c r="B1555" s="120"/>
      <c r="C1555" s="120"/>
      <c r="D1555" s="120"/>
      <c r="E1555" s="120"/>
      <c r="F1555" s="120"/>
      <c r="G1555" s="120"/>
      <c r="H1555" s="120"/>
      <c r="I1555" s="120"/>
      <c r="J1555" s="120"/>
      <c r="K1555" s="120"/>
      <c r="L1555" s="120"/>
      <c r="M1555" s="120"/>
    </row>
    <row r="1556">
      <c r="A1556" s="120"/>
      <c r="B1556" s="120"/>
      <c r="C1556" s="120"/>
      <c r="D1556" s="120"/>
      <c r="E1556" s="120"/>
      <c r="F1556" s="120"/>
      <c r="G1556" s="120"/>
      <c r="H1556" s="120"/>
      <c r="I1556" s="120"/>
      <c r="J1556" s="120"/>
      <c r="K1556" s="120"/>
      <c r="L1556" s="120"/>
      <c r="M1556" s="120"/>
    </row>
    <row r="1557">
      <c r="A1557" s="120"/>
      <c r="B1557" s="120"/>
      <c r="C1557" s="120"/>
      <c r="D1557" s="120"/>
      <c r="E1557" s="120"/>
      <c r="F1557" s="120"/>
      <c r="G1557" s="120"/>
      <c r="H1557" s="120"/>
      <c r="I1557" s="120"/>
      <c r="J1557" s="120"/>
      <c r="K1557" s="120"/>
      <c r="L1557" s="120"/>
      <c r="M1557" s="120"/>
    </row>
    <row r="1558">
      <c r="A1558" s="120"/>
      <c r="B1558" s="120"/>
      <c r="C1558" s="120"/>
      <c r="D1558" s="120"/>
      <c r="E1558" s="120"/>
      <c r="F1558" s="120"/>
      <c r="G1558" s="120"/>
      <c r="H1558" s="120"/>
      <c r="I1558" s="120"/>
      <c r="J1558" s="120"/>
      <c r="K1558" s="120"/>
      <c r="L1558" s="120"/>
      <c r="M1558" s="120"/>
    </row>
    <row r="1559">
      <c r="A1559" s="120"/>
      <c r="B1559" s="120"/>
      <c r="C1559" s="120"/>
      <c r="D1559" s="120"/>
      <c r="E1559" s="120"/>
      <c r="F1559" s="120"/>
      <c r="G1559" s="120"/>
      <c r="H1559" s="120"/>
      <c r="I1559" s="120"/>
      <c r="J1559" s="120"/>
      <c r="K1559" s="120"/>
      <c r="L1559" s="120"/>
      <c r="M1559" s="120"/>
    </row>
    <row r="1560">
      <c r="A1560" s="120"/>
      <c r="B1560" s="120"/>
      <c r="C1560" s="120"/>
      <c r="D1560" s="120"/>
      <c r="E1560" s="120"/>
      <c r="F1560" s="120"/>
      <c r="G1560" s="120"/>
      <c r="H1560" s="120"/>
      <c r="I1560" s="120"/>
      <c r="J1560" s="120"/>
      <c r="K1560" s="120"/>
      <c r="L1560" s="120"/>
      <c r="M1560" s="120"/>
    </row>
    <row r="1561">
      <c r="A1561" s="120"/>
      <c r="B1561" s="120"/>
      <c r="C1561" s="120"/>
      <c r="D1561" s="120"/>
      <c r="E1561" s="120"/>
      <c r="F1561" s="120"/>
      <c r="G1561" s="120"/>
      <c r="H1561" s="120"/>
      <c r="I1561" s="120"/>
      <c r="J1561" s="120"/>
      <c r="K1561" s="120"/>
      <c r="L1561" s="120"/>
      <c r="M1561" s="120"/>
    </row>
    <row r="1562">
      <c r="A1562" s="120"/>
      <c r="B1562" s="120"/>
      <c r="C1562" s="120"/>
      <c r="D1562" s="120"/>
      <c r="E1562" s="120"/>
      <c r="F1562" s="120"/>
      <c r="G1562" s="120"/>
      <c r="H1562" s="120"/>
      <c r="I1562" s="120"/>
      <c r="J1562" s="120"/>
      <c r="K1562" s="120"/>
      <c r="L1562" s="120"/>
      <c r="M1562" s="120"/>
    </row>
    <row r="1563">
      <c r="A1563" s="120"/>
      <c r="B1563" s="120"/>
      <c r="C1563" s="120"/>
      <c r="D1563" s="120"/>
      <c r="E1563" s="120"/>
      <c r="F1563" s="120"/>
      <c r="G1563" s="120"/>
      <c r="H1563" s="120"/>
      <c r="I1563" s="120"/>
      <c r="J1563" s="120"/>
      <c r="K1563" s="120"/>
      <c r="L1563" s="120"/>
      <c r="M1563" s="120"/>
    </row>
    <row r="1564">
      <c r="A1564" s="120"/>
      <c r="B1564" s="120"/>
      <c r="C1564" s="120"/>
      <c r="D1564" s="120"/>
      <c r="E1564" s="120"/>
      <c r="F1564" s="120"/>
      <c r="G1564" s="120"/>
      <c r="H1564" s="120"/>
      <c r="I1564" s="120"/>
      <c r="J1564" s="120"/>
      <c r="K1564" s="120"/>
      <c r="L1564" s="120"/>
      <c r="M1564" s="120"/>
    </row>
    <row r="1565">
      <c r="A1565" s="120"/>
      <c r="B1565" s="120"/>
      <c r="C1565" s="120"/>
      <c r="D1565" s="120"/>
      <c r="E1565" s="120"/>
      <c r="F1565" s="120"/>
      <c r="G1565" s="120"/>
      <c r="H1565" s="120"/>
      <c r="I1565" s="120"/>
      <c r="J1565" s="120"/>
      <c r="K1565" s="120"/>
      <c r="L1565" s="120"/>
      <c r="M1565" s="120"/>
    </row>
    <row r="1566">
      <c r="A1566" s="120"/>
      <c r="B1566" s="120"/>
      <c r="C1566" s="120"/>
      <c r="D1566" s="120"/>
      <c r="E1566" s="120"/>
      <c r="F1566" s="120"/>
      <c r="G1566" s="120"/>
      <c r="H1566" s="120"/>
      <c r="I1566" s="120"/>
      <c r="J1566" s="120"/>
      <c r="K1566" s="120"/>
      <c r="L1566" s="120"/>
      <c r="M1566" s="120"/>
    </row>
    <row r="1567">
      <c r="A1567" s="120"/>
      <c r="B1567" s="120"/>
      <c r="C1567" s="120"/>
      <c r="D1567" s="120"/>
      <c r="E1567" s="120"/>
      <c r="F1567" s="120"/>
      <c r="G1567" s="120"/>
      <c r="H1567" s="120"/>
      <c r="I1567" s="120"/>
      <c r="J1567" s="120"/>
      <c r="K1567" s="120"/>
      <c r="L1567" s="120"/>
      <c r="M1567" s="120"/>
    </row>
    <row r="1568">
      <c r="A1568" s="120"/>
      <c r="B1568" s="120"/>
      <c r="C1568" s="120"/>
      <c r="D1568" s="120"/>
      <c r="E1568" s="120"/>
      <c r="F1568" s="120"/>
      <c r="G1568" s="120"/>
      <c r="H1568" s="120"/>
      <c r="I1568" s="120"/>
      <c r="J1568" s="120"/>
      <c r="K1568" s="120"/>
      <c r="L1568" s="120"/>
      <c r="M1568" s="120"/>
    </row>
    <row r="1569">
      <c r="A1569" s="120"/>
      <c r="B1569" s="120"/>
      <c r="C1569" s="120"/>
      <c r="D1569" s="120"/>
      <c r="E1569" s="120"/>
      <c r="F1569" s="120"/>
      <c r="G1569" s="120"/>
      <c r="H1569" s="120"/>
      <c r="I1569" s="120"/>
      <c r="J1569" s="120"/>
      <c r="K1569" s="120"/>
      <c r="L1569" s="120"/>
      <c r="M1569" s="120"/>
    </row>
    <row r="1570">
      <c r="A1570" s="120"/>
      <c r="B1570" s="120"/>
      <c r="C1570" s="120"/>
      <c r="D1570" s="120"/>
      <c r="E1570" s="120"/>
      <c r="F1570" s="120"/>
      <c r="G1570" s="120"/>
      <c r="H1570" s="120"/>
      <c r="I1570" s="120"/>
      <c r="J1570" s="120"/>
      <c r="K1570" s="120"/>
      <c r="L1570" s="120"/>
      <c r="M1570" s="120"/>
    </row>
    <row r="1571">
      <c r="A1571" s="120"/>
      <c r="B1571" s="120"/>
      <c r="C1571" s="120"/>
      <c r="D1571" s="120"/>
      <c r="E1571" s="120"/>
      <c r="F1571" s="120"/>
      <c r="G1571" s="120"/>
      <c r="H1571" s="120"/>
      <c r="I1571" s="120"/>
      <c r="J1571" s="120"/>
      <c r="K1571" s="120"/>
      <c r="L1571" s="120"/>
      <c r="M1571" s="120"/>
    </row>
    <row r="1572">
      <c r="A1572" s="120"/>
      <c r="B1572" s="120"/>
      <c r="C1572" s="120"/>
      <c r="D1572" s="120"/>
      <c r="E1572" s="120"/>
      <c r="F1572" s="120"/>
      <c r="G1572" s="120"/>
      <c r="H1572" s="120"/>
      <c r="I1572" s="120"/>
      <c r="J1572" s="120"/>
      <c r="K1572" s="120"/>
      <c r="L1572" s="120"/>
      <c r="M1572" s="120"/>
    </row>
    <row r="1573">
      <c r="A1573" s="120"/>
      <c r="B1573" s="120"/>
      <c r="C1573" s="120"/>
      <c r="D1573" s="120"/>
      <c r="E1573" s="120"/>
      <c r="F1573" s="120"/>
      <c r="G1573" s="120"/>
      <c r="H1573" s="120"/>
      <c r="I1573" s="120"/>
      <c r="J1573" s="120"/>
      <c r="K1573" s="120"/>
      <c r="L1573" s="120"/>
      <c r="M1573" s="120"/>
    </row>
    <row r="1574">
      <c r="A1574" s="120"/>
      <c r="B1574" s="120"/>
      <c r="C1574" s="120"/>
      <c r="D1574" s="120"/>
      <c r="E1574" s="120"/>
      <c r="F1574" s="120"/>
      <c r="G1574" s="120"/>
      <c r="H1574" s="120"/>
      <c r="I1574" s="120"/>
      <c r="J1574" s="120"/>
      <c r="K1574" s="120"/>
      <c r="L1574" s="120"/>
      <c r="M1574" s="120"/>
    </row>
    <row r="1575">
      <c r="A1575" s="120"/>
      <c r="B1575" s="120"/>
      <c r="C1575" s="120"/>
      <c r="D1575" s="120"/>
      <c r="E1575" s="120"/>
      <c r="F1575" s="120"/>
      <c r="G1575" s="120"/>
      <c r="H1575" s="120"/>
      <c r="I1575" s="120"/>
      <c r="J1575" s="120"/>
      <c r="K1575" s="120"/>
      <c r="L1575" s="120"/>
      <c r="M1575" s="120"/>
    </row>
    <row r="1576">
      <c r="A1576" s="120"/>
      <c r="B1576" s="120"/>
      <c r="C1576" s="120"/>
      <c r="D1576" s="120"/>
      <c r="E1576" s="120"/>
      <c r="F1576" s="120"/>
      <c r="G1576" s="120"/>
      <c r="H1576" s="120"/>
      <c r="I1576" s="120"/>
      <c r="J1576" s="120"/>
      <c r="K1576" s="120"/>
      <c r="L1576" s="120"/>
      <c r="M1576" s="120"/>
    </row>
    <row r="1577">
      <c r="A1577" s="120"/>
      <c r="B1577" s="120"/>
      <c r="C1577" s="120"/>
      <c r="D1577" s="120"/>
      <c r="E1577" s="120"/>
      <c r="F1577" s="120"/>
      <c r="G1577" s="120"/>
      <c r="H1577" s="120"/>
      <c r="I1577" s="120"/>
      <c r="J1577" s="120"/>
      <c r="K1577" s="120"/>
      <c r="L1577" s="120"/>
      <c r="M1577" s="120"/>
    </row>
    <row r="1578">
      <c r="A1578" s="120"/>
      <c r="B1578" s="120"/>
      <c r="C1578" s="120"/>
      <c r="D1578" s="120"/>
      <c r="E1578" s="120"/>
      <c r="F1578" s="120"/>
      <c r="G1578" s="120"/>
      <c r="H1578" s="120"/>
      <c r="I1578" s="120"/>
      <c r="J1578" s="120"/>
      <c r="K1578" s="120"/>
      <c r="L1578" s="120"/>
      <c r="M1578" s="120"/>
    </row>
    <row r="1579">
      <c r="A1579" s="120"/>
      <c r="B1579" s="120"/>
      <c r="C1579" s="120"/>
      <c r="D1579" s="120"/>
      <c r="E1579" s="120"/>
      <c r="F1579" s="120"/>
      <c r="G1579" s="120"/>
      <c r="H1579" s="120"/>
      <c r="I1579" s="120"/>
      <c r="J1579" s="120"/>
      <c r="K1579" s="120"/>
      <c r="L1579" s="120"/>
      <c r="M1579" s="120"/>
    </row>
    <row r="1580">
      <c r="A1580" s="120"/>
      <c r="B1580" s="120"/>
      <c r="C1580" s="120"/>
      <c r="D1580" s="120"/>
      <c r="E1580" s="120"/>
      <c r="F1580" s="120"/>
      <c r="G1580" s="120"/>
      <c r="H1580" s="120"/>
      <c r="I1580" s="120"/>
      <c r="J1580" s="120"/>
      <c r="K1580" s="120"/>
      <c r="L1580" s="120"/>
      <c r="M1580" s="120"/>
    </row>
    <row r="1581">
      <c r="A1581" s="120"/>
      <c r="B1581" s="120"/>
      <c r="C1581" s="120"/>
      <c r="D1581" s="120"/>
      <c r="E1581" s="120"/>
      <c r="F1581" s="120"/>
      <c r="G1581" s="120"/>
      <c r="H1581" s="120"/>
      <c r="I1581" s="120"/>
      <c r="J1581" s="120"/>
      <c r="K1581" s="120"/>
      <c r="L1581" s="120"/>
      <c r="M1581" s="120"/>
    </row>
    <row r="1582">
      <c r="A1582" s="120"/>
      <c r="B1582" s="120"/>
      <c r="C1582" s="120"/>
      <c r="D1582" s="120"/>
      <c r="E1582" s="120"/>
      <c r="F1582" s="120"/>
      <c r="G1582" s="120"/>
      <c r="H1582" s="120"/>
      <c r="I1582" s="120"/>
      <c r="J1582" s="120"/>
      <c r="K1582" s="120"/>
      <c r="L1582" s="120"/>
      <c r="M1582" s="120"/>
    </row>
    <row r="1583">
      <c r="A1583" s="120"/>
      <c r="B1583" s="120"/>
      <c r="C1583" s="120"/>
      <c r="D1583" s="120"/>
      <c r="E1583" s="120"/>
      <c r="F1583" s="120"/>
      <c r="G1583" s="120"/>
      <c r="H1583" s="120"/>
      <c r="I1583" s="120"/>
      <c r="J1583" s="120"/>
      <c r="K1583" s="120"/>
      <c r="L1583" s="120"/>
      <c r="M1583" s="120"/>
    </row>
    <row r="1584">
      <c r="A1584" s="120"/>
      <c r="B1584" s="120"/>
      <c r="C1584" s="120"/>
      <c r="D1584" s="120"/>
      <c r="E1584" s="120"/>
      <c r="F1584" s="120"/>
      <c r="G1584" s="120"/>
      <c r="H1584" s="120"/>
      <c r="I1584" s="120"/>
      <c r="J1584" s="120"/>
      <c r="K1584" s="120"/>
      <c r="L1584" s="120"/>
      <c r="M1584" s="120"/>
    </row>
    <row r="1585">
      <c r="A1585" s="120"/>
      <c r="B1585" s="120"/>
      <c r="C1585" s="120"/>
      <c r="D1585" s="120"/>
      <c r="E1585" s="120"/>
      <c r="F1585" s="120"/>
      <c r="G1585" s="120"/>
      <c r="H1585" s="120"/>
      <c r="I1585" s="120"/>
      <c r="J1585" s="120"/>
      <c r="K1585" s="120"/>
      <c r="L1585" s="120"/>
      <c r="M1585" s="120"/>
    </row>
    <row r="1586">
      <c r="A1586" s="120"/>
      <c r="B1586" s="120"/>
      <c r="C1586" s="120"/>
      <c r="D1586" s="120"/>
      <c r="E1586" s="120"/>
      <c r="F1586" s="120"/>
      <c r="G1586" s="120"/>
      <c r="H1586" s="120"/>
      <c r="I1586" s="120"/>
      <c r="J1586" s="120"/>
      <c r="K1586" s="120"/>
      <c r="L1586" s="120"/>
      <c r="M1586" s="120"/>
    </row>
    <row r="1587">
      <c r="A1587" s="120"/>
      <c r="B1587" s="120"/>
      <c r="C1587" s="120"/>
      <c r="D1587" s="120"/>
      <c r="E1587" s="120"/>
      <c r="F1587" s="120"/>
      <c r="G1587" s="120"/>
      <c r="H1587" s="120"/>
      <c r="I1587" s="120"/>
      <c r="J1587" s="120"/>
      <c r="K1587" s="120"/>
      <c r="L1587" s="120"/>
      <c r="M1587" s="120"/>
    </row>
    <row r="1588">
      <c r="A1588" s="120"/>
      <c r="B1588" s="120"/>
      <c r="C1588" s="120"/>
      <c r="D1588" s="120"/>
      <c r="E1588" s="120"/>
      <c r="F1588" s="120"/>
      <c r="G1588" s="120"/>
      <c r="H1588" s="120"/>
      <c r="I1588" s="120"/>
      <c r="J1588" s="120"/>
      <c r="K1588" s="120"/>
      <c r="L1588" s="120"/>
      <c r="M1588" s="120"/>
    </row>
    <row r="1589">
      <c r="A1589" s="120"/>
      <c r="B1589" s="120"/>
      <c r="C1589" s="120"/>
      <c r="D1589" s="120"/>
      <c r="E1589" s="120"/>
      <c r="F1589" s="120"/>
      <c r="G1589" s="120"/>
      <c r="H1589" s="120"/>
      <c r="I1589" s="120"/>
      <c r="J1589" s="120"/>
      <c r="K1589" s="120"/>
      <c r="L1589" s="120"/>
      <c r="M1589" s="120"/>
    </row>
    <row r="1590">
      <c r="A1590" s="120"/>
      <c r="B1590" s="120"/>
      <c r="C1590" s="120"/>
      <c r="D1590" s="120"/>
      <c r="E1590" s="120"/>
      <c r="F1590" s="120"/>
      <c r="G1590" s="120"/>
      <c r="H1590" s="120"/>
      <c r="I1590" s="120"/>
      <c r="J1590" s="120"/>
      <c r="K1590" s="120"/>
      <c r="L1590" s="120"/>
      <c r="M1590" s="120"/>
    </row>
    <row r="1591">
      <c r="A1591" s="120"/>
      <c r="B1591" s="120"/>
      <c r="C1591" s="120"/>
      <c r="D1591" s="120"/>
      <c r="E1591" s="120"/>
      <c r="F1591" s="120"/>
      <c r="G1591" s="120"/>
      <c r="H1591" s="120"/>
      <c r="I1591" s="120"/>
      <c r="J1591" s="120"/>
      <c r="K1591" s="120"/>
      <c r="L1591" s="120"/>
      <c r="M1591" s="120"/>
    </row>
    <row r="1592">
      <c r="A1592" s="120"/>
      <c r="B1592" s="120"/>
      <c r="C1592" s="120"/>
      <c r="D1592" s="120"/>
      <c r="E1592" s="120"/>
      <c r="F1592" s="120"/>
      <c r="G1592" s="120"/>
      <c r="H1592" s="120"/>
      <c r="I1592" s="120"/>
      <c r="J1592" s="120"/>
      <c r="K1592" s="120"/>
      <c r="L1592" s="120"/>
      <c r="M1592" s="120"/>
    </row>
    <row r="1593">
      <c r="A1593" s="120"/>
      <c r="B1593" s="120"/>
      <c r="C1593" s="120"/>
      <c r="D1593" s="120"/>
      <c r="E1593" s="120"/>
      <c r="F1593" s="120"/>
      <c r="G1593" s="120"/>
      <c r="H1593" s="120"/>
      <c r="I1593" s="120"/>
      <c r="J1593" s="120"/>
      <c r="K1593" s="120"/>
      <c r="L1593" s="120"/>
      <c r="M1593" s="120"/>
    </row>
    <row r="1594">
      <c r="A1594" s="120"/>
      <c r="B1594" s="120"/>
      <c r="C1594" s="120"/>
      <c r="D1594" s="120"/>
      <c r="E1594" s="120"/>
      <c r="F1594" s="120"/>
      <c r="G1594" s="120"/>
      <c r="H1594" s="120"/>
      <c r="I1594" s="120"/>
      <c r="J1594" s="120"/>
      <c r="K1594" s="120"/>
      <c r="L1594" s="120"/>
      <c r="M1594" s="120"/>
    </row>
    <row r="1595">
      <c r="A1595" s="120"/>
      <c r="B1595" s="120"/>
      <c r="C1595" s="120"/>
      <c r="D1595" s="120"/>
      <c r="E1595" s="120"/>
      <c r="F1595" s="120"/>
      <c r="G1595" s="120"/>
      <c r="H1595" s="120"/>
      <c r="I1595" s="120"/>
      <c r="J1595" s="120"/>
      <c r="K1595" s="120"/>
      <c r="L1595" s="120"/>
      <c r="M1595" s="120"/>
    </row>
    <row r="1596">
      <c r="A1596" s="120"/>
      <c r="B1596" s="120"/>
      <c r="C1596" s="120"/>
      <c r="D1596" s="120"/>
      <c r="E1596" s="120"/>
      <c r="F1596" s="120"/>
      <c r="G1596" s="120"/>
      <c r="H1596" s="120"/>
      <c r="I1596" s="120"/>
      <c r="J1596" s="120"/>
      <c r="K1596" s="120"/>
      <c r="L1596" s="120"/>
      <c r="M1596" s="120"/>
    </row>
    <row r="1597">
      <c r="A1597" s="120"/>
      <c r="B1597" s="120"/>
      <c r="C1597" s="120"/>
      <c r="D1597" s="120"/>
      <c r="E1597" s="120"/>
      <c r="F1597" s="120"/>
      <c r="G1597" s="120"/>
      <c r="H1597" s="120"/>
      <c r="I1597" s="120"/>
      <c r="J1597" s="120"/>
      <c r="K1597" s="120"/>
      <c r="L1597" s="120"/>
      <c r="M1597" s="120"/>
    </row>
    <row r="1598">
      <c r="A1598" s="120"/>
      <c r="B1598" s="120"/>
      <c r="C1598" s="120"/>
      <c r="D1598" s="120"/>
      <c r="E1598" s="120"/>
      <c r="F1598" s="120"/>
      <c r="G1598" s="120"/>
      <c r="H1598" s="120"/>
      <c r="I1598" s="120"/>
      <c r="J1598" s="120"/>
      <c r="K1598" s="120"/>
      <c r="L1598" s="120"/>
      <c r="M1598" s="120"/>
    </row>
    <row r="1599">
      <c r="A1599" s="120"/>
      <c r="B1599" s="120"/>
      <c r="C1599" s="120"/>
      <c r="D1599" s="120"/>
      <c r="E1599" s="120"/>
      <c r="F1599" s="120"/>
      <c r="G1599" s="120"/>
      <c r="H1599" s="120"/>
      <c r="I1599" s="120"/>
      <c r="J1599" s="120"/>
      <c r="K1599" s="120"/>
      <c r="L1599" s="120"/>
      <c r="M1599" s="120"/>
    </row>
    <row r="1600">
      <c r="A1600" s="120"/>
      <c r="B1600" s="120"/>
      <c r="C1600" s="120"/>
      <c r="D1600" s="120"/>
      <c r="E1600" s="120"/>
      <c r="F1600" s="120"/>
      <c r="G1600" s="120"/>
      <c r="H1600" s="120"/>
      <c r="I1600" s="120"/>
      <c r="J1600" s="120"/>
      <c r="K1600" s="120"/>
      <c r="L1600" s="120"/>
      <c r="M1600" s="120"/>
    </row>
    <row r="1601">
      <c r="A1601" s="120"/>
      <c r="B1601" s="120"/>
      <c r="C1601" s="120"/>
      <c r="D1601" s="120"/>
      <c r="E1601" s="120"/>
      <c r="F1601" s="120"/>
      <c r="G1601" s="120"/>
      <c r="H1601" s="120"/>
      <c r="I1601" s="120"/>
      <c r="J1601" s="120"/>
      <c r="K1601" s="120"/>
      <c r="L1601" s="120"/>
      <c r="M1601" s="120"/>
    </row>
    <row r="1602">
      <c r="A1602" s="120"/>
      <c r="B1602" s="120"/>
      <c r="C1602" s="120"/>
      <c r="D1602" s="120"/>
      <c r="E1602" s="120"/>
      <c r="F1602" s="120"/>
      <c r="G1602" s="120"/>
      <c r="H1602" s="120"/>
      <c r="I1602" s="120"/>
      <c r="J1602" s="120"/>
      <c r="K1602" s="120"/>
      <c r="L1602" s="120"/>
      <c r="M1602" s="120"/>
    </row>
    <row r="1603">
      <c r="A1603" s="120"/>
      <c r="B1603" s="120"/>
      <c r="C1603" s="120"/>
      <c r="D1603" s="120"/>
      <c r="E1603" s="120"/>
      <c r="F1603" s="120"/>
      <c r="G1603" s="120"/>
      <c r="H1603" s="120"/>
      <c r="I1603" s="120"/>
      <c r="J1603" s="120"/>
      <c r="K1603" s="120"/>
      <c r="L1603" s="120"/>
      <c r="M1603" s="120"/>
    </row>
    <row r="1604">
      <c r="A1604" s="120"/>
      <c r="B1604" s="120"/>
      <c r="C1604" s="120"/>
      <c r="D1604" s="120"/>
      <c r="E1604" s="120"/>
      <c r="F1604" s="120"/>
      <c r="G1604" s="120"/>
      <c r="H1604" s="120"/>
      <c r="I1604" s="120"/>
      <c r="J1604" s="120"/>
      <c r="K1604" s="120"/>
      <c r="L1604" s="120"/>
      <c r="M1604" s="120"/>
    </row>
    <row r="1605">
      <c r="A1605" s="120"/>
      <c r="B1605" s="120"/>
      <c r="C1605" s="120"/>
      <c r="D1605" s="120"/>
      <c r="E1605" s="120"/>
      <c r="F1605" s="120"/>
      <c r="G1605" s="120"/>
      <c r="H1605" s="120"/>
      <c r="I1605" s="120"/>
      <c r="J1605" s="120"/>
      <c r="K1605" s="120"/>
      <c r="L1605" s="120"/>
      <c r="M1605" s="120"/>
    </row>
    <row r="1606">
      <c r="A1606" s="120"/>
      <c r="B1606" s="120"/>
      <c r="C1606" s="120"/>
      <c r="D1606" s="120"/>
      <c r="E1606" s="120"/>
      <c r="F1606" s="120"/>
      <c r="G1606" s="120"/>
      <c r="H1606" s="120"/>
      <c r="I1606" s="120"/>
      <c r="J1606" s="120"/>
      <c r="K1606" s="120"/>
      <c r="L1606" s="120"/>
      <c r="M1606" s="120"/>
    </row>
    <row r="1607">
      <c r="A1607" s="120"/>
      <c r="B1607" s="120"/>
      <c r="C1607" s="120"/>
      <c r="D1607" s="120"/>
      <c r="E1607" s="120"/>
      <c r="F1607" s="120"/>
      <c r="G1607" s="120"/>
      <c r="H1607" s="120"/>
      <c r="I1607" s="120"/>
      <c r="J1607" s="120"/>
      <c r="K1607" s="120"/>
      <c r="L1607" s="120"/>
      <c r="M1607" s="120"/>
    </row>
    <row r="1608">
      <c r="A1608" s="120"/>
      <c r="B1608" s="120"/>
      <c r="C1608" s="120"/>
      <c r="D1608" s="120"/>
      <c r="E1608" s="120"/>
      <c r="F1608" s="120"/>
      <c r="G1608" s="120"/>
      <c r="H1608" s="120"/>
      <c r="I1608" s="120"/>
      <c r="J1608" s="120"/>
      <c r="K1608" s="120"/>
      <c r="L1608" s="120"/>
      <c r="M1608" s="120"/>
    </row>
    <row r="1609">
      <c r="A1609" s="120"/>
      <c r="B1609" s="120"/>
      <c r="C1609" s="120"/>
      <c r="D1609" s="120"/>
      <c r="E1609" s="120"/>
      <c r="F1609" s="120"/>
      <c r="G1609" s="120"/>
      <c r="H1609" s="120"/>
      <c r="I1609" s="120"/>
      <c r="J1609" s="120"/>
      <c r="K1609" s="120"/>
      <c r="L1609" s="120"/>
      <c r="M1609" s="120"/>
    </row>
    <row r="1610">
      <c r="A1610" s="120"/>
      <c r="B1610" s="120"/>
      <c r="C1610" s="120"/>
      <c r="D1610" s="120"/>
      <c r="E1610" s="120"/>
      <c r="F1610" s="120"/>
      <c r="G1610" s="120"/>
      <c r="H1610" s="120"/>
      <c r="I1610" s="120"/>
      <c r="J1610" s="120"/>
      <c r="K1610" s="120"/>
      <c r="L1610" s="120"/>
      <c r="M1610" s="120"/>
    </row>
    <row r="1611">
      <c r="A1611" s="120"/>
      <c r="B1611" s="120"/>
      <c r="C1611" s="120"/>
      <c r="D1611" s="120"/>
      <c r="E1611" s="120"/>
      <c r="F1611" s="120"/>
      <c r="G1611" s="120"/>
      <c r="H1611" s="120"/>
      <c r="I1611" s="120"/>
      <c r="J1611" s="120"/>
      <c r="K1611" s="120"/>
      <c r="L1611" s="120"/>
      <c r="M1611" s="120"/>
    </row>
    <row r="1612">
      <c r="A1612" s="120"/>
      <c r="B1612" s="120"/>
      <c r="C1612" s="120"/>
      <c r="D1612" s="120"/>
      <c r="E1612" s="120"/>
      <c r="F1612" s="120"/>
      <c r="G1612" s="120"/>
      <c r="H1612" s="120"/>
      <c r="I1612" s="120"/>
      <c r="J1612" s="120"/>
      <c r="K1612" s="120"/>
      <c r="L1612" s="120"/>
      <c r="M1612" s="120"/>
    </row>
    <row r="1613">
      <c r="A1613" s="120"/>
      <c r="B1613" s="120"/>
      <c r="C1613" s="120"/>
      <c r="D1613" s="120"/>
      <c r="E1613" s="120"/>
      <c r="F1613" s="120"/>
      <c r="G1613" s="120"/>
      <c r="H1613" s="120"/>
      <c r="I1613" s="120"/>
      <c r="J1613" s="120"/>
      <c r="K1613" s="120"/>
      <c r="L1613" s="120"/>
      <c r="M1613" s="120"/>
    </row>
    <row r="1614">
      <c r="A1614" s="120"/>
      <c r="B1614" s="120"/>
      <c r="C1614" s="120"/>
      <c r="D1614" s="120"/>
      <c r="E1614" s="120"/>
      <c r="F1614" s="120"/>
      <c r="G1614" s="120"/>
      <c r="H1614" s="120"/>
      <c r="I1614" s="120"/>
      <c r="J1614" s="120"/>
      <c r="K1614" s="120"/>
      <c r="L1614" s="120"/>
      <c r="M1614" s="120"/>
    </row>
    <row r="1615">
      <c r="A1615" s="120"/>
      <c r="B1615" s="120"/>
      <c r="C1615" s="120"/>
      <c r="D1615" s="120"/>
      <c r="E1615" s="120"/>
      <c r="F1615" s="120"/>
      <c r="G1615" s="120"/>
      <c r="H1615" s="120"/>
      <c r="I1615" s="120"/>
      <c r="J1615" s="120"/>
      <c r="K1615" s="120"/>
      <c r="L1615" s="120"/>
      <c r="M1615" s="120"/>
    </row>
    <row r="1616">
      <c r="A1616" s="120"/>
      <c r="B1616" s="120"/>
      <c r="C1616" s="120"/>
      <c r="D1616" s="120"/>
      <c r="E1616" s="120"/>
      <c r="F1616" s="120"/>
      <c r="G1616" s="120"/>
      <c r="H1616" s="120"/>
      <c r="I1616" s="120"/>
      <c r="J1616" s="120"/>
      <c r="K1616" s="120"/>
      <c r="L1616" s="120"/>
      <c r="M1616" s="120"/>
    </row>
    <row r="1617">
      <c r="A1617" s="120"/>
      <c r="B1617" s="120"/>
      <c r="C1617" s="120"/>
      <c r="D1617" s="120"/>
      <c r="E1617" s="120"/>
      <c r="F1617" s="120"/>
      <c r="G1617" s="120"/>
      <c r="H1617" s="120"/>
      <c r="I1617" s="120"/>
      <c r="J1617" s="120"/>
      <c r="K1617" s="120"/>
      <c r="L1617" s="120"/>
      <c r="M1617" s="120"/>
    </row>
    <row r="1618">
      <c r="A1618" s="120"/>
      <c r="B1618" s="120"/>
      <c r="C1618" s="120"/>
      <c r="D1618" s="120"/>
      <c r="E1618" s="120"/>
      <c r="F1618" s="120"/>
      <c r="G1618" s="120"/>
      <c r="H1618" s="120"/>
      <c r="I1618" s="120"/>
      <c r="J1618" s="120"/>
      <c r="K1618" s="120"/>
      <c r="L1618" s="120"/>
      <c r="M1618" s="120"/>
    </row>
    <row r="1619">
      <c r="A1619" s="120"/>
      <c r="B1619" s="120"/>
      <c r="C1619" s="120"/>
      <c r="D1619" s="120"/>
      <c r="E1619" s="120"/>
      <c r="F1619" s="120"/>
      <c r="G1619" s="120"/>
      <c r="H1619" s="120"/>
      <c r="I1619" s="120"/>
      <c r="J1619" s="120"/>
      <c r="K1619" s="120"/>
      <c r="L1619" s="120"/>
      <c r="M1619" s="120"/>
    </row>
    <row r="1620">
      <c r="A1620" s="120"/>
      <c r="B1620" s="120"/>
      <c r="C1620" s="120"/>
      <c r="D1620" s="120"/>
      <c r="E1620" s="120"/>
      <c r="F1620" s="120"/>
      <c r="G1620" s="120"/>
      <c r="H1620" s="120"/>
      <c r="I1620" s="120"/>
      <c r="J1620" s="120"/>
      <c r="K1620" s="120"/>
      <c r="L1620" s="120"/>
      <c r="M1620" s="120"/>
    </row>
    <row r="1621">
      <c r="A1621" s="120"/>
      <c r="B1621" s="120"/>
      <c r="C1621" s="120"/>
      <c r="D1621" s="120"/>
      <c r="E1621" s="120"/>
      <c r="F1621" s="120"/>
      <c r="G1621" s="120"/>
      <c r="H1621" s="120"/>
      <c r="I1621" s="120"/>
      <c r="J1621" s="120"/>
      <c r="K1621" s="120"/>
      <c r="L1621" s="120"/>
      <c r="M1621" s="120"/>
    </row>
    <row r="1622">
      <c r="A1622" s="120"/>
      <c r="B1622" s="120"/>
      <c r="C1622" s="120"/>
      <c r="D1622" s="120"/>
      <c r="E1622" s="120"/>
      <c r="F1622" s="120"/>
      <c r="G1622" s="120"/>
      <c r="H1622" s="120"/>
      <c r="I1622" s="120"/>
      <c r="J1622" s="120"/>
      <c r="K1622" s="120"/>
      <c r="L1622" s="120"/>
      <c r="M1622" s="120"/>
    </row>
    <row r="1623">
      <c r="A1623" s="120"/>
      <c r="B1623" s="120"/>
      <c r="C1623" s="120"/>
      <c r="D1623" s="120"/>
      <c r="E1623" s="120"/>
      <c r="F1623" s="120"/>
      <c r="G1623" s="120"/>
      <c r="H1623" s="120"/>
      <c r="I1623" s="120"/>
      <c r="J1623" s="120"/>
      <c r="K1623" s="120"/>
      <c r="L1623" s="120"/>
      <c r="M1623" s="120"/>
    </row>
    <row r="1624">
      <c r="A1624" s="120"/>
      <c r="B1624" s="120"/>
      <c r="C1624" s="120"/>
      <c r="D1624" s="120"/>
      <c r="E1624" s="120"/>
      <c r="F1624" s="120"/>
      <c r="G1624" s="120"/>
      <c r="H1624" s="120"/>
      <c r="I1624" s="120"/>
      <c r="J1624" s="120"/>
      <c r="K1624" s="120"/>
      <c r="L1624" s="120"/>
      <c r="M1624" s="120"/>
    </row>
    <row r="1625">
      <c r="A1625" s="120"/>
      <c r="B1625" s="120"/>
      <c r="C1625" s="120"/>
      <c r="D1625" s="120"/>
      <c r="E1625" s="120"/>
      <c r="F1625" s="120"/>
      <c r="G1625" s="120"/>
      <c r="H1625" s="120"/>
      <c r="I1625" s="120"/>
      <c r="J1625" s="120"/>
      <c r="K1625" s="120"/>
      <c r="L1625" s="120"/>
      <c r="M1625" s="120"/>
    </row>
    <row r="1626">
      <c r="A1626" s="120"/>
      <c r="B1626" s="120"/>
      <c r="C1626" s="120"/>
      <c r="D1626" s="120"/>
      <c r="E1626" s="120"/>
      <c r="F1626" s="120"/>
      <c r="G1626" s="120"/>
      <c r="H1626" s="120"/>
      <c r="I1626" s="120"/>
      <c r="J1626" s="120"/>
      <c r="K1626" s="120"/>
      <c r="L1626" s="120"/>
      <c r="M1626" s="120"/>
    </row>
    <row r="1627">
      <c r="A1627" s="120"/>
      <c r="B1627" s="120"/>
      <c r="C1627" s="120"/>
      <c r="D1627" s="120"/>
      <c r="E1627" s="120"/>
      <c r="F1627" s="120"/>
      <c r="G1627" s="120"/>
      <c r="H1627" s="120"/>
      <c r="I1627" s="120"/>
      <c r="J1627" s="120"/>
      <c r="K1627" s="120"/>
      <c r="L1627" s="120"/>
      <c r="M1627" s="120"/>
    </row>
    <row r="1628">
      <c r="A1628" s="120"/>
      <c r="B1628" s="120"/>
      <c r="C1628" s="120"/>
      <c r="D1628" s="120"/>
      <c r="E1628" s="120"/>
      <c r="F1628" s="120"/>
      <c r="G1628" s="120"/>
      <c r="H1628" s="120"/>
      <c r="I1628" s="120"/>
      <c r="J1628" s="120"/>
      <c r="K1628" s="120"/>
      <c r="L1628" s="120"/>
      <c r="M1628" s="120"/>
    </row>
    <row r="1629">
      <c r="A1629" s="120"/>
      <c r="B1629" s="120"/>
      <c r="C1629" s="120"/>
      <c r="D1629" s="120"/>
      <c r="E1629" s="120"/>
      <c r="F1629" s="120"/>
      <c r="G1629" s="120"/>
      <c r="H1629" s="120"/>
      <c r="I1629" s="120"/>
      <c r="J1629" s="120"/>
      <c r="K1629" s="120"/>
      <c r="L1629" s="120"/>
      <c r="M1629" s="120"/>
    </row>
    <row r="1630">
      <c r="A1630" s="120"/>
      <c r="B1630" s="120"/>
      <c r="C1630" s="120"/>
      <c r="D1630" s="120"/>
      <c r="E1630" s="120"/>
      <c r="F1630" s="120"/>
      <c r="G1630" s="120"/>
      <c r="H1630" s="120"/>
      <c r="I1630" s="120"/>
      <c r="J1630" s="120"/>
      <c r="K1630" s="120"/>
      <c r="L1630" s="120"/>
      <c r="M1630" s="120"/>
    </row>
    <row r="1631">
      <c r="A1631" s="120"/>
      <c r="B1631" s="120"/>
      <c r="C1631" s="120"/>
      <c r="D1631" s="120"/>
      <c r="E1631" s="120"/>
      <c r="F1631" s="120"/>
      <c r="G1631" s="120"/>
      <c r="H1631" s="120"/>
      <c r="I1631" s="120"/>
      <c r="J1631" s="120"/>
      <c r="K1631" s="120"/>
      <c r="L1631" s="120"/>
      <c r="M1631" s="120"/>
    </row>
    <row r="1632">
      <c r="A1632" s="120"/>
      <c r="B1632" s="120"/>
      <c r="C1632" s="120"/>
      <c r="D1632" s="120"/>
      <c r="E1632" s="120"/>
      <c r="F1632" s="120"/>
      <c r="G1632" s="120"/>
      <c r="H1632" s="120"/>
      <c r="I1632" s="120"/>
      <c r="J1632" s="120"/>
      <c r="K1632" s="120"/>
      <c r="L1632" s="120"/>
      <c r="M1632" s="120"/>
    </row>
    <row r="1633">
      <c r="A1633" s="120"/>
      <c r="B1633" s="120"/>
      <c r="C1633" s="120"/>
      <c r="D1633" s="120"/>
      <c r="E1633" s="120"/>
      <c r="F1633" s="120"/>
      <c r="G1633" s="120"/>
      <c r="H1633" s="120"/>
      <c r="I1633" s="120"/>
      <c r="J1633" s="120"/>
      <c r="K1633" s="120"/>
      <c r="L1633" s="120"/>
      <c r="M1633" s="120"/>
    </row>
    <row r="1634">
      <c r="A1634" s="120"/>
      <c r="B1634" s="120"/>
      <c r="C1634" s="120"/>
      <c r="D1634" s="120"/>
      <c r="E1634" s="120"/>
      <c r="F1634" s="120"/>
      <c r="G1634" s="120"/>
      <c r="H1634" s="120"/>
      <c r="I1634" s="120"/>
      <c r="J1634" s="120"/>
      <c r="K1634" s="120"/>
      <c r="L1634" s="120"/>
      <c r="M1634" s="120"/>
    </row>
    <row r="1635">
      <c r="A1635" s="120"/>
      <c r="B1635" s="120"/>
      <c r="C1635" s="120"/>
      <c r="D1635" s="120"/>
      <c r="E1635" s="120"/>
      <c r="F1635" s="120"/>
      <c r="G1635" s="120"/>
      <c r="H1635" s="120"/>
      <c r="I1635" s="120"/>
      <c r="J1635" s="120"/>
      <c r="K1635" s="120"/>
      <c r="L1635" s="120"/>
      <c r="M1635" s="120"/>
    </row>
    <row r="1636">
      <c r="A1636" s="120"/>
      <c r="B1636" s="120"/>
      <c r="C1636" s="120"/>
      <c r="D1636" s="120"/>
      <c r="E1636" s="120"/>
      <c r="F1636" s="120"/>
      <c r="G1636" s="120"/>
      <c r="H1636" s="120"/>
      <c r="I1636" s="120"/>
      <c r="J1636" s="120"/>
      <c r="K1636" s="120"/>
      <c r="L1636" s="120"/>
      <c r="M1636" s="120"/>
    </row>
    <row r="1637">
      <c r="A1637" s="120"/>
      <c r="B1637" s="120"/>
      <c r="C1637" s="120"/>
      <c r="D1637" s="120"/>
      <c r="E1637" s="120"/>
      <c r="F1637" s="120"/>
      <c r="G1637" s="120"/>
      <c r="H1637" s="120"/>
      <c r="I1637" s="120"/>
      <c r="J1637" s="120"/>
      <c r="K1637" s="120"/>
      <c r="L1637" s="120"/>
      <c r="M1637" s="120"/>
    </row>
    <row r="1638">
      <c r="A1638" s="120"/>
      <c r="B1638" s="120"/>
      <c r="C1638" s="120"/>
      <c r="D1638" s="120"/>
      <c r="E1638" s="120"/>
      <c r="F1638" s="120"/>
      <c r="G1638" s="120"/>
      <c r="H1638" s="120"/>
      <c r="I1638" s="120"/>
      <c r="J1638" s="120"/>
      <c r="K1638" s="120"/>
      <c r="L1638" s="120"/>
      <c r="M1638" s="120"/>
    </row>
    <row r="1639">
      <c r="A1639" s="120"/>
      <c r="B1639" s="120"/>
      <c r="C1639" s="120"/>
      <c r="D1639" s="120"/>
      <c r="E1639" s="120"/>
      <c r="F1639" s="120"/>
      <c r="G1639" s="120"/>
      <c r="H1639" s="120"/>
      <c r="I1639" s="120"/>
      <c r="J1639" s="120"/>
      <c r="K1639" s="120"/>
      <c r="L1639" s="120"/>
      <c r="M1639" s="120"/>
    </row>
    <row r="1640">
      <c r="A1640" s="120"/>
      <c r="B1640" s="120"/>
      <c r="C1640" s="120"/>
      <c r="D1640" s="120"/>
      <c r="E1640" s="120"/>
      <c r="F1640" s="120"/>
      <c r="G1640" s="120"/>
      <c r="H1640" s="120"/>
      <c r="I1640" s="120"/>
      <c r="J1640" s="120"/>
      <c r="K1640" s="120"/>
      <c r="L1640" s="120"/>
      <c r="M1640" s="120"/>
    </row>
    <row r="1641">
      <c r="A1641" s="120"/>
      <c r="B1641" s="120"/>
      <c r="C1641" s="120"/>
      <c r="D1641" s="120"/>
      <c r="E1641" s="120"/>
      <c r="F1641" s="120"/>
      <c r="G1641" s="120"/>
      <c r="H1641" s="120"/>
      <c r="I1641" s="120"/>
      <c r="J1641" s="120"/>
      <c r="K1641" s="120"/>
      <c r="L1641" s="120"/>
      <c r="M1641" s="120"/>
    </row>
    <row r="1642">
      <c r="A1642" s="120"/>
      <c r="B1642" s="120"/>
      <c r="C1642" s="120"/>
      <c r="D1642" s="120"/>
      <c r="E1642" s="120"/>
      <c r="F1642" s="120"/>
      <c r="G1642" s="120"/>
      <c r="H1642" s="120"/>
      <c r="I1642" s="120"/>
      <c r="J1642" s="120"/>
      <c r="K1642" s="120"/>
      <c r="L1642" s="120"/>
      <c r="M1642" s="120"/>
    </row>
    <row r="1643">
      <c r="A1643" s="120"/>
      <c r="B1643" s="120"/>
      <c r="C1643" s="120"/>
      <c r="D1643" s="120"/>
      <c r="E1643" s="120"/>
      <c r="F1643" s="120"/>
      <c r="G1643" s="120"/>
      <c r="H1643" s="120"/>
      <c r="I1643" s="120"/>
      <c r="J1643" s="120"/>
      <c r="K1643" s="120"/>
      <c r="L1643" s="120"/>
      <c r="M1643" s="120"/>
    </row>
    <row r="1644">
      <c r="A1644" s="120"/>
      <c r="B1644" s="120"/>
      <c r="C1644" s="120"/>
      <c r="D1644" s="120"/>
      <c r="E1644" s="120"/>
      <c r="F1644" s="120"/>
      <c r="G1644" s="120"/>
      <c r="H1644" s="120"/>
      <c r="I1644" s="120"/>
      <c r="J1644" s="120"/>
      <c r="K1644" s="120"/>
      <c r="L1644" s="120"/>
      <c r="M1644" s="120"/>
    </row>
    <row r="1645">
      <c r="A1645" s="120"/>
      <c r="B1645" s="120"/>
      <c r="C1645" s="120"/>
      <c r="D1645" s="120"/>
      <c r="E1645" s="120"/>
      <c r="F1645" s="120"/>
      <c r="G1645" s="120"/>
      <c r="H1645" s="120"/>
      <c r="I1645" s="120"/>
      <c r="J1645" s="120"/>
      <c r="K1645" s="120"/>
      <c r="L1645" s="120"/>
      <c r="M1645" s="120"/>
    </row>
    <row r="1646">
      <c r="A1646" s="120"/>
      <c r="B1646" s="120"/>
      <c r="C1646" s="120"/>
      <c r="D1646" s="120"/>
      <c r="E1646" s="120"/>
      <c r="F1646" s="120"/>
      <c r="G1646" s="120"/>
      <c r="H1646" s="120"/>
      <c r="I1646" s="120"/>
      <c r="J1646" s="120"/>
      <c r="K1646" s="120"/>
      <c r="L1646" s="120"/>
      <c r="M1646" s="120"/>
    </row>
    <row r="1647">
      <c r="A1647" s="120"/>
      <c r="B1647" s="120"/>
      <c r="C1647" s="120"/>
      <c r="D1647" s="120"/>
      <c r="E1647" s="120"/>
      <c r="F1647" s="120"/>
      <c r="G1647" s="120"/>
      <c r="H1647" s="120"/>
      <c r="I1647" s="120"/>
      <c r="J1647" s="120"/>
      <c r="K1647" s="120"/>
      <c r="L1647" s="120"/>
      <c r="M1647" s="120"/>
    </row>
    <row r="1648">
      <c r="A1648" s="120"/>
      <c r="B1648" s="120"/>
      <c r="C1648" s="120"/>
      <c r="D1648" s="120"/>
      <c r="E1648" s="120"/>
      <c r="F1648" s="120"/>
      <c r="G1648" s="120"/>
      <c r="H1648" s="120"/>
      <c r="I1648" s="120"/>
      <c r="J1648" s="120"/>
      <c r="K1648" s="120"/>
      <c r="L1648" s="120"/>
      <c r="M1648" s="120"/>
    </row>
    <row r="1649">
      <c r="A1649" s="120"/>
      <c r="B1649" s="120"/>
      <c r="C1649" s="120"/>
      <c r="D1649" s="120"/>
      <c r="E1649" s="120"/>
      <c r="F1649" s="120"/>
      <c r="G1649" s="120"/>
      <c r="H1649" s="120"/>
      <c r="I1649" s="120"/>
      <c r="J1649" s="120"/>
      <c r="K1649" s="120"/>
      <c r="L1649" s="120"/>
      <c r="M1649" s="120"/>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6.88"/>
    <col customWidth="1" min="3" max="3" width="81.5"/>
    <col customWidth="1" min="4" max="4" width="74.25"/>
  </cols>
  <sheetData>
    <row r="1">
      <c r="A1" s="236" t="s">
        <v>3340</v>
      </c>
      <c r="B1" s="236" t="s">
        <v>1703</v>
      </c>
      <c r="C1" s="236" t="s">
        <v>366</v>
      </c>
      <c r="D1" s="236" t="s">
        <v>366</v>
      </c>
      <c r="E1" s="120"/>
      <c r="F1" s="120"/>
      <c r="G1" s="120"/>
      <c r="H1" s="120"/>
      <c r="I1" s="120"/>
      <c r="J1" s="120"/>
      <c r="K1" s="120"/>
    </row>
    <row r="2">
      <c r="A2" s="179" t="s">
        <v>3400</v>
      </c>
      <c r="B2" s="179" t="s">
        <v>1191</v>
      </c>
      <c r="C2" s="179" t="s">
        <v>3401</v>
      </c>
      <c r="D2" s="120" t="str">
        <f>IFERROR(__xludf.DUMMYFUNCTION("SUBSTITUTE(REGEXREPLACE(REGEXREPLACE(C2, "":[^;]+"", """"), "";([^;]+)$"", "" and $1""), "";"", "", "")"),"Wenxuan Wang, Zirui Liu, Haoxuan Kou, Xuefeng Liu and Jiaxing Shen")</f>
        <v>Wenxuan Wang, Zirui Liu, Haoxuan Kou, Xuefeng Liu and Jiaxing Shen</v>
      </c>
      <c r="E2" s="120"/>
      <c r="F2" s="120"/>
      <c r="G2" s="120"/>
      <c r="H2" s="120"/>
      <c r="I2" s="120"/>
      <c r="J2" s="120"/>
      <c r="K2" s="120"/>
    </row>
    <row r="3">
      <c r="A3" s="179" t="s">
        <v>3402</v>
      </c>
      <c r="B3" s="179" t="s">
        <v>1214</v>
      </c>
      <c r="C3" s="179" t="s">
        <v>3403</v>
      </c>
      <c r="D3" s="120" t="str">
        <f>IFERROR(__xludf.DUMMYFUNCTION("SUBSTITUTE(REGEXREPLACE(REGEXREPLACE(C3, "":[^;]+"", """"), "";([^;]+)$"", "" and $1""), "";"", "", "")"),"Yuanyi You, Yunke Zhang and Yong Li")</f>
        <v>Yuanyi You, Yunke Zhang and Yong Li</v>
      </c>
      <c r="E3" s="120"/>
      <c r="F3" s="120"/>
      <c r="G3" s="120"/>
      <c r="H3" s="120"/>
      <c r="I3" s="120"/>
      <c r="J3" s="120"/>
      <c r="K3" s="120"/>
    </row>
    <row r="4">
      <c r="A4" s="179" t="s">
        <v>3404</v>
      </c>
      <c r="B4" s="179" t="s">
        <v>1215</v>
      </c>
      <c r="C4" s="179" t="s">
        <v>3405</v>
      </c>
      <c r="D4" s="120" t="str">
        <f>IFERROR(__xludf.DUMMYFUNCTION("SUBSTITUTE(REGEXREPLACE(REGEXREPLACE(C4, "":[^;]+"", """"), "";([^;]+)$"", "" and $1""), "";"", "", "")"),"Dandan Liu, Aznul Qalid Md Sabri, Pan Lihu and Guangrui Fan")</f>
        <v>Dandan Liu, Aznul Qalid Md Sabri, Pan Lihu and Guangrui Fan</v>
      </c>
      <c r="E4" s="120"/>
      <c r="F4" s="120"/>
      <c r="G4" s="120"/>
      <c r="H4" s="120"/>
      <c r="I4" s="120"/>
      <c r="J4" s="120"/>
      <c r="K4" s="120"/>
    </row>
    <row r="5">
      <c r="A5" s="179" t="s">
        <v>3406</v>
      </c>
      <c r="B5" s="179" t="s">
        <v>1224</v>
      </c>
      <c r="C5" s="179" t="s">
        <v>3407</v>
      </c>
      <c r="D5" s="120" t="str">
        <f>IFERROR(__xludf.DUMMYFUNCTION("SUBSTITUTE(REGEXREPLACE(REGEXREPLACE(C5, "":[^;]+"", """"), "";([^;]+)$"", "" and $1""), "";"", "", "")"),"Wenhao Ying, Peng Zhu, Mingzhe Li, Ziyan Wang and Dawei Cheng")</f>
        <v>Wenhao Ying, Peng Zhu, Mingzhe Li, Ziyan Wang and Dawei Cheng</v>
      </c>
      <c r="E5" s="120"/>
      <c r="F5" s="120"/>
      <c r="G5" s="120"/>
      <c r="H5" s="120"/>
      <c r="I5" s="120"/>
      <c r="J5" s="120"/>
      <c r="K5" s="120"/>
    </row>
    <row r="6">
      <c r="A6" s="179" t="s">
        <v>3408</v>
      </c>
      <c r="B6" s="179" t="s">
        <v>1200</v>
      </c>
      <c r="C6" s="179" t="s">
        <v>3409</v>
      </c>
      <c r="D6" s="120" t="str">
        <f>IFERROR(__xludf.DUMMYFUNCTION("SUBSTITUTE(REGEXREPLACE(REGEXREPLACE(C6, "":[^;]+"", """"), "";([^;]+)$"", "" and $1""), "";"", "", "")"),"Wentao Gao, Xiaojing Du, Xiongren Chen, Yifan Guo, Andres Mauricio Cifuentes-Bernal, Renqiang Luo and Ziqi Xu")</f>
        <v>Wentao Gao, Xiaojing Du, Xiongren Chen, Yifan Guo, Andres Mauricio Cifuentes-Bernal, Renqiang Luo and Ziqi Xu</v>
      </c>
      <c r="E6" s="120"/>
      <c r="F6" s="120"/>
      <c r="G6" s="120"/>
      <c r="H6" s="120"/>
      <c r="I6" s="120"/>
      <c r="J6" s="120"/>
      <c r="K6" s="120"/>
    </row>
    <row r="7">
      <c r="A7" s="179" t="s">
        <v>3410</v>
      </c>
      <c r="B7" s="179" t="s">
        <v>1251</v>
      </c>
      <c r="C7" s="179" t="s">
        <v>3411</v>
      </c>
      <c r="D7" s="120" t="str">
        <f>IFERROR(__xludf.DUMMYFUNCTION("SUBSTITUTE(REGEXREPLACE(REGEXREPLACE(C7, "":[^;]+"", """"), "";([^;]+)$"", "" and $1""), "";"", "", "")"),"Haorui He, Yupeng Li, Dacheng Wen, Yang Chen, Reynold Cheng, Donglong Chen and Francis C. M. Lau")</f>
        <v>Haorui He, Yupeng Li, Dacheng Wen, Yang Chen, Reynold Cheng, Donglong Chen and Francis C. M. Lau</v>
      </c>
      <c r="E7" s="120"/>
      <c r="F7" s="120"/>
      <c r="G7" s="120"/>
      <c r="H7" s="120"/>
      <c r="I7" s="120"/>
      <c r="J7" s="120"/>
      <c r="K7" s="120"/>
    </row>
    <row r="8">
      <c r="A8" s="179" t="s">
        <v>3412</v>
      </c>
      <c r="B8" s="179" t="s">
        <v>1201</v>
      </c>
      <c r="C8" s="179" t="s">
        <v>3413</v>
      </c>
      <c r="D8" s="120" t="str">
        <f>IFERROR(__xludf.DUMMYFUNCTION("SUBSTITUTE(REGEXREPLACE(REGEXREPLACE(C8, "":[^;]+"", """"), "";([^;]+)$"", "" and $1""), "";"", "", "")"),"Sicheng Yang, Yukai Huang, Weitong Cai, Shitong Sun, Fengyi Fang, You He, Yiqiao Xie, Jiankang Deng, Hang Zhang, Jifei Song and Zhensong Zhang")</f>
        <v>Sicheng Yang, Yukai Huang, Weitong Cai, Shitong Sun, Fengyi Fang, You He, Yiqiao Xie, Jiankang Deng, Hang Zhang, Jifei Song and Zhensong Zhang</v>
      </c>
      <c r="E8" s="120"/>
      <c r="F8" s="120"/>
      <c r="G8" s="120"/>
      <c r="H8" s="120"/>
      <c r="I8" s="120"/>
      <c r="J8" s="120"/>
      <c r="K8" s="120"/>
    </row>
    <row r="9">
      <c r="A9" s="179" t="s">
        <v>3414</v>
      </c>
      <c r="B9" s="179" t="s">
        <v>1173</v>
      </c>
      <c r="C9" s="179" t="s">
        <v>3415</v>
      </c>
      <c r="D9" s="120" t="str">
        <f>IFERROR(__xludf.DUMMYFUNCTION("SUBSTITUTE(REGEXREPLACE(REGEXREPLACE(C9, "":[^;]+"", """"), "";([^;]+)$"", "" and $1""), "";"", "", "")"),"Pengyang Shao, Naixin Zhai, Lei Chen, Yonghui Yang, Fengbin Zhu, Xun Yang and Meng Wang")</f>
        <v>Pengyang Shao, Naixin Zhai, Lei Chen, Yonghui Yang, Fengbin Zhu, Xun Yang and Meng Wang</v>
      </c>
      <c r="E9" s="120"/>
      <c r="F9" s="120"/>
      <c r="G9" s="120"/>
      <c r="H9" s="120"/>
      <c r="I9" s="120"/>
      <c r="J9" s="120"/>
      <c r="K9" s="120"/>
    </row>
    <row r="10">
      <c r="A10" s="179" t="s">
        <v>3416</v>
      </c>
      <c r="B10" s="179" t="s">
        <v>1190</v>
      </c>
      <c r="C10" s="179" t="s">
        <v>3417</v>
      </c>
      <c r="D10" s="120" t="str">
        <f>IFERROR(__xludf.DUMMYFUNCTION("SUBSTITUTE(REGEXREPLACE(REGEXREPLACE(C10, "":[^;]+"", """"), "";([^;]+)$"", "" and $1""), "";"", "", "")"),"Yuwei Chuai, Gabriele Lenzini and Nicolas Pröllochs")</f>
        <v>Yuwei Chuai, Gabriele Lenzini and Nicolas Pröllochs</v>
      </c>
      <c r="E10" s="120"/>
      <c r="F10" s="120"/>
      <c r="G10" s="120"/>
      <c r="H10" s="120"/>
      <c r="I10" s="120"/>
      <c r="J10" s="120"/>
      <c r="K10" s="120"/>
    </row>
    <row r="11">
      <c r="A11" s="179" t="s">
        <v>3418</v>
      </c>
      <c r="B11" s="179" t="s">
        <v>1194</v>
      </c>
      <c r="C11" s="179" t="s">
        <v>3419</v>
      </c>
      <c r="D11" s="120" t="str">
        <f>IFERROR(__xludf.DUMMYFUNCTION("SUBSTITUTE(REGEXREPLACE(REGEXREPLACE(C11, "":[^;]+"", """"), "";([^;]+)$"", "" and $1""), "";"", "", "")"),"Han Wang, Deyi Ji, Lanyun Zhu, Jiebo Luo and Roy Ka-Wei Lee")</f>
        <v>Han Wang, Deyi Ji, Lanyun Zhu, Jiebo Luo and Roy Ka-Wei Lee</v>
      </c>
      <c r="E11" s="120"/>
      <c r="F11" s="120"/>
      <c r="G11" s="120"/>
      <c r="H11" s="120"/>
      <c r="I11" s="120"/>
      <c r="J11" s="120"/>
      <c r="K11" s="120"/>
    </row>
    <row r="12">
      <c r="A12" s="179" t="s">
        <v>3420</v>
      </c>
      <c r="B12" s="179" t="s">
        <v>1189</v>
      </c>
      <c r="C12" s="179" t="s">
        <v>3421</v>
      </c>
      <c r="D12" s="120" t="str">
        <f>IFERROR(__xludf.DUMMYFUNCTION("SUBSTITUTE(REGEXREPLACE(REGEXREPLACE(C12, "":[^;]+"", """"), "";([^;]+)$"", "" and $1""), "";"", "", "")"),"Liping Huang, Gaoxi Xiao, Stefan Ma, Hechang Chen, Shisong Tang and Flora D. Salim")</f>
        <v>Liping Huang, Gaoxi Xiao, Stefan Ma, Hechang Chen, Shisong Tang and Flora D. Salim</v>
      </c>
      <c r="E12" s="120"/>
      <c r="F12" s="120"/>
      <c r="G12" s="120"/>
      <c r="H12" s="120"/>
      <c r="I12" s="120"/>
      <c r="J12" s="120"/>
      <c r="K12" s="120"/>
    </row>
    <row r="13">
      <c r="A13" s="179" t="s">
        <v>3422</v>
      </c>
      <c r="B13" s="179" t="s">
        <v>1252</v>
      </c>
      <c r="C13" s="179" t="s">
        <v>3423</v>
      </c>
      <c r="D13" s="120" t="str">
        <f>IFERROR(__xludf.DUMMYFUNCTION("SUBSTITUTE(REGEXREPLACE(REGEXREPLACE(C13, "":[^;]+"", """"), "";([^;]+)$"", "" and $1""), "";"", "", "")"),"Bingbing Fan, Lin Chen, Songwei Li, Jian Yuan, Fengli Xu, Pan Hui and Yong Li")</f>
        <v>Bingbing Fan, Lin Chen, Songwei Li, Jian Yuan, Fengli Xu, Pan Hui and Yong Li</v>
      </c>
      <c r="E13" s="120"/>
      <c r="F13" s="120"/>
      <c r="G13" s="120"/>
      <c r="H13" s="120"/>
      <c r="I13" s="120"/>
      <c r="J13" s="120"/>
      <c r="K13" s="120"/>
    </row>
    <row r="14">
      <c r="A14" s="179" t="s">
        <v>3424</v>
      </c>
      <c r="B14" s="179" t="s">
        <v>1202</v>
      </c>
      <c r="C14" s="179" t="s">
        <v>3425</v>
      </c>
      <c r="D14" s="120" t="str">
        <f>IFERROR(__xludf.DUMMYFUNCTION("SUBSTITUTE(REGEXREPLACE(REGEXREPLACE(C14, "":[^;]+"", """"), "";([^;]+)$"", "" and $1""), "";"", "", "")"),"Wei Zhang, Shufeng Hao, Chongyang Shi, Usman Naseem, Jinyan Liu and Ziyu Li")</f>
        <v>Wei Zhang, Shufeng Hao, Chongyang Shi, Usman Naseem, Jinyan Liu and Ziyu Li</v>
      </c>
      <c r="E14" s="120"/>
      <c r="F14" s="120"/>
      <c r="G14" s="120"/>
      <c r="H14" s="120"/>
      <c r="I14" s="120"/>
      <c r="J14" s="120"/>
      <c r="K14" s="120"/>
    </row>
    <row r="15">
      <c r="A15" s="179" t="s">
        <v>3426</v>
      </c>
      <c r="B15" s="179" t="s">
        <v>1253</v>
      </c>
      <c r="C15" s="179" t="s">
        <v>3427</v>
      </c>
      <c r="D15" s="120" t="str">
        <f>IFERROR(__xludf.DUMMYFUNCTION("SUBSTITUTE(REGEXREPLACE(REGEXREPLACE(C15, "":[^;]+"", """"), "";([^;]+)$"", "" and $1""), "";"", "", "")"),"Xinyu Lin, Pengyuan Liu, Wenjie Wang, Yicheng Hu, Chen Xu, Fuli Feng, Qifan Wang and Tat-Seng Chua")</f>
        <v>Xinyu Lin, Pengyuan Liu, Wenjie Wang, Yicheng Hu, Chen Xu, Fuli Feng, Qifan Wang and Tat-Seng Chua</v>
      </c>
      <c r="E15" s="120"/>
      <c r="F15" s="120"/>
      <c r="G15" s="120"/>
      <c r="H15" s="120"/>
      <c r="I15" s="120"/>
      <c r="J15" s="120"/>
      <c r="K15" s="120"/>
    </row>
    <row r="16">
      <c r="A16" s="179" t="s">
        <v>3428</v>
      </c>
      <c r="B16" s="179" t="s">
        <v>1239</v>
      </c>
      <c r="C16" s="179" t="s">
        <v>3429</v>
      </c>
      <c r="D16" s="120" t="str">
        <f>IFERROR(__xludf.DUMMYFUNCTION("SUBSTITUTE(REGEXREPLACE(REGEXREPLACE(C16, "":[^;]+"", """"), "";([^;]+)$"", "" and $1""), "";"", "", "")"),"Chi Xu, Jiaxing Li, Mengdi Jin, William I. Atlas, Mark A. Spoljaric, Edith C.H. Ngai and Jiangchuan Liu")</f>
        <v>Chi Xu, Jiaxing Li, Mengdi Jin, William I. Atlas, Mark A. Spoljaric, Edith C.H. Ngai and Jiangchuan Liu</v>
      </c>
      <c r="E16" s="120"/>
      <c r="F16" s="120"/>
      <c r="G16" s="120"/>
      <c r="H16" s="120"/>
      <c r="I16" s="120"/>
      <c r="J16" s="120"/>
      <c r="K16" s="120"/>
    </row>
    <row r="17">
      <c r="A17" s="179" t="s">
        <v>3430</v>
      </c>
      <c r="B17" s="179" t="s">
        <v>1254</v>
      </c>
      <c r="C17" s="179" t="s">
        <v>3431</v>
      </c>
      <c r="D17" s="120" t="str">
        <f>IFERROR(__xludf.DUMMYFUNCTION("SUBSTITUTE(REGEXREPLACE(REGEXREPLACE(C17, "":[^;]+"", """"), "";([^;]+)$"", "" and $1""), "";"", "", "")"),"Fangjian Shen, Yifan Zeng, Dechen Lyu and Wushao Wen")</f>
        <v>Fangjian Shen, Yifan Zeng, Dechen Lyu and Wushao Wen</v>
      </c>
      <c r="E17" s="120"/>
      <c r="F17" s="120"/>
      <c r="G17" s="120"/>
      <c r="H17" s="120"/>
      <c r="I17" s="120"/>
      <c r="J17" s="120"/>
      <c r="K17" s="120"/>
    </row>
    <row r="18">
      <c r="A18" s="179" t="s">
        <v>3432</v>
      </c>
      <c r="B18" s="179" t="s">
        <v>1176</v>
      </c>
      <c r="C18" s="179" t="s">
        <v>3433</v>
      </c>
      <c r="D18" s="120" t="str">
        <f>IFERROR(__xludf.DUMMYFUNCTION("SUBSTITUTE(REGEXREPLACE(REGEXREPLACE(C18, "":[^;]+"", """"), "";([^;]+)$"", "" and $1""), "";"", "", "")"),"Lei Zhao, Xingguo Lv, Qika Lin, Kaize Shi, Xiaoming Qi, Bin Pu and Kenli Li")</f>
        <v>Lei Zhao, Xingguo Lv, Qika Lin, Kaize Shi, Xiaoming Qi, Bin Pu and Kenli Li</v>
      </c>
      <c r="E18" s="120"/>
      <c r="F18" s="120"/>
      <c r="G18" s="120"/>
      <c r="H18" s="120"/>
      <c r="I18" s="120"/>
      <c r="J18" s="120"/>
      <c r="K18" s="120"/>
    </row>
    <row r="19">
      <c r="A19" s="179" t="s">
        <v>3434</v>
      </c>
      <c r="B19" s="179" t="s">
        <v>3435</v>
      </c>
      <c r="C19" s="179" t="s">
        <v>3436</v>
      </c>
      <c r="D19" s="120" t="str">
        <f>IFERROR(__xludf.DUMMYFUNCTION("SUBSTITUTE(REGEXREPLACE(REGEXREPLACE(C19, "":[^;]+"", """"), "";([^;]+)$"", "" and $1""), "";"", "", "")"),"Yongkang Zhao, Hailin Feng, Tingting Wang, Thippa Reddy Gadekallu, Kai Fang and Wei Wang")</f>
        <v>Yongkang Zhao, Hailin Feng, Tingting Wang, Thippa Reddy Gadekallu, Kai Fang and Wei Wang</v>
      </c>
      <c r="E19" s="120"/>
      <c r="F19" s="120"/>
      <c r="G19" s="120"/>
      <c r="H19" s="120"/>
      <c r="I19" s="120"/>
      <c r="J19" s="120"/>
      <c r="K19" s="120"/>
    </row>
    <row r="20">
      <c r="A20" s="179" t="s">
        <v>3437</v>
      </c>
      <c r="B20" s="179" t="s">
        <v>1195</v>
      </c>
      <c r="C20" s="179" t="s">
        <v>3438</v>
      </c>
      <c r="D20" s="120" t="str">
        <f>IFERROR(__xludf.DUMMYFUNCTION("SUBSTITUTE(REGEXREPLACE(REGEXREPLACE(C20, "":[^;]+"", """"), "";([^;]+)$"", "" and $1""), "";"", "", "")"),"Rongkun Cui, Nana Zhang, Kun Zhu and Qi Zhang")</f>
        <v>Rongkun Cui, Nana Zhang, Kun Zhu and Qi Zhang</v>
      </c>
      <c r="E20" s="120"/>
      <c r="F20" s="120"/>
      <c r="G20" s="120"/>
      <c r="H20" s="120"/>
      <c r="I20" s="120"/>
      <c r="J20" s="120"/>
      <c r="K20" s="120"/>
    </row>
    <row r="21">
      <c r="A21" s="179" t="s">
        <v>3439</v>
      </c>
      <c r="B21" s="179" t="s">
        <v>1181</v>
      </c>
      <c r="C21" s="179" t="s">
        <v>3440</v>
      </c>
      <c r="D21" s="120" t="str">
        <f>IFERROR(__xludf.DUMMYFUNCTION("SUBSTITUTE(REGEXREPLACE(REGEXREPLACE(C21, "":[^;]+"", """"), "";([^;]+)$"", "" and $1""), "";"", "", "")"),"Xiaoyang Zhang, Yang Deng, Fang He and Dan Wang")</f>
        <v>Xiaoyang Zhang, Yang Deng, Fang He and Dan Wang</v>
      </c>
      <c r="E21" s="120"/>
      <c r="F21" s="120"/>
      <c r="G21" s="120"/>
      <c r="H21" s="120"/>
      <c r="I21" s="120"/>
      <c r="J21" s="120"/>
      <c r="K21" s="120"/>
    </row>
    <row r="22">
      <c r="A22" s="179" t="s">
        <v>3441</v>
      </c>
      <c r="B22" s="179" t="s">
        <v>1196</v>
      </c>
      <c r="C22" s="179" t="s">
        <v>3442</v>
      </c>
      <c r="D22" s="120" t="str">
        <f>IFERROR(__xludf.DUMMYFUNCTION("SUBSTITUTE(REGEXREPLACE(REGEXREPLACE(C22, "":[^;]+"", """"), "";([^;]+)$"", "" and $1""), "";"", "", "")"),"Xiaoyang Zhang, Taiqi Zhou, Fang He, Yang Deng and Dan Wang")</f>
        <v>Xiaoyang Zhang, Taiqi Zhou, Fang He, Yang Deng and Dan Wang</v>
      </c>
      <c r="E22" s="120"/>
      <c r="F22" s="120"/>
      <c r="G22" s="120"/>
      <c r="H22" s="120"/>
      <c r="I22" s="120"/>
      <c r="J22" s="120"/>
      <c r="K22" s="120"/>
    </row>
    <row r="23">
      <c r="A23" s="179" t="s">
        <v>3443</v>
      </c>
      <c r="B23" s="179" t="s">
        <v>1216</v>
      </c>
      <c r="C23" s="179" t="s">
        <v>3444</v>
      </c>
      <c r="D23" s="120" t="str">
        <f>IFERROR(__xludf.DUMMYFUNCTION("SUBSTITUTE(REGEXREPLACE(REGEXREPLACE(C23, "":[^;]+"", """"), "";([^;]+)$"", "" and $1""), "";"", "", "")"),"Qiyue Sun, Tailin Chen, Yinghui Zhang, Yuchen Zhang, Jiangbei Yue, Jianbo Jiao and Zeyu Fu")</f>
        <v>Qiyue Sun, Tailin Chen, Yinghui Zhang, Yuchen Zhang, Jiangbei Yue, Jianbo Jiao and Zeyu Fu</v>
      </c>
      <c r="E23" s="120"/>
      <c r="F23" s="120"/>
      <c r="G23" s="120"/>
      <c r="H23" s="120"/>
      <c r="I23" s="120"/>
      <c r="J23" s="120"/>
      <c r="K23" s="120"/>
    </row>
    <row r="24">
      <c r="A24" s="179" t="s">
        <v>3445</v>
      </c>
      <c r="B24" s="179" t="s">
        <v>1197</v>
      </c>
      <c r="C24" s="179" t="s">
        <v>3446</v>
      </c>
      <c r="D24" s="120" t="str">
        <f>IFERROR(__xludf.DUMMYFUNCTION("SUBSTITUTE(REGEXREPLACE(REGEXREPLACE(C24, "":[^;]+"", """"), "";([^;]+)$"", "" and $1""), "";"", "", "")"),"Yuansheng Gao, Peng Gao, Han Bao, Bin Li, Jixiang Luo, Zonghui Wang and Wenzhi Chen")</f>
        <v>Yuansheng Gao, Peng Gao, Han Bao, Bin Li, Jixiang Luo, Zonghui Wang and Wenzhi Chen</v>
      </c>
      <c r="E24" s="120"/>
      <c r="F24" s="120"/>
      <c r="G24" s="120"/>
      <c r="H24" s="120"/>
      <c r="I24" s="120"/>
      <c r="J24" s="120"/>
      <c r="K24" s="120"/>
    </row>
    <row r="25">
      <c r="A25" s="179" t="s">
        <v>3447</v>
      </c>
      <c r="B25" s="179" t="s">
        <v>1203</v>
      </c>
      <c r="C25" s="179" t="s">
        <v>3448</v>
      </c>
      <c r="D25" s="120" t="str">
        <f>IFERROR(__xludf.DUMMYFUNCTION("SUBSTITUTE(REGEXREPLACE(REGEXREPLACE(C25, "":[^;]+"", """"), "";([^;]+)$"", "" and $1""), "";"", "", "")"),"Jing Du, Haley Stone, Yang Yang, Ashna Desai, Hao Xue, Andreas Züfle, C. Raina MacIntyre and Flora D. Salim")</f>
        <v>Jing Du, Haley Stone, Yang Yang, Ashna Desai, Hao Xue, Andreas Züfle, C. Raina MacIntyre and Flora D. Salim</v>
      </c>
      <c r="E25" s="120"/>
      <c r="F25" s="120"/>
      <c r="G25" s="120"/>
      <c r="H25" s="120"/>
      <c r="I25" s="120"/>
      <c r="J25" s="120"/>
      <c r="K25" s="120"/>
    </row>
    <row r="26">
      <c r="A26" s="179" t="s">
        <v>3449</v>
      </c>
      <c r="B26" s="179" t="s">
        <v>1192</v>
      </c>
      <c r="C26" s="179" t="s">
        <v>3450</v>
      </c>
      <c r="D26" s="120" t="str">
        <f>IFERROR(__xludf.DUMMYFUNCTION("SUBSTITUTE(REGEXREPLACE(REGEXREPLACE(C26, "":[^;]+"", """"), "";([^;]+)$"", "" and $1""), "";"", "", "")"),"Jing Ren, Jiapeng Du, Bowen Li, Ziqi Xu, Xin Zheng, Hong Jia, Suyu Ma, Xiwei Xu and Feng Xia")</f>
        <v>Jing Ren, Jiapeng Du, Bowen Li, Ziqi Xu, Xin Zheng, Hong Jia, Suyu Ma, Xiwei Xu and Feng Xia</v>
      </c>
      <c r="E26" s="120"/>
      <c r="F26" s="120"/>
      <c r="G26" s="120"/>
      <c r="H26" s="120"/>
      <c r="I26" s="120"/>
      <c r="J26" s="120"/>
      <c r="K26" s="120"/>
    </row>
    <row r="27">
      <c r="A27" s="179" t="s">
        <v>3451</v>
      </c>
      <c r="B27" s="179" t="s">
        <v>1209</v>
      </c>
      <c r="C27" s="179" t="s">
        <v>3452</v>
      </c>
      <c r="D27" s="120" t="str">
        <f>IFERROR(__xludf.DUMMYFUNCTION("SUBSTITUTE(REGEXREPLACE(REGEXREPLACE(C27, "":[^;]+"", """"), "";([^;]+)$"", "" and $1""), "";"", "", "")"),"Ping Liu, Hui Song, Shufeng Hao, Xiaoning Hao, Zexu Zhang and Usman Naseem")</f>
        <v>Ping Liu, Hui Song, Shufeng Hao, Xiaoning Hao, Zexu Zhang and Usman Naseem</v>
      </c>
      <c r="E27" s="120"/>
      <c r="F27" s="120"/>
      <c r="G27" s="120"/>
      <c r="H27" s="120"/>
      <c r="I27" s="120"/>
      <c r="J27" s="120"/>
      <c r="K27" s="120"/>
    </row>
    <row r="28">
      <c r="A28" s="179" t="s">
        <v>3453</v>
      </c>
      <c r="B28" s="179" t="s">
        <v>1211</v>
      </c>
      <c r="C28" s="179" t="s">
        <v>3454</v>
      </c>
      <c r="D28" s="120" t="str">
        <f>IFERROR(__xludf.DUMMYFUNCTION("SUBSTITUTE(REGEXREPLACE(REGEXREPLACE(C28, "":[^;]+"", """"), "";([^;]+)$"", "" and $1""), "";"", "", "")"),"Ruixiao Zhu, Kun Zhu, Nana Zhang, Qi Zhang and Changjun Jiang")</f>
        <v>Ruixiao Zhu, Kun Zhu, Nana Zhang, Qi Zhang and Changjun Jiang</v>
      </c>
      <c r="E28" s="120"/>
      <c r="F28" s="120"/>
      <c r="G28" s="120"/>
      <c r="H28" s="120"/>
      <c r="I28" s="120"/>
      <c r="J28" s="120"/>
      <c r="K28" s="120"/>
    </row>
    <row r="29">
      <c r="A29" s="179" t="s">
        <v>3455</v>
      </c>
      <c r="B29" s="179" t="s">
        <v>1172</v>
      </c>
      <c r="C29" s="179" t="s">
        <v>3456</v>
      </c>
      <c r="D29" s="120" t="str">
        <f>IFERROR(__xludf.DUMMYFUNCTION("SUBSTITUTE(REGEXREPLACE(REGEXREPLACE(C29, "":[^;]+"", """"), "";([^;]+)$"", "" and $1""), "";"", "", "")"),"Pengyue Yang, Jiawen Wen, Haolin Jin, Linghan Huang, Huaming Chen and Ling Chen")</f>
        <v>Pengyue Yang, Jiawen Wen, Haolin Jin, Linghan Huang, Huaming Chen and Ling Chen</v>
      </c>
      <c r="E29" s="120"/>
      <c r="F29" s="120"/>
      <c r="G29" s="120"/>
      <c r="H29" s="120"/>
      <c r="I29" s="120"/>
      <c r="J29" s="120"/>
      <c r="K29" s="120"/>
    </row>
    <row r="30">
      <c r="A30" s="179" t="s">
        <v>3457</v>
      </c>
      <c r="B30" s="179" t="s">
        <v>1198</v>
      </c>
      <c r="C30" s="179" t="s">
        <v>3458</v>
      </c>
      <c r="D30" s="120" t="str">
        <f>IFERROR(__xludf.DUMMYFUNCTION("SUBSTITUTE(REGEXREPLACE(REGEXREPLACE(C30, "":[^;]+"", """"), "";([^;]+)$"", "" and $1""), "";"", "", "")"),"Zhixiang Lu, Chong Zhang, Yulong Li, Angelos Stefanidis, Anh Nguyen, Imran Razzak, Jionglong Su and Zhengyong Jiang")</f>
        <v>Zhixiang Lu, Chong Zhang, Yulong Li, Angelos Stefanidis, Anh Nguyen, Imran Razzak, Jionglong Su and Zhengyong Jiang</v>
      </c>
      <c r="E30" s="120"/>
      <c r="F30" s="120"/>
      <c r="G30" s="120"/>
      <c r="H30" s="120"/>
      <c r="I30" s="120"/>
      <c r="J30" s="120"/>
      <c r="K30" s="120"/>
    </row>
    <row r="31">
      <c r="A31" s="179" t="s">
        <v>3459</v>
      </c>
      <c r="B31" s="179" t="s">
        <v>1226</v>
      </c>
      <c r="C31" s="179" t="s">
        <v>3460</v>
      </c>
      <c r="D31" s="120" t="str">
        <f>IFERROR(__xludf.DUMMYFUNCTION("SUBSTITUTE(REGEXREPLACE(REGEXREPLACE(C31, "":[^;]+"", """"), "";([^;]+)$"", "" and $1""), "";"", "", "")"),"Michelle Bobek and Nicolas Pröllochs")</f>
        <v>Michelle Bobek and Nicolas Pröllochs</v>
      </c>
      <c r="E31" s="120"/>
      <c r="F31" s="120"/>
      <c r="G31" s="120"/>
      <c r="H31" s="120"/>
      <c r="I31" s="120"/>
      <c r="J31" s="120"/>
      <c r="K31" s="120"/>
    </row>
    <row r="32">
      <c r="A32" s="179" t="s">
        <v>3461</v>
      </c>
      <c r="B32" s="179" t="s">
        <v>1182</v>
      </c>
      <c r="C32" s="179" t="s">
        <v>3462</v>
      </c>
      <c r="D32" s="120" t="str">
        <f>IFERROR(__xludf.DUMMYFUNCTION("SUBSTITUTE(REGEXREPLACE(REGEXREPLACE(C32, "":[^;]+"", """"), "";([^;]+)$"", "" and $1""), "";"", "", "")"),"Linxiao Li and Zhixiang Lu")</f>
        <v>Linxiao Li and Zhixiang Lu</v>
      </c>
      <c r="E32" s="120"/>
      <c r="F32" s="120"/>
      <c r="G32" s="120"/>
      <c r="H32" s="120"/>
      <c r="I32" s="120"/>
      <c r="J32" s="120"/>
      <c r="K32" s="120"/>
    </row>
    <row r="33">
      <c r="A33" s="179" t="s">
        <v>3463</v>
      </c>
      <c r="B33" s="179" t="s">
        <v>1227</v>
      </c>
      <c r="C33" s="179" t="s">
        <v>3464</v>
      </c>
      <c r="D33" s="120" t="str">
        <f>IFERROR(__xludf.DUMMYFUNCTION("SUBSTITUTE(REGEXREPLACE(REGEXREPLACE(C33, "":[^;]+"", """"), "";([^;]+)$"", "" and $1""), "";"", "", "")"),"He Hu, Chiyuan Ma, Qianning Wang, Liu Lin, Yucheng Zhou, Laizhong Cui, Fei Ma and Qi Tian")</f>
        <v>He Hu, Chiyuan Ma, Qianning Wang, Liu Lin, Yucheng Zhou, Laizhong Cui, Fei Ma and Qi Tian</v>
      </c>
      <c r="E33" s="120"/>
      <c r="F33" s="120"/>
      <c r="G33" s="120"/>
      <c r="H33" s="120"/>
      <c r="I33" s="120"/>
      <c r="J33" s="120"/>
      <c r="K33" s="120"/>
    </row>
    <row r="34">
      <c r="A34" s="179" t="s">
        <v>3465</v>
      </c>
      <c r="B34" s="179" t="s">
        <v>1188</v>
      </c>
      <c r="C34" s="179" t="s">
        <v>3466</v>
      </c>
      <c r="D34" s="120" t="str">
        <f>IFERROR(__xludf.DUMMYFUNCTION("SUBSTITUTE(REGEXREPLACE(REGEXREPLACE(C34, "":[^;]+"", """"), "";([^;]+)$"", "" and $1""), "";"", "", "")"),"Yubo Wang, Haoyang Li, Fei Teng and Lei Chen")</f>
        <v>Yubo Wang, Haoyang Li, Fei Teng and Lei Chen</v>
      </c>
      <c r="E34" s="120"/>
      <c r="F34" s="120"/>
      <c r="G34" s="120"/>
      <c r="H34" s="120"/>
      <c r="I34" s="120"/>
      <c r="J34" s="120"/>
      <c r="K34" s="120"/>
    </row>
    <row r="35">
      <c r="A35" s="179" t="s">
        <v>3467</v>
      </c>
      <c r="B35" s="179" t="s">
        <v>1187</v>
      </c>
      <c r="C35" s="179" t="s">
        <v>3468</v>
      </c>
      <c r="D35" s="120" t="str">
        <f>IFERROR(__xludf.DUMMYFUNCTION("SUBSTITUTE(REGEXREPLACE(REGEXREPLACE(C35, "":[^;]+"", """"), "";([^;]+)$"", "" and $1""), "";"", "", "")"),"Yuankun Zu, Xiangyu Cai, Chuchu Yu, Hao Peng, Jia Duan, Long Chen, Kunyao Wang, Zehua Zhang, Changping Peng, Zhangang Lin and Ching Law")</f>
        <v>Yuankun Zu, Xiangyu Cai, Chuchu Yu, Hao Peng, Jia Duan, Long Chen, Kunyao Wang, Zehua Zhang, Changping Peng, Zhangang Lin and Ching Law</v>
      </c>
      <c r="E35" s="120"/>
      <c r="F35" s="120"/>
      <c r="G35" s="120"/>
      <c r="H35" s="120"/>
      <c r="I35" s="120"/>
      <c r="J35" s="120"/>
      <c r="K35" s="120"/>
    </row>
    <row r="36">
      <c r="A36" s="179" t="s">
        <v>3469</v>
      </c>
      <c r="B36" s="179" t="s">
        <v>1179</v>
      </c>
      <c r="C36" s="179" t="s">
        <v>3470</v>
      </c>
      <c r="D36" s="120" t="str">
        <f>IFERROR(__xludf.DUMMYFUNCTION("SUBSTITUTE(REGEXREPLACE(REGEXREPLACE(C36, "":[^;]+"", """"), "";([^;]+)$"", "" and $1""), "";"", "", "")"),"Muhammad Muneeb Pervez, Muhammad Qasim Atiq Ullah, Ibrahim Ahmed Khan, Roshnik Rahat, Muhammad Fareed Zaffar, Rashid Tahir, Talal Rahwan and Yasir Zaki")</f>
        <v>Muhammad Muneeb Pervez, Muhammad Qasim Atiq Ullah, Ibrahim Ahmed Khan, Roshnik Rahat, Muhammad Fareed Zaffar, Rashid Tahir, Talal Rahwan and Yasir Zaki</v>
      </c>
      <c r="E36" s="120"/>
      <c r="F36" s="120"/>
      <c r="G36" s="120"/>
      <c r="H36" s="120"/>
      <c r="I36" s="120"/>
      <c r="J36" s="120"/>
      <c r="K36" s="120"/>
    </row>
    <row r="37">
      <c r="A37" s="179" t="s">
        <v>3471</v>
      </c>
      <c r="B37" s="179" t="s">
        <v>1255</v>
      </c>
      <c r="C37" s="179" t="s">
        <v>3472</v>
      </c>
      <c r="D37" s="120" t="str">
        <f>IFERROR(__xludf.DUMMYFUNCTION("SUBSTITUTE(REGEXREPLACE(REGEXREPLACE(C37, "":[^;]+"", """"), "";([^;]+)$"", "" and $1""), "";"", "", "")"),"Yiluo Wei and Gareth Tyson")</f>
        <v>Yiluo Wei and Gareth Tyson</v>
      </c>
      <c r="E37" s="120"/>
      <c r="F37" s="120"/>
      <c r="G37" s="120"/>
      <c r="H37" s="120"/>
      <c r="I37" s="120"/>
      <c r="J37" s="120"/>
      <c r="K37" s="120"/>
    </row>
    <row r="38">
      <c r="A38" s="179" t="s">
        <v>3473</v>
      </c>
      <c r="B38" s="179" t="s">
        <v>1204</v>
      </c>
      <c r="C38" s="179" t="s">
        <v>3474</v>
      </c>
      <c r="D38" s="120" t="str">
        <f>IFERROR(__xludf.DUMMYFUNCTION("SUBSTITUTE(REGEXREPLACE(REGEXREPLACE(C38, "":[^;]+"", """"), "";([^;]+)$"", "" and $1""), "";"", "", "")"),"Chaoqun Li, Si Wu, Yijun Lu, Yuyin Ma, Jinyao Liu, Dingyi Jia, Mingda Han, Feng Li and Pengfei Hu")</f>
        <v>Chaoqun Li, Si Wu, Yijun Lu, Yuyin Ma, Jinyao Liu, Dingyi Jia, Mingda Han, Feng Li and Pengfei Hu</v>
      </c>
      <c r="E38" s="120"/>
      <c r="F38" s="120"/>
      <c r="G38" s="120"/>
      <c r="H38" s="120"/>
      <c r="I38" s="120"/>
      <c r="J38" s="120"/>
      <c r="K38" s="120"/>
    </row>
    <row r="39">
      <c r="A39" s="179" t="s">
        <v>3475</v>
      </c>
      <c r="B39" s="179" t="s">
        <v>1256</v>
      </c>
      <c r="C39" s="179" t="s">
        <v>3476</v>
      </c>
      <c r="D39" s="120" t="str">
        <f>IFERROR(__xludf.DUMMYFUNCTION("SUBSTITUTE(REGEXREPLACE(REGEXREPLACE(C39, "":[^;]+"", """"), "";([^;]+)$"", "" and $1""), "";"", "", "")"),"Wei Wang, Jian Chen, Junxin Chen, Zeling Xu, Yuntao Zou and Henry H. Y. Tong")</f>
        <v>Wei Wang, Jian Chen, Junxin Chen, Zeling Xu, Yuntao Zou and Henry H. Y. Tong</v>
      </c>
      <c r="E39" s="120"/>
      <c r="F39" s="120"/>
      <c r="G39" s="120"/>
      <c r="H39" s="120"/>
      <c r="I39" s="120"/>
      <c r="J39" s="120"/>
      <c r="K39" s="120"/>
    </row>
    <row r="40">
      <c r="A40" s="179" t="s">
        <v>3477</v>
      </c>
      <c r="B40" s="179" t="s">
        <v>1185</v>
      </c>
      <c r="C40" s="179" t="s">
        <v>3478</v>
      </c>
      <c r="D40" s="120" t="str">
        <f>IFERROR(__xludf.DUMMYFUNCTION("SUBSTITUTE(REGEXREPLACE(REGEXREPLACE(C40, "":[^;]+"", """"), "";([^;]+)$"", "" and $1""), "";"", "", "")"),"Xiongxiao Xu, Solomon Abera Bekele, Brice Videau and Kai Shu")</f>
        <v>Xiongxiao Xu, Solomon Abera Bekele, Brice Videau and Kai Shu</v>
      </c>
      <c r="E40" s="120"/>
      <c r="F40" s="120"/>
      <c r="G40" s="120"/>
      <c r="H40" s="120"/>
      <c r="I40" s="120"/>
      <c r="J40" s="120"/>
      <c r="K40" s="120"/>
    </row>
    <row r="41">
      <c r="A41" s="179" t="s">
        <v>3479</v>
      </c>
      <c r="B41" s="179" t="s">
        <v>1217</v>
      </c>
      <c r="C41" s="179" t="s">
        <v>3480</v>
      </c>
      <c r="D41" s="120" t="str">
        <f>IFERROR(__xludf.DUMMYFUNCTION("SUBSTITUTE(REGEXREPLACE(REGEXREPLACE(C41, "":[^;]+"", """"), "";([^;]+)$"", "" and $1""), "";"", "", "")"),"Tangwei Ye, Liang Hu, Zhongyuan Lai, Qi Zhang, Yiming Wu, Jiaxing Miao, Yijun Yang and Kun Yi")</f>
        <v>Tangwei Ye, Liang Hu, Zhongyuan Lai, Qi Zhang, Yiming Wu, Jiaxing Miao, Yijun Yang and Kun Yi</v>
      </c>
      <c r="E41" s="120"/>
      <c r="F41" s="120"/>
      <c r="G41" s="120"/>
      <c r="H41" s="120"/>
      <c r="I41" s="120"/>
      <c r="J41" s="120"/>
      <c r="K41" s="120"/>
    </row>
    <row r="42">
      <c r="A42" s="179" t="s">
        <v>3481</v>
      </c>
      <c r="B42" s="179" t="s">
        <v>1218</v>
      </c>
      <c r="C42" s="179" t="s">
        <v>3482</v>
      </c>
      <c r="D42" s="120" t="str">
        <f>IFERROR(__xludf.DUMMYFUNCTION("SUBSTITUTE(REGEXREPLACE(REGEXREPLACE(C42, "":[^;]+"", """"), "";([^;]+)$"", "" and $1""), "";"", "", "")"),"Jiahao Yuan, Zhiqing Cui, Hanqing Wang, Yuansheng Gao, Yucheng Zhou and Usman Naseem")</f>
        <v>Jiahao Yuan, Zhiqing Cui, Hanqing Wang, Yuansheng Gao, Yucheng Zhou and Usman Naseem</v>
      </c>
      <c r="E42" s="120"/>
      <c r="F42" s="120"/>
      <c r="G42" s="120"/>
      <c r="H42" s="120"/>
      <c r="I42" s="120"/>
      <c r="J42" s="120"/>
      <c r="K42" s="120"/>
    </row>
    <row r="43">
      <c r="A43" s="179" t="s">
        <v>3483</v>
      </c>
      <c r="B43" s="179" t="s">
        <v>1210</v>
      </c>
      <c r="C43" s="179" t="s">
        <v>3484</v>
      </c>
      <c r="D43" s="120" t="str">
        <f>IFERROR(__xludf.DUMMYFUNCTION("SUBSTITUTE(REGEXREPLACE(REGEXREPLACE(C43, "":[^;]+"", """"), "";([^;]+)$"", "" and $1""), "";"", "", "")"),"Hao Wu, Yuhua Li, Yuntao Zou, Qianqi Zhang, Ruixuan Li, Zeling Xu and Wei Wang")</f>
        <v>Hao Wu, Yuhua Li, Yuntao Zou, Qianqi Zhang, Ruixuan Li, Zeling Xu and Wei Wang</v>
      </c>
      <c r="E43" s="120"/>
      <c r="F43" s="120"/>
      <c r="G43" s="120"/>
      <c r="H43" s="120"/>
      <c r="I43" s="120"/>
      <c r="J43" s="120"/>
      <c r="K43" s="120"/>
    </row>
    <row r="44">
      <c r="A44" s="179" t="s">
        <v>3485</v>
      </c>
      <c r="B44" s="179" t="s">
        <v>1257</v>
      </c>
      <c r="C44" s="179" t="s">
        <v>3486</v>
      </c>
      <c r="D44" s="120" t="str">
        <f>IFERROR(__xludf.DUMMYFUNCTION("SUBSTITUTE(REGEXREPLACE(REGEXREPLACE(C44, "":[^;]+"", """"), "";([^;]+)$"", "" and $1""), "";"", "", "")"),"Weizheng Wang, Qipeng Xie, Shiyu Wang, Qingqing Ye, Kaishun Wu and Haibo Hu")</f>
        <v>Weizheng Wang, Qipeng Xie, Shiyu Wang, Qingqing Ye, Kaishun Wu and Haibo Hu</v>
      </c>
      <c r="E44" s="120"/>
      <c r="F44" s="120"/>
      <c r="G44" s="120"/>
      <c r="H44" s="120"/>
      <c r="I44" s="120"/>
      <c r="J44" s="120"/>
      <c r="K44" s="120"/>
    </row>
    <row r="45">
      <c r="A45" s="179" t="s">
        <v>3487</v>
      </c>
      <c r="B45" s="179" t="s">
        <v>1205</v>
      </c>
      <c r="C45" s="179" t="s">
        <v>3488</v>
      </c>
      <c r="D45" s="120" t="str">
        <f>IFERROR(__xludf.DUMMYFUNCTION("SUBSTITUTE(REGEXREPLACE(REGEXREPLACE(C45, "":[^;]+"", """"), "";([^;]+)$"", "" and $1""), "";"", "", "")"),"Chunze Yang, Wenjie Zhao, Yue Tang, Junbo Lu, Jiusong Ge, Qidong Liu, Zeyu Gao and Chen Li")</f>
        <v>Chunze Yang, Wenjie Zhao, Yue Tang, Junbo Lu, Jiusong Ge, Qidong Liu, Zeyu Gao and Chen Li</v>
      </c>
      <c r="E45" s="120"/>
      <c r="F45" s="120"/>
      <c r="G45" s="120"/>
      <c r="H45" s="120"/>
      <c r="I45" s="120"/>
      <c r="J45" s="120"/>
      <c r="K45" s="120"/>
    </row>
    <row r="46">
      <c r="A46" s="179" t="s">
        <v>3489</v>
      </c>
      <c r="B46" s="179" t="s">
        <v>1170</v>
      </c>
      <c r="C46" s="179" t="s">
        <v>3490</v>
      </c>
      <c r="D46" s="120" t="str">
        <f>IFERROR(__xludf.DUMMYFUNCTION("SUBSTITUTE(REGEXREPLACE(REGEXREPLACE(C46, "":[^;]+"", """"), "";([^;]+)$"", "" and $1""), "";"", "", "")"),"Jing Ren, Bowen Li, Ziqi Xu, Renqiang Luo, Shuo Yu, Xin Ye, Haytham Fayek, Xiaodong Li and Feng Xia")</f>
        <v>Jing Ren, Bowen Li, Ziqi Xu, Renqiang Luo, Shuo Yu, Xin Ye, Haytham Fayek, Xiaodong Li and Feng Xia</v>
      </c>
      <c r="E46" s="120"/>
      <c r="F46" s="120"/>
      <c r="G46" s="120"/>
      <c r="H46" s="120"/>
      <c r="I46" s="120"/>
      <c r="J46" s="120"/>
      <c r="K46" s="120"/>
    </row>
    <row r="47">
      <c r="A47" s="179" t="s">
        <v>3491</v>
      </c>
      <c r="B47" s="179" t="s">
        <v>1206</v>
      </c>
      <c r="C47" s="179" t="s">
        <v>3492</v>
      </c>
      <c r="D47" s="120" t="str">
        <f>IFERROR(__xludf.DUMMYFUNCTION("SUBSTITUTE(REGEXREPLACE(REGEXREPLACE(C47, "":[^;]+"", """"), "";([^;]+)$"", "" and $1""), "";"", "", "")"),"Xuanhan Fan, Rui Ding, Haojie Liu, Jibin Zhou, Han Liu, Yuanman Li, Wei Wang and Mao Ye")</f>
        <v>Xuanhan Fan, Rui Ding, Haojie Liu, Jibin Zhou, Han Liu, Yuanman Li, Wei Wang and Mao Ye</v>
      </c>
      <c r="E47" s="120"/>
      <c r="F47" s="120"/>
      <c r="G47" s="120"/>
      <c r="H47" s="120"/>
      <c r="I47" s="120"/>
      <c r="J47" s="120"/>
      <c r="K47" s="120"/>
    </row>
    <row r="48">
      <c r="A48" s="179" t="s">
        <v>3493</v>
      </c>
      <c r="B48" s="179" t="s">
        <v>1178</v>
      </c>
      <c r="C48" s="179" t="s">
        <v>3494</v>
      </c>
      <c r="D48" s="120" t="str">
        <f>IFERROR(__xludf.DUMMYFUNCTION("SUBSTITUTE(REGEXREPLACE(REGEXREPLACE(C48, "":[^;]+"", """"), "";([^;]+)$"", "" and $1""), "";"", "", "")"),"Fei Wang, Jiangnan Yang, Junjie Chen, Yuxin Liu, Kun Li, Yanyan Wei, Dan Guo and Meng Wang")</f>
        <v>Fei Wang, Jiangnan Yang, Junjie Chen, Yuxin Liu, Kun Li, Yanyan Wei, Dan Guo and Meng Wang</v>
      </c>
      <c r="E48" s="120"/>
      <c r="F48" s="120"/>
      <c r="G48" s="120"/>
      <c r="H48" s="120"/>
      <c r="I48" s="120"/>
      <c r="J48" s="120"/>
      <c r="K48" s="120"/>
    </row>
    <row r="49">
      <c r="A49" s="179" t="s">
        <v>3495</v>
      </c>
      <c r="B49" s="179" t="s">
        <v>1177</v>
      </c>
      <c r="C49" s="179" t="s">
        <v>3496</v>
      </c>
      <c r="D49" s="120" t="str">
        <f>IFERROR(__xludf.DUMMYFUNCTION("SUBSTITUTE(REGEXREPLACE(REGEXREPLACE(C49, "":[^;]+"", """"), "";([^;]+)$"", "" and $1""), "";"", "", "")"),"Chenglong Fu, Jian Yao, Pengjiang Qian, Weiwei Fu, Chuang Wang and Guisong Yang")</f>
        <v>Chenglong Fu, Jian Yao, Pengjiang Qian, Weiwei Fu, Chuang Wang and Guisong Yang</v>
      </c>
      <c r="E49" s="120"/>
      <c r="F49" s="120"/>
      <c r="G49" s="120"/>
      <c r="H49" s="120"/>
      <c r="I49" s="120"/>
      <c r="J49" s="120"/>
      <c r="K49" s="120"/>
    </row>
    <row r="50">
      <c r="A50" s="179" t="s">
        <v>3497</v>
      </c>
      <c r="B50" s="179" t="s">
        <v>1228</v>
      </c>
      <c r="C50" s="179" t="s">
        <v>3498</v>
      </c>
      <c r="D50" s="120" t="str">
        <f>IFERROR(__xludf.DUMMYFUNCTION("SUBSTITUTE(REGEXREPLACE(REGEXREPLACE(C50, "":[^;]+"", """"), "";([^;]+)$"", "" and $1""), "";"", "", "")"),"Wenhui Wu, Tiancheng Zhang, Hengyu Liu, Lun Du, Zikai Li, Mingxing Shao, Minghe Yu, Yifang Yin and Ge Yu")</f>
        <v>Wenhui Wu, Tiancheng Zhang, Hengyu Liu, Lun Du, Zikai Li, Mingxing Shao, Minghe Yu, Yifang Yin and Ge Yu</v>
      </c>
      <c r="E50" s="120"/>
      <c r="F50" s="120"/>
      <c r="G50" s="120"/>
      <c r="H50" s="120"/>
      <c r="I50" s="120"/>
      <c r="J50" s="120"/>
      <c r="K50" s="120"/>
    </row>
    <row r="51">
      <c r="A51" s="179" t="s">
        <v>3499</v>
      </c>
      <c r="B51" s="179" t="s">
        <v>1258</v>
      </c>
      <c r="C51" s="179" t="s">
        <v>3500</v>
      </c>
      <c r="D51" s="120" t="str">
        <f>IFERROR(__xludf.DUMMYFUNCTION("SUBSTITUTE(REGEXREPLACE(REGEXREPLACE(C51, "":[^;]+"", """"), "";([^;]+)$"", "" and $1""), "";"", "", "")"),"Aoqi Wu, Junming Liu, Yuwei Zhang, Weiquan Huang, Liang Hu, Yifan Yang, Qi Zhang, Jiaxing Miao, Yuhan Tang and Zhongyuan Lai")</f>
        <v>Aoqi Wu, Junming Liu, Yuwei Zhang, Weiquan Huang, Liang Hu, Yifan Yang, Qi Zhang, Jiaxing Miao, Yuhan Tang and Zhongyuan Lai</v>
      </c>
      <c r="E51" s="120"/>
      <c r="F51" s="120"/>
      <c r="G51" s="120"/>
      <c r="H51" s="120"/>
      <c r="I51" s="120"/>
      <c r="J51" s="120"/>
      <c r="K51" s="120"/>
    </row>
    <row r="52">
      <c r="A52" s="179" t="s">
        <v>3501</v>
      </c>
      <c r="B52" s="179" t="s">
        <v>3502</v>
      </c>
      <c r="C52" s="179" t="s">
        <v>3503</v>
      </c>
      <c r="D52" s="120" t="str">
        <f>IFERROR(__xludf.DUMMYFUNCTION("SUBSTITUTE(REGEXREPLACE(REGEXREPLACE(C52, "":[^;]+"", """"), "";([^;]+)$"", "" and $1""), "";"", "", "")"),"Peijie Liu, Fengli Xu and Yong Li")</f>
        <v>Peijie Liu, Fengli Xu and Yong Li</v>
      </c>
      <c r="E52" s="120"/>
      <c r="F52" s="120"/>
      <c r="G52" s="120"/>
      <c r="H52" s="120"/>
      <c r="I52" s="120"/>
      <c r="J52" s="120"/>
      <c r="K52" s="120"/>
    </row>
    <row r="53">
      <c r="A53" s="179" t="s">
        <v>3504</v>
      </c>
      <c r="B53" s="179" t="s">
        <v>1259</v>
      </c>
      <c r="C53" s="179" t="s">
        <v>3505</v>
      </c>
      <c r="D53" s="120" t="str">
        <f>IFERROR(__xludf.DUMMYFUNCTION("SUBSTITUTE(REGEXREPLACE(REGEXREPLACE(C53, "":[^;]+"", """"), "";([^;]+)$"", "" and $1""), "";"", "", "")"),"Yinglun Zhang, Sonia Moavenzadeh, Jarrar Amjad, Onur Apul, Adrita Barua, Fatih Evrendilek, Torsten Hahmann, Ganga Hettiarachchi, Pascal Hitzler, David Kedrowski, Vasu Kilaru, Prayas Lashkari, Katrina Schweikert, Antony Williams and Hande McGinty")</f>
        <v>Yinglun Zhang, Sonia Moavenzadeh, Jarrar Amjad, Onur Apul, Adrita Barua, Fatih Evrendilek, Torsten Hahmann, Ganga Hettiarachchi, Pascal Hitzler, David Kedrowski, Vasu Kilaru, Prayas Lashkari, Katrina Schweikert, Antony Williams and Hande McGinty</v>
      </c>
      <c r="E53" s="120"/>
      <c r="F53" s="120"/>
      <c r="G53" s="120"/>
      <c r="H53" s="120"/>
      <c r="I53" s="120"/>
      <c r="J53" s="120"/>
      <c r="K53" s="120"/>
    </row>
    <row r="54">
      <c r="A54" s="179" t="s">
        <v>3506</v>
      </c>
      <c r="B54" s="179" t="s">
        <v>1207</v>
      </c>
      <c r="C54" s="179" t="s">
        <v>3507</v>
      </c>
      <c r="D54" s="120" t="str">
        <f>IFERROR(__xludf.DUMMYFUNCTION("SUBSTITUTE(REGEXREPLACE(REGEXREPLACE(C54, "":[^;]+"", """"), "";([^;]+)$"", "" and $1""), "";"", "", "")"),"Swapnil Mane, Rajesh Sharma and Suman Kundu")</f>
        <v>Swapnil Mane, Rajesh Sharma and Suman Kundu</v>
      </c>
      <c r="E54" s="120"/>
      <c r="F54" s="120"/>
      <c r="G54" s="120"/>
      <c r="H54" s="120"/>
      <c r="I54" s="120"/>
      <c r="J54" s="120"/>
      <c r="K54" s="120"/>
    </row>
    <row r="55">
      <c r="A55" s="179" t="s">
        <v>3508</v>
      </c>
      <c r="B55" s="179" t="s">
        <v>1229</v>
      </c>
      <c r="C55" s="179" t="s">
        <v>3509</v>
      </c>
      <c r="D55" s="120" t="str">
        <f>IFERROR(__xludf.DUMMYFUNCTION("SUBSTITUTE(REGEXREPLACE(REGEXREPLACE(C55, "":[^;]+"", """"), "";([^;]+)$"", "" and $1""), "";"", "", "")"),"Yaokun Liu, Yifan Liu, Phoebe Mbuvi, Zelin Li, Ruichen Yao, Gawon Lim and Dong Wang")</f>
        <v>Yaokun Liu, Yifan Liu, Phoebe Mbuvi, Zelin Li, Ruichen Yao, Gawon Lim and Dong Wang</v>
      </c>
      <c r="E55" s="120"/>
      <c r="F55" s="120"/>
      <c r="G55" s="120"/>
      <c r="H55" s="120"/>
      <c r="I55" s="120"/>
      <c r="J55" s="120"/>
      <c r="K55" s="120"/>
    </row>
    <row r="56">
      <c r="A56" s="179" t="s">
        <v>3510</v>
      </c>
      <c r="B56" s="179" t="s">
        <v>1260</v>
      </c>
      <c r="C56" s="179" t="s">
        <v>3511</v>
      </c>
      <c r="D56" s="120" t="str">
        <f>IFERROR(__xludf.DUMMYFUNCTION("SUBSTITUTE(REGEXREPLACE(REGEXREPLACE(C56, "":[^;]+"", """"), "";([^;]+)$"", "" and $1""), "";"", "", "")"),"Xixian Yong, Peilin Sun, Zihe Wang and Xiao Zhou")</f>
        <v>Xixian Yong, Peilin Sun, Zihe Wang and Xiao Zhou</v>
      </c>
      <c r="E56" s="120"/>
      <c r="F56" s="120"/>
      <c r="G56" s="120"/>
      <c r="H56" s="120"/>
      <c r="I56" s="120"/>
      <c r="J56" s="120"/>
      <c r="K56" s="120"/>
    </row>
    <row r="57">
      <c r="A57" s="179" t="s">
        <v>3512</v>
      </c>
      <c r="B57" s="179" t="s">
        <v>1183</v>
      </c>
      <c r="C57" s="179" t="s">
        <v>3513</v>
      </c>
      <c r="D57" s="120" t="str">
        <f>IFERROR(__xludf.DUMMYFUNCTION("SUBSTITUTE(REGEXREPLACE(REGEXREPLACE(C57, "":[^;]+"", """"), "";([^;]+)$"", "" and $1""), "";"", "", "")"),"Xingrao Ma, Zongxi Li, Chengzu Dong, Kai Fang and Shao Di")</f>
        <v>Xingrao Ma, Zongxi Li, Chengzu Dong, Kai Fang and Shao Di</v>
      </c>
      <c r="E57" s="120"/>
      <c r="F57" s="120"/>
      <c r="G57" s="120"/>
      <c r="H57" s="120"/>
      <c r="I57" s="120"/>
      <c r="J57" s="120"/>
      <c r="K57" s="120"/>
    </row>
    <row r="58">
      <c r="A58" s="179" t="s">
        <v>3514</v>
      </c>
      <c r="B58" s="179" t="s">
        <v>1186</v>
      </c>
      <c r="C58" s="179" t="s">
        <v>3515</v>
      </c>
      <c r="D58" s="120" t="str">
        <f>IFERROR(__xludf.DUMMYFUNCTION("SUBSTITUTE(REGEXREPLACE(REGEXREPLACE(C58, "":[^;]+"", """"), "";([^;]+)$"", "" and $1""), "";"", "", "")"),"Weiwei Fang, Lin Li, Kaize Shi, Yu Yang and Jianwei Zhang")</f>
        <v>Weiwei Fang, Lin Li, Kaize Shi, Yu Yang and Jianwei Zhang</v>
      </c>
      <c r="E58" s="120"/>
      <c r="F58" s="120"/>
      <c r="G58" s="120"/>
      <c r="H58" s="120"/>
      <c r="I58" s="120"/>
      <c r="J58" s="120"/>
      <c r="K58" s="120"/>
    </row>
    <row r="59">
      <c r="A59" s="179" t="s">
        <v>3516</v>
      </c>
      <c r="B59" s="179" t="s">
        <v>1230</v>
      </c>
      <c r="C59" s="179" t="s">
        <v>3517</v>
      </c>
      <c r="D59" s="120" t="str">
        <f>IFERROR(__xludf.DUMMYFUNCTION("SUBSTITUTE(REGEXREPLACE(REGEXREPLACE(C59, "":[^;]+"", """"), "";([^;]+)$"", "" and $1""), "";"", "", "")"),"Rui Guo, Fengyi Wang, Ling-Yu Lin and Guolong Wang")</f>
        <v>Rui Guo, Fengyi Wang, Ling-Yu Lin and Guolong Wang</v>
      </c>
      <c r="E59" s="120"/>
      <c r="F59" s="120"/>
      <c r="G59" s="120"/>
      <c r="H59" s="120"/>
      <c r="I59" s="120"/>
      <c r="J59" s="120"/>
      <c r="K59" s="120"/>
    </row>
    <row r="60">
      <c r="A60" s="179" t="s">
        <v>3518</v>
      </c>
      <c r="B60" s="179" t="s">
        <v>1193</v>
      </c>
      <c r="C60" s="179" t="s">
        <v>3519</v>
      </c>
      <c r="D60" s="120" t="str">
        <f>IFERROR(__xludf.DUMMYFUNCTION("SUBSTITUTE(REGEXREPLACE(REGEXREPLACE(C60, "":[^;]+"", """"), "";([^;]+)$"", "" and $1""), "";"", "", "")"),"Guisong Yang, Yuchen Yang, Yunbo Shen, Xingyu He, Jianheng Tang, Yunhuai Liu and Chengji Xu")</f>
        <v>Guisong Yang, Yuchen Yang, Yunbo Shen, Xingyu He, Jianheng Tang, Yunhuai Liu and Chengji Xu</v>
      </c>
      <c r="E60" s="120"/>
      <c r="F60" s="120"/>
      <c r="G60" s="120"/>
      <c r="H60" s="120"/>
      <c r="I60" s="120"/>
      <c r="J60" s="120"/>
      <c r="K60" s="120"/>
    </row>
    <row r="61">
      <c r="A61" s="179" t="s">
        <v>3520</v>
      </c>
      <c r="B61" s="179" t="s">
        <v>1261</v>
      </c>
      <c r="C61" s="179" t="s">
        <v>3521</v>
      </c>
      <c r="D61" s="120" t="str">
        <f>IFERROR(__xludf.DUMMYFUNCTION("SUBSTITUTE(REGEXREPLACE(REGEXREPLACE(C61, "":[^;]+"", """"), "";([^;]+)$"", "" and $1""), "";"", "", "")"),"Renqiang Luo, Yongshuai Yang, Huafei Huang, Qing Qing, Mingliang Hou, Ziqi Xu, Yi Yu, Jingjing Zhou and Feng Xia")</f>
        <v>Renqiang Luo, Yongshuai Yang, Huafei Huang, Qing Qing, Mingliang Hou, Ziqi Xu, Yi Yu, Jingjing Zhou and Feng Xia</v>
      </c>
      <c r="E61" s="120"/>
      <c r="F61" s="120"/>
      <c r="G61" s="120"/>
      <c r="H61" s="120"/>
      <c r="I61" s="120"/>
      <c r="J61" s="120"/>
      <c r="K61" s="120"/>
    </row>
    <row r="62">
      <c r="A62" s="179" t="s">
        <v>3522</v>
      </c>
      <c r="B62" s="179" t="s">
        <v>1265</v>
      </c>
      <c r="C62" s="179" t="s">
        <v>3523</v>
      </c>
      <c r="D62" s="120" t="str">
        <f>IFERROR(__xludf.DUMMYFUNCTION("SUBSTITUTE(REGEXREPLACE(REGEXREPLACE(C62, "":[^;]+"", """"), "";([^;]+)$"", "" and $1""), "";"", "", "")"),"Thi Huyen Nguyen, Koustav Rudra and Wolfgang Nejdl")</f>
        <v>Thi Huyen Nguyen, Koustav Rudra and Wolfgang Nejdl</v>
      </c>
      <c r="E62" s="120"/>
      <c r="F62" s="120"/>
      <c r="G62" s="120"/>
      <c r="H62" s="120"/>
      <c r="I62" s="120"/>
      <c r="J62" s="120"/>
      <c r="K62" s="120"/>
    </row>
    <row r="63">
      <c r="A63" s="179" t="s">
        <v>3524</v>
      </c>
      <c r="B63" s="179" t="s">
        <v>1241</v>
      </c>
      <c r="C63" s="179" t="s">
        <v>3525</v>
      </c>
      <c r="D63" s="120" t="str">
        <f>IFERROR(__xludf.DUMMYFUNCTION("SUBSTITUTE(REGEXREPLACE(REGEXREPLACE(C63, "":[^;]+"", """"), "";([^;]+)$"", "" and $1""), "";"", "", "")"),"Lili Tian, Dehui Du and Yikang Chen")</f>
        <v>Lili Tian, Dehui Du and Yikang Chen</v>
      </c>
      <c r="E63" s="120"/>
      <c r="F63" s="120"/>
      <c r="G63" s="120"/>
      <c r="H63" s="120"/>
      <c r="I63" s="120"/>
      <c r="J63" s="120"/>
      <c r="K63" s="120"/>
    </row>
    <row r="64">
      <c r="A64" s="179" t="s">
        <v>3526</v>
      </c>
      <c r="B64" s="179" t="s">
        <v>1242</v>
      </c>
      <c r="C64" s="179" t="s">
        <v>3527</v>
      </c>
      <c r="D64" s="120" t="str">
        <f>IFERROR(__xludf.DUMMYFUNCTION("SUBSTITUTE(REGEXREPLACE(REGEXREPLACE(C64, "":[^;]+"", """"), "";([^;]+)$"", "" and $1""), "";"", "", "")"),"Md. Rafiul Biswas, Mabrouka Bessghaier, Shimaa Ibrahim, George Mikros and Wajdi Zaghouani")</f>
        <v>Md. Rafiul Biswas, Mabrouka Bessghaier, Shimaa Ibrahim, George Mikros and Wajdi Zaghouani</v>
      </c>
      <c r="E64" s="120"/>
      <c r="F64" s="120"/>
      <c r="G64" s="120"/>
      <c r="H64" s="120"/>
      <c r="I64" s="120"/>
      <c r="J64" s="120"/>
      <c r="K64" s="120"/>
    </row>
    <row r="65">
      <c r="A65" s="179" t="s">
        <v>3528</v>
      </c>
      <c r="B65" s="179" t="s">
        <v>1243</v>
      </c>
      <c r="C65" s="179" t="s">
        <v>3529</v>
      </c>
      <c r="D65" s="120" t="str">
        <f>IFERROR(__xludf.DUMMYFUNCTION("SUBSTITUTE(REGEXREPLACE(REGEXREPLACE(C65, "":[^;]+"", """"), "";([^;]+)$"", "" and $1""), "";"", "", "")"),"Qiuyu Li, Kun Zhang, Le Wu, Hao Liu, Hefei Xu, Xin Li and Si Wei")</f>
        <v>Qiuyu Li, Kun Zhang, Le Wu, Hao Liu, Hefei Xu, Xin Li and Si Wei</v>
      </c>
      <c r="E65" s="120"/>
      <c r="F65" s="120"/>
      <c r="G65" s="120"/>
      <c r="H65" s="120"/>
      <c r="I65" s="120"/>
      <c r="J65" s="120"/>
      <c r="K65" s="120"/>
    </row>
    <row r="66">
      <c r="A66" s="179" t="s">
        <v>3530</v>
      </c>
      <c r="B66" s="179" t="s">
        <v>1244</v>
      </c>
      <c r="C66" s="179" t="s">
        <v>3531</v>
      </c>
      <c r="D66" s="120" t="str">
        <f>IFERROR(__xludf.DUMMYFUNCTION("SUBSTITUTE(REGEXREPLACE(REGEXREPLACE(C66, "":[^;]+"", """"), "";([^;]+)$"", "" and $1""), "";"", "", "")"),"Xuankai Yang, Yan Wang, Jiajie Zhu, Pengfei Ding, Hongyang Liu, Xiuzhen Zhang and Huan Liu")</f>
        <v>Xuankai Yang, Yan Wang, Jiajie Zhu, Pengfei Ding, Hongyang Liu, Xiuzhen Zhang and Huan Liu</v>
      </c>
      <c r="E66" s="120"/>
      <c r="F66" s="120"/>
      <c r="G66" s="120"/>
      <c r="H66" s="120"/>
      <c r="I66" s="120"/>
      <c r="J66" s="120"/>
      <c r="K66" s="120"/>
    </row>
    <row r="67">
      <c r="A67" s="179" t="s">
        <v>3532</v>
      </c>
      <c r="B67" s="179" t="s">
        <v>1245</v>
      </c>
      <c r="C67" s="179" t="s">
        <v>3533</v>
      </c>
      <c r="D67" s="120" t="str">
        <f>IFERROR(__xludf.DUMMYFUNCTION("SUBSTITUTE(REGEXREPLACE(REGEXREPLACE(C67, "":[^;]+"", """"), "";([^;]+)$"", "" and $1""), "";"", "", "")"),"Xinyi Wang, Jiayu Zhang, Zhiyu Zhu, Zhibo Jin, Dong Yuan and Huaming Chen")</f>
        <v>Xinyi Wang, Jiayu Zhang, Zhiyu Zhu, Zhibo Jin, Dong Yuan and Huaming Chen</v>
      </c>
      <c r="E67" s="120"/>
      <c r="F67" s="120"/>
      <c r="G67" s="120"/>
      <c r="H67" s="120"/>
      <c r="I67" s="120"/>
      <c r="J67" s="120"/>
      <c r="K67" s="120"/>
    </row>
    <row r="68">
      <c r="A68" s="179" t="s">
        <v>3534</v>
      </c>
      <c r="B68" s="179" t="s">
        <v>1262</v>
      </c>
      <c r="C68" s="179" t="s">
        <v>3535</v>
      </c>
      <c r="D68" s="120" t="str">
        <f>IFERROR(__xludf.DUMMYFUNCTION("SUBSTITUTE(REGEXREPLACE(REGEXREPLACE(C68, "":[^;]+"", """"), "";([^;]+)$"", "" and $1""), "";"", "", "")"),"Aditya Kishore, Gaurav Kumar and Jasabanta Patro")</f>
        <v>Aditya Kishore, Gaurav Kumar and Jasabanta Patro</v>
      </c>
      <c r="E68" s="120"/>
      <c r="F68" s="120"/>
      <c r="G68" s="120"/>
      <c r="H68" s="120"/>
      <c r="I68" s="120"/>
      <c r="J68" s="120"/>
      <c r="K68" s="120"/>
    </row>
    <row r="69">
      <c r="A69" s="179" t="s">
        <v>3536</v>
      </c>
      <c r="B69" s="179" t="s">
        <v>1246</v>
      </c>
      <c r="C69" s="179" t="s">
        <v>3537</v>
      </c>
      <c r="D69" s="120" t="str">
        <f>IFERROR(__xludf.DUMMYFUNCTION("SUBSTITUTE(REGEXREPLACE(REGEXREPLACE(C69, "":[^;]+"", """"), "";([^;]+)$"", "" and $1""), "";"", "", "")"),"Prottay Kumar Adhikary, Reena Rawat and Tanmoy Chakraborty")</f>
        <v>Prottay Kumar Adhikary, Reena Rawat and Tanmoy Chakraborty</v>
      </c>
      <c r="E69" s="120"/>
      <c r="F69" s="120"/>
      <c r="G69" s="120"/>
      <c r="H69" s="120"/>
      <c r="I69" s="120"/>
      <c r="J69" s="120"/>
      <c r="K69" s="120"/>
    </row>
    <row r="70">
      <c r="A70" s="179" t="s">
        <v>3538</v>
      </c>
      <c r="B70" s="179" t="s">
        <v>1174</v>
      </c>
      <c r="C70" s="179" t="s">
        <v>3539</v>
      </c>
      <c r="D70" s="120" t="str">
        <f>IFERROR(__xludf.DUMMYFUNCTION("SUBSTITUTE(REGEXREPLACE(REGEXREPLACE(C70, "":[^;]+"", """"), "";([^;]+)$"", "" and $1""), "";"", "", "")"),"Han Liu, Zhi Xu, Xiaotong Zhang, Feng Zhang, Xiaoming Xu, Wei Wang, Fenglong Ma and Hong Yu")</f>
        <v>Han Liu, Zhi Xu, Xiaotong Zhang, Feng Zhang, Xiaoming Xu, Wei Wang, Fenglong Ma and Hong Yu</v>
      </c>
      <c r="E70" s="120"/>
      <c r="F70" s="120"/>
      <c r="G70" s="120"/>
      <c r="H70" s="120"/>
      <c r="I70" s="120"/>
      <c r="J70" s="120"/>
      <c r="K70" s="120"/>
    </row>
    <row r="71">
      <c r="A71" s="179" t="s">
        <v>3540</v>
      </c>
      <c r="B71" s="179" t="s">
        <v>1184</v>
      </c>
      <c r="C71" s="179" t="s">
        <v>3541</v>
      </c>
      <c r="D71" s="120" t="str">
        <f>IFERROR(__xludf.DUMMYFUNCTION("SUBSTITUTE(REGEXREPLACE(REGEXREPLACE(C71, "":[^;]+"", """"), "";([^;]+)$"", "" and $1""), "";"", "", "")"),"Chenyang Shao, Xinyang Liu, Yutang Lin, Fengli Xu and Yong Li")</f>
        <v>Chenyang Shao, Xinyang Liu, Yutang Lin, Fengli Xu and Yong Li</v>
      </c>
      <c r="E71" s="120"/>
      <c r="F71" s="120"/>
      <c r="G71" s="120"/>
      <c r="H71" s="120"/>
      <c r="I71" s="120"/>
      <c r="J71" s="120"/>
      <c r="K71" s="120"/>
    </row>
    <row r="72">
      <c r="A72" s="179" t="s">
        <v>3542</v>
      </c>
      <c r="B72" s="179" t="s">
        <v>1231</v>
      </c>
      <c r="C72" s="179" t="s">
        <v>3543</v>
      </c>
      <c r="D72" s="120" t="str">
        <f>IFERROR(__xludf.DUMMYFUNCTION("SUBSTITUTE(REGEXREPLACE(REGEXREPLACE(C72, "":[^;]+"", """"), "";([^;]+)$"", "" and $1""), "";"", "", "")"),"Tingting Li, Ziming Zhao, Zhaoxuan Li, Xiaofei Yue and Jiongchi Yu")</f>
        <v>Tingting Li, Ziming Zhao, Zhaoxuan Li, Xiaofei Yue and Jiongchi Yu</v>
      </c>
      <c r="E72" s="120"/>
      <c r="F72" s="120"/>
      <c r="G72" s="120"/>
      <c r="H72" s="120"/>
      <c r="I72" s="120"/>
      <c r="J72" s="120"/>
      <c r="K72" s="120"/>
    </row>
    <row r="73">
      <c r="A73" s="179" t="s">
        <v>3544</v>
      </c>
      <c r="B73" s="179" t="s">
        <v>1212</v>
      </c>
      <c r="C73" s="179" t="s">
        <v>3545</v>
      </c>
      <c r="D73" s="120" t="str">
        <f>IFERROR(__xludf.DUMMYFUNCTION("SUBSTITUTE(REGEXREPLACE(REGEXREPLACE(C73, "":[^;]+"", """"), "";([^;]+)$"", "" and $1""), "";"", "", "")"),"Maolin Wang, Beining Bao, Hongyu Chen, Zichun Liu, Lang Fu, Jun Chu, Langzhang Liang and Zenglin Xu")</f>
        <v>Maolin Wang, Beining Bao, Hongyu Chen, Zichun Liu, Lang Fu, Jun Chu, Langzhang Liang and Zenglin Xu</v>
      </c>
      <c r="E73" s="120"/>
      <c r="F73" s="120"/>
      <c r="G73" s="120"/>
      <c r="H73" s="120"/>
      <c r="I73" s="120"/>
      <c r="J73" s="120"/>
      <c r="K73" s="120"/>
    </row>
    <row r="74">
      <c r="A74" s="179" t="s">
        <v>3546</v>
      </c>
      <c r="B74" s="179" t="s">
        <v>1219</v>
      </c>
      <c r="C74" s="179" t="s">
        <v>3547</v>
      </c>
      <c r="D74" s="120" t="str">
        <f>IFERROR(__xludf.DUMMYFUNCTION("SUBSTITUTE(REGEXREPLACE(REGEXREPLACE(C74, "":[^;]+"", """"), "";([^;]+)$"", "" and $1""), "";"", "", "")"),"Eman Nabeel, Haleema Jamil, Shizza Asher, Zaeem Mohtashim Khan, Nida Tanveer, Ihsan Ayyub Qazi and Zafar Ayyub Qazi")</f>
        <v>Eman Nabeel, Haleema Jamil, Shizza Asher, Zaeem Mohtashim Khan, Nida Tanveer, Ihsan Ayyub Qazi and Zafar Ayyub Qazi</v>
      </c>
      <c r="E74" s="120"/>
      <c r="F74" s="120"/>
      <c r="G74" s="120"/>
      <c r="H74" s="120"/>
      <c r="I74" s="120"/>
      <c r="J74" s="120"/>
      <c r="K74" s="120"/>
    </row>
    <row r="75">
      <c r="A75" s="179" t="s">
        <v>3548</v>
      </c>
      <c r="B75" s="179" t="s">
        <v>1199</v>
      </c>
      <c r="C75" s="179" t="s">
        <v>3549</v>
      </c>
      <c r="D75" s="120" t="str">
        <f>IFERROR(__xludf.DUMMYFUNCTION("SUBSTITUTE(REGEXREPLACE(REGEXREPLACE(C75, "":[^;]+"", """"), "";([^;]+)$"", "" and $1""), "";"", "", "")"),"Tao Tang, Mujie Liu, Botao Liu, Wei Du, Liping Chen, Xinrui Cheng, Jiaxin Du and Xiangjie Kong")</f>
        <v>Tao Tang, Mujie Liu, Botao Liu, Wei Du, Liping Chen, Xinrui Cheng, Jiaxin Du and Xiangjie Kong</v>
      </c>
      <c r="E75" s="120"/>
      <c r="F75" s="120"/>
      <c r="G75" s="120"/>
      <c r="H75" s="120"/>
      <c r="I75" s="120"/>
      <c r="J75" s="120"/>
      <c r="K75" s="120"/>
    </row>
    <row r="76">
      <c r="A76" s="179" t="s">
        <v>3550</v>
      </c>
      <c r="B76" s="179" t="s">
        <v>1232</v>
      </c>
      <c r="C76" s="179" t="s">
        <v>3551</v>
      </c>
      <c r="D76" s="120" t="str">
        <f>IFERROR(__xludf.DUMMYFUNCTION("SUBSTITUTE(REGEXREPLACE(REGEXREPLACE(C76, "":[^;]+"", """"), "";([^;]+)$"", "" and $1""), "";"", "", "")"),"Baiyu Chen, Benjamin Tag, Hao Xue, Daniel Angus and Flora Salim")</f>
        <v>Baiyu Chen, Benjamin Tag, Hao Xue, Daniel Angus and Flora Salim</v>
      </c>
      <c r="E76" s="120"/>
      <c r="F76" s="120"/>
      <c r="G76" s="120"/>
      <c r="H76" s="120"/>
      <c r="I76" s="120"/>
      <c r="J76" s="120"/>
      <c r="K76" s="120"/>
    </row>
    <row r="77">
      <c r="A77" s="179" t="s">
        <v>3552</v>
      </c>
      <c r="B77" s="179" t="s">
        <v>1175</v>
      </c>
      <c r="C77" s="179" t="s">
        <v>3553</v>
      </c>
      <c r="D77" s="120" t="str">
        <f>IFERROR(__xludf.DUMMYFUNCTION("SUBSTITUTE(REGEXREPLACE(REGEXREPLACE(C77, "":[^;]+"", """"), "";([^;]+)$"", "" and $1""), "";"", "", "")"),"Liping Chen, Mujie Liu and Haytham Fayek")</f>
        <v>Liping Chen, Mujie Liu and Haytham Fayek</v>
      </c>
      <c r="E77" s="120"/>
      <c r="F77" s="120"/>
      <c r="G77" s="120"/>
      <c r="H77" s="120"/>
      <c r="I77" s="120"/>
      <c r="J77" s="120"/>
      <c r="K77" s="120"/>
    </row>
    <row r="78">
      <c r="A78" s="179" t="s">
        <v>3554</v>
      </c>
      <c r="B78" s="179" t="s">
        <v>1233</v>
      </c>
      <c r="C78" s="179" t="s">
        <v>3555</v>
      </c>
      <c r="D78" s="120" t="str">
        <f>IFERROR(__xludf.DUMMYFUNCTION("SUBSTITUTE(REGEXREPLACE(REGEXREPLACE(C78, "":[^;]+"", """"), "";([^;]+)$"", "" and $1""), "";"", "", "")"),"Qian Hong, Siyuan Chang and Xiao Zhou")</f>
        <v>Qian Hong, Siyuan Chang and Xiao Zhou</v>
      </c>
      <c r="E78" s="120"/>
      <c r="F78" s="120"/>
      <c r="G78" s="120"/>
      <c r="H78" s="120"/>
      <c r="I78" s="120"/>
      <c r="J78" s="120"/>
      <c r="K78" s="120"/>
    </row>
    <row r="79">
      <c r="A79" s="179" t="s">
        <v>3556</v>
      </c>
      <c r="B79" s="179" t="s">
        <v>1234</v>
      </c>
      <c r="C79" s="179" t="s">
        <v>3557</v>
      </c>
      <c r="D79" s="120" t="str">
        <f>IFERROR(__xludf.DUMMYFUNCTION("SUBSTITUTE(REGEXREPLACE(REGEXREPLACE(C79, "":[^;]+"", """"), "";([^;]+)$"", "" and $1""), "";"", "", "")"),"Valerio La Gatta, Marco Postiglione, Jeremy Gilbert, Daniel W. Linna Jr., Morgan Manella Greenfield, Aaron Shaw and V.S. Subrahmanian")</f>
        <v>Valerio La Gatta, Marco Postiglione, Jeremy Gilbert, Daniel W. Linna Jr., Morgan Manella Greenfield, Aaron Shaw and V.S. Subrahmanian</v>
      </c>
      <c r="E79" s="120"/>
      <c r="F79" s="120"/>
      <c r="G79" s="120"/>
      <c r="H79" s="120"/>
      <c r="I79" s="120"/>
      <c r="J79" s="120"/>
      <c r="K79" s="120"/>
    </row>
    <row r="80">
      <c r="A80" s="179" t="s">
        <v>3558</v>
      </c>
      <c r="B80" s="179" t="s">
        <v>1250</v>
      </c>
      <c r="C80" s="179" t="s">
        <v>3559</v>
      </c>
      <c r="D80" s="120" t="str">
        <f>IFERROR(__xludf.DUMMYFUNCTION("SUBSTITUTE(REGEXREPLACE(REGEXREPLACE(C80, "":[^;]+"", """"), "";([^;]+)$"", "" and $1""), "";"", "", "")"),"Georgios Kaoukis, Ioannis-Aris Koufopoulos, Eleni Psaroudaki, Danae Pla Karidi, Evaggelia Pitoura, George Papastefanatos and Panayiotis Tsaparas")</f>
        <v>Georgios Kaoukis, Ioannis-Aris Koufopoulos, Eleni Psaroudaki, Danae Pla Karidi, Evaggelia Pitoura, George Papastefanatos and Panayiotis Tsaparas</v>
      </c>
      <c r="E80" s="120"/>
      <c r="F80" s="120"/>
      <c r="G80" s="120"/>
      <c r="H80" s="120"/>
      <c r="I80" s="120"/>
      <c r="J80" s="120"/>
      <c r="K80" s="120"/>
    </row>
    <row r="81">
      <c r="A81" s="179" t="s">
        <v>3560</v>
      </c>
      <c r="B81" s="179" t="s">
        <v>1235</v>
      </c>
      <c r="C81" s="179" t="s">
        <v>3561</v>
      </c>
      <c r="D81" s="120" t="str">
        <f>IFERROR(__xludf.DUMMYFUNCTION("SUBSTITUTE(REGEXREPLACE(REGEXREPLACE(C81, "":[^;]+"", """"), "";([^;]+)$"", "" and $1""), "";"", "", "")"),"Seoyoon Jeong, JeeEun Kim, S. Shyam Sundar and Jinyoung Han")</f>
        <v>Seoyoon Jeong, JeeEun Kim, S. Shyam Sundar and Jinyoung Han</v>
      </c>
      <c r="E81" s="120"/>
      <c r="F81" s="120"/>
      <c r="G81" s="120"/>
      <c r="H81" s="120"/>
      <c r="I81" s="120"/>
      <c r="J81" s="120"/>
      <c r="K81" s="120"/>
    </row>
    <row r="82">
      <c r="A82" s="179" t="s">
        <v>3562</v>
      </c>
      <c r="B82" s="179" t="s">
        <v>1208</v>
      </c>
      <c r="C82" s="179" t="s">
        <v>3563</v>
      </c>
      <c r="D82" s="120" t="str">
        <f>IFERROR(__xludf.DUMMYFUNCTION("SUBSTITUTE(REGEXREPLACE(REGEXREPLACE(C82, "":[^;]+"", """"), "";([^;]+)$"", "" and $1""), "";"", "", "")"),"Shuxin Zhong, Hongyu Lin, Yan Fang, Jun Chen and Kaishun Wu")</f>
        <v>Shuxin Zhong, Hongyu Lin, Yan Fang, Jun Chen and Kaishun Wu</v>
      </c>
      <c r="E82" s="120"/>
      <c r="F82" s="120"/>
      <c r="G82" s="120"/>
      <c r="H82" s="120"/>
      <c r="I82" s="120"/>
      <c r="J82" s="120"/>
      <c r="K82" s="120"/>
    </row>
    <row r="83">
      <c r="A83" s="179" t="s">
        <v>3564</v>
      </c>
      <c r="B83" s="179" t="s">
        <v>1236</v>
      </c>
      <c r="C83" s="179" t="s">
        <v>3565</v>
      </c>
      <c r="D83" s="120" t="str">
        <f>IFERROR(__xludf.DUMMYFUNCTION("SUBSTITUTE(REGEXREPLACE(REGEXREPLACE(C83, "":[^;]+"", """"), "";([^;]+)$"", "" and $1""), "";"", "", "")"),"Jin Li, Huilin Gu, Shoujin Wang, Qi Zhang, Shui Yu, Chen Wang, Xiwei Xu and Fang Chen")</f>
        <v>Jin Li, Huilin Gu, Shoujin Wang, Qi Zhang, Shui Yu, Chen Wang, Xiwei Xu and Fang Chen</v>
      </c>
      <c r="E83" s="120"/>
      <c r="F83" s="120"/>
      <c r="G83" s="120"/>
      <c r="H83" s="120"/>
      <c r="I83" s="120"/>
      <c r="J83" s="120"/>
      <c r="K83" s="120"/>
    </row>
    <row r="84">
      <c r="A84" s="179" t="s">
        <v>3566</v>
      </c>
      <c r="B84" s="179" t="s">
        <v>1180</v>
      </c>
      <c r="C84" s="179" t="s">
        <v>3567</v>
      </c>
      <c r="D84" s="120" t="str">
        <f>IFERROR(__xludf.DUMMYFUNCTION("SUBSTITUTE(REGEXREPLACE(REGEXREPLACE(C84, "":[^;]+"", """"), "";([^;]+)$"", "" and $1""), "";"", "", "")"),"Lingyao Li, Xiaoshan Huang, Renkai Ma, Ben Zefeng Zhang, Haolun Wu, Fan Yang and Chen Chen")</f>
        <v>Lingyao Li, Xiaoshan Huang, Renkai Ma, Ben Zefeng Zhang, Haolun Wu, Fan Yang and Chen Chen</v>
      </c>
      <c r="E84" s="120"/>
      <c r="F84" s="120"/>
      <c r="G84" s="120"/>
      <c r="H84" s="120"/>
      <c r="I84" s="120"/>
      <c r="J84" s="120"/>
      <c r="K84" s="120"/>
    </row>
    <row r="85">
      <c r="A85" s="179" t="s">
        <v>3568</v>
      </c>
      <c r="B85" s="179" t="s">
        <v>1220</v>
      </c>
      <c r="C85" s="179" t="s">
        <v>3569</v>
      </c>
      <c r="D85" s="120" t="str">
        <f>IFERROR(__xludf.DUMMYFUNCTION("SUBSTITUTE(REGEXREPLACE(REGEXREPLACE(C85, "":[^;]+"", """"), "";([^;]+)$"", "" and $1""), "";"", "", "")"),"Hefei Xu, Le Wu, Yu Wang, Min Hou, Han Wu, Zhen Zhang and Meng Wang")</f>
        <v>Hefei Xu, Le Wu, Yu Wang, Min Hou, Han Wu, Zhen Zhang and Meng Wang</v>
      </c>
      <c r="E85" s="120"/>
      <c r="F85" s="120"/>
      <c r="G85" s="120"/>
      <c r="H85" s="120"/>
      <c r="I85" s="120"/>
      <c r="J85" s="120"/>
      <c r="K85" s="120"/>
    </row>
    <row r="86">
      <c r="A86" s="179" t="s">
        <v>3570</v>
      </c>
      <c r="B86" s="179" t="s">
        <v>1247</v>
      </c>
      <c r="C86" s="179" t="s">
        <v>3571</v>
      </c>
      <c r="D86" s="120" t="str">
        <f>IFERROR(__xludf.DUMMYFUNCTION("SUBSTITUTE(REGEXREPLACE(REGEXREPLACE(C86, "":[^;]+"", """"), "";([^;]+)$"", "" and $1""), "";"", "", "")"),"Sai Keerthana Karnam, Abhisek Dash, Krishna Gummadi, Animesh Mukherjee, Ingmar Weber and Savvas Zannettou")</f>
        <v>Sai Keerthana Karnam, Abhisek Dash, Krishna Gummadi, Animesh Mukherjee, Ingmar Weber and Savvas Zannettou</v>
      </c>
      <c r="E86" s="120"/>
      <c r="F86" s="120"/>
      <c r="G86" s="120"/>
      <c r="H86" s="120"/>
      <c r="I86" s="120"/>
      <c r="J86" s="120"/>
      <c r="K86" s="120"/>
    </row>
    <row r="87">
      <c r="A87" s="179" t="s">
        <v>3572</v>
      </c>
      <c r="B87" s="179" t="s">
        <v>1248</v>
      </c>
      <c r="C87" s="179" t="s">
        <v>3573</v>
      </c>
      <c r="D87" s="120" t="str">
        <f>IFERROR(__xludf.DUMMYFUNCTION("SUBSTITUTE(REGEXREPLACE(REGEXREPLACE(C87, "":[^;]+"", """"), "";([^;]+)$"", "" and $1""), "";"", "", "")"),"Chen Cheng, Hefei Xu and Le Wu")</f>
        <v>Chen Cheng, Hefei Xu and Le Wu</v>
      </c>
      <c r="E87" s="120"/>
      <c r="F87" s="120"/>
      <c r="G87" s="120"/>
      <c r="H87" s="120"/>
      <c r="I87" s="120"/>
      <c r="J87" s="120"/>
      <c r="K87" s="120"/>
    </row>
    <row r="88">
      <c r="A88" s="179" t="s">
        <v>3574</v>
      </c>
      <c r="B88" s="179" t="s">
        <v>1221</v>
      </c>
      <c r="C88" s="179" t="s">
        <v>3575</v>
      </c>
      <c r="D88" s="120" t="str">
        <f>IFERROR(__xludf.DUMMYFUNCTION("SUBSTITUTE(REGEXREPLACE(REGEXREPLACE(C88, "":[^;]+"", """"), "";([^;]+)$"", "" and $1""), "";"", "", "")"),"Moming Duan, Rui Zhao, Linshan Jiang, Nigel Shadbolt and Bingsheng He")</f>
        <v>Moming Duan, Rui Zhao, Linshan Jiang, Nigel Shadbolt and Bingsheng He</v>
      </c>
      <c r="E88" s="120"/>
      <c r="F88" s="120"/>
      <c r="G88" s="120"/>
      <c r="H88" s="120"/>
      <c r="I88" s="120"/>
      <c r="J88" s="120"/>
      <c r="K88" s="120"/>
    </row>
    <row r="89">
      <c r="A89" s="179" t="s">
        <v>3576</v>
      </c>
      <c r="B89" s="179" t="s">
        <v>1249</v>
      </c>
      <c r="C89" s="179" t="s">
        <v>3577</v>
      </c>
      <c r="D89" s="120" t="str">
        <f>IFERROR(__xludf.DUMMYFUNCTION("SUBSTITUTE(REGEXREPLACE(REGEXREPLACE(C89, "":[^;]+"", """"), "";([^;]+)$"", "" and $1""), "";"", "", "")"),"Xiaoli Zeng, Ying Zheng, Shuyan Huang, Zitao Liu, Mi Tian, Mingliang Hou, Jiaqi Zheng and Wenzhou Dou")</f>
        <v>Xiaoli Zeng, Ying Zheng, Shuyan Huang, Zitao Liu, Mi Tian, Mingliang Hou, Jiaqi Zheng and Wenzhou Dou</v>
      </c>
      <c r="E89" s="120"/>
      <c r="F89" s="120"/>
      <c r="G89" s="120"/>
      <c r="H89" s="120"/>
      <c r="I89" s="120"/>
      <c r="J89" s="120"/>
      <c r="K89" s="120"/>
    </row>
    <row r="90">
      <c r="A90" s="179" t="s">
        <v>3578</v>
      </c>
      <c r="B90" s="179" t="s">
        <v>1222</v>
      </c>
      <c r="C90" s="179" t="s">
        <v>3579</v>
      </c>
      <c r="D90" s="120" t="str">
        <f>IFERROR(__xludf.DUMMYFUNCTION("SUBSTITUTE(REGEXREPLACE(REGEXREPLACE(C90, "":[^;]+"", """"), "";([^;]+)$"", "" and $1""), "";"", "", "")"),"Xin Jing, Zeyu Shi, Zhangtao Cheng, Yichen Jing, Yuhuan Lu, Bangchao Deng and Dingqi Yang")</f>
        <v>Xin Jing, Zeyu Shi, Zhangtao Cheng, Yichen Jing, Yuhuan Lu, Bangchao Deng and Dingqi Yang</v>
      </c>
      <c r="E90" s="120"/>
      <c r="F90" s="120"/>
      <c r="G90" s="120"/>
      <c r="H90" s="120"/>
      <c r="I90" s="120"/>
      <c r="J90" s="120"/>
      <c r="K90" s="120"/>
    </row>
    <row r="91">
      <c r="A91" s="179" t="s">
        <v>3580</v>
      </c>
      <c r="B91" s="179" t="s">
        <v>1263</v>
      </c>
      <c r="C91" s="179" t="s">
        <v>3581</v>
      </c>
      <c r="D91" s="120" t="str">
        <f>IFERROR(__xludf.DUMMYFUNCTION("SUBSTITUTE(REGEXREPLACE(REGEXREPLACE(C91, "":[^;]+"", """"), "";([^;]+)$"", "" and $1""), "";"", "", "")"),"Parviz Ahmadov and Masoud Mansoury")</f>
        <v>Parviz Ahmadov and Masoud Mansoury</v>
      </c>
      <c r="E91" s="120"/>
      <c r="F91" s="120"/>
      <c r="G91" s="120"/>
      <c r="H91" s="120"/>
      <c r="I91" s="120"/>
      <c r="J91" s="120"/>
      <c r="K91" s="120"/>
    </row>
    <row r="92">
      <c r="A92" s="179" t="s">
        <v>3582</v>
      </c>
      <c r="B92" s="179" t="s">
        <v>1264</v>
      </c>
      <c r="C92" s="179" t="s">
        <v>3583</v>
      </c>
      <c r="D92" s="120" t="str">
        <f>IFERROR(__xludf.DUMMYFUNCTION("SUBSTITUTE(REGEXREPLACE(REGEXREPLACE(C92, "":[^;]+"", """"), "";([^;]+)$"", "" and $1""), "";"", "", "")"),"Zhipeng Liu, Ziming Zhao and Fan Zhang")</f>
        <v>Zhipeng Liu, Ziming Zhao and Fan Zhang</v>
      </c>
      <c r="E92" s="120"/>
      <c r="F92" s="120"/>
      <c r="G92" s="120"/>
      <c r="H92" s="120"/>
      <c r="I92" s="120"/>
      <c r="J92" s="120"/>
      <c r="K92" s="120"/>
    </row>
    <row r="93">
      <c r="A93" s="179" t="s">
        <v>3584</v>
      </c>
      <c r="B93" s="179" t="s">
        <v>1213</v>
      </c>
      <c r="C93" s="179" t="s">
        <v>3585</v>
      </c>
      <c r="D93" s="120" t="str">
        <f>IFERROR(__xludf.DUMMYFUNCTION("SUBSTITUTE(REGEXREPLACE(REGEXREPLACE(C93, "":[^;]+"", """"), "";([^;]+)$"", "" and $1""), "";"", "", "")"),"Mo Wang, Kaixuan Ren, Pratik Jalan, Ahmed Ashraf, Tuong Vy Vu, Rahul Seetharaman, Shah Nawaz and Usman Naseem")</f>
        <v>Mo Wang, Kaixuan Ren, Pratik Jalan, Ahmed Ashraf, Tuong Vy Vu, Rahul Seetharaman, Shah Nawaz and Usman Naseem</v>
      </c>
      <c r="E93" s="120"/>
      <c r="F93" s="120"/>
      <c r="G93" s="120"/>
      <c r="H93" s="120"/>
      <c r="I93" s="120"/>
      <c r="J93" s="120"/>
      <c r="K93" s="120"/>
    </row>
    <row r="94">
      <c r="A94" s="179" t="s">
        <v>3586</v>
      </c>
      <c r="B94" s="179" t="s">
        <v>1223</v>
      </c>
      <c r="C94" s="179" t="s">
        <v>3587</v>
      </c>
      <c r="D94" s="120" t="str">
        <f>IFERROR(__xludf.DUMMYFUNCTION("SUBSTITUTE(REGEXREPLACE(REGEXREPLACE(C94, "":[^;]+"", """"), "";([^;]+)$"", "" and $1""), "";"", "", "")"),"Bo Yang, Lanfei Feng, Yunkui Chen, Yu Zhang, Jianyu Zhang, Xiao Xu, Nueraili Aierken and Shijian Li")</f>
        <v>Bo Yang, Lanfei Feng, Yunkui Chen, Yu Zhang, Jianyu Zhang, Xiao Xu, Nueraili Aierken and Shijian Li</v>
      </c>
      <c r="E94" s="120"/>
      <c r="F94" s="120"/>
      <c r="G94" s="120"/>
      <c r="H94" s="120"/>
      <c r="I94" s="120"/>
      <c r="J94" s="120"/>
      <c r="K94" s="120"/>
    </row>
    <row r="95">
      <c r="A95" s="238" t="s">
        <v>3588</v>
      </c>
      <c r="B95" s="238" t="s">
        <v>1237</v>
      </c>
      <c r="C95" s="238" t="s">
        <v>3589</v>
      </c>
      <c r="D95" s="159" t="str">
        <f>IFERROR(__xludf.DUMMYFUNCTION("SUBSTITUTE(REGEXREPLACE(REGEXREPLACE(C95, "":[^;]+"", """"), "";([^;]+)$"", "" and $1""), "";"", "", "")"),"Yicheng Di")</f>
        <v>Yicheng Di</v>
      </c>
      <c r="E95" s="159"/>
      <c r="F95" s="159"/>
      <c r="G95" s="159"/>
      <c r="H95" s="159"/>
      <c r="I95" s="159"/>
      <c r="J95" s="159"/>
      <c r="K95" s="159"/>
      <c r="L95" s="181"/>
      <c r="M95" s="181"/>
      <c r="N95" s="181"/>
      <c r="O95" s="181"/>
      <c r="P95" s="181"/>
      <c r="Q95" s="181"/>
      <c r="R95" s="181"/>
      <c r="S95" s="181"/>
      <c r="T95" s="181"/>
      <c r="U95" s="181"/>
      <c r="V95" s="181"/>
      <c r="W95" s="181"/>
      <c r="X95" s="181"/>
      <c r="Y95" s="181"/>
      <c r="Z95" s="181"/>
    </row>
    <row r="96">
      <c r="A96" s="179" t="s">
        <v>3590</v>
      </c>
      <c r="B96" s="179" t="s">
        <v>1238</v>
      </c>
      <c r="C96" s="179" t="s">
        <v>3591</v>
      </c>
      <c r="D96" s="120" t="str">
        <f>IFERROR(__xludf.DUMMYFUNCTION("SUBSTITUTE(REGEXREPLACE(REGEXREPLACE(C96, "":[^;]+"", """"), "";([^;]+)$"", "" and $1""), "";"", "", "")"),"Jiahui He, Yiluo Wei and Gareth Tyson")</f>
        <v>Jiahui He, Yiluo Wei and Gareth Tyson</v>
      </c>
      <c r="E96" s="120"/>
      <c r="F96" s="120"/>
      <c r="G96" s="120"/>
      <c r="H96" s="120"/>
      <c r="I96" s="120"/>
      <c r="J96" s="120"/>
      <c r="K96" s="120"/>
    </row>
    <row r="97">
      <c r="A97" s="120"/>
      <c r="B97" s="120"/>
      <c r="C97" s="120"/>
      <c r="D97" s="120"/>
      <c r="E97" s="120"/>
      <c r="F97" s="120"/>
      <c r="G97" s="120"/>
      <c r="H97" s="120"/>
      <c r="I97" s="120"/>
      <c r="J97" s="120"/>
      <c r="K97" s="120"/>
    </row>
    <row r="98">
      <c r="A98" s="120"/>
      <c r="B98" s="120"/>
      <c r="C98" s="120"/>
      <c r="D98" s="120"/>
      <c r="E98" s="120"/>
      <c r="F98" s="120"/>
      <c r="G98" s="120"/>
      <c r="H98" s="120"/>
      <c r="I98" s="120"/>
      <c r="J98" s="120"/>
      <c r="K98" s="120"/>
    </row>
    <row r="99">
      <c r="A99" s="120"/>
      <c r="B99" s="120"/>
      <c r="C99" s="120"/>
      <c r="D99" s="120"/>
      <c r="E99" s="120"/>
      <c r="F99" s="120"/>
      <c r="G99" s="120"/>
      <c r="H99" s="120"/>
      <c r="I99" s="120"/>
      <c r="J99" s="120"/>
      <c r="K99" s="120"/>
    </row>
    <row r="100">
      <c r="A100" s="120"/>
      <c r="B100" s="120"/>
      <c r="C100" s="120"/>
      <c r="D100" s="120"/>
      <c r="E100" s="120"/>
      <c r="F100" s="120"/>
      <c r="G100" s="120"/>
      <c r="H100" s="120"/>
      <c r="I100" s="120"/>
      <c r="J100" s="120"/>
      <c r="K100" s="120"/>
    </row>
    <row r="101">
      <c r="A101" s="120"/>
      <c r="B101" s="120"/>
      <c r="C101" s="120"/>
      <c r="D101" s="120"/>
      <c r="E101" s="120"/>
      <c r="F101" s="120"/>
      <c r="G101" s="120"/>
      <c r="H101" s="120"/>
      <c r="I101" s="120"/>
      <c r="J101" s="120"/>
      <c r="K101" s="120"/>
    </row>
    <row r="102">
      <c r="A102" s="120"/>
      <c r="B102" s="120"/>
      <c r="C102" s="120"/>
      <c r="D102" s="120"/>
      <c r="E102" s="120"/>
      <c r="F102" s="120"/>
      <c r="G102" s="120"/>
      <c r="H102" s="120"/>
      <c r="I102" s="120"/>
      <c r="J102" s="120"/>
      <c r="K102" s="120"/>
    </row>
    <row r="103">
      <c r="A103" s="120"/>
      <c r="B103" s="120"/>
      <c r="C103" s="120"/>
      <c r="D103" s="120"/>
      <c r="E103" s="120"/>
      <c r="F103" s="120"/>
      <c r="G103" s="120"/>
      <c r="H103" s="120"/>
      <c r="I103" s="120"/>
      <c r="J103" s="120"/>
      <c r="K103" s="120"/>
    </row>
    <row r="104">
      <c r="A104" s="120"/>
      <c r="B104" s="120"/>
      <c r="C104" s="120"/>
      <c r="D104" s="120"/>
      <c r="E104" s="120"/>
      <c r="F104" s="120"/>
      <c r="G104" s="120"/>
      <c r="H104" s="120"/>
      <c r="I104" s="120"/>
      <c r="J104" s="120"/>
      <c r="K104" s="120"/>
    </row>
    <row r="105">
      <c r="A105" s="120"/>
      <c r="B105" s="120"/>
      <c r="C105" s="120"/>
      <c r="D105" s="120"/>
      <c r="E105" s="120"/>
      <c r="F105" s="120"/>
      <c r="G105" s="120"/>
      <c r="H105" s="120"/>
      <c r="I105" s="120"/>
      <c r="J105" s="120"/>
      <c r="K105" s="120"/>
    </row>
    <row r="106">
      <c r="A106" s="120"/>
      <c r="B106" s="120"/>
      <c r="C106" s="120"/>
      <c r="D106" s="120"/>
      <c r="E106" s="120"/>
      <c r="F106" s="120"/>
      <c r="G106" s="120"/>
      <c r="H106" s="120"/>
      <c r="I106" s="120"/>
      <c r="J106" s="120"/>
      <c r="K106" s="120"/>
    </row>
    <row r="107">
      <c r="A107" s="120"/>
      <c r="B107" s="120"/>
      <c r="C107" s="120"/>
      <c r="D107" s="120"/>
      <c r="E107" s="120"/>
      <c r="F107" s="120"/>
      <c r="G107" s="120"/>
      <c r="H107" s="120"/>
      <c r="I107" s="120"/>
      <c r="J107" s="120"/>
      <c r="K107" s="120"/>
    </row>
    <row r="108">
      <c r="A108" s="120"/>
      <c r="B108" s="120"/>
      <c r="C108" s="120"/>
      <c r="D108" s="120"/>
      <c r="E108" s="120"/>
      <c r="F108" s="120"/>
      <c r="G108" s="120"/>
      <c r="H108" s="120"/>
      <c r="I108" s="120"/>
      <c r="J108" s="120"/>
      <c r="K108" s="120"/>
    </row>
    <row r="109">
      <c r="A109" s="120"/>
      <c r="B109" s="120"/>
      <c r="C109" s="120"/>
      <c r="D109" s="120"/>
      <c r="E109" s="120"/>
      <c r="F109" s="120"/>
      <c r="G109" s="120"/>
      <c r="H109" s="120"/>
      <c r="I109" s="120"/>
      <c r="J109" s="120"/>
      <c r="K109" s="120"/>
    </row>
    <row r="110">
      <c r="A110" s="120"/>
      <c r="B110" s="120"/>
      <c r="C110" s="120"/>
      <c r="D110" s="120"/>
      <c r="E110" s="120"/>
      <c r="F110" s="120"/>
      <c r="G110" s="120"/>
      <c r="H110" s="120"/>
      <c r="I110" s="120"/>
      <c r="J110" s="120"/>
      <c r="K110" s="120"/>
    </row>
    <row r="111">
      <c r="A111" s="120"/>
      <c r="B111" s="120"/>
      <c r="C111" s="120"/>
      <c r="D111" s="120"/>
      <c r="E111" s="120"/>
      <c r="F111" s="120"/>
      <c r="G111" s="120"/>
      <c r="H111" s="120"/>
      <c r="I111" s="120"/>
      <c r="J111" s="120"/>
      <c r="K111" s="120"/>
    </row>
    <row r="112">
      <c r="A112" s="120"/>
      <c r="B112" s="120"/>
      <c r="C112" s="120"/>
      <c r="D112" s="120"/>
      <c r="E112" s="120"/>
      <c r="F112" s="120"/>
      <c r="G112" s="120"/>
      <c r="H112" s="120"/>
      <c r="I112" s="120"/>
      <c r="J112" s="120"/>
      <c r="K112" s="120"/>
    </row>
    <row r="113">
      <c r="A113" s="120"/>
      <c r="B113" s="120"/>
      <c r="C113" s="120"/>
      <c r="D113" s="120"/>
      <c r="E113" s="120"/>
      <c r="F113" s="120"/>
      <c r="G113" s="120"/>
      <c r="H113" s="120"/>
      <c r="I113" s="120"/>
      <c r="J113" s="120"/>
      <c r="K113" s="120"/>
    </row>
    <row r="114">
      <c r="A114" s="120"/>
      <c r="B114" s="120"/>
      <c r="C114" s="120"/>
      <c r="D114" s="120"/>
      <c r="E114" s="120"/>
      <c r="F114" s="120"/>
      <c r="G114" s="120"/>
      <c r="H114" s="120"/>
      <c r="I114" s="120"/>
      <c r="J114" s="120"/>
      <c r="K114" s="120"/>
    </row>
    <row r="115">
      <c r="A115" s="120"/>
      <c r="B115" s="120"/>
      <c r="C115" s="120"/>
      <c r="D115" s="120"/>
      <c r="E115" s="120"/>
      <c r="F115" s="120"/>
      <c r="G115" s="120"/>
      <c r="H115" s="120"/>
      <c r="I115" s="120"/>
      <c r="J115" s="120"/>
      <c r="K115" s="120"/>
    </row>
    <row r="116">
      <c r="A116" s="120"/>
      <c r="B116" s="120"/>
      <c r="C116" s="120"/>
      <c r="D116" s="120"/>
      <c r="E116" s="120"/>
      <c r="F116" s="120"/>
      <c r="G116" s="120"/>
      <c r="H116" s="120"/>
      <c r="I116" s="120"/>
      <c r="J116" s="120"/>
      <c r="K116" s="120"/>
    </row>
    <row r="117">
      <c r="A117" s="120"/>
      <c r="B117" s="120"/>
      <c r="C117" s="120"/>
      <c r="D117" s="120"/>
      <c r="E117" s="120"/>
      <c r="F117" s="120"/>
      <c r="G117" s="120"/>
      <c r="H117" s="120"/>
      <c r="I117" s="120"/>
      <c r="J117" s="120"/>
      <c r="K117" s="120"/>
    </row>
    <row r="118">
      <c r="A118" s="120"/>
      <c r="B118" s="120"/>
      <c r="C118" s="120"/>
      <c r="D118" s="120"/>
      <c r="E118" s="120"/>
      <c r="F118" s="120"/>
      <c r="G118" s="120"/>
      <c r="H118" s="120"/>
      <c r="I118" s="120"/>
      <c r="J118" s="120"/>
      <c r="K118" s="120"/>
    </row>
    <row r="119">
      <c r="A119" s="120"/>
      <c r="B119" s="120"/>
      <c r="C119" s="120"/>
      <c r="D119" s="120"/>
      <c r="E119" s="120"/>
      <c r="F119" s="120"/>
      <c r="G119" s="120"/>
      <c r="H119" s="120"/>
      <c r="I119" s="120"/>
      <c r="J119" s="120"/>
      <c r="K119" s="120"/>
    </row>
    <row r="120">
      <c r="A120" s="120"/>
      <c r="B120" s="120"/>
      <c r="C120" s="120"/>
      <c r="D120" s="120"/>
      <c r="E120" s="120"/>
      <c r="F120" s="120"/>
      <c r="G120" s="120"/>
      <c r="H120" s="120"/>
      <c r="I120" s="120"/>
      <c r="J120" s="120"/>
      <c r="K120" s="120"/>
    </row>
    <row r="121">
      <c r="A121" s="120"/>
      <c r="B121" s="120"/>
      <c r="C121" s="120"/>
      <c r="D121" s="120"/>
      <c r="E121" s="120"/>
      <c r="F121" s="120"/>
      <c r="G121" s="120"/>
      <c r="H121" s="120"/>
      <c r="I121" s="120"/>
      <c r="J121" s="120"/>
      <c r="K121" s="120"/>
    </row>
    <row r="122">
      <c r="A122" s="120"/>
      <c r="B122" s="120"/>
      <c r="C122" s="120"/>
      <c r="D122" s="120"/>
      <c r="E122" s="120"/>
      <c r="F122" s="120"/>
      <c r="G122" s="120"/>
      <c r="H122" s="120"/>
      <c r="I122" s="120"/>
      <c r="J122" s="120"/>
      <c r="K122" s="120"/>
    </row>
    <row r="123">
      <c r="A123" s="120"/>
      <c r="B123" s="120"/>
      <c r="C123" s="120"/>
      <c r="D123" s="120"/>
      <c r="E123" s="120"/>
      <c r="F123" s="120"/>
      <c r="G123" s="120"/>
      <c r="H123" s="120"/>
      <c r="I123" s="120"/>
      <c r="J123" s="120"/>
      <c r="K123" s="120"/>
    </row>
    <row r="124">
      <c r="A124" s="120"/>
      <c r="B124" s="120"/>
      <c r="C124" s="120"/>
      <c r="D124" s="120"/>
      <c r="E124" s="120"/>
      <c r="F124" s="120"/>
      <c r="G124" s="120"/>
      <c r="H124" s="120"/>
      <c r="I124" s="120"/>
      <c r="J124" s="120"/>
      <c r="K124" s="120"/>
    </row>
    <row r="125">
      <c r="A125" s="120"/>
      <c r="B125" s="120"/>
      <c r="C125" s="120"/>
      <c r="D125" s="120"/>
      <c r="E125" s="120"/>
      <c r="F125" s="120"/>
      <c r="G125" s="120"/>
      <c r="H125" s="120"/>
      <c r="I125" s="120"/>
      <c r="J125" s="120"/>
      <c r="K125" s="120"/>
    </row>
    <row r="126">
      <c r="A126" s="120"/>
      <c r="B126" s="120"/>
      <c r="C126" s="120"/>
      <c r="D126" s="120"/>
      <c r="E126" s="120"/>
      <c r="F126" s="120"/>
      <c r="G126" s="120"/>
      <c r="H126" s="120"/>
      <c r="I126" s="120"/>
      <c r="J126" s="120"/>
      <c r="K126" s="120"/>
    </row>
    <row r="127">
      <c r="A127" s="120"/>
      <c r="B127" s="120"/>
      <c r="C127" s="120"/>
      <c r="D127" s="120"/>
      <c r="E127" s="120"/>
      <c r="F127" s="120"/>
      <c r="G127" s="120"/>
      <c r="H127" s="120"/>
      <c r="I127" s="120"/>
      <c r="J127" s="120"/>
      <c r="K127" s="120"/>
    </row>
    <row r="128">
      <c r="A128" s="120"/>
      <c r="B128" s="120"/>
      <c r="C128" s="120"/>
      <c r="D128" s="120"/>
      <c r="E128" s="120"/>
      <c r="F128" s="120"/>
      <c r="G128" s="120"/>
      <c r="H128" s="120"/>
      <c r="I128" s="120"/>
      <c r="J128" s="120"/>
      <c r="K128" s="120"/>
    </row>
    <row r="129">
      <c r="A129" s="120"/>
      <c r="B129" s="120"/>
      <c r="C129" s="120"/>
      <c r="D129" s="120"/>
      <c r="E129" s="120"/>
      <c r="F129" s="120"/>
      <c r="G129" s="120"/>
      <c r="H129" s="120"/>
      <c r="I129" s="120"/>
      <c r="J129" s="120"/>
      <c r="K129" s="120"/>
    </row>
    <row r="130">
      <c r="A130" s="120"/>
      <c r="B130" s="120"/>
      <c r="C130" s="120"/>
      <c r="D130" s="120"/>
      <c r="E130" s="120"/>
      <c r="F130" s="120"/>
      <c r="G130" s="120"/>
      <c r="H130" s="120"/>
      <c r="I130" s="120"/>
      <c r="J130" s="120"/>
      <c r="K130" s="120"/>
    </row>
    <row r="131">
      <c r="A131" s="120"/>
      <c r="B131" s="120"/>
      <c r="C131" s="120"/>
      <c r="D131" s="120"/>
      <c r="E131" s="120"/>
      <c r="F131" s="120"/>
      <c r="G131" s="120"/>
      <c r="H131" s="120"/>
      <c r="I131" s="120"/>
      <c r="J131" s="120"/>
      <c r="K131" s="120"/>
    </row>
    <row r="132">
      <c r="A132" s="120"/>
      <c r="B132" s="120"/>
      <c r="C132" s="120"/>
      <c r="D132" s="120"/>
      <c r="E132" s="120"/>
      <c r="F132" s="120"/>
      <c r="G132" s="120"/>
      <c r="H132" s="120"/>
      <c r="I132" s="120"/>
      <c r="J132" s="120"/>
      <c r="K132" s="120"/>
    </row>
    <row r="133">
      <c r="A133" s="120"/>
      <c r="B133" s="120"/>
      <c r="C133" s="120"/>
      <c r="D133" s="120"/>
      <c r="E133" s="120"/>
      <c r="F133" s="120"/>
      <c r="G133" s="120"/>
      <c r="H133" s="120"/>
      <c r="I133" s="120"/>
      <c r="J133" s="120"/>
      <c r="K133" s="120"/>
    </row>
    <row r="134">
      <c r="A134" s="120"/>
      <c r="B134" s="120"/>
      <c r="C134" s="120"/>
      <c r="D134" s="120"/>
      <c r="E134" s="120"/>
      <c r="F134" s="120"/>
      <c r="G134" s="120"/>
      <c r="H134" s="120"/>
      <c r="I134" s="120"/>
      <c r="J134" s="120"/>
      <c r="K134" s="120"/>
    </row>
    <row r="135">
      <c r="A135" s="120"/>
      <c r="B135" s="120"/>
      <c r="C135" s="120"/>
      <c r="D135" s="120"/>
      <c r="E135" s="120"/>
      <c r="F135" s="120"/>
      <c r="G135" s="120"/>
      <c r="H135" s="120"/>
      <c r="I135" s="120"/>
      <c r="J135" s="120"/>
      <c r="K135" s="120"/>
    </row>
    <row r="136">
      <c r="A136" s="120"/>
      <c r="B136" s="120"/>
      <c r="C136" s="120"/>
      <c r="D136" s="120"/>
      <c r="E136" s="120"/>
      <c r="F136" s="120"/>
      <c r="G136" s="120"/>
      <c r="H136" s="120"/>
      <c r="I136" s="120"/>
      <c r="J136" s="120"/>
      <c r="K136" s="120"/>
    </row>
    <row r="137">
      <c r="A137" s="120"/>
      <c r="B137" s="120"/>
      <c r="C137" s="120"/>
      <c r="D137" s="120"/>
      <c r="E137" s="120"/>
      <c r="F137" s="120"/>
      <c r="G137" s="120"/>
      <c r="H137" s="120"/>
      <c r="I137" s="120"/>
      <c r="J137" s="120"/>
      <c r="K137" s="120"/>
    </row>
    <row r="138">
      <c r="A138" s="120"/>
      <c r="B138" s="120"/>
      <c r="C138" s="120"/>
      <c r="D138" s="120"/>
      <c r="E138" s="120"/>
      <c r="F138" s="120"/>
      <c r="G138" s="120"/>
      <c r="H138" s="120"/>
      <c r="I138" s="120"/>
      <c r="J138" s="120"/>
      <c r="K138" s="120"/>
    </row>
    <row r="139">
      <c r="A139" s="120"/>
      <c r="B139" s="120"/>
      <c r="C139" s="120"/>
      <c r="D139" s="120"/>
      <c r="E139" s="120"/>
      <c r="F139" s="120"/>
      <c r="G139" s="120"/>
      <c r="H139" s="120"/>
      <c r="I139" s="120"/>
      <c r="J139" s="120"/>
      <c r="K139" s="120"/>
    </row>
    <row r="140">
      <c r="A140" s="120"/>
      <c r="B140" s="120"/>
      <c r="C140" s="120"/>
      <c r="D140" s="120"/>
      <c r="E140" s="120"/>
      <c r="F140" s="120"/>
      <c r="G140" s="120"/>
      <c r="H140" s="120"/>
      <c r="I140" s="120"/>
      <c r="J140" s="120"/>
      <c r="K140" s="120"/>
    </row>
    <row r="141">
      <c r="A141" s="120"/>
      <c r="B141" s="120"/>
      <c r="C141" s="120"/>
      <c r="D141" s="120"/>
      <c r="E141" s="120"/>
      <c r="F141" s="120"/>
      <c r="G141" s="120"/>
      <c r="H141" s="120"/>
      <c r="I141" s="120"/>
      <c r="J141" s="120"/>
      <c r="K141" s="120"/>
    </row>
    <row r="142">
      <c r="A142" s="120"/>
      <c r="B142" s="120"/>
      <c r="C142" s="120"/>
      <c r="D142" s="120"/>
      <c r="E142" s="120"/>
      <c r="F142" s="120"/>
      <c r="G142" s="120"/>
      <c r="H142" s="120"/>
      <c r="I142" s="120"/>
      <c r="J142" s="120"/>
      <c r="K142" s="120"/>
    </row>
    <row r="143">
      <c r="A143" s="120"/>
      <c r="B143" s="120"/>
      <c r="C143" s="120"/>
      <c r="D143" s="120"/>
      <c r="E143" s="120"/>
      <c r="F143" s="120"/>
      <c r="G143" s="120"/>
      <c r="H143" s="120"/>
      <c r="I143" s="120"/>
      <c r="J143" s="120"/>
      <c r="K143" s="120"/>
    </row>
    <row r="144">
      <c r="A144" s="120"/>
      <c r="B144" s="120"/>
      <c r="C144" s="120"/>
      <c r="D144" s="120"/>
      <c r="E144" s="120"/>
      <c r="F144" s="120"/>
      <c r="G144" s="120"/>
      <c r="H144" s="120"/>
      <c r="I144" s="120"/>
      <c r="J144" s="120"/>
      <c r="K144" s="120"/>
    </row>
    <row r="145">
      <c r="A145" s="120"/>
      <c r="B145" s="120"/>
      <c r="C145" s="120"/>
      <c r="D145" s="120"/>
      <c r="E145" s="120"/>
      <c r="F145" s="120"/>
      <c r="G145" s="120"/>
      <c r="H145" s="120"/>
      <c r="I145" s="120"/>
      <c r="J145" s="120"/>
      <c r="K145" s="120"/>
    </row>
    <row r="146">
      <c r="A146" s="120"/>
      <c r="B146" s="120"/>
      <c r="C146" s="120"/>
      <c r="D146" s="120"/>
      <c r="E146" s="120"/>
      <c r="F146" s="120"/>
      <c r="G146" s="120"/>
      <c r="H146" s="120"/>
      <c r="I146" s="120"/>
      <c r="J146" s="120"/>
      <c r="K146" s="120"/>
    </row>
    <row r="147">
      <c r="A147" s="120"/>
      <c r="B147" s="120"/>
      <c r="C147" s="120"/>
      <c r="D147" s="120"/>
      <c r="E147" s="120"/>
      <c r="F147" s="120"/>
      <c r="G147" s="120"/>
      <c r="H147" s="120"/>
      <c r="I147" s="120"/>
      <c r="J147" s="120"/>
      <c r="K147" s="120"/>
    </row>
    <row r="148">
      <c r="A148" s="120"/>
      <c r="B148" s="120"/>
      <c r="C148" s="120"/>
      <c r="D148" s="120"/>
      <c r="E148" s="120"/>
      <c r="F148" s="120"/>
      <c r="G148" s="120"/>
      <c r="H148" s="120"/>
      <c r="I148" s="120"/>
      <c r="J148" s="120"/>
      <c r="K148" s="120"/>
    </row>
    <row r="149">
      <c r="A149" s="120"/>
      <c r="B149" s="120"/>
      <c r="C149" s="120"/>
      <c r="D149" s="120"/>
      <c r="E149" s="120"/>
      <c r="F149" s="120"/>
      <c r="G149" s="120"/>
      <c r="H149" s="120"/>
      <c r="I149" s="120"/>
      <c r="J149" s="120"/>
      <c r="K149" s="120"/>
    </row>
    <row r="150">
      <c r="A150" s="120"/>
      <c r="B150" s="120"/>
      <c r="C150" s="120"/>
      <c r="D150" s="120"/>
      <c r="E150" s="120"/>
      <c r="F150" s="120"/>
      <c r="G150" s="120"/>
      <c r="H150" s="120"/>
      <c r="I150" s="120"/>
      <c r="J150" s="120"/>
      <c r="K150" s="120"/>
    </row>
    <row r="151">
      <c r="A151" s="120"/>
      <c r="B151" s="120"/>
      <c r="C151" s="120"/>
      <c r="D151" s="120"/>
      <c r="E151" s="120"/>
      <c r="F151" s="120"/>
      <c r="G151" s="120"/>
      <c r="H151" s="120"/>
      <c r="I151" s="120"/>
      <c r="J151" s="120"/>
      <c r="K151" s="120"/>
    </row>
    <row r="152">
      <c r="A152" s="120"/>
      <c r="B152" s="120"/>
      <c r="C152" s="120"/>
      <c r="D152" s="120"/>
      <c r="E152" s="120"/>
      <c r="F152" s="120"/>
      <c r="G152" s="120"/>
      <c r="H152" s="120"/>
      <c r="I152" s="120"/>
      <c r="J152" s="120"/>
      <c r="K152" s="120"/>
    </row>
    <row r="153">
      <c r="A153" s="120"/>
      <c r="B153" s="120"/>
      <c r="C153" s="120"/>
      <c r="D153" s="120"/>
      <c r="E153" s="120"/>
      <c r="F153" s="120"/>
      <c r="G153" s="120"/>
      <c r="H153" s="120"/>
      <c r="I153" s="120"/>
      <c r="J153" s="120"/>
      <c r="K153" s="120"/>
    </row>
    <row r="154">
      <c r="A154" s="120"/>
      <c r="B154" s="120"/>
      <c r="C154" s="120"/>
      <c r="D154" s="120"/>
      <c r="E154" s="120"/>
      <c r="F154" s="120"/>
      <c r="G154" s="120"/>
      <c r="H154" s="120"/>
      <c r="I154" s="120"/>
      <c r="J154" s="120"/>
      <c r="K154" s="120"/>
    </row>
    <row r="155">
      <c r="A155" s="120"/>
      <c r="B155" s="120"/>
      <c r="C155" s="120"/>
      <c r="D155" s="120"/>
      <c r="E155" s="120"/>
      <c r="F155" s="120"/>
      <c r="G155" s="120"/>
      <c r="H155" s="120"/>
      <c r="I155" s="120"/>
      <c r="J155" s="120"/>
      <c r="K155" s="120"/>
    </row>
    <row r="156">
      <c r="A156" s="120"/>
      <c r="B156" s="120"/>
      <c r="C156" s="120"/>
      <c r="D156" s="120"/>
      <c r="E156" s="120"/>
      <c r="F156" s="120"/>
      <c r="G156" s="120"/>
      <c r="H156" s="120"/>
      <c r="I156" s="120"/>
      <c r="J156" s="120"/>
      <c r="K156" s="120"/>
    </row>
    <row r="157">
      <c r="A157" s="120"/>
      <c r="B157" s="120"/>
      <c r="C157" s="120"/>
      <c r="D157" s="120"/>
      <c r="E157" s="120"/>
      <c r="F157" s="120"/>
      <c r="G157" s="120"/>
      <c r="H157" s="120"/>
      <c r="I157" s="120"/>
      <c r="J157" s="120"/>
      <c r="K157" s="120"/>
    </row>
    <row r="158">
      <c r="A158" s="120"/>
      <c r="B158" s="120"/>
      <c r="C158" s="120"/>
      <c r="D158" s="120"/>
      <c r="E158" s="120"/>
      <c r="F158" s="120"/>
      <c r="G158" s="120"/>
      <c r="H158" s="120"/>
      <c r="I158" s="120"/>
      <c r="J158" s="120"/>
      <c r="K158" s="120"/>
    </row>
    <row r="159">
      <c r="A159" s="120"/>
      <c r="B159" s="120"/>
      <c r="C159" s="120"/>
      <c r="D159" s="120"/>
      <c r="E159" s="120"/>
      <c r="F159" s="120"/>
      <c r="G159" s="120"/>
      <c r="H159" s="120"/>
      <c r="I159" s="120"/>
      <c r="J159" s="120"/>
      <c r="K159" s="120"/>
    </row>
    <row r="160">
      <c r="A160" s="120"/>
      <c r="B160" s="120"/>
      <c r="C160" s="120"/>
      <c r="D160" s="120"/>
      <c r="E160" s="120"/>
      <c r="F160" s="120"/>
      <c r="G160" s="120"/>
      <c r="H160" s="120"/>
      <c r="I160" s="120"/>
      <c r="J160" s="120"/>
      <c r="K160" s="120"/>
    </row>
    <row r="161">
      <c r="A161" s="120"/>
      <c r="B161" s="120"/>
      <c r="C161" s="120"/>
      <c r="D161" s="120"/>
      <c r="E161" s="120"/>
      <c r="F161" s="120"/>
      <c r="G161" s="120"/>
      <c r="H161" s="120"/>
      <c r="I161" s="120"/>
      <c r="J161" s="120"/>
      <c r="K161" s="120"/>
    </row>
    <row r="162">
      <c r="A162" s="120"/>
      <c r="B162" s="120"/>
      <c r="C162" s="120"/>
      <c r="D162" s="120"/>
      <c r="E162" s="120"/>
      <c r="F162" s="120"/>
      <c r="G162" s="120"/>
      <c r="H162" s="120"/>
      <c r="I162" s="120"/>
      <c r="J162" s="120"/>
      <c r="K162" s="120"/>
    </row>
    <row r="163">
      <c r="A163" s="120"/>
      <c r="B163" s="120"/>
      <c r="C163" s="120"/>
      <c r="D163" s="120"/>
      <c r="E163" s="120"/>
      <c r="F163" s="120"/>
      <c r="G163" s="120"/>
      <c r="H163" s="120"/>
      <c r="I163" s="120"/>
      <c r="J163" s="120"/>
      <c r="K163" s="120"/>
    </row>
    <row r="164">
      <c r="A164" s="120"/>
      <c r="B164" s="120"/>
      <c r="C164" s="120"/>
      <c r="D164" s="120"/>
      <c r="E164" s="120"/>
      <c r="F164" s="120"/>
      <c r="G164" s="120"/>
      <c r="H164" s="120"/>
      <c r="I164" s="120"/>
      <c r="J164" s="120"/>
      <c r="K164" s="120"/>
    </row>
    <row r="165">
      <c r="A165" s="120"/>
      <c r="B165" s="120"/>
      <c r="C165" s="120"/>
      <c r="D165" s="120"/>
      <c r="E165" s="120"/>
      <c r="F165" s="120"/>
      <c r="G165" s="120"/>
      <c r="H165" s="120"/>
      <c r="I165" s="120"/>
      <c r="J165" s="120"/>
      <c r="K165" s="120"/>
    </row>
    <row r="166">
      <c r="A166" s="120"/>
      <c r="B166" s="120"/>
      <c r="C166" s="120"/>
      <c r="D166" s="120"/>
      <c r="E166" s="120"/>
      <c r="F166" s="120"/>
      <c r="G166" s="120"/>
      <c r="H166" s="120"/>
      <c r="I166" s="120"/>
      <c r="J166" s="120"/>
      <c r="K166" s="120"/>
    </row>
    <row r="167">
      <c r="A167" s="120"/>
      <c r="B167" s="120"/>
      <c r="C167" s="120"/>
      <c r="D167" s="120"/>
      <c r="E167" s="120"/>
      <c r="F167" s="120"/>
      <c r="G167" s="120"/>
      <c r="H167" s="120"/>
      <c r="I167" s="120"/>
      <c r="J167" s="120"/>
      <c r="K167" s="120"/>
    </row>
    <row r="168">
      <c r="A168" s="120"/>
      <c r="B168" s="120"/>
      <c r="C168" s="120"/>
      <c r="D168" s="120"/>
      <c r="E168" s="120"/>
      <c r="F168" s="120"/>
      <c r="G168" s="120"/>
      <c r="H168" s="120"/>
      <c r="I168" s="120"/>
      <c r="J168" s="120"/>
      <c r="K168" s="120"/>
    </row>
    <row r="169">
      <c r="A169" s="120"/>
      <c r="B169" s="120"/>
      <c r="C169" s="120"/>
      <c r="D169" s="120"/>
      <c r="E169" s="120"/>
      <c r="F169" s="120"/>
      <c r="G169" s="120"/>
      <c r="H169" s="120"/>
      <c r="I169" s="120"/>
      <c r="J169" s="120"/>
      <c r="K169" s="120"/>
    </row>
    <row r="170">
      <c r="A170" s="120"/>
      <c r="B170" s="120"/>
      <c r="C170" s="120"/>
      <c r="D170" s="120"/>
      <c r="E170" s="120"/>
      <c r="F170" s="120"/>
      <c r="G170" s="120"/>
      <c r="H170" s="120"/>
      <c r="I170" s="120"/>
      <c r="J170" s="120"/>
      <c r="K170" s="120"/>
    </row>
    <row r="171">
      <c r="A171" s="120"/>
      <c r="B171" s="120"/>
      <c r="C171" s="120"/>
      <c r="D171" s="120"/>
      <c r="E171" s="120"/>
      <c r="F171" s="120"/>
      <c r="G171" s="120"/>
      <c r="H171" s="120"/>
      <c r="I171" s="120"/>
      <c r="J171" s="120"/>
      <c r="K171" s="120"/>
    </row>
    <row r="172">
      <c r="A172" s="120"/>
      <c r="B172" s="120"/>
      <c r="C172" s="120"/>
      <c r="D172" s="120"/>
      <c r="E172" s="120"/>
      <c r="F172" s="120"/>
      <c r="G172" s="120"/>
      <c r="H172" s="120"/>
      <c r="I172" s="120"/>
      <c r="J172" s="120"/>
      <c r="K172" s="120"/>
    </row>
    <row r="173">
      <c r="A173" s="120"/>
      <c r="B173" s="120"/>
      <c r="C173" s="120"/>
      <c r="D173" s="120"/>
      <c r="E173" s="120"/>
      <c r="F173" s="120"/>
      <c r="G173" s="120"/>
      <c r="H173" s="120"/>
      <c r="I173" s="120"/>
      <c r="J173" s="120"/>
      <c r="K173" s="120"/>
    </row>
    <row r="174">
      <c r="A174" s="120"/>
      <c r="B174" s="120"/>
      <c r="C174" s="120"/>
      <c r="D174" s="120"/>
      <c r="E174" s="120"/>
      <c r="F174" s="120"/>
      <c r="G174" s="120"/>
      <c r="H174" s="120"/>
      <c r="I174" s="120"/>
      <c r="J174" s="120"/>
      <c r="K174" s="120"/>
    </row>
    <row r="175">
      <c r="A175" s="120"/>
      <c r="B175" s="120"/>
      <c r="C175" s="120"/>
      <c r="D175" s="120"/>
      <c r="E175" s="120"/>
      <c r="F175" s="120"/>
      <c r="G175" s="120"/>
      <c r="H175" s="120"/>
      <c r="I175" s="120"/>
      <c r="J175" s="120"/>
      <c r="K175" s="120"/>
    </row>
    <row r="176">
      <c r="A176" s="120"/>
      <c r="B176" s="120"/>
      <c r="C176" s="120"/>
      <c r="D176" s="120"/>
      <c r="E176" s="120"/>
      <c r="F176" s="120"/>
      <c r="G176" s="120"/>
      <c r="H176" s="120"/>
      <c r="I176" s="120"/>
      <c r="J176" s="120"/>
      <c r="K176" s="120"/>
    </row>
    <row r="177">
      <c r="A177" s="120"/>
      <c r="B177" s="120"/>
      <c r="C177" s="120"/>
      <c r="D177" s="120"/>
      <c r="E177" s="120"/>
      <c r="F177" s="120"/>
      <c r="G177" s="120"/>
      <c r="H177" s="120"/>
      <c r="I177" s="120"/>
      <c r="J177" s="120"/>
      <c r="K177" s="120"/>
    </row>
    <row r="178">
      <c r="A178" s="120"/>
      <c r="B178" s="120"/>
      <c r="C178" s="120"/>
      <c r="D178" s="120"/>
      <c r="E178" s="120"/>
      <c r="F178" s="120"/>
      <c r="G178" s="120"/>
      <c r="H178" s="120"/>
      <c r="I178" s="120"/>
      <c r="J178" s="120"/>
      <c r="K178" s="120"/>
    </row>
    <row r="179">
      <c r="A179" s="120"/>
      <c r="B179" s="120"/>
      <c r="C179" s="120"/>
      <c r="D179" s="120"/>
      <c r="E179" s="120"/>
      <c r="F179" s="120"/>
      <c r="G179" s="120"/>
      <c r="H179" s="120"/>
      <c r="I179" s="120"/>
      <c r="J179" s="120"/>
      <c r="K179" s="120"/>
    </row>
    <row r="180">
      <c r="A180" s="120"/>
      <c r="B180" s="120"/>
      <c r="C180" s="120"/>
      <c r="D180" s="120"/>
      <c r="E180" s="120"/>
      <c r="F180" s="120"/>
      <c r="G180" s="120"/>
      <c r="H180" s="120"/>
      <c r="I180" s="120"/>
      <c r="J180" s="120"/>
      <c r="K180" s="120"/>
    </row>
    <row r="181">
      <c r="A181" s="120"/>
      <c r="B181" s="120"/>
      <c r="C181" s="120"/>
      <c r="D181" s="120"/>
      <c r="E181" s="120"/>
      <c r="F181" s="120"/>
      <c r="G181" s="120"/>
      <c r="H181" s="120"/>
      <c r="I181" s="120"/>
      <c r="J181" s="120"/>
      <c r="K181" s="120"/>
    </row>
    <row r="182">
      <c r="A182" s="120"/>
      <c r="B182" s="120"/>
      <c r="C182" s="120"/>
      <c r="D182" s="120"/>
      <c r="E182" s="120"/>
      <c r="F182" s="120"/>
      <c r="G182" s="120"/>
      <c r="H182" s="120"/>
      <c r="I182" s="120"/>
      <c r="J182" s="120"/>
      <c r="K182" s="120"/>
    </row>
    <row r="183">
      <c r="A183" s="120"/>
      <c r="B183" s="120"/>
      <c r="C183" s="120"/>
      <c r="D183" s="120"/>
      <c r="E183" s="120"/>
      <c r="F183" s="120"/>
      <c r="G183" s="120"/>
      <c r="H183" s="120"/>
      <c r="I183" s="120"/>
      <c r="J183" s="120"/>
      <c r="K183" s="120"/>
    </row>
    <row r="184">
      <c r="A184" s="120"/>
      <c r="B184" s="120"/>
      <c r="C184" s="120"/>
      <c r="D184" s="120"/>
      <c r="E184" s="120"/>
      <c r="F184" s="120"/>
      <c r="G184" s="120"/>
      <c r="H184" s="120"/>
      <c r="I184" s="120"/>
      <c r="J184" s="120"/>
      <c r="K184" s="120"/>
    </row>
    <row r="185">
      <c r="A185" s="120"/>
      <c r="B185" s="120"/>
      <c r="C185" s="120"/>
      <c r="D185" s="120"/>
      <c r="E185" s="120"/>
      <c r="F185" s="120"/>
      <c r="G185" s="120"/>
      <c r="H185" s="120"/>
      <c r="I185" s="120"/>
      <c r="J185" s="120"/>
      <c r="K185" s="120"/>
    </row>
    <row r="186">
      <c r="A186" s="120"/>
      <c r="B186" s="120"/>
      <c r="C186" s="120"/>
      <c r="D186" s="120"/>
      <c r="E186" s="120"/>
      <c r="F186" s="120"/>
      <c r="G186" s="120"/>
      <c r="H186" s="120"/>
      <c r="I186" s="120"/>
      <c r="J186" s="120"/>
      <c r="K186" s="120"/>
    </row>
    <row r="187">
      <c r="A187" s="120"/>
      <c r="B187" s="120"/>
      <c r="C187" s="120"/>
      <c r="D187" s="120"/>
      <c r="E187" s="120"/>
      <c r="F187" s="120"/>
      <c r="G187" s="120"/>
      <c r="H187" s="120"/>
      <c r="I187" s="120"/>
      <c r="J187" s="120"/>
      <c r="K187" s="120"/>
    </row>
    <row r="188">
      <c r="A188" s="120"/>
      <c r="B188" s="120"/>
      <c r="C188" s="120"/>
      <c r="D188" s="120"/>
      <c r="E188" s="120"/>
      <c r="F188" s="120"/>
      <c r="G188" s="120"/>
      <c r="H188" s="120"/>
      <c r="I188" s="120"/>
      <c r="J188" s="120"/>
      <c r="K188" s="120"/>
    </row>
    <row r="189">
      <c r="A189" s="120"/>
      <c r="B189" s="120"/>
      <c r="C189" s="120"/>
      <c r="D189" s="120"/>
      <c r="E189" s="120"/>
      <c r="F189" s="120"/>
      <c r="G189" s="120"/>
      <c r="H189" s="120"/>
      <c r="I189" s="120"/>
      <c r="J189" s="120"/>
      <c r="K189" s="120"/>
    </row>
    <row r="190">
      <c r="A190" s="120"/>
      <c r="B190" s="120"/>
      <c r="C190" s="120"/>
      <c r="D190" s="120"/>
      <c r="E190" s="120"/>
      <c r="F190" s="120"/>
      <c r="G190" s="120"/>
      <c r="H190" s="120"/>
      <c r="I190" s="120"/>
      <c r="J190" s="120"/>
      <c r="K190" s="120"/>
    </row>
    <row r="191">
      <c r="A191" s="120"/>
      <c r="B191" s="120"/>
      <c r="C191" s="120"/>
      <c r="D191" s="120"/>
      <c r="E191" s="120"/>
      <c r="F191" s="120"/>
      <c r="G191" s="120"/>
      <c r="H191" s="120"/>
      <c r="I191" s="120"/>
      <c r="J191" s="120"/>
      <c r="K191" s="120"/>
    </row>
    <row r="192">
      <c r="A192" s="120"/>
      <c r="B192" s="120"/>
      <c r="C192" s="120"/>
      <c r="D192" s="120"/>
      <c r="E192" s="120"/>
      <c r="F192" s="120"/>
      <c r="G192" s="120"/>
      <c r="H192" s="120"/>
      <c r="I192" s="120"/>
      <c r="J192" s="120"/>
      <c r="K192" s="120"/>
    </row>
    <row r="193">
      <c r="A193" s="120"/>
      <c r="B193" s="120"/>
      <c r="C193" s="120"/>
      <c r="D193" s="120"/>
      <c r="E193" s="120"/>
      <c r="F193" s="120"/>
      <c r="G193" s="120"/>
      <c r="H193" s="120"/>
      <c r="I193" s="120"/>
      <c r="J193" s="120"/>
      <c r="K193" s="120"/>
    </row>
    <row r="194">
      <c r="A194" s="120"/>
      <c r="B194" s="120"/>
      <c r="C194" s="120"/>
      <c r="D194" s="120"/>
      <c r="E194" s="120"/>
      <c r="F194" s="120"/>
      <c r="G194" s="120"/>
      <c r="H194" s="120"/>
      <c r="I194" s="120"/>
      <c r="J194" s="120"/>
      <c r="K194" s="120"/>
    </row>
    <row r="195">
      <c r="A195" s="120"/>
      <c r="B195" s="120"/>
      <c r="C195" s="120"/>
      <c r="D195" s="120"/>
      <c r="E195" s="120"/>
      <c r="F195" s="120"/>
      <c r="G195" s="120"/>
      <c r="H195" s="120"/>
      <c r="I195" s="120"/>
      <c r="J195" s="120"/>
      <c r="K195" s="120"/>
    </row>
    <row r="196">
      <c r="A196" s="120"/>
      <c r="B196" s="120"/>
      <c r="C196" s="120"/>
      <c r="D196" s="120"/>
      <c r="E196" s="120"/>
      <c r="F196" s="120"/>
      <c r="G196" s="120"/>
      <c r="H196" s="120"/>
      <c r="I196" s="120"/>
      <c r="J196" s="120"/>
      <c r="K196" s="120"/>
    </row>
    <row r="197">
      <c r="A197" s="120"/>
      <c r="B197" s="120"/>
      <c r="C197" s="120"/>
      <c r="D197" s="120"/>
      <c r="E197" s="120"/>
      <c r="F197" s="120"/>
      <c r="G197" s="120"/>
      <c r="H197" s="120"/>
      <c r="I197" s="120"/>
      <c r="J197" s="120"/>
      <c r="K197" s="120"/>
    </row>
    <row r="198">
      <c r="A198" s="120"/>
      <c r="B198" s="120"/>
      <c r="C198" s="120"/>
      <c r="D198" s="120"/>
      <c r="E198" s="120"/>
      <c r="F198" s="120"/>
      <c r="G198" s="120"/>
      <c r="H198" s="120"/>
      <c r="I198" s="120"/>
      <c r="J198" s="120"/>
      <c r="K198" s="120"/>
    </row>
    <row r="199">
      <c r="A199" s="120"/>
      <c r="B199" s="120"/>
      <c r="C199" s="120"/>
      <c r="D199" s="120"/>
      <c r="E199" s="120"/>
      <c r="F199" s="120"/>
      <c r="G199" s="120"/>
      <c r="H199" s="120"/>
      <c r="I199" s="120"/>
      <c r="J199" s="120"/>
      <c r="K199" s="120"/>
    </row>
    <row r="200">
      <c r="A200" s="120"/>
      <c r="B200" s="120"/>
      <c r="C200" s="120"/>
      <c r="D200" s="120"/>
      <c r="E200" s="120"/>
      <c r="F200" s="120"/>
      <c r="G200" s="120"/>
      <c r="H200" s="120"/>
      <c r="I200" s="120"/>
      <c r="J200" s="120"/>
      <c r="K200" s="120"/>
    </row>
    <row r="201">
      <c r="A201" s="120"/>
      <c r="B201" s="120"/>
      <c r="C201" s="120"/>
      <c r="D201" s="120"/>
      <c r="E201" s="120"/>
      <c r="F201" s="120"/>
      <c r="G201" s="120"/>
      <c r="H201" s="120"/>
      <c r="I201" s="120"/>
      <c r="J201" s="120"/>
      <c r="K201" s="120"/>
    </row>
    <row r="202">
      <c r="A202" s="120"/>
      <c r="B202" s="120"/>
      <c r="C202" s="120"/>
      <c r="D202" s="120"/>
      <c r="E202" s="120"/>
      <c r="F202" s="120"/>
      <c r="G202" s="120"/>
      <c r="H202" s="120"/>
      <c r="I202" s="120"/>
      <c r="J202" s="120"/>
      <c r="K202" s="120"/>
    </row>
    <row r="203">
      <c r="A203" s="120"/>
      <c r="B203" s="120"/>
      <c r="C203" s="120"/>
      <c r="D203" s="120"/>
      <c r="E203" s="120"/>
      <c r="F203" s="120"/>
      <c r="G203" s="120"/>
      <c r="H203" s="120"/>
      <c r="I203" s="120"/>
      <c r="J203" s="120"/>
      <c r="K203" s="120"/>
    </row>
    <row r="204">
      <c r="A204" s="120"/>
      <c r="B204" s="120"/>
      <c r="C204" s="120"/>
      <c r="D204" s="120"/>
      <c r="E204" s="120"/>
      <c r="F204" s="120"/>
      <c r="G204" s="120"/>
      <c r="H204" s="120"/>
      <c r="I204" s="120"/>
      <c r="J204" s="120"/>
      <c r="K204" s="120"/>
    </row>
    <row r="205">
      <c r="A205" s="120"/>
      <c r="B205" s="120"/>
      <c r="C205" s="120"/>
      <c r="D205" s="120"/>
      <c r="E205" s="120"/>
      <c r="F205" s="120"/>
      <c r="G205" s="120"/>
      <c r="H205" s="120"/>
      <c r="I205" s="120"/>
      <c r="J205" s="120"/>
      <c r="K205" s="120"/>
    </row>
    <row r="206">
      <c r="A206" s="120"/>
      <c r="B206" s="120"/>
      <c r="C206" s="120"/>
      <c r="D206" s="120"/>
      <c r="E206" s="120"/>
      <c r="F206" s="120"/>
      <c r="G206" s="120"/>
      <c r="H206" s="120"/>
      <c r="I206" s="120"/>
      <c r="J206" s="120"/>
      <c r="K206" s="120"/>
    </row>
    <row r="207">
      <c r="A207" s="120"/>
      <c r="B207" s="120"/>
      <c r="C207" s="120"/>
      <c r="D207" s="120"/>
      <c r="E207" s="120"/>
      <c r="F207" s="120"/>
      <c r="G207" s="120"/>
      <c r="H207" s="120"/>
      <c r="I207" s="120"/>
      <c r="J207" s="120"/>
      <c r="K207" s="120"/>
    </row>
    <row r="208">
      <c r="A208" s="120"/>
      <c r="B208" s="120"/>
      <c r="C208" s="120"/>
      <c r="D208" s="120"/>
      <c r="E208" s="120"/>
      <c r="F208" s="120"/>
      <c r="G208" s="120"/>
      <c r="H208" s="120"/>
      <c r="I208" s="120"/>
      <c r="J208" s="120"/>
      <c r="K208" s="120"/>
    </row>
    <row r="209">
      <c r="A209" s="120"/>
      <c r="B209" s="120"/>
      <c r="C209" s="120"/>
      <c r="D209" s="120"/>
      <c r="E209" s="120"/>
      <c r="F209" s="120"/>
      <c r="G209" s="120"/>
      <c r="H209" s="120"/>
      <c r="I209" s="120"/>
      <c r="J209" s="120"/>
      <c r="K209" s="120"/>
    </row>
    <row r="210">
      <c r="A210" s="120"/>
      <c r="B210" s="120"/>
      <c r="C210" s="120"/>
      <c r="D210" s="120"/>
      <c r="E210" s="120"/>
      <c r="F210" s="120"/>
      <c r="G210" s="120"/>
      <c r="H210" s="120"/>
      <c r="I210" s="120"/>
      <c r="J210" s="120"/>
      <c r="K210" s="120"/>
    </row>
    <row r="211">
      <c r="A211" s="120"/>
      <c r="B211" s="120"/>
      <c r="C211" s="120"/>
      <c r="D211" s="120"/>
      <c r="E211" s="120"/>
      <c r="F211" s="120"/>
      <c r="G211" s="120"/>
      <c r="H211" s="120"/>
      <c r="I211" s="120"/>
      <c r="J211" s="120"/>
      <c r="K211" s="120"/>
    </row>
    <row r="212">
      <c r="A212" s="120"/>
      <c r="B212" s="120"/>
      <c r="C212" s="120"/>
      <c r="D212" s="120"/>
      <c r="E212" s="120"/>
      <c r="F212" s="120"/>
      <c r="G212" s="120"/>
      <c r="H212" s="120"/>
      <c r="I212" s="120"/>
      <c r="J212" s="120"/>
      <c r="K212" s="120"/>
    </row>
    <row r="213">
      <c r="A213" s="120"/>
      <c r="B213" s="120"/>
      <c r="C213" s="120"/>
      <c r="D213" s="120"/>
      <c r="E213" s="120"/>
      <c r="F213" s="120"/>
      <c r="G213" s="120"/>
      <c r="H213" s="120"/>
      <c r="I213" s="120"/>
      <c r="J213" s="120"/>
      <c r="K213" s="120"/>
    </row>
    <row r="214">
      <c r="A214" s="120"/>
      <c r="B214" s="120"/>
      <c r="C214" s="120"/>
      <c r="D214" s="120"/>
      <c r="E214" s="120"/>
      <c r="F214" s="120"/>
      <c r="G214" s="120"/>
      <c r="H214" s="120"/>
      <c r="I214" s="120"/>
      <c r="J214" s="120"/>
      <c r="K214" s="120"/>
    </row>
    <row r="215">
      <c r="A215" s="120"/>
      <c r="B215" s="120"/>
      <c r="C215" s="120"/>
      <c r="D215" s="120"/>
      <c r="E215" s="120"/>
      <c r="F215" s="120"/>
      <c r="G215" s="120"/>
      <c r="H215" s="120"/>
      <c r="I215" s="120"/>
      <c r="J215" s="120"/>
      <c r="K215" s="120"/>
    </row>
    <row r="216">
      <c r="A216" s="120"/>
      <c r="B216" s="120"/>
      <c r="C216" s="120"/>
      <c r="D216" s="120"/>
      <c r="E216" s="120"/>
      <c r="F216" s="120"/>
      <c r="G216" s="120"/>
      <c r="H216" s="120"/>
      <c r="I216" s="120"/>
      <c r="J216" s="120"/>
      <c r="K216" s="120"/>
    </row>
    <row r="217">
      <c r="A217" s="120"/>
      <c r="B217" s="120"/>
      <c r="C217" s="120"/>
      <c r="D217" s="120"/>
      <c r="E217" s="120"/>
      <c r="F217" s="120"/>
      <c r="G217" s="120"/>
      <c r="H217" s="120"/>
      <c r="I217" s="120"/>
      <c r="J217" s="120"/>
      <c r="K217" s="120"/>
    </row>
    <row r="218">
      <c r="A218" s="120"/>
      <c r="B218" s="120"/>
      <c r="C218" s="120"/>
      <c r="D218" s="120"/>
      <c r="E218" s="120"/>
      <c r="F218" s="120"/>
      <c r="G218" s="120"/>
      <c r="H218" s="120"/>
      <c r="I218" s="120"/>
      <c r="J218" s="120"/>
      <c r="K218" s="120"/>
    </row>
    <row r="219">
      <c r="A219" s="120"/>
      <c r="B219" s="120"/>
      <c r="C219" s="120"/>
      <c r="D219" s="120"/>
      <c r="E219" s="120"/>
      <c r="F219" s="120"/>
      <c r="G219" s="120"/>
      <c r="H219" s="120"/>
      <c r="I219" s="120"/>
      <c r="J219" s="120"/>
      <c r="K219" s="120"/>
    </row>
    <row r="220">
      <c r="A220" s="120"/>
      <c r="B220" s="120"/>
      <c r="C220" s="120"/>
      <c r="D220" s="120"/>
      <c r="E220" s="120"/>
      <c r="F220" s="120"/>
      <c r="G220" s="120"/>
      <c r="H220" s="120"/>
      <c r="I220" s="120"/>
      <c r="J220" s="120"/>
      <c r="K220" s="120"/>
    </row>
    <row r="221">
      <c r="A221" s="120"/>
      <c r="B221" s="120"/>
      <c r="C221" s="120"/>
      <c r="D221" s="120"/>
      <c r="E221" s="120"/>
      <c r="F221" s="120"/>
      <c r="G221" s="120"/>
      <c r="H221" s="120"/>
      <c r="I221" s="120"/>
      <c r="J221" s="120"/>
      <c r="K221" s="120"/>
    </row>
    <row r="222">
      <c r="A222" s="120"/>
      <c r="B222" s="120"/>
      <c r="C222" s="120"/>
      <c r="D222" s="120"/>
      <c r="E222" s="120"/>
      <c r="F222" s="120"/>
      <c r="G222" s="120"/>
      <c r="H222" s="120"/>
      <c r="I222" s="120"/>
      <c r="J222" s="120"/>
      <c r="K222" s="120"/>
    </row>
    <row r="223">
      <c r="A223" s="120"/>
      <c r="B223" s="120"/>
      <c r="C223" s="120"/>
      <c r="D223" s="120"/>
      <c r="E223" s="120"/>
      <c r="F223" s="120"/>
      <c r="G223" s="120"/>
      <c r="H223" s="120"/>
      <c r="I223" s="120"/>
      <c r="J223" s="120"/>
      <c r="K223" s="120"/>
    </row>
    <row r="224">
      <c r="A224" s="120"/>
      <c r="B224" s="120"/>
      <c r="C224" s="120"/>
      <c r="D224" s="120"/>
      <c r="E224" s="120"/>
      <c r="F224" s="120"/>
      <c r="G224" s="120"/>
      <c r="H224" s="120"/>
      <c r="I224" s="120"/>
      <c r="J224" s="120"/>
      <c r="K224" s="120"/>
    </row>
    <row r="225">
      <c r="A225" s="120"/>
      <c r="B225" s="120"/>
      <c r="C225" s="120"/>
      <c r="D225" s="120"/>
      <c r="E225" s="120"/>
      <c r="F225" s="120"/>
      <c r="G225" s="120"/>
      <c r="H225" s="120"/>
      <c r="I225" s="120"/>
      <c r="J225" s="120"/>
      <c r="K225" s="120"/>
    </row>
    <row r="226">
      <c r="A226" s="120"/>
      <c r="B226" s="120"/>
      <c r="C226" s="120"/>
      <c r="D226" s="120"/>
      <c r="E226" s="120"/>
      <c r="F226" s="120"/>
      <c r="G226" s="120"/>
      <c r="H226" s="120"/>
      <c r="I226" s="120"/>
      <c r="J226" s="120"/>
      <c r="K226" s="120"/>
    </row>
    <row r="227">
      <c r="A227" s="120"/>
      <c r="B227" s="120"/>
      <c r="C227" s="120"/>
      <c r="D227" s="120"/>
      <c r="E227" s="120"/>
      <c r="F227" s="120"/>
      <c r="G227" s="120"/>
      <c r="H227" s="120"/>
      <c r="I227" s="120"/>
      <c r="J227" s="120"/>
      <c r="K227" s="120"/>
    </row>
    <row r="228">
      <c r="A228" s="120"/>
      <c r="B228" s="120"/>
      <c r="C228" s="120"/>
      <c r="D228" s="120"/>
      <c r="E228" s="120"/>
      <c r="F228" s="120"/>
      <c r="G228" s="120"/>
      <c r="H228" s="120"/>
      <c r="I228" s="120"/>
      <c r="J228" s="120"/>
      <c r="K228" s="120"/>
    </row>
    <row r="229">
      <c r="A229" s="120"/>
      <c r="B229" s="120"/>
      <c r="C229" s="120"/>
      <c r="D229" s="120"/>
      <c r="E229" s="120"/>
      <c r="F229" s="120"/>
      <c r="G229" s="120"/>
      <c r="H229" s="120"/>
      <c r="I229" s="120"/>
      <c r="J229" s="120"/>
      <c r="K229" s="120"/>
    </row>
    <row r="230">
      <c r="A230" s="120"/>
      <c r="B230" s="120"/>
      <c r="C230" s="120"/>
      <c r="D230" s="120"/>
      <c r="E230" s="120"/>
      <c r="F230" s="120"/>
      <c r="G230" s="120"/>
      <c r="H230" s="120"/>
      <c r="I230" s="120"/>
      <c r="J230" s="120"/>
      <c r="K230" s="120"/>
    </row>
    <row r="231">
      <c r="A231" s="120"/>
      <c r="B231" s="120"/>
      <c r="C231" s="120"/>
      <c r="D231" s="120"/>
      <c r="E231" s="120"/>
      <c r="F231" s="120"/>
      <c r="G231" s="120"/>
      <c r="H231" s="120"/>
      <c r="I231" s="120"/>
      <c r="J231" s="120"/>
      <c r="K231" s="120"/>
    </row>
    <row r="232">
      <c r="A232" s="120"/>
      <c r="B232" s="120"/>
      <c r="C232" s="120"/>
      <c r="D232" s="120"/>
      <c r="E232" s="120"/>
      <c r="F232" s="120"/>
      <c r="G232" s="120"/>
      <c r="H232" s="120"/>
      <c r="I232" s="120"/>
      <c r="J232" s="120"/>
      <c r="K232" s="120"/>
    </row>
    <row r="233">
      <c r="A233" s="120"/>
      <c r="B233" s="120"/>
      <c r="C233" s="120"/>
      <c r="D233" s="120"/>
      <c r="E233" s="120"/>
      <c r="F233" s="120"/>
      <c r="G233" s="120"/>
      <c r="H233" s="120"/>
      <c r="I233" s="120"/>
      <c r="J233" s="120"/>
      <c r="K233" s="120"/>
    </row>
    <row r="234">
      <c r="A234" s="120"/>
      <c r="B234" s="120"/>
      <c r="C234" s="120"/>
      <c r="D234" s="120"/>
      <c r="E234" s="120"/>
      <c r="F234" s="120"/>
      <c r="G234" s="120"/>
      <c r="H234" s="120"/>
      <c r="I234" s="120"/>
      <c r="J234" s="120"/>
      <c r="K234" s="120"/>
    </row>
    <row r="235">
      <c r="A235" s="120"/>
      <c r="B235" s="120"/>
      <c r="C235" s="120"/>
      <c r="D235" s="120"/>
      <c r="E235" s="120"/>
      <c r="F235" s="120"/>
      <c r="G235" s="120"/>
      <c r="H235" s="120"/>
      <c r="I235" s="120"/>
      <c r="J235" s="120"/>
      <c r="K235" s="120"/>
    </row>
    <row r="236">
      <c r="A236" s="120"/>
      <c r="B236" s="120"/>
      <c r="C236" s="120"/>
      <c r="D236" s="120"/>
      <c r="E236" s="120"/>
      <c r="F236" s="120"/>
      <c r="G236" s="120"/>
      <c r="H236" s="120"/>
      <c r="I236" s="120"/>
      <c r="J236" s="120"/>
      <c r="K236" s="120"/>
    </row>
    <row r="237">
      <c r="A237" s="120"/>
      <c r="B237" s="120"/>
      <c r="C237" s="120"/>
      <c r="D237" s="120"/>
      <c r="E237" s="120"/>
      <c r="F237" s="120"/>
      <c r="G237" s="120"/>
      <c r="H237" s="120"/>
      <c r="I237" s="120"/>
      <c r="J237" s="120"/>
      <c r="K237" s="120"/>
    </row>
    <row r="238">
      <c r="A238" s="120"/>
      <c r="B238" s="120"/>
      <c r="C238" s="120"/>
      <c r="D238" s="120"/>
      <c r="E238" s="120"/>
      <c r="F238" s="120"/>
      <c r="G238" s="120"/>
      <c r="H238" s="120"/>
      <c r="I238" s="120"/>
      <c r="J238" s="120"/>
      <c r="K238" s="120"/>
    </row>
    <row r="239">
      <c r="A239" s="120"/>
      <c r="B239" s="120"/>
      <c r="C239" s="120"/>
      <c r="D239" s="120"/>
      <c r="E239" s="120"/>
      <c r="F239" s="120"/>
      <c r="G239" s="120"/>
      <c r="H239" s="120"/>
      <c r="I239" s="120"/>
      <c r="J239" s="120"/>
      <c r="K239" s="120"/>
    </row>
    <row r="240">
      <c r="A240" s="120"/>
      <c r="B240" s="120"/>
      <c r="C240" s="120"/>
      <c r="D240" s="120"/>
      <c r="E240" s="120"/>
      <c r="F240" s="120"/>
      <c r="G240" s="120"/>
      <c r="H240" s="120"/>
      <c r="I240" s="120"/>
      <c r="J240" s="120"/>
      <c r="K240" s="120"/>
    </row>
    <row r="241">
      <c r="A241" s="120"/>
      <c r="B241" s="120"/>
      <c r="C241" s="120"/>
      <c r="D241" s="120"/>
      <c r="E241" s="120"/>
      <c r="F241" s="120"/>
      <c r="G241" s="120"/>
      <c r="H241" s="120"/>
      <c r="I241" s="120"/>
      <c r="J241" s="120"/>
      <c r="K241" s="120"/>
    </row>
    <row r="242">
      <c r="A242" s="120"/>
      <c r="B242" s="120"/>
      <c r="C242" s="120"/>
      <c r="D242" s="120"/>
      <c r="E242" s="120"/>
      <c r="F242" s="120"/>
      <c r="G242" s="120"/>
      <c r="H242" s="120"/>
      <c r="I242" s="120"/>
      <c r="J242" s="120"/>
      <c r="K242" s="120"/>
    </row>
    <row r="243">
      <c r="A243" s="120"/>
      <c r="B243" s="120"/>
      <c r="C243" s="120"/>
      <c r="D243" s="120"/>
      <c r="E243" s="120"/>
      <c r="F243" s="120"/>
      <c r="G243" s="120"/>
      <c r="H243" s="120"/>
      <c r="I243" s="120"/>
      <c r="J243" s="120"/>
      <c r="K243" s="120"/>
    </row>
    <row r="244">
      <c r="A244" s="120"/>
      <c r="B244" s="120"/>
      <c r="C244" s="120"/>
      <c r="D244" s="120"/>
      <c r="E244" s="120"/>
      <c r="F244" s="120"/>
      <c r="G244" s="120"/>
      <c r="H244" s="120"/>
      <c r="I244" s="120"/>
      <c r="J244" s="120"/>
      <c r="K244" s="120"/>
    </row>
    <row r="245">
      <c r="A245" s="120"/>
      <c r="B245" s="120"/>
      <c r="C245" s="120"/>
      <c r="D245" s="120"/>
      <c r="E245" s="120"/>
      <c r="F245" s="120"/>
      <c r="G245" s="120"/>
      <c r="H245" s="120"/>
      <c r="I245" s="120"/>
      <c r="J245" s="120"/>
      <c r="K245" s="120"/>
    </row>
    <row r="246">
      <c r="A246" s="120"/>
      <c r="B246" s="120"/>
      <c r="C246" s="120"/>
      <c r="D246" s="120"/>
      <c r="E246" s="120"/>
      <c r="F246" s="120"/>
      <c r="G246" s="120"/>
      <c r="H246" s="120"/>
      <c r="I246" s="120"/>
      <c r="J246" s="120"/>
      <c r="K246" s="120"/>
    </row>
    <row r="247">
      <c r="A247" s="120"/>
      <c r="B247" s="120"/>
      <c r="C247" s="120"/>
      <c r="D247" s="120"/>
      <c r="E247" s="120"/>
      <c r="F247" s="120"/>
      <c r="G247" s="120"/>
      <c r="H247" s="120"/>
      <c r="I247" s="120"/>
      <c r="J247" s="120"/>
      <c r="K247" s="120"/>
    </row>
    <row r="248">
      <c r="A248" s="120"/>
      <c r="B248" s="120"/>
      <c r="C248" s="120"/>
      <c r="D248" s="120"/>
      <c r="E248" s="120"/>
      <c r="F248" s="120"/>
      <c r="G248" s="120"/>
      <c r="H248" s="120"/>
      <c r="I248" s="120"/>
      <c r="J248" s="120"/>
      <c r="K248" s="120"/>
    </row>
    <row r="249">
      <c r="A249" s="120"/>
      <c r="B249" s="120"/>
      <c r="C249" s="120"/>
      <c r="D249" s="120"/>
      <c r="E249" s="120"/>
      <c r="F249" s="120"/>
      <c r="G249" s="120"/>
      <c r="H249" s="120"/>
      <c r="I249" s="120"/>
      <c r="J249" s="120"/>
      <c r="K249" s="120"/>
    </row>
    <row r="250">
      <c r="A250" s="120"/>
      <c r="B250" s="120"/>
      <c r="C250" s="120"/>
      <c r="D250" s="120"/>
      <c r="E250" s="120"/>
      <c r="F250" s="120"/>
      <c r="G250" s="120"/>
      <c r="H250" s="120"/>
      <c r="I250" s="120"/>
      <c r="J250" s="120"/>
      <c r="K250" s="120"/>
    </row>
    <row r="251">
      <c r="A251" s="120"/>
      <c r="B251" s="120"/>
      <c r="C251" s="120"/>
      <c r="D251" s="120"/>
      <c r="E251" s="120"/>
      <c r="F251" s="120"/>
      <c r="G251" s="120"/>
      <c r="H251" s="120"/>
      <c r="I251" s="120"/>
      <c r="J251" s="120"/>
      <c r="K251" s="120"/>
    </row>
    <row r="252">
      <c r="A252" s="120"/>
      <c r="B252" s="120"/>
      <c r="C252" s="120"/>
      <c r="D252" s="120"/>
      <c r="E252" s="120"/>
      <c r="F252" s="120"/>
      <c r="G252" s="120"/>
      <c r="H252" s="120"/>
      <c r="I252" s="120"/>
      <c r="J252" s="120"/>
      <c r="K252" s="120"/>
    </row>
    <row r="253">
      <c r="A253" s="120"/>
      <c r="B253" s="120"/>
      <c r="C253" s="120"/>
      <c r="D253" s="120"/>
      <c r="E253" s="120"/>
      <c r="F253" s="120"/>
      <c r="G253" s="120"/>
      <c r="H253" s="120"/>
      <c r="I253" s="120"/>
      <c r="J253" s="120"/>
      <c r="K253" s="120"/>
    </row>
    <row r="254">
      <c r="A254" s="120"/>
      <c r="B254" s="120"/>
      <c r="C254" s="120"/>
      <c r="D254" s="120"/>
      <c r="E254" s="120"/>
      <c r="F254" s="120"/>
      <c r="G254" s="120"/>
      <c r="H254" s="120"/>
      <c r="I254" s="120"/>
      <c r="J254" s="120"/>
      <c r="K254" s="120"/>
    </row>
    <row r="255">
      <c r="A255" s="120"/>
      <c r="B255" s="120"/>
      <c r="C255" s="120"/>
      <c r="D255" s="120"/>
      <c r="E255" s="120"/>
      <c r="F255" s="120"/>
      <c r="G255" s="120"/>
      <c r="H255" s="120"/>
      <c r="I255" s="120"/>
      <c r="J255" s="120"/>
      <c r="K255" s="120"/>
    </row>
    <row r="256">
      <c r="A256" s="120"/>
      <c r="B256" s="120"/>
      <c r="C256" s="120"/>
      <c r="D256" s="120"/>
      <c r="E256" s="120"/>
      <c r="F256" s="120"/>
      <c r="G256" s="120"/>
      <c r="H256" s="120"/>
      <c r="I256" s="120"/>
      <c r="J256" s="120"/>
      <c r="K256" s="120"/>
    </row>
    <row r="257">
      <c r="A257" s="120"/>
      <c r="B257" s="120"/>
      <c r="C257" s="120"/>
      <c r="D257" s="120"/>
      <c r="E257" s="120"/>
      <c r="F257" s="120"/>
      <c r="G257" s="120"/>
      <c r="H257" s="120"/>
      <c r="I257" s="120"/>
      <c r="J257" s="120"/>
      <c r="K257" s="120"/>
    </row>
    <row r="258">
      <c r="A258" s="120"/>
      <c r="B258" s="120"/>
      <c r="C258" s="120"/>
      <c r="D258" s="120"/>
      <c r="E258" s="120"/>
      <c r="F258" s="120"/>
      <c r="G258" s="120"/>
      <c r="H258" s="120"/>
      <c r="I258" s="120"/>
      <c r="J258" s="120"/>
      <c r="K258" s="120"/>
    </row>
    <row r="259">
      <c r="A259" s="120"/>
      <c r="B259" s="120"/>
      <c r="C259" s="120"/>
      <c r="D259" s="120"/>
      <c r="E259" s="120"/>
      <c r="F259" s="120"/>
      <c r="G259" s="120"/>
      <c r="H259" s="120"/>
      <c r="I259" s="120"/>
      <c r="J259" s="120"/>
      <c r="K259" s="120"/>
    </row>
    <row r="260">
      <c r="A260" s="120"/>
      <c r="B260" s="120"/>
      <c r="C260" s="120"/>
      <c r="D260" s="120"/>
      <c r="E260" s="120"/>
      <c r="F260" s="120"/>
      <c r="G260" s="120"/>
      <c r="H260" s="120"/>
      <c r="I260" s="120"/>
      <c r="J260" s="120"/>
      <c r="K260" s="120"/>
    </row>
    <row r="261">
      <c r="A261" s="120"/>
      <c r="B261" s="120"/>
      <c r="C261" s="120"/>
      <c r="D261" s="120"/>
      <c r="E261" s="120"/>
      <c r="F261" s="120"/>
      <c r="G261" s="120"/>
      <c r="H261" s="120"/>
      <c r="I261" s="120"/>
      <c r="J261" s="120"/>
      <c r="K261" s="120"/>
    </row>
    <row r="262">
      <c r="A262" s="120"/>
      <c r="B262" s="120"/>
      <c r="C262" s="120"/>
      <c r="D262" s="120"/>
      <c r="E262" s="120"/>
      <c r="F262" s="120"/>
      <c r="G262" s="120"/>
      <c r="H262" s="120"/>
      <c r="I262" s="120"/>
      <c r="J262" s="120"/>
      <c r="K262" s="120"/>
    </row>
    <row r="263">
      <c r="A263" s="120"/>
      <c r="B263" s="120"/>
      <c r="C263" s="120"/>
      <c r="D263" s="120"/>
      <c r="E263" s="120"/>
      <c r="F263" s="120"/>
      <c r="G263" s="120"/>
      <c r="H263" s="120"/>
      <c r="I263" s="120"/>
      <c r="J263" s="120"/>
      <c r="K263" s="120"/>
    </row>
    <row r="264">
      <c r="A264" s="120"/>
      <c r="B264" s="120"/>
      <c r="C264" s="120"/>
      <c r="D264" s="120"/>
      <c r="E264" s="120"/>
      <c r="F264" s="120"/>
      <c r="G264" s="120"/>
      <c r="H264" s="120"/>
      <c r="I264" s="120"/>
      <c r="J264" s="120"/>
      <c r="K264" s="120"/>
    </row>
    <row r="265">
      <c r="A265" s="120"/>
      <c r="B265" s="120"/>
      <c r="C265" s="120"/>
      <c r="D265" s="120"/>
      <c r="E265" s="120"/>
      <c r="F265" s="120"/>
      <c r="G265" s="120"/>
      <c r="H265" s="120"/>
      <c r="I265" s="120"/>
      <c r="J265" s="120"/>
      <c r="K265" s="120"/>
    </row>
    <row r="266">
      <c r="A266" s="120"/>
      <c r="B266" s="120"/>
      <c r="C266" s="120"/>
      <c r="D266" s="120"/>
      <c r="E266" s="120"/>
      <c r="F266" s="120"/>
      <c r="G266" s="120"/>
      <c r="H266" s="120"/>
      <c r="I266" s="120"/>
      <c r="J266" s="120"/>
      <c r="K266" s="120"/>
    </row>
    <row r="267">
      <c r="A267" s="120"/>
      <c r="B267" s="120"/>
      <c r="C267" s="120"/>
      <c r="D267" s="120"/>
      <c r="E267" s="120"/>
      <c r="F267" s="120"/>
      <c r="G267" s="120"/>
      <c r="H267" s="120"/>
      <c r="I267" s="120"/>
      <c r="J267" s="120"/>
      <c r="K267" s="120"/>
    </row>
    <row r="268">
      <c r="A268" s="120"/>
      <c r="B268" s="120"/>
      <c r="C268" s="120"/>
      <c r="D268" s="120"/>
      <c r="E268" s="120"/>
      <c r="F268" s="120"/>
      <c r="G268" s="120"/>
      <c r="H268" s="120"/>
      <c r="I268" s="120"/>
      <c r="J268" s="120"/>
      <c r="K268" s="120"/>
    </row>
    <row r="269">
      <c r="A269" s="120"/>
      <c r="B269" s="120"/>
      <c r="C269" s="120"/>
      <c r="D269" s="120"/>
      <c r="E269" s="120"/>
      <c r="F269" s="120"/>
      <c r="G269" s="120"/>
      <c r="H269" s="120"/>
      <c r="I269" s="120"/>
      <c r="J269" s="120"/>
      <c r="K269" s="120"/>
    </row>
    <row r="270">
      <c r="A270" s="120"/>
      <c r="B270" s="120"/>
      <c r="C270" s="120"/>
      <c r="D270" s="120"/>
      <c r="E270" s="120"/>
      <c r="F270" s="120"/>
      <c r="G270" s="120"/>
      <c r="H270" s="120"/>
      <c r="I270" s="120"/>
      <c r="J270" s="120"/>
      <c r="K270" s="120"/>
    </row>
    <row r="271">
      <c r="A271" s="120"/>
      <c r="B271" s="120"/>
      <c r="C271" s="120"/>
      <c r="D271" s="120"/>
      <c r="E271" s="120"/>
      <c r="F271" s="120"/>
      <c r="G271" s="120"/>
      <c r="H271" s="120"/>
      <c r="I271" s="120"/>
      <c r="J271" s="120"/>
      <c r="K271" s="120"/>
    </row>
    <row r="272">
      <c r="A272" s="120"/>
      <c r="B272" s="120"/>
      <c r="C272" s="120"/>
      <c r="D272" s="120"/>
      <c r="E272" s="120"/>
      <c r="F272" s="120"/>
      <c r="G272" s="120"/>
      <c r="H272" s="120"/>
      <c r="I272" s="120"/>
      <c r="J272" s="120"/>
      <c r="K272" s="120"/>
    </row>
    <row r="273">
      <c r="A273" s="120"/>
      <c r="B273" s="120"/>
      <c r="C273" s="120"/>
      <c r="D273" s="120"/>
      <c r="E273" s="120"/>
      <c r="F273" s="120"/>
      <c r="G273" s="120"/>
      <c r="H273" s="120"/>
      <c r="I273" s="120"/>
      <c r="J273" s="120"/>
      <c r="K273" s="120"/>
    </row>
    <row r="274">
      <c r="A274" s="120"/>
      <c r="B274" s="120"/>
      <c r="C274" s="120"/>
      <c r="D274" s="120"/>
      <c r="E274" s="120"/>
      <c r="F274" s="120"/>
      <c r="G274" s="120"/>
      <c r="H274" s="120"/>
      <c r="I274" s="120"/>
      <c r="J274" s="120"/>
      <c r="K274" s="120"/>
    </row>
    <row r="275">
      <c r="A275" s="120"/>
      <c r="B275" s="120"/>
      <c r="C275" s="120"/>
      <c r="D275" s="120"/>
      <c r="E275" s="120"/>
      <c r="F275" s="120"/>
      <c r="G275" s="120"/>
      <c r="H275" s="120"/>
      <c r="I275" s="120"/>
      <c r="J275" s="120"/>
      <c r="K275" s="120"/>
    </row>
    <row r="276">
      <c r="A276" s="120"/>
      <c r="B276" s="120"/>
      <c r="C276" s="120"/>
      <c r="D276" s="120"/>
      <c r="E276" s="120"/>
      <c r="F276" s="120"/>
      <c r="G276" s="120"/>
      <c r="H276" s="120"/>
      <c r="I276" s="120"/>
      <c r="J276" s="120"/>
      <c r="K276" s="120"/>
    </row>
    <row r="277">
      <c r="A277" s="120"/>
      <c r="B277" s="120"/>
      <c r="C277" s="120"/>
      <c r="D277" s="120"/>
      <c r="E277" s="120"/>
      <c r="F277" s="120"/>
      <c r="G277" s="120"/>
      <c r="H277" s="120"/>
      <c r="I277" s="120"/>
      <c r="J277" s="120"/>
      <c r="K277" s="120"/>
    </row>
    <row r="278">
      <c r="A278" s="120"/>
      <c r="B278" s="120"/>
      <c r="C278" s="120"/>
      <c r="D278" s="120"/>
      <c r="E278" s="120"/>
      <c r="F278" s="120"/>
      <c r="G278" s="120"/>
      <c r="H278" s="120"/>
      <c r="I278" s="120"/>
      <c r="J278" s="120"/>
      <c r="K278" s="120"/>
    </row>
    <row r="279">
      <c r="A279" s="120"/>
      <c r="B279" s="120"/>
      <c r="C279" s="120"/>
      <c r="D279" s="120"/>
      <c r="E279" s="120"/>
      <c r="F279" s="120"/>
      <c r="G279" s="120"/>
      <c r="H279" s="120"/>
      <c r="I279" s="120"/>
      <c r="J279" s="120"/>
      <c r="K279" s="120"/>
    </row>
    <row r="280">
      <c r="A280" s="120"/>
      <c r="B280" s="120"/>
      <c r="C280" s="120"/>
      <c r="D280" s="120"/>
      <c r="E280" s="120"/>
      <c r="F280" s="120"/>
      <c r="G280" s="120"/>
      <c r="H280" s="120"/>
      <c r="I280" s="120"/>
      <c r="J280" s="120"/>
      <c r="K280" s="120"/>
    </row>
    <row r="281">
      <c r="A281" s="120"/>
      <c r="B281" s="120"/>
      <c r="C281" s="120"/>
      <c r="D281" s="120"/>
      <c r="E281" s="120"/>
      <c r="F281" s="120"/>
      <c r="G281" s="120"/>
      <c r="H281" s="120"/>
      <c r="I281" s="120"/>
      <c r="J281" s="120"/>
      <c r="K281" s="120"/>
    </row>
    <row r="282">
      <c r="A282" s="120"/>
      <c r="B282" s="120"/>
      <c r="C282" s="120"/>
      <c r="D282" s="120"/>
      <c r="E282" s="120"/>
      <c r="F282" s="120"/>
      <c r="G282" s="120"/>
      <c r="H282" s="120"/>
      <c r="I282" s="120"/>
      <c r="J282" s="120"/>
      <c r="K282" s="120"/>
    </row>
    <row r="283">
      <c r="A283" s="120"/>
      <c r="B283" s="120"/>
      <c r="C283" s="120"/>
      <c r="D283" s="120"/>
      <c r="E283" s="120"/>
      <c r="F283" s="120"/>
      <c r="G283" s="120"/>
      <c r="H283" s="120"/>
      <c r="I283" s="120"/>
      <c r="J283" s="120"/>
      <c r="K283" s="120"/>
    </row>
    <row r="284">
      <c r="A284" s="120"/>
      <c r="B284" s="120"/>
      <c r="C284" s="120"/>
      <c r="D284" s="120"/>
      <c r="E284" s="120"/>
      <c r="F284" s="120"/>
      <c r="G284" s="120"/>
      <c r="H284" s="120"/>
      <c r="I284" s="120"/>
      <c r="J284" s="120"/>
      <c r="K284" s="120"/>
    </row>
    <row r="285">
      <c r="A285" s="120"/>
      <c r="B285" s="120"/>
      <c r="C285" s="120"/>
      <c r="D285" s="120"/>
      <c r="E285" s="120"/>
      <c r="F285" s="120"/>
      <c r="G285" s="120"/>
      <c r="H285" s="120"/>
      <c r="I285" s="120"/>
      <c r="J285" s="120"/>
      <c r="K285" s="120"/>
    </row>
    <row r="286">
      <c r="A286" s="120"/>
      <c r="B286" s="120"/>
      <c r="C286" s="120"/>
      <c r="D286" s="120"/>
      <c r="E286" s="120"/>
      <c r="F286" s="120"/>
      <c r="G286" s="120"/>
      <c r="H286" s="120"/>
      <c r="I286" s="120"/>
      <c r="J286" s="120"/>
      <c r="K286" s="120"/>
    </row>
    <row r="287">
      <c r="A287" s="120"/>
      <c r="B287" s="120"/>
      <c r="C287" s="120"/>
      <c r="D287" s="120"/>
      <c r="E287" s="120"/>
      <c r="F287" s="120"/>
      <c r="G287" s="120"/>
      <c r="H287" s="120"/>
      <c r="I287" s="120"/>
      <c r="J287" s="120"/>
      <c r="K287" s="120"/>
    </row>
    <row r="288">
      <c r="A288" s="120"/>
      <c r="B288" s="120"/>
      <c r="C288" s="120"/>
      <c r="D288" s="120"/>
      <c r="E288" s="120"/>
      <c r="F288" s="120"/>
      <c r="G288" s="120"/>
      <c r="H288" s="120"/>
      <c r="I288" s="120"/>
      <c r="J288" s="120"/>
      <c r="K288" s="120"/>
    </row>
    <row r="289">
      <c r="A289" s="120"/>
      <c r="B289" s="120"/>
      <c r="C289" s="120"/>
      <c r="D289" s="120"/>
      <c r="E289" s="120"/>
      <c r="F289" s="120"/>
      <c r="G289" s="120"/>
      <c r="H289" s="120"/>
      <c r="I289" s="120"/>
      <c r="J289" s="120"/>
      <c r="K289" s="120"/>
    </row>
    <row r="290">
      <c r="A290" s="120"/>
      <c r="B290" s="120"/>
      <c r="C290" s="120"/>
      <c r="D290" s="120"/>
      <c r="E290" s="120"/>
      <c r="F290" s="120"/>
      <c r="G290" s="120"/>
      <c r="H290" s="120"/>
      <c r="I290" s="120"/>
      <c r="J290" s="120"/>
      <c r="K290" s="120"/>
    </row>
    <row r="291">
      <c r="A291" s="120"/>
      <c r="B291" s="120"/>
      <c r="C291" s="120"/>
      <c r="D291" s="120"/>
      <c r="E291" s="120"/>
      <c r="F291" s="120"/>
      <c r="G291" s="120"/>
      <c r="H291" s="120"/>
      <c r="I291" s="120"/>
      <c r="J291" s="120"/>
      <c r="K291" s="120"/>
    </row>
    <row r="292">
      <c r="A292" s="120"/>
      <c r="B292" s="120"/>
      <c r="C292" s="120"/>
      <c r="D292" s="120"/>
      <c r="E292" s="120"/>
      <c r="F292" s="120"/>
      <c r="G292" s="120"/>
      <c r="H292" s="120"/>
      <c r="I292" s="120"/>
      <c r="J292" s="120"/>
      <c r="K292" s="120"/>
    </row>
    <row r="293">
      <c r="A293" s="120"/>
      <c r="B293" s="120"/>
      <c r="C293" s="120"/>
      <c r="D293" s="120"/>
      <c r="E293" s="120"/>
      <c r="F293" s="120"/>
      <c r="G293" s="120"/>
      <c r="H293" s="120"/>
      <c r="I293" s="120"/>
      <c r="J293" s="120"/>
      <c r="K293" s="120"/>
    </row>
    <row r="294">
      <c r="A294" s="120"/>
      <c r="B294" s="120"/>
      <c r="C294" s="120"/>
      <c r="D294" s="120"/>
      <c r="E294" s="120"/>
      <c r="F294" s="120"/>
      <c r="G294" s="120"/>
      <c r="H294" s="120"/>
      <c r="I294" s="120"/>
      <c r="J294" s="120"/>
      <c r="K294" s="120"/>
    </row>
    <row r="295">
      <c r="A295" s="120"/>
      <c r="B295" s="120"/>
      <c r="C295" s="120"/>
      <c r="D295" s="120"/>
      <c r="E295" s="120"/>
      <c r="F295" s="120"/>
      <c r="G295" s="120"/>
      <c r="H295" s="120"/>
      <c r="I295" s="120"/>
      <c r="J295" s="120"/>
      <c r="K295" s="120"/>
    </row>
    <row r="296">
      <c r="A296" s="120"/>
      <c r="B296" s="120"/>
      <c r="C296" s="120"/>
      <c r="D296" s="120"/>
      <c r="E296" s="120"/>
      <c r="F296" s="120"/>
      <c r="G296" s="120"/>
      <c r="H296" s="120"/>
      <c r="I296" s="120"/>
      <c r="J296" s="120"/>
      <c r="K296" s="120"/>
    </row>
    <row r="297">
      <c r="A297" s="120"/>
      <c r="B297" s="120"/>
      <c r="C297" s="120"/>
      <c r="D297" s="120"/>
      <c r="E297" s="120"/>
      <c r="F297" s="120"/>
      <c r="G297" s="120"/>
      <c r="H297" s="120"/>
      <c r="I297" s="120"/>
      <c r="J297" s="120"/>
      <c r="K297" s="120"/>
    </row>
    <row r="298">
      <c r="A298" s="120"/>
      <c r="B298" s="120"/>
      <c r="C298" s="120"/>
      <c r="D298" s="120"/>
      <c r="E298" s="120"/>
      <c r="F298" s="120"/>
      <c r="G298" s="120"/>
      <c r="H298" s="120"/>
      <c r="I298" s="120"/>
      <c r="J298" s="120"/>
      <c r="K298" s="120"/>
    </row>
    <row r="299">
      <c r="A299" s="120"/>
      <c r="B299" s="120"/>
      <c r="C299" s="120"/>
      <c r="D299" s="120"/>
      <c r="E299" s="120"/>
      <c r="F299" s="120"/>
      <c r="G299" s="120"/>
      <c r="H299" s="120"/>
      <c r="I299" s="120"/>
      <c r="J299" s="120"/>
      <c r="K299" s="120"/>
    </row>
    <row r="300">
      <c r="A300" s="120"/>
      <c r="B300" s="120"/>
      <c r="C300" s="120"/>
      <c r="D300" s="120"/>
      <c r="E300" s="120"/>
      <c r="F300" s="120"/>
      <c r="G300" s="120"/>
      <c r="H300" s="120"/>
      <c r="I300" s="120"/>
      <c r="J300" s="120"/>
      <c r="K300" s="120"/>
    </row>
    <row r="301">
      <c r="A301" s="120"/>
      <c r="B301" s="120"/>
      <c r="C301" s="120"/>
      <c r="D301" s="120"/>
      <c r="E301" s="120"/>
      <c r="F301" s="120"/>
      <c r="G301" s="120"/>
      <c r="H301" s="120"/>
      <c r="I301" s="120"/>
      <c r="J301" s="120"/>
      <c r="K301" s="120"/>
    </row>
    <row r="302">
      <c r="A302" s="120"/>
      <c r="B302" s="120"/>
      <c r="C302" s="120"/>
      <c r="D302" s="120"/>
      <c r="E302" s="120"/>
      <c r="F302" s="120"/>
      <c r="G302" s="120"/>
      <c r="H302" s="120"/>
      <c r="I302" s="120"/>
      <c r="J302" s="120"/>
      <c r="K302" s="120"/>
    </row>
    <row r="303">
      <c r="A303" s="120"/>
      <c r="B303" s="120"/>
      <c r="C303" s="120"/>
      <c r="D303" s="120"/>
      <c r="E303" s="120"/>
      <c r="F303" s="120"/>
      <c r="G303" s="120"/>
      <c r="H303" s="120"/>
      <c r="I303" s="120"/>
      <c r="J303" s="120"/>
      <c r="K303" s="120"/>
    </row>
    <row r="304">
      <c r="A304" s="120"/>
      <c r="B304" s="120"/>
      <c r="C304" s="120"/>
      <c r="D304" s="120"/>
      <c r="E304" s="120"/>
      <c r="F304" s="120"/>
      <c r="G304" s="120"/>
      <c r="H304" s="120"/>
      <c r="I304" s="120"/>
      <c r="J304" s="120"/>
      <c r="K304" s="120"/>
    </row>
    <row r="305">
      <c r="A305" s="120"/>
      <c r="B305" s="120"/>
      <c r="C305" s="120"/>
      <c r="D305" s="120"/>
      <c r="E305" s="120"/>
      <c r="F305" s="120"/>
      <c r="G305" s="120"/>
      <c r="H305" s="120"/>
      <c r="I305" s="120"/>
      <c r="J305" s="120"/>
      <c r="K305" s="120"/>
    </row>
    <row r="306">
      <c r="A306" s="120"/>
      <c r="B306" s="120"/>
      <c r="C306" s="120"/>
      <c r="D306" s="120"/>
      <c r="E306" s="120"/>
      <c r="F306" s="120"/>
      <c r="G306" s="120"/>
      <c r="H306" s="120"/>
      <c r="I306" s="120"/>
      <c r="J306" s="120"/>
      <c r="K306" s="120"/>
    </row>
    <row r="307">
      <c r="A307" s="120"/>
      <c r="B307" s="120"/>
      <c r="C307" s="120"/>
      <c r="D307" s="120"/>
      <c r="E307" s="120"/>
      <c r="F307" s="120"/>
      <c r="G307" s="120"/>
      <c r="H307" s="120"/>
      <c r="I307" s="120"/>
      <c r="J307" s="120"/>
      <c r="K307" s="120"/>
    </row>
    <row r="308">
      <c r="A308" s="120"/>
      <c r="B308" s="120"/>
      <c r="C308" s="120"/>
      <c r="D308" s="120"/>
      <c r="E308" s="120"/>
      <c r="F308" s="120"/>
      <c r="G308" s="120"/>
      <c r="H308" s="120"/>
      <c r="I308" s="120"/>
      <c r="J308" s="120"/>
      <c r="K308" s="120"/>
    </row>
    <row r="309">
      <c r="A309" s="120"/>
      <c r="B309" s="120"/>
      <c r="C309" s="120"/>
      <c r="D309" s="120"/>
      <c r="E309" s="120"/>
      <c r="F309" s="120"/>
      <c r="G309" s="120"/>
      <c r="H309" s="120"/>
      <c r="I309" s="120"/>
      <c r="J309" s="120"/>
      <c r="K309" s="120"/>
    </row>
    <row r="310">
      <c r="A310" s="120"/>
      <c r="B310" s="120"/>
      <c r="C310" s="120"/>
      <c r="D310" s="120"/>
      <c r="E310" s="120"/>
      <c r="F310" s="120"/>
      <c r="G310" s="120"/>
      <c r="H310" s="120"/>
      <c r="I310" s="120"/>
      <c r="J310" s="120"/>
      <c r="K310" s="120"/>
    </row>
    <row r="311">
      <c r="A311" s="120"/>
      <c r="B311" s="120"/>
      <c r="C311" s="120"/>
      <c r="D311" s="120"/>
      <c r="E311" s="120"/>
      <c r="F311" s="120"/>
      <c r="G311" s="120"/>
      <c r="H311" s="120"/>
      <c r="I311" s="120"/>
      <c r="J311" s="120"/>
      <c r="K311" s="120"/>
    </row>
    <row r="312">
      <c r="A312" s="120"/>
      <c r="B312" s="120"/>
      <c r="C312" s="120"/>
      <c r="D312" s="120"/>
      <c r="E312" s="120"/>
      <c r="F312" s="120"/>
      <c r="G312" s="120"/>
      <c r="H312" s="120"/>
      <c r="I312" s="120"/>
      <c r="J312" s="120"/>
      <c r="K312" s="120"/>
    </row>
    <row r="313">
      <c r="A313" s="120"/>
      <c r="B313" s="120"/>
      <c r="C313" s="120"/>
      <c r="D313" s="120"/>
      <c r="E313" s="120"/>
      <c r="F313" s="120"/>
      <c r="G313" s="120"/>
      <c r="H313" s="120"/>
      <c r="I313" s="120"/>
      <c r="J313" s="120"/>
      <c r="K313" s="120"/>
    </row>
    <row r="314">
      <c r="A314" s="120"/>
      <c r="B314" s="120"/>
      <c r="C314" s="120"/>
      <c r="D314" s="120"/>
      <c r="E314" s="120"/>
      <c r="F314" s="120"/>
      <c r="G314" s="120"/>
      <c r="H314" s="120"/>
      <c r="I314" s="120"/>
      <c r="J314" s="120"/>
      <c r="K314" s="120"/>
    </row>
    <row r="315">
      <c r="A315" s="120"/>
      <c r="B315" s="120"/>
      <c r="C315" s="120"/>
      <c r="D315" s="120"/>
      <c r="E315" s="120"/>
      <c r="F315" s="120"/>
      <c r="G315" s="120"/>
      <c r="H315" s="120"/>
      <c r="I315" s="120"/>
      <c r="J315" s="120"/>
      <c r="K315" s="120"/>
    </row>
    <row r="316">
      <c r="A316" s="120"/>
      <c r="B316" s="120"/>
      <c r="C316" s="120"/>
      <c r="D316" s="120"/>
      <c r="E316" s="120"/>
      <c r="F316" s="120"/>
      <c r="G316" s="120"/>
      <c r="H316" s="120"/>
      <c r="I316" s="120"/>
      <c r="J316" s="120"/>
      <c r="K316" s="120"/>
    </row>
    <row r="317">
      <c r="A317" s="120"/>
      <c r="B317" s="120"/>
      <c r="C317" s="120"/>
      <c r="D317" s="120"/>
      <c r="E317" s="120"/>
      <c r="F317" s="120"/>
      <c r="G317" s="120"/>
      <c r="H317" s="120"/>
      <c r="I317" s="120"/>
      <c r="J317" s="120"/>
      <c r="K317" s="120"/>
    </row>
    <row r="318">
      <c r="A318" s="120"/>
      <c r="B318" s="120"/>
      <c r="C318" s="120"/>
      <c r="D318" s="120"/>
      <c r="E318" s="120"/>
      <c r="F318" s="120"/>
      <c r="G318" s="120"/>
      <c r="H318" s="120"/>
      <c r="I318" s="120"/>
      <c r="J318" s="120"/>
      <c r="K318" s="120"/>
    </row>
    <row r="319">
      <c r="A319" s="120"/>
      <c r="B319" s="120"/>
      <c r="C319" s="120"/>
      <c r="D319" s="120"/>
      <c r="E319" s="120"/>
      <c r="F319" s="120"/>
      <c r="G319" s="120"/>
      <c r="H319" s="120"/>
      <c r="I319" s="120"/>
      <c r="J319" s="120"/>
      <c r="K319" s="120"/>
    </row>
    <row r="320">
      <c r="A320" s="120"/>
      <c r="B320" s="120"/>
      <c r="C320" s="120"/>
      <c r="D320" s="120"/>
      <c r="E320" s="120"/>
      <c r="F320" s="120"/>
      <c r="G320" s="120"/>
      <c r="H320" s="120"/>
      <c r="I320" s="120"/>
      <c r="J320" s="120"/>
      <c r="K320" s="120"/>
    </row>
    <row r="321">
      <c r="A321" s="120"/>
      <c r="B321" s="120"/>
      <c r="C321" s="120"/>
      <c r="D321" s="120"/>
      <c r="E321" s="120"/>
      <c r="F321" s="120"/>
      <c r="G321" s="120"/>
      <c r="H321" s="120"/>
      <c r="I321" s="120"/>
      <c r="J321" s="120"/>
      <c r="K321" s="120"/>
    </row>
    <row r="322">
      <c r="A322" s="120"/>
      <c r="B322" s="120"/>
      <c r="C322" s="120"/>
      <c r="D322" s="120"/>
      <c r="E322" s="120"/>
      <c r="F322" s="120"/>
      <c r="G322" s="120"/>
      <c r="H322" s="120"/>
      <c r="I322" s="120"/>
      <c r="J322" s="120"/>
      <c r="K322" s="120"/>
    </row>
    <row r="323">
      <c r="A323" s="120"/>
      <c r="B323" s="120"/>
      <c r="C323" s="120"/>
      <c r="D323" s="120"/>
      <c r="E323" s="120"/>
      <c r="F323" s="120"/>
      <c r="G323" s="120"/>
      <c r="H323" s="120"/>
      <c r="I323" s="120"/>
      <c r="J323" s="120"/>
      <c r="K323" s="120"/>
    </row>
    <row r="324">
      <c r="A324" s="120"/>
      <c r="B324" s="120"/>
      <c r="C324" s="120"/>
      <c r="D324" s="120"/>
      <c r="E324" s="120"/>
      <c r="F324" s="120"/>
      <c r="G324" s="120"/>
      <c r="H324" s="120"/>
      <c r="I324" s="120"/>
      <c r="J324" s="120"/>
      <c r="K324" s="120"/>
    </row>
    <row r="325">
      <c r="A325" s="120"/>
      <c r="B325" s="120"/>
      <c r="C325" s="120"/>
      <c r="D325" s="120"/>
      <c r="E325" s="120"/>
      <c r="F325" s="120"/>
      <c r="G325" s="120"/>
      <c r="H325" s="120"/>
      <c r="I325" s="120"/>
      <c r="J325" s="120"/>
      <c r="K325" s="120"/>
    </row>
    <row r="326">
      <c r="A326" s="120"/>
      <c r="B326" s="120"/>
      <c r="C326" s="120"/>
      <c r="D326" s="120"/>
      <c r="E326" s="120"/>
      <c r="F326" s="120"/>
      <c r="G326" s="120"/>
      <c r="H326" s="120"/>
      <c r="I326" s="120"/>
      <c r="J326" s="120"/>
      <c r="K326" s="120"/>
    </row>
    <row r="327">
      <c r="A327" s="120"/>
      <c r="B327" s="120"/>
      <c r="C327" s="120"/>
      <c r="D327" s="120"/>
      <c r="E327" s="120"/>
      <c r="F327" s="120"/>
      <c r="G327" s="120"/>
      <c r="H327" s="120"/>
      <c r="I327" s="120"/>
      <c r="J327" s="120"/>
      <c r="K327" s="120"/>
    </row>
    <row r="328">
      <c r="A328" s="120"/>
      <c r="B328" s="120"/>
      <c r="C328" s="120"/>
      <c r="D328" s="120"/>
      <c r="E328" s="120"/>
      <c r="F328" s="120"/>
      <c r="G328" s="120"/>
      <c r="H328" s="120"/>
      <c r="I328" s="120"/>
      <c r="J328" s="120"/>
      <c r="K328" s="120"/>
    </row>
    <row r="329">
      <c r="A329" s="120"/>
      <c r="B329" s="120"/>
      <c r="C329" s="120"/>
      <c r="D329" s="120"/>
      <c r="E329" s="120"/>
      <c r="F329" s="120"/>
      <c r="G329" s="120"/>
      <c r="H329" s="120"/>
      <c r="I329" s="120"/>
      <c r="J329" s="120"/>
      <c r="K329" s="120"/>
    </row>
    <row r="330">
      <c r="A330" s="120"/>
      <c r="B330" s="120"/>
      <c r="C330" s="120"/>
      <c r="D330" s="120"/>
      <c r="E330" s="120"/>
      <c r="F330" s="120"/>
      <c r="G330" s="120"/>
      <c r="H330" s="120"/>
      <c r="I330" s="120"/>
      <c r="J330" s="120"/>
      <c r="K330" s="120"/>
    </row>
    <row r="331">
      <c r="A331" s="120"/>
      <c r="B331" s="120"/>
      <c r="C331" s="120"/>
      <c r="D331" s="120"/>
      <c r="E331" s="120"/>
      <c r="F331" s="120"/>
      <c r="G331" s="120"/>
      <c r="H331" s="120"/>
      <c r="I331" s="120"/>
      <c r="J331" s="120"/>
      <c r="K331" s="120"/>
    </row>
    <row r="332">
      <c r="A332" s="120"/>
      <c r="B332" s="120"/>
      <c r="C332" s="120"/>
      <c r="D332" s="120"/>
      <c r="E332" s="120"/>
      <c r="F332" s="120"/>
      <c r="G332" s="120"/>
      <c r="H332" s="120"/>
      <c r="I332" s="120"/>
      <c r="J332" s="120"/>
      <c r="K332" s="120"/>
    </row>
    <row r="333">
      <c r="A333" s="120"/>
      <c r="B333" s="120"/>
      <c r="C333" s="120"/>
      <c r="D333" s="120"/>
      <c r="E333" s="120"/>
      <c r="F333" s="120"/>
      <c r="G333" s="120"/>
      <c r="H333" s="120"/>
      <c r="I333" s="120"/>
      <c r="J333" s="120"/>
      <c r="K333" s="120"/>
    </row>
    <row r="334">
      <c r="A334" s="120"/>
      <c r="B334" s="120"/>
      <c r="C334" s="120"/>
      <c r="D334" s="120"/>
      <c r="E334" s="120"/>
      <c r="F334" s="120"/>
      <c r="G334" s="120"/>
      <c r="H334" s="120"/>
      <c r="I334" s="120"/>
      <c r="J334" s="120"/>
      <c r="K334" s="120"/>
    </row>
    <row r="335">
      <c r="A335" s="120"/>
      <c r="B335" s="120"/>
      <c r="C335" s="120"/>
      <c r="D335" s="120"/>
      <c r="E335" s="120"/>
      <c r="F335" s="120"/>
      <c r="G335" s="120"/>
      <c r="H335" s="120"/>
      <c r="I335" s="120"/>
      <c r="J335" s="120"/>
      <c r="K335" s="120"/>
    </row>
    <row r="336">
      <c r="A336" s="120"/>
      <c r="B336" s="120"/>
      <c r="C336" s="120"/>
      <c r="D336" s="120"/>
      <c r="E336" s="120"/>
      <c r="F336" s="120"/>
      <c r="G336" s="120"/>
      <c r="H336" s="120"/>
      <c r="I336" s="120"/>
      <c r="J336" s="120"/>
      <c r="K336" s="120"/>
    </row>
    <row r="337">
      <c r="A337" s="120"/>
      <c r="B337" s="120"/>
      <c r="C337" s="120"/>
      <c r="D337" s="120"/>
      <c r="E337" s="120"/>
      <c r="F337" s="120"/>
      <c r="G337" s="120"/>
      <c r="H337" s="120"/>
      <c r="I337" s="120"/>
      <c r="J337" s="120"/>
      <c r="K337" s="120"/>
    </row>
    <row r="338">
      <c r="A338" s="120"/>
      <c r="B338" s="120"/>
      <c r="C338" s="120"/>
      <c r="D338" s="120"/>
      <c r="E338" s="120"/>
      <c r="F338" s="120"/>
      <c r="G338" s="120"/>
      <c r="H338" s="120"/>
      <c r="I338" s="120"/>
      <c r="J338" s="120"/>
      <c r="K338" s="120"/>
    </row>
    <row r="339">
      <c r="A339" s="120"/>
      <c r="B339" s="120"/>
      <c r="C339" s="120"/>
      <c r="D339" s="120"/>
      <c r="E339" s="120"/>
      <c r="F339" s="120"/>
      <c r="G339" s="120"/>
      <c r="H339" s="120"/>
      <c r="I339" s="120"/>
      <c r="J339" s="120"/>
      <c r="K339" s="120"/>
    </row>
    <row r="340">
      <c r="A340" s="120"/>
      <c r="B340" s="120"/>
      <c r="C340" s="120"/>
      <c r="D340" s="120"/>
      <c r="E340" s="120"/>
      <c r="F340" s="120"/>
      <c r="G340" s="120"/>
      <c r="H340" s="120"/>
      <c r="I340" s="120"/>
      <c r="J340" s="120"/>
      <c r="K340" s="120"/>
    </row>
    <row r="341">
      <c r="A341" s="120"/>
      <c r="B341" s="120"/>
      <c r="C341" s="120"/>
      <c r="D341" s="120"/>
      <c r="E341" s="120"/>
      <c r="F341" s="120"/>
      <c r="G341" s="120"/>
      <c r="H341" s="120"/>
      <c r="I341" s="120"/>
      <c r="J341" s="120"/>
      <c r="K341" s="120"/>
    </row>
    <row r="342">
      <c r="A342" s="120"/>
      <c r="B342" s="120"/>
      <c r="C342" s="120"/>
      <c r="D342" s="120"/>
      <c r="E342" s="120"/>
      <c r="F342" s="120"/>
      <c r="G342" s="120"/>
      <c r="H342" s="120"/>
      <c r="I342" s="120"/>
      <c r="J342" s="120"/>
      <c r="K342" s="120"/>
    </row>
    <row r="343">
      <c r="A343" s="120"/>
      <c r="B343" s="120"/>
      <c r="C343" s="120"/>
      <c r="D343" s="120"/>
      <c r="E343" s="120"/>
      <c r="F343" s="120"/>
      <c r="G343" s="120"/>
      <c r="H343" s="120"/>
      <c r="I343" s="120"/>
      <c r="J343" s="120"/>
      <c r="K343" s="120"/>
    </row>
    <row r="344">
      <c r="A344" s="120"/>
      <c r="B344" s="120"/>
      <c r="C344" s="120"/>
      <c r="D344" s="120"/>
      <c r="E344" s="120"/>
      <c r="F344" s="120"/>
      <c r="G344" s="120"/>
      <c r="H344" s="120"/>
      <c r="I344" s="120"/>
      <c r="J344" s="120"/>
      <c r="K344" s="120"/>
    </row>
    <row r="345">
      <c r="A345" s="120"/>
      <c r="B345" s="120"/>
      <c r="C345" s="120"/>
      <c r="D345" s="120"/>
      <c r="E345" s="120"/>
      <c r="F345" s="120"/>
      <c r="G345" s="120"/>
      <c r="H345" s="120"/>
      <c r="I345" s="120"/>
      <c r="J345" s="120"/>
      <c r="K345" s="120"/>
    </row>
    <row r="346">
      <c r="A346" s="120"/>
      <c r="B346" s="120"/>
      <c r="C346" s="120"/>
      <c r="D346" s="120"/>
      <c r="E346" s="120"/>
      <c r="F346" s="120"/>
      <c r="G346" s="120"/>
      <c r="H346" s="120"/>
      <c r="I346" s="120"/>
      <c r="J346" s="120"/>
      <c r="K346" s="120"/>
    </row>
    <row r="347">
      <c r="A347" s="120"/>
      <c r="B347" s="120"/>
      <c r="C347" s="120"/>
      <c r="D347" s="120"/>
      <c r="E347" s="120"/>
      <c r="F347" s="120"/>
      <c r="G347" s="120"/>
      <c r="H347" s="120"/>
      <c r="I347" s="120"/>
      <c r="J347" s="120"/>
      <c r="K347" s="120"/>
    </row>
    <row r="348">
      <c r="A348" s="120"/>
      <c r="B348" s="120"/>
      <c r="C348" s="120"/>
      <c r="D348" s="120"/>
      <c r="E348" s="120"/>
      <c r="F348" s="120"/>
      <c r="G348" s="120"/>
      <c r="H348" s="120"/>
      <c r="I348" s="120"/>
      <c r="J348" s="120"/>
      <c r="K348" s="120"/>
    </row>
    <row r="349">
      <c r="A349" s="120"/>
      <c r="B349" s="120"/>
      <c r="C349" s="120"/>
      <c r="D349" s="120"/>
      <c r="E349" s="120"/>
      <c r="F349" s="120"/>
      <c r="G349" s="120"/>
      <c r="H349" s="120"/>
      <c r="I349" s="120"/>
      <c r="J349" s="120"/>
      <c r="K349" s="120"/>
    </row>
    <row r="350">
      <c r="A350" s="120"/>
      <c r="B350" s="120"/>
      <c r="C350" s="120"/>
      <c r="D350" s="120"/>
      <c r="E350" s="120"/>
      <c r="F350" s="120"/>
      <c r="G350" s="120"/>
      <c r="H350" s="120"/>
      <c r="I350" s="120"/>
      <c r="J350" s="120"/>
      <c r="K350" s="120"/>
    </row>
    <row r="351">
      <c r="A351" s="120"/>
      <c r="B351" s="120"/>
      <c r="C351" s="120"/>
      <c r="D351" s="120"/>
      <c r="E351" s="120"/>
      <c r="F351" s="120"/>
      <c r="G351" s="120"/>
      <c r="H351" s="120"/>
      <c r="I351" s="120"/>
      <c r="J351" s="120"/>
      <c r="K351" s="120"/>
    </row>
    <row r="352">
      <c r="A352" s="120"/>
      <c r="B352" s="120"/>
      <c r="C352" s="120"/>
      <c r="D352" s="120"/>
      <c r="E352" s="120"/>
      <c r="F352" s="120"/>
      <c r="G352" s="120"/>
      <c r="H352" s="120"/>
      <c r="I352" s="120"/>
      <c r="J352" s="120"/>
      <c r="K352" s="120"/>
    </row>
    <row r="353">
      <c r="A353" s="120"/>
      <c r="B353" s="120"/>
      <c r="C353" s="120"/>
      <c r="D353" s="120"/>
      <c r="E353" s="120"/>
      <c r="F353" s="120"/>
      <c r="G353" s="120"/>
      <c r="H353" s="120"/>
      <c r="I353" s="120"/>
      <c r="J353" s="120"/>
      <c r="K353" s="120"/>
    </row>
    <row r="354">
      <c r="A354" s="120"/>
      <c r="B354" s="120"/>
      <c r="C354" s="120"/>
      <c r="D354" s="120"/>
      <c r="E354" s="120"/>
      <c r="F354" s="120"/>
      <c r="G354" s="120"/>
      <c r="H354" s="120"/>
      <c r="I354" s="120"/>
      <c r="J354" s="120"/>
      <c r="K354" s="120"/>
    </row>
    <row r="355">
      <c r="A355" s="120"/>
      <c r="B355" s="120"/>
      <c r="C355" s="120"/>
      <c r="D355" s="120"/>
      <c r="E355" s="120"/>
      <c r="F355" s="120"/>
      <c r="G355" s="120"/>
      <c r="H355" s="120"/>
      <c r="I355" s="120"/>
      <c r="J355" s="120"/>
      <c r="K355" s="120"/>
    </row>
    <row r="356">
      <c r="A356" s="120"/>
      <c r="B356" s="120"/>
      <c r="C356" s="120"/>
      <c r="D356" s="120"/>
      <c r="E356" s="120"/>
      <c r="F356" s="120"/>
      <c r="G356" s="120"/>
      <c r="H356" s="120"/>
      <c r="I356" s="120"/>
      <c r="J356" s="120"/>
      <c r="K356" s="120"/>
    </row>
    <row r="357">
      <c r="A357" s="120"/>
      <c r="B357" s="120"/>
      <c r="C357" s="120"/>
      <c r="D357" s="120"/>
      <c r="E357" s="120"/>
      <c r="F357" s="120"/>
      <c r="G357" s="120"/>
      <c r="H357" s="120"/>
      <c r="I357" s="120"/>
      <c r="J357" s="120"/>
      <c r="K357" s="120"/>
    </row>
    <row r="358">
      <c r="A358" s="120"/>
      <c r="B358" s="120"/>
      <c r="C358" s="120"/>
      <c r="D358" s="120"/>
      <c r="E358" s="120"/>
      <c r="F358" s="120"/>
      <c r="G358" s="120"/>
      <c r="H358" s="120"/>
      <c r="I358" s="120"/>
      <c r="J358" s="120"/>
      <c r="K358" s="120"/>
    </row>
    <row r="359">
      <c r="A359" s="120"/>
      <c r="B359" s="120"/>
      <c r="C359" s="120"/>
      <c r="D359" s="120"/>
      <c r="E359" s="120"/>
      <c r="F359" s="120"/>
      <c r="G359" s="120"/>
      <c r="H359" s="120"/>
      <c r="I359" s="120"/>
      <c r="J359" s="120"/>
      <c r="K359" s="120"/>
    </row>
    <row r="360">
      <c r="A360" s="120"/>
      <c r="B360" s="120"/>
      <c r="C360" s="120"/>
      <c r="D360" s="120"/>
      <c r="E360" s="120"/>
      <c r="F360" s="120"/>
      <c r="G360" s="120"/>
      <c r="H360" s="120"/>
      <c r="I360" s="120"/>
      <c r="J360" s="120"/>
      <c r="K360" s="120"/>
    </row>
    <row r="361">
      <c r="A361" s="120"/>
      <c r="B361" s="120"/>
      <c r="C361" s="120"/>
      <c r="D361" s="120"/>
      <c r="E361" s="120"/>
      <c r="F361" s="120"/>
      <c r="G361" s="120"/>
      <c r="H361" s="120"/>
      <c r="I361" s="120"/>
      <c r="J361" s="120"/>
      <c r="K361" s="120"/>
    </row>
    <row r="362">
      <c r="A362" s="120"/>
      <c r="B362" s="120"/>
      <c r="C362" s="120"/>
      <c r="D362" s="120"/>
      <c r="E362" s="120"/>
      <c r="F362" s="120"/>
      <c r="G362" s="120"/>
      <c r="H362" s="120"/>
      <c r="I362" s="120"/>
      <c r="J362" s="120"/>
      <c r="K362" s="120"/>
    </row>
    <row r="363">
      <c r="A363" s="120"/>
      <c r="B363" s="120"/>
      <c r="C363" s="120"/>
      <c r="D363" s="120"/>
      <c r="E363" s="120"/>
      <c r="F363" s="120"/>
      <c r="G363" s="120"/>
      <c r="H363" s="120"/>
      <c r="I363" s="120"/>
      <c r="J363" s="120"/>
      <c r="K363" s="120"/>
    </row>
    <row r="364">
      <c r="A364" s="120"/>
      <c r="B364" s="120"/>
      <c r="C364" s="120"/>
      <c r="D364" s="120"/>
      <c r="E364" s="120"/>
      <c r="F364" s="120"/>
      <c r="G364" s="120"/>
      <c r="H364" s="120"/>
      <c r="I364" s="120"/>
      <c r="J364" s="120"/>
      <c r="K364" s="120"/>
    </row>
    <row r="365">
      <c r="A365" s="120"/>
      <c r="B365" s="120"/>
      <c r="C365" s="120"/>
      <c r="D365" s="120"/>
      <c r="E365" s="120"/>
      <c r="F365" s="120"/>
      <c r="G365" s="120"/>
      <c r="H365" s="120"/>
      <c r="I365" s="120"/>
      <c r="J365" s="120"/>
      <c r="K365" s="120"/>
    </row>
    <row r="366">
      <c r="A366" s="120"/>
      <c r="B366" s="120"/>
      <c r="C366" s="120"/>
      <c r="D366" s="120"/>
      <c r="E366" s="120"/>
      <c r="F366" s="120"/>
      <c r="G366" s="120"/>
      <c r="H366" s="120"/>
      <c r="I366" s="120"/>
      <c r="J366" s="120"/>
      <c r="K366" s="120"/>
    </row>
    <row r="367">
      <c r="A367" s="120"/>
      <c r="B367" s="120"/>
      <c r="C367" s="120"/>
      <c r="D367" s="120"/>
      <c r="E367" s="120"/>
      <c r="F367" s="120"/>
      <c r="G367" s="120"/>
      <c r="H367" s="120"/>
      <c r="I367" s="120"/>
      <c r="J367" s="120"/>
      <c r="K367" s="120"/>
    </row>
    <row r="368">
      <c r="A368" s="120"/>
      <c r="B368" s="120"/>
      <c r="C368" s="120"/>
      <c r="D368" s="120"/>
      <c r="E368" s="120"/>
      <c r="F368" s="120"/>
      <c r="G368" s="120"/>
      <c r="H368" s="120"/>
      <c r="I368" s="120"/>
      <c r="J368" s="120"/>
      <c r="K368" s="120"/>
    </row>
    <row r="369">
      <c r="A369" s="120"/>
      <c r="B369" s="120"/>
      <c r="C369" s="120"/>
      <c r="D369" s="120"/>
      <c r="E369" s="120"/>
      <c r="F369" s="120"/>
      <c r="G369" s="120"/>
      <c r="H369" s="120"/>
      <c r="I369" s="120"/>
      <c r="J369" s="120"/>
      <c r="K369" s="120"/>
    </row>
    <row r="370">
      <c r="A370" s="120"/>
      <c r="B370" s="120"/>
      <c r="C370" s="120"/>
      <c r="D370" s="120"/>
      <c r="E370" s="120"/>
      <c r="F370" s="120"/>
      <c r="G370" s="120"/>
      <c r="H370" s="120"/>
      <c r="I370" s="120"/>
      <c r="J370" s="120"/>
      <c r="K370" s="120"/>
    </row>
    <row r="371">
      <c r="A371" s="120"/>
      <c r="B371" s="120"/>
      <c r="C371" s="120"/>
      <c r="D371" s="120"/>
      <c r="E371" s="120"/>
      <c r="F371" s="120"/>
      <c r="G371" s="120"/>
      <c r="H371" s="120"/>
      <c r="I371" s="120"/>
      <c r="J371" s="120"/>
      <c r="K371" s="120"/>
    </row>
    <row r="372">
      <c r="A372" s="120"/>
      <c r="B372" s="120"/>
      <c r="C372" s="120"/>
      <c r="D372" s="120"/>
      <c r="E372" s="120"/>
      <c r="F372" s="120"/>
      <c r="G372" s="120"/>
      <c r="H372" s="120"/>
      <c r="I372" s="120"/>
      <c r="J372" s="120"/>
      <c r="K372" s="120"/>
    </row>
    <row r="373">
      <c r="A373" s="120"/>
      <c r="B373" s="120"/>
      <c r="C373" s="120"/>
      <c r="D373" s="120"/>
      <c r="E373" s="120"/>
      <c r="F373" s="120"/>
      <c r="G373" s="120"/>
      <c r="H373" s="120"/>
      <c r="I373" s="120"/>
      <c r="J373" s="120"/>
      <c r="K373" s="120"/>
    </row>
    <row r="374">
      <c r="A374" s="120"/>
      <c r="B374" s="120"/>
      <c r="C374" s="120"/>
      <c r="D374" s="120"/>
      <c r="E374" s="120"/>
      <c r="F374" s="120"/>
      <c r="G374" s="120"/>
      <c r="H374" s="120"/>
      <c r="I374" s="120"/>
      <c r="J374" s="120"/>
      <c r="K374" s="120"/>
    </row>
    <row r="375">
      <c r="A375" s="120"/>
      <c r="B375" s="120"/>
      <c r="C375" s="120"/>
      <c r="D375" s="120"/>
      <c r="E375" s="120"/>
      <c r="F375" s="120"/>
      <c r="G375" s="120"/>
      <c r="H375" s="120"/>
      <c r="I375" s="120"/>
      <c r="J375" s="120"/>
      <c r="K375" s="120"/>
    </row>
    <row r="376">
      <c r="A376" s="120"/>
      <c r="B376" s="120"/>
      <c r="C376" s="120"/>
      <c r="D376" s="120"/>
      <c r="E376" s="120"/>
      <c r="F376" s="120"/>
      <c r="G376" s="120"/>
      <c r="H376" s="120"/>
      <c r="I376" s="120"/>
      <c r="J376" s="120"/>
      <c r="K376" s="120"/>
    </row>
    <row r="377">
      <c r="A377" s="120"/>
      <c r="B377" s="120"/>
      <c r="C377" s="120"/>
      <c r="D377" s="120"/>
      <c r="E377" s="120"/>
      <c r="F377" s="120"/>
      <c r="G377" s="120"/>
      <c r="H377" s="120"/>
      <c r="I377" s="120"/>
      <c r="J377" s="120"/>
      <c r="K377" s="120"/>
    </row>
    <row r="378">
      <c r="A378" s="120"/>
      <c r="B378" s="120"/>
      <c r="C378" s="120"/>
      <c r="D378" s="120"/>
      <c r="E378" s="120"/>
      <c r="F378" s="120"/>
      <c r="G378" s="120"/>
      <c r="H378" s="120"/>
      <c r="I378" s="120"/>
      <c r="J378" s="120"/>
      <c r="K378" s="120"/>
    </row>
    <row r="379">
      <c r="A379" s="120"/>
      <c r="B379" s="120"/>
      <c r="C379" s="120"/>
      <c r="D379" s="120"/>
      <c r="E379" s="120"/>
      <c r="F379" s="120"/>
      <c r="G379" s="120"/>
      <c r="H379" s="120"/>
      <c r="I379" s="120"/>
      <c r="J379" s="120"/>
      <c r="K379" s="120"/>
    </row>
    <row r="380">
      <c r="A380" s="120"/>
      <c r="B380" s="120"/>
      <c r="C380" s="120"/>
      <c r="D380" s="120"/>
      <c r="E380" s="120"/>
      <c r="F380" s="120"/>
      <c r="G380" s="120"/>
      <c r="H380" s="120"/>
      <c r="I380" s="120"/>
      <c r="J380" s="120"/>
      <c r="K380" s="120"/>
    </row>
    <row r="381">
      <c r="A381" s="120"/>
      <c r="B381" s="120"/>
      <c r="C381" s="120"/>
      <c r="D381" s="120"/>
      <c r="E381" s="120"/>
      <c r="F381" s="120"/>
      <c r="G381" s="120"/>
      <c r="H381" s="120"/>
      <c r="I381" s="120"/>
      <c r="J381" s="120"/>
      <c r="K381" s="120"/>
    </row>
    <row r="382">
      <c r="A382" s="120"/>
      <c r="B382" s="120"/>
      <c r="C382" s="120"/>
      <c r="D382" s="120"/>
      <c r="E382" s="120"/>
      <c r="F382" s="120"/>
      <c r="G382" s="120"/>
      <c r="H382" s="120"/>
      <c r="I382" s="120"/>
      <c r="J382" s="120"/>
      <c r="K382" s="120"/>
    </row>
    <row r="383">
      <c r="A383" s="120"/>
      <c r="B383" s="120"/>
      <c r="C383" s="120"/>
      <c r="D383" s="120"/>
      <c r="E383" s="120"/>
      <c r="F383" s="120"/>
      <c r="G383" s="120"/>
      <c r="H383" s="120"/>
      <c r="I383" s="120"/>
      <c r="J383" s="120"/>
      <c r="K383" s="120"/>
    </row>
    <row r="384">
      <c r="A384" s="120"/>
      <c r="B384" s="120"/>
      <c r="C384" s="120"/>
      <c r="D384" s="120"/>
      <c r="E384" s="120"/>
      <c r="F384" s="120"/>
      <c r="G384" s="120"/>
      <c r="H384" s="120"/>
      <c r="I384" s="120"/>
      <c r="J384" s="120"/>
      <c r="K384" s="120"/>
    </row>
    <row r="385">
      <c r="A385" s="120"/>
      <c r="B385" s="120"/>
      <c r="C385" s="120"/>
      <c r="D385" s="120"/>
      <c r="E385" s="120"/>
      <c r="F385" s="120"/>
      <c r="G385" s="120"/>
      <c r="H385" s="120"/>
      <c r="I385" s="120"/>
      <c r="J385" s="120"/>
      <c r="K385" s="120"/>
    </row>
    <row r="386">
      <c r="A386" s="120"/>
      <c r="B386" s="120"/>
      <c r="C386" s="120"/>
      <c r="D386" s="120"/>
      <c r="E386" s="120"/>
      <c r="F386" s="120"/>
      <c r="G386" s="120"/>
      <c r="H386" s="120"/>
      <c r="I386" s="120"/>
      <c r="J386" s="120"/>
      <c r="K386" s="120"/>
    </row>
    <row r="387">
      <c r="A387" s="120"/>
      <c r="B387" s="120"/>
      <c r="C387" s="120"/>
      <c r="D387" s="120"/>
      <c r="E387" s="120"/>
      <c r="F387" s="120"/>
      <c r="G387" s="120"/>
      <c r="H387" s="120"/>
      <c r="I387" s="120"/>
      <c r="J387" s="120"/>
      <c r="K387" s="120"/>
    </row>
    <row r="388">
      <c r="A388" s="120"/>
      <c r="B388" s="120"/>
      <c r="C388" s="120"/>
      <c r="D388" s="120"/>
      <c r="E388" s="120"/>
      <c r="F388" s="120"/>
      <c r="G388" s="120"/>
      <c r="H388" s="120"/>
      <c r="I388" s="120"/>
      <c r="J388" s="120"/>
      <c r="K388" s="120"/>
    </row>
    <row r="389">
      <c r="A389" s="120"/>
      <c r="B389" s="120"/>
      <c r="C389" s="120"/>
      <c r="D389" s="120"/>
      <c r="E389" s="120"/>
      <c r="F389" s="120"/>
      <c r="G389" s="120"/>
      <c r="H389" s="120"/>
      <c r="I389" s="120"/>
      <c r="J389" s="120"/>
      <c r="K389" s="120"/>
    </row>
    <row r="390">
      <c r="A390" s="120"/>
      <c r="B390" s="120"/>
      <c r="C390" s="120"/>
      <c r="D390" s="120"/>
      <c r="E390" s="120"/>
      <c r="F390" s="120"/>
      <c r="G390" s="120"/>
      <c r="H390" s="120"/>
      <c r="I390" s="120"/>
      <c r="J390" s="120"/>
      <c r="K390" s="120"/>
    </row>
    <row r="391">
      <c r="A391" s="120"/>
      <c r="B391" s="120"/>
      <c r="C391" s="120"/>
      <c r="D391" s="120"/>
      <c r="E391" s="120"/>
      <c r="F391" s="120"/>
      <c r="G391" s="120"/>
      <c r="H391" s="120"/>
      <c r="I391" s="120"/>
      <c r="J391" s="120"/>
      <c r="K391" s="120"/>
    </row>
    <row r="392">
      <c r="A392" s="120"/>
      <c r="B392" s="120"/>
      <c r="C392" s="120"/>
      <c r="D392" s="120"/>
      <c r="E392" s="120"/>
      <c r="F392" s="120"/>
      <c r="G392" s="120"/>
      <c r="H392" s="120"/>
      <c r="I392" s="120"/>
      <c r="J392" s="120"/>
      <c r="K392" s="120"/>
    </row>
    <row r="393">
      <c r="A393" s="120"/>
      <c r="B393" s="120"/>
      <c r="C393" s="120"/>
      <c r="D393" s="120"/>
      <c r="E393" s="120"/>
      <c r="F393" s="120"/>
      <c r="G393" s="120"/>
      <c r="H393" s="120"/>
      <c r="I393" s="120"/>
      <c r="J393" s="120"/>
      <c r="K393" s="120"/>
    </row>
    <row r="394">
      <c r="A394" s="120"/>
      <c r="B394" s="120"/>
      <c r="C394" s="120"/>
      <c r="D394" s="120"/>
      <c r="E394" s="120"/>
      <c r="F394" s="120"/>
      <c r="G394" s="120"/>
      <c r="H394" s="120"/>
      <c r="I394" s="120"/>
      <c r="J394" s="120"/>
      <c r="K394" s="120"/>
    </row>
    <row r="395">
      <c r="A395" s="120"/>
      <c r="B395" s="120"/>
      <c r="C395" s="120"/>
      <c r="D395" s="120"/>
      <c r="E395" s="120"/>
      <c r="F395" s="120"/>
      <c r="G395" s="120"/>
      <c r="H395" s="120"/>
      <c r="I395" s="120"/>
      <c r="J395" s="120"/>
      <c r="K395" s="120"/>
    </row>
    <row r="396">
      <c r="A396" s="120"/>
      <c r="B396" s="120"/>
      <c r="C396" s="120"/>
      <c r="D396" s="120"/>
      <c r="E396" s="120"/>
      <c r="F396" s="120"/>
      <c r="G396" s="120"/>
      <c r="H396" s="120"/>
      <c r="I396" s="120"/>
      <c r="J396" s="120"/>
      <c r="K396" s="120"/>
    </row>
    <row r="397">
      <c r="A397" s="120"/>
      <c r="B397" s="120"/>
      <c r="C397" s="120"/>
      <c r="D397" s="120"/>
      <c r="E397" s="120"/>
      <c r="F397" s="120"/>
      <c r="G397" s="120"/>
      <c r="H397" s="120"/>
      <c r="I397" s="120"/>
      <c r="J397" s="120"/>
      <c r="K397" s="120"/>
    </row>
    <row r="398">
      <c r="A398" s="120"/>
      <c r="B398" s="120"/>
      <c r="C398" s="120"/>
      <c r="D398" s="120"/>
      <c r="E398" s="120"/>
      <c r="F398" s="120"/>
      <c r="G398" s="120"/>
      <c r="H398" s="120"/>
      <c r="I398" s="120"/>
      <c r="J398" s="120"/>
      <c r="K398" s="120"/>
    </row>
    <row r="399">
      <c r="A399" s="120"/>
      <c r="B399" s="120"/>
      <c r="C399" s="120"/>
      <c r="D399" s="120"/>
      <c r="E399" s="120"/>
      <c r="F399" s="120"/>
      <c r="G399" s="120"/>
      <c r="H399" s="120"/>
      <c r="I399" s="120"/>
      <c r="J399" s="120"/>
      <c r="K399" s="120"/>
    </row>
    <row r="400">
      <c r="A400" s="120"/>
      <c r="B400" s="120"/>
      <c r="C400" s="120"/>
      <c r="D400" s="120"/>
      <c r="E400" s="120"/>
      <c r="F400" s="120"/>
      <c r="G400" s="120"/>
      <c r="H400" s="120"/>
      <c r="I400" s="120"/>
      <c r="J400" s="120"/>
      <c r="K400" s="120"/>
    </row>
    <row r="401">
      <c r="A401" s="120"/>
      <c r="B401" s="120"/>
      <c r="C401" s="120"/>
      <c r="D401" s="120"/>
      <c r="E401" s="120"/>
      <c r="F401" s="120"/>
      <c r="G401" s="120"/>
      <c r="H401" s="120"/>
      <c r="I401" s="120"/>
      <c r="J401" s="120"/>
      <c r="K401" s="120"/>
    </row>
    <row r="402">
      <c r="A402" s="120"/>
      <c r="B402" s="120"/>
      <c r="C402" s="120"/>
      <c r="D402" s="120"/>
      <c r="E402" s="120"/>
      <c r="F402" s="120"/>
      <c r="G402" s="120"/>
      <c r="H402" s="120"/>
      <c r="I402" s="120"/>
      <c r="J402" s="120"/>
      <c r="K402" s="120"/>
    </row>
    <row r="403">
      <c r="A403" s="120"/>
      <c r="B403" s="120"/>
      <c r="C403" s="120"/>
      <c r="D403" s="120"/>
      <c r="E403" s="120"/>
      <c r="F403" s="120"/>
      <c r="G403" s="120"/>
      <c r="H403" s="120"/>
      <c r="I403" s="120"/>
      <c r="J403" s="120"/>
      <c r="K403" s="120"/>
    </row>
    <row r="404">
      <c r="A404" s="120"/>
      <c r="B404" s="120"/>
      <c r="C404" s="120"/>
      <c r="D404" s="120"/>
      <c r="E404" s="120"/>
      <c r="F404" s="120"/>
      <c r="G404" s="120"/>
      <c r="H404" s="120"/>
      <c r="I404" s="120"/>
      <c r="J404" s="120"/>
      <c r="K404" s="120"/>
    </row>
    <row r="405">
      <c r="A405" s="120"/>
      <c r="B405" s="120"/>
      <c r="C405" s="120"/>
      <c r="D405" s="120"/>
      <c r="E405" s="120"/>
      <c r="F405" s="120"/>
      <c r="G405" s="120"/>
      <c r="H405" s="120"/>
      <c r="I405" s="120"/>
      <c r="J405" s="120"/>
      <c r="K405" s="120"/>
    </row>
    <row r="406">
      <c r="A406" s="120"/>
      <c r="B406" s="120"/>
      <c r="C406" s="120"/>
      <c r="D406" s="120"/>
      <c r="E406" s="120"/>
      <c r="F406" s="120"/>
      <c r="G406" s="120"/>
      <c r="H406" s="120"/>
      <c r="I406" s="120"/>
      <c r="J406" s="120"/>
      <c r="K406" s="120"/>
    </row>
    <row r="407">
      <c r="A407" s="120"/>
      <c r="B407" s="120"/>
      <c r="C407" s="120"/>
      <c r="D407" s="120"/>
      <c r="E407" s="120"/>
      <c r="F407" s="120"/>
      <c r="G407" s="120"/>
      <c r="H407" s="120"/>
      <c r="I407" s="120"/>
      <c r="J407" s="120"/>
      <c r="K407" s="120"/>
    </row>
    <row r="408">
      <c r="A408" s="120"/>
      <c r="B408" s="120"/>
      <c r="C408" s="120"/>
      <c r="D408" s="120"/>
      <c r="E408" s="120"/>
      <c r="F408" s="120"/>
      <c r="G408" s="120"/>
      <c r="H408" s="120"/>
      <c r="I408" s="120"/>
      <c r="J408" s="120"/>
      <c r="K408" s="120"/>
    </row>
    <row r="409">
      <c r="A409" s="120"/>
      <c r="B409" s="120"/>
      <c r="C409" s="120"/>
      <c r="D409" s="120"/>
      <c r="E409" s="120"/>
      <c r="F409" s="120"/>
      <c r="G409" s="120"/>
      <c r="H409" s="120"/>
      <c r="I409" s="120"/>
      <c r="J409" s="120"/>
      <c r="K409" s="120"/>
    </row>
    <row r="410">
      <c r="A410" s="120"/>
      <c r="B410" s="120"/>
      <c r="C410" s="120"/>
      <c r="D410" s="120"/>
      <c r="E410" s="120"/>
      <c r="F410" s="120"/>
      <c r="G410" s="120"/>
      <c r="H410" s="120"/>
      <c r="I410" s="120"/>
      <c r="J410" s="120"/>
      <c r="K410" s="120"/>
    </row>
    <row r="411">
      <c r="A411" s="120"/>
      <c r="B411" s="120"/>
      <c r="C411" s="120"/>
      <c r="D411" s="120"/>
      <c r="E411" s="120"/>
      <c r="F411" s="120"/>
      <c r="G411" s="120"/>
      <c r="H411" s="120"/>
      <c r="I411" s="120"/>
      <c r="J411" s="120"/>
      <c r="K411" s="120"/>
    </row>
    <row r="412">
      <c r="A412" s="120"/>
      <c r="B412" s="120"/>
      <c r="C412" s="120"/>
      <c r="D412" s="120"/>
      <c r="E412" s="120"/>
      <c r="F412" s="120"/>
      <c r="G412" s="120"/>
      <c r="H412" s="120"/>
      <c r="I412" s="120"/>
      <c r="J412" s="120"/>
      <c r="K412" s="120"/>
    </row>
    <row r="413">
      <c r="A413" s="120"/>
      <c r="B413" s="120"/>
      <c r="C413" s="120"/>
      <c r="D413" s="120"/>
      <c r="E413" s="120"/>
      <c r="F413" s="120"/>
      <c r="G413" s="120"/>
      <c r="H413" s="120"/>
      <c r="I413" s="120"/>
      <c r="J413" s="120"/>
      <c r="K413" s="120"/>
    </row>
    <row r="414">
      <c r="A414" s="120"/>
      <c r="B414" s="120"/>
      <c r="C414" s="120"/>
      <c r="D414" s="120"/>
      <c r="E414" s="120"/>
      <c r="F414" s="120"/>
      <c r="G414" s="120"/>
      <c r="H414" s="120"/>
      <c r="I414" s="120"/>
      <c r="J414" s="120"/>
      <c r="K414" s="120"/>
    </row>
    <row r="415">
      <c r="A415" s="120"/>
      <c r="B415" s="120"/>
      <c r="C415" s="120"/>
      <c r="D415" s="120"/>
      <c r="E415" s="120"/>
      <c r="F415" s="120"/>
      <c r="G415" s="120"/>
      <c r="H415" s="120"/>
      <c r="I415" s="120"/>
      <c r="J415" s="120"/>
      <c r="K415" s="120"/>
    </row>
    <row r="416">
      <c r="A416" s="120"/>
      <c r="B416" s="120"/>
      <c r="C416" s="120"/>
      <c r="D416" s="120"/>
      <c r="E416" s="120"/>
      <c r="F416" s="120"/>
      <c r="G416" s="120"/>
      <c r="H416" s="120"/>
      <c r="I416" s="120"/>
      <c r="J416" s="120"/>
      <c r="K416" s="120"/>
    </row>
    <row r="417">
      <c r="A417" s="120"/>
      <c r="B417" s="120"/>
      <c r="C417" s="120"/>
      <c r="D417" s="120"/>
      <c r="E417" s="120"/>
      <c r="F417" s="120"/>
      <c r="G417" s="120"/>
      <c r="H417" s="120"/>
      <c r="I417" s="120"/>
      <c r="J417" s="120"/>
      <c r="K417" s="120"/>
    </row>
    <row r="418">
      <c r="A418" s="120"/>
      <c r="B418" s="120"/>
      <c r="C418" s="120"/>
      <c r="D418" s="120"/>
      <c r="E418" s="120"/>
      <c r="F418" s="120"/>
      <c r="G418" s="120"/>
      <c r="H418" s="120"/>
      <c r="I418" s="120"/>
      <c r="J418" s="120"/>
      <c r="K418" s="120"/>
    </row>
    <row r="419">
      <c r="A419" s="120"/>
      <c r="B419" s="120"/>
      <c r="C419" s="120"/>
      <c r="D419" s="120"/>
      <c r="E419" s="120"/>
      <c r="F419" s="120"/>
      <c r="G419" s="120"/>
      <c r="H419" s="120"/>
      <c r="I419" s="120"/>
      <c r="J419" s="120"/>
      <c r="K419" s="120"/>
    </row>
    <row r="420">
      <c r="A420" s="120"/>
      <c r="B420" s="120"/>
      <c r="C420" s="120"/>
      <c r="D420" s="120"/>
      <c r="E420" s="120"/>
      <c r="F420" s="120"/>
      <c r="G420" s="120"/>
      <c r="H420" s="120"/>
      <c r="I420" s="120"/>
      <c r="J420" s="120"/>
      <c r="K420" s="120"/>
    </row>
    <row r="421">
      <c r="A421" s="120"/>
      <c r="B421" s="120"/>
      <c r="C421" s="120"/>
      <c r="D421" s="120"/>
      <c r="E421" s="120"/>
      <c r="F421" s="120"/>
      <c r="G421" s="120"/>
      <c r="H421" s="120"/>
      <c r="I421" s="120"/>
      <c r="J421" s="120"/>
      <c r="K421" s="120"/>
    </row>
    <row r="422">
      <c r="A422" s="120"/>
      <c r="B422" s="120"/>
      <c r="C422" s="120"/>
      <c r="D422" s="120"/>
      <c r="E422" s="120"/>
      <c r="F422" s="120"/>
      <c r="G422" s="120"/>
      <c r="H422" s="120"/>
      <c r="I422" s="120"/>
      <c r="J422" s="120"/>
      <c r="K422" s="120"/>
    </row>
    <row r="423">
      <c r="A423" s="120"/>
      <c r="B423" s="120"/>
      <c r="C423" s="120"/>
      <c r="D423" s="120"/>
      <c r="E423" s="120"/>
      <c r="F423" s="120"/>
      <c r="G423" s="120"/>
      <c r="H423" s="120"/>
      <c r="I423" s="120"/>
      <c r="J423" s="120"/>
      <c r="K423" s="120"/>
    </row>
    <row r="424">
      <c r="A424" s="120"/>
      <c r="B424" s="120"/>
      <c r="C424" s="120"/>
      <c r="D424" s="120"/>
      <c r="E424" s="120"/>
      <c r="F424" s="120"/>
      <c r="G424" s="120"/>
      <c r="H424" s="120"/>
      <c r="I424" s="120"/>
      <c r="J424" s="120"/>
      <c r="K424" s="120"/>
    </row>
    <row r="425">
      <c r="A425" s="120"/>
      <c r="B425" s="120"/>
      <c r="C425" s="120"/>
      <c r="D425" s="120"/>
      <c r="E425" s="120"/>
      <c r="F425" s="120"/>
      <c r="G425" s="120"/>
      <c r="H425" s="120"/>
      <c r="I425" s="120"/>
      <c r="J425" s="120"/>
      <c r="K425" s="120"/>
    </row>
    <row r="426">
      <c r="A426" s="120"/>
      <c r="B426" s="120"/>
      <c r="C426" s="120"/>
      <c r="D426" s="120"/>
      <c r="E426" s="120"/>
      <c r="F426" s="120"/>
      <c r="G426" s="120"/>
      <c r="H426" s="120"/>
      <c r="I426" s="120"/>
      <c r="J426" s="120"/>
      <c r="K426" s="120"/>
    </row>
    <row r="427">
      <c r="A427" s="120"/>
      <c r="B427" s="120"/>
      <c r="C427" s="120"/>
      <c r="D427" s="120"/>
      <c r="E427" s="120"/>
      <c r="F427" s="120"/>
      <c r="G427" s="120"/>
      <c r="H427" s="120"/>
      <c r="I427" s="120"/>
      <c r="J427" s="120"/>
      <c r="K427" s="120"/>
    </row>
    <row r="428">
      <c r="A428" s="120"/>
      <c r="B428" s="120"/>
      <c r="C428" s="120"/>
      <c r="D428" s="120"/>
      <c r="E428" s="120"/>
      <c r="F428" s="120"/>
      <c r="G428" s="120"/>
      <c r="H428" s="120"/>
      <c r="I428" s="120"/>
      <c r="J428" s="120"/>
      <c r="K428" s="120"/>
    </row>
    <row r="429">
      <c r="A429" s="120"/>
      <c r="B429" s="120"/>
      <c r="C429" s="120"/>
      <c r="D429" s="120"/>
      <c r="E429" s="120"/>
      <c r="F429" s="120"/>
      <c r="G429" s="120"/>
      <c r="H429" s="120"/>
      <c r="I429" s="120"/>
      <c r="J429" s="120"/>
      <c r="K429" s="120"/>
    </row>
    <row r="430">
      <c r="A430" s="120"/>
      <c r="B430" s="120"/>
      <c r="C430" s="120"/>
      <c r="D430" s="120"/>
      <c r="E430" s="120"/>
      <c r="F430" s="120"/>
      <c r="G430" s="120"/>
      <c r="H430" s="120"/>
      <c r="I430" s="120"/>
      <c r="J430" s="120"/>
      <c r="K430" s="120"/>
    </row>
    <row r="431">
      <c r="A431" s="120"/>
      <c r="B431" s="120"/>
      <c r="C431" s="120"/>
      <c r="D431" s="120"/>
      <c r="E431" s="120"/>
      <c r="F431" s="120"/>
      <c r="G431" s="120"/>
      <c r="H431" s="120"/>
      <c r="I431" s="120"/>
      <c r="J431" s="120"/>
      <c r="K431" s="120"/>
    </row>
    <row r="432">
      <c r="A432" s="120"/>
      <c r="B432" s="120"/>
      <c r="C432" s="120"/>
      <c r="D432" s="120"/>
      <c r="E432" s="120"/>
      <c r="F432" s="120"/>
      <c r="G432" s="120"/>
      <c r="H432" s="120"/>
      <c r="I432" s="120"/>
      <c r="J432" s="120"/>
      <c r="K432" s="120"/>
    </row>
    <row r="433">
      <c r="A433" s="120"/>
      <c r="B433" s="120"/>
      <c r="C433" s="120"/>
      <c r="D433" s="120"/>
      <c r="E433" s="120"/>
      <c r="F433" s="120"/>
      <c r="G433" s="120"/>
      <c r="H433" s="120"/>
      <c r="I433" s="120"/>
      <c r="J433" s="120"/>
      <c r="K433" s="120"/>
    </row>
    <row r="434">
      <c r="A434" s="120"/>
      <c r="B434" s="120"/>
      <c r="C434" s="120"/>
      <c r="D434" s="120"/>
      <c r="E434" s="120"/>
      <c r="F434" s="120"/>
      <c r="G434" s="120"/>
      <c r="H434" s="120"/>
      <c r="I434" s="120"/>
      <c r="J434" s="120"/>
      <c r="K434" s="120"/>
    </row>
    <row r="435">
      <c r="A435" s="120"/>
      <c r="B435" s="120"/>
      <c r="C435" s="120"/>
      <c r="D435" s="120"/>
      <c r="E435" s="120"/>
      <c r="F435" s="120"/>
      <c r="G435" s="120"/>
      <c r="H435" s="120"/>
      <c r="I435" s="120"/>
      <c r="J435" s="120"/>
      <c r="K435" s="120"/>
    </row>
    <row r="436">
      <c r="A436" s="120"/>
      <c r="B436" s="120"/>
      <c r="C436" s="120"/>
      <c r="D436" s="120"/>
      <c r="E436" s="120"/>
      <c r="F436" s="120"/>
      <c r="G436" s="120"/>
      <c r="H436" s="120"/>
      <c r="I436" s="120"/>
      <c r="J436" s="120"/>
      <c r="K436" s="120"/>
    </row>
    <row r="437">
      <c r="A437" s="120"/>
      <c r="B437" s="120"/>
      <c r="C437" s="120"/>
      <c r="D437" s="120"/>
      <c r="E437" s="120"/>
      <c r="F437" s="120"/>
      <c r="G437" s="120"/>
      <c r="H437" s="120"/>
      <c r="I437" s="120"/>
      <c r="J437" s="120"/>
      <c r="K437" s="120"/>
    </row>
    <row r="438">
      <c r="A438" s="120"/>
      <c r="B438" s="120"/>
      <c r="C438" s="120"/>
      <c r="D438" s="120"/>
      <c r="E438" s="120"/>
      <c r="F438" s="120"/>
      <c r="G438" s="120"/>
      <c r="H438" s="120"/>
      <c r="I438" s="120"/>
      <c r="J438" s="120"/>
      <c r="K438" s="120"/>
    </row>
    <row r="439">
      <c r="A439" s="120"/>
      <c r="B439" s="120"/>
      <c r="C439" s="120"/>
      <c r="D439" s="120"/>
      <c r="E439" s="120"/>
      <c r="F439" s="120"/>
      <c r="G439" s="120"/>
      <c r="H439" s="120"/>
      <c r="I439" s="120"/>
      <c r="J439" s="120"/>
      <c r="K439" s="120"/>
    </row>
    <row r="440">
      <c r="A440" s="120"/>
      <c r="B440" s="120"/>
      <c r="C440" s="120"/>
      <c r="D440" s="120"/>
      <c r="E440" s="120"/>
      <c r="F440" s="120"/>
      <c r="G440" s="120"/>
      <c r="H440" s="120"/>
      <c r="I440" s="120"/>
      <c r="J440" s="120"/>
      <c r="K440" s="120"/>
    </row>
    <row r="441">
      <c r="A441" s="120"/>
      <c r="B441" s="120"/>
      <c r="C441" s="120"/>
      <c r="D441" s="120"/>
      <c r="E441" s="120"/>
      <c r="F441" s="120"/>
      <c r="G441" s="120"/>
      <c r="H441" s="120"/>
      <c r="I441" s="120"/>
      <c r="J441" s="120"/>
      <c r="K441" s="120"/>
    </row>
    <row r="442">
      <c r="A442" s="120"/>
      <c r="B442" s="120"/>
      <c r="C442" s="120"/>
      <c r="D442" s="120"/>
      <c r="E442" s="120"/>
      <c r="F442" s="120"/>
      <c r="G442" s="120"/>
      <c r="H442" s="120"/>
      <c r="I442" s="120"/>
      <c r="J442" s="120"/>
      <c r="K442" s="120"/>
    </row>
    <row r="443">
      <c r="A443" s="120"/>
      <c r="B443" s="120"/>
      <c r="C443" s="120"/>
      <c r="D443" s="120"/>
      <c r="E443" s="120"/>
      <c r="F443" s="120"/>
      <c r="G443" s="120"/>
      <c r="H443" s="120"/>
      <c r="I443" s="120"/>
      <c r="J443" s="120"/>
      <c r="K443" s="120"/>
    </row>
    <row r="444">
      <c r="A444" s="120"/>
      <c r="B444" s="120"/>
      <c r="C444" s="120"/>
      <c r="D444" s="120"/>
      <c r="E444" s="120"/>
      <c r="F444" s="120"/>
      <c r="G444" s="120"/>
      <c r="H444" s="120"/>
      <c r="I444" s="120"/>
      <c r="J444" s="120"/>
      <c r="K444" s="120"/>
    </row>
    <row r="445">
      <c r="A445" s="120"/>
      <c r="B445" s="120"/>
      <c r="C445" s="120"/>
      <c r="D445" s="120"/>
      <c r="E445" s="120"/>
      <c r="F445" s="120"/>
      <c r="G445" s="120"/>
      <c r="H445" s="120"/>
      <c r="I445" s="120"/>
      <c r="J445" s="120"/>
      <c r="K445" s="120"/>
    </row>
    <row r="446">
      <c r="A446" s="120"/>
      <c r="B446" s="120"/>
      <c r="C446" s="120"/>
      <c r="D446" s="120"/>
      <c r="E446" s="120"/>
      <c r="F446" s="120"/>
      <c r="G446" s="120"/>
      <c r="H446" s="120"/>
      <c r="I446" s="120"/>
      <c r="J446" s="120"/>
      <c r="K446" s="120"/>
    </row>
    <row r="447">
      <c r="A447" s="120"/>
      <c r="B447" s="120"/>
      <c r="C447" s="120"/>
      <c r="D447" s="120"/>
      <c r="E447" s="120"/>
      <c r="F447" s="120"/>
      <c r="G447" s="120"/>
      <c r="H447" s="120"/>
      <c r="I447" s="120"/>
      <c r="J447" s="120"/>
      <c r="K447" s="120"/>
    </row>
    <row r="448">
      <c r="A448" s="120"/>
      <c r="B448" s="120"/>
      <c r="C448" s="120"/>
      <c r="D448" s="120"/>
      <c r="E448" s="120"/>
      <c r="F448" s="120"/>
      <c r="G448" s="120"/>
      <c r="H448" s="120"/>
      <c r="I448" s="120"/>
      <c r="J448" s="120"/>
      <c r="K448" s="120"/>
    </row>
    <row r="449">
      <c r="A449" s="120"/>
      <c r="B449" s="120"/>
      <c r="C449" s="120"/>
      <c r="D449" s="120"/>
      <c r="E449" s="120"/>
      <c r="F449" s="120"/>
      <c r="G449" s="120"/>
      <c r="H449" s="120"/>
      <c r="I449" s="120"/>
      <c r="J449" s="120"/>
      <c r="K449" s="120"/>
    </row>
    <row r="450">
      <c r="A450" s="120"/>
      <c r="B450" s="120"/>
      <c r="C450" s="120"/>
      <c r="D450" s="120"/>
      <c r="E450" s="120"/>
      <c r="F450" s="120"/>
      <c r="G450" s="120"/>
      <c r="H450" s="120"/>
      <c r="I450" s="120"/>
      <c r="J450" s="120"/>
      <c r="K450" s="120"/>
    </row>
    <row r="451">
      <c r="A451" s="120"/>
      <c r="B451" s="120"/>
      <c r="C451" s="120"/>
      <c r="D451" s="120"/>
      <c r="E451" s="120"/>
      <c r="F451" s="120"/>
      <c r="G451" s="120"/>
      <c r="H451" s="120"/>
      <c r="I451" s="120"/>
      <c r="J451" s="120"/>
      <c r="K451" s="120"/>
    </row>
    <row r="452">
      <c r="A452" s="120"/>
      <c r="B452" s="120"/>
      <c r="C452" s="120"/>
      <c r="D452" s="120"/>
      <c r="E452" s="120"/>
      <c r="F452" s="120"/>
      <c r="G452" s="120"/>
      <c r="H452" s="120"/>
      <c r="I452" s="120"/>
      <c r="J452" s="120"/>
      <c r="K452" s="120"/>
    </row>
    <row r="453">
      <c r="A453" s="120"/>
      <c r="B453" s="120"/>
      <c r="C453" s="120"/>
      <c r="D453" s="120"/>
      <c r="E453" s="120"/>
      <c r="F453" s="120"/>
      <c r="G453" s="120"/>
      <c r="H453" s="120"/>
      <c r="I453" s="120"/>
      <c r="J453" s="120"/>
      <c r="K453" s="120"/>
    </row>
    <row r="454">
      <c r="A454" s="120"/>
      <c r="B454" s="120"/>
      <c r="C454" s="120"/>
      <c r="D454" s="120"/>
      <c r="E454" s="120"/>
      <c r="F454" s="120"/>
      <c r="G454" s="120"/>
      <c r="H454" s="120"/>
      <c r="I454" s="120"/>
      <c r="J454" s="120"/>
      <c r="K454" s="120"/>
    </row>
    <row r="455">
      <c r="A455" s="120"/>
      <c r="B455" s="120"/>
      <c r="C455" s="120"/>
      <c r="D455" s="120"/>
      <c r="E455" s="120"/>
      <c r="F455" s="120"/>
      <c r="G455" s="120"/>
      <c r="H455" s="120"/>
      <c r="I455" s="120"/>
      <c r="J455" s="120"/>
      <c r="K455" s="120"/>
    </row>
    <row r="456">
      <c r="A456" s="120"/>
      <c r="B456" s="120"/>
      <c r="C456" s="120"/>
      <c r="D456" s="120"/>
      <c r="E456" s="120"/>
      <c r="F456" s="120"/>
      <c r="G456" s="120"/>
      <c r="H456" s="120"/>
      <c r="I456" s="120"/>
      <c r="J456" s="120"/>
      <c r="K456" s="120"/>
    </row>
    <row r="457">
      <c r="A457" s="120"/>
      <c r="B457" s="120"/>
      <c r="C457" s="120"/>
      <c r="D457" s="120"/>
      <c r="E457" s="120"/>
      <c r="F457" s="120"/>
      <c r="G457" s="120"/>
      <c r="H457" s="120"/>
      <c r="I457" s="120"/>
      <c r="J457" s="120"/>
      <c r="K457" s="120"/>
    </row>
    <row r="458">
      <c r="A458" s="120"/>
      <c r="B458" s="120"/>
      <c r="C458" s="120"/>
      <c r="D458" s="120"/>
      <c r="E458" s="120"/>
      <c r="F458" s="120"/>
      <c r="G458" s="120"/>
      <c r="H458" s="120"/>
      <c r="I458" s="120"/>
      <c r="J458" s="120"/>
      <c r="K458" s="120"/>
    </row>
    <row r="459">
      <c r="A459" s="120"/>
      <c r="B459" s="120"/>
      <c r="C459" s="120"/>
      <c r="D459" s="120"/>
      <c r="E459" s="120"/>
      <c r="F459" s="120"/>
      <c r="G459" s="120"/>
      <c r="H459" s="120"/>
      <c r="I459" s="120"/>
      <c r="J459" s="120"/>
      <c r="K459" s="120"/>
    </row>
    <row r="460">
      <c r="A460" s="120"/>
      <c r="B460" s="120"/>
      <c r="C460" s="120"/>
      <c r="D460" s="120"/>
      <c r="E460" s="120"/>
      <c r="F460" s="120"/>
      <c r="G460" s="120"/>
      <c r="H460" s="120"/>
      <c r="I460" s="120"/>
      <c r="J460" s="120"/>
      <c r="K460" s="120"/>
    </row>
    <row r="461">
      <c r="A461" s="120"/>
      <c r="B461" s="120"/>
      <c r="C461" s="120"/>
      <c r="D461" s="120"/>
      <c r="E461" s="120"/>
      <c r="F461" s="120"/>
      <c r="G461" s="120"/>
      <c r="H461" s="120"/>
      <c r="I461" s="120"/>
      <c r="J461" s="120"/>
      <c r="K461" s="120"/>
    </row>
    <row r="462">
      <c r="A462" s="120"/>
      <c r="B462" s="120"/>
      <c r="C462" s="120"/>
      <c r="D462" s="120"/>
      <c r="E462" s="120"/>
      <c r="F462" s="120"/>
      <c r="G462" s="120"/>
      <c r="H462" s="120"/>
      <c r="I462" s="120"/>
      <c r="J462" s="120"/>
      <c r="K462" s="120"/>
    </row>
    <row r="463">
      <c r="A463" s="120"/>
      <c r="B463" s="120"/>
      <c r="C463" s="120"/>
      <c r="D463" s="120"/>
      <c r="E463" s="120"/>
      <c r="F463" s="120"/>
      <c r="G463" s="120"/>
      <c r="H463" s="120"/>
      <c r="I463" s="120"/>
      <c r="J463" s="120"/>
      <c r="K463" s="120"/>
    </row>
    <row r="464">
      <c r="A464" s="120"/>
      <c r="B464" s="120"/>
      <c r="C464" s="120"/>
      <c r="D464" s="120"/>
      <c r="E464" s="120"/>
      <c r="F464" s="120"/>
      <c r="G464" s="120"/>
      <c r="H464" s="120"/>
      <c r="I464" s="120"/>
      <c r="J464" s="120"/>
      <c r="K464" s="120"/>
    </row>
    <row r="465">
      <c r="A465" s="120"/>
      <c r="B465" s="120"/>
      <c r="C465" s="120"/>
      <c r="D465" s="120"/>
      <c r="E465" s="120"/>
      <c r="F465" s="120"/>
      <c r="G465" s="120"/>
      <c r="H465" s="120"/>
      <c r="I465" s="120"/>
      <c r="J465" s="120"/>
      <c r="K465" s="120"/>
    </row>
    <row r="466">
      <c r="A466" s="120"/>
      <c r="B466" s="120"/>
      <c r="C466" s="120"/>
      <c r="D466" s="120"/>
      <c r="E466" s="120"/>
      <c r="F466" s="120"/>
      <c r="G466" s="120"/>
      <c r="H466" s="120"/>
      <c r="I466" s="120"/>
      <c r="J466" s="120"/>
      <c r="K466" s="120"/>
    </row>
    <row r="467">
      <c r="A467" s="120"/>
      <c r="B467" s="120"/>
      <c r="C467" s="120"/>
      <c r="D467" s="120"/>
      <c r="E467" s="120"/>
      <c r="F467" s="120"/>
      <c r="G467" s="120"/>
      <c r="H467" s="120"/>
      <c r="I467" s="120"/>
      <c r="J467" s="120"/>
      <c r="K467" s="120"/>
    </row>
    <row r="468">
      <c r="A468" s="120"/>
      <c r="B468" s="120"/>
      <c r="C468" s="120"/>
      <c r="D468" s="120"/>
      <c r="E468" s="120"/>
      <c r="F468" s="120"/>
      <c r="G468" s="120"/>
      <c r="H468" s="120"/>
      <c r="I468" s="120"/>
      <c r="J468" s="120"/>
      <c r="K468" s="120"/>
    </row>
    <row r="469">
      <c r="A469" s="120"/>
      <c r="B469" s="120"/>
      <c r="C469" s="120"/>
      <c r="D469" s="120"/>
      <c r="E469" s="120"/>
      <c r="F469" s="120"/>
      <c r="G469" s="120"/>
      <c r="H469" s="120"/>
      <c r="I469" s="120"/>
      <c r="J469" s="120"/>
      <c r="K469" s="120"/>
    </row>
    <row r="470">
      <c r="A470" s="120"/>
      <c r="B470" s="120"/>
      <c r="C470" s="120"/>
      <c r="D470" s="120"/>
      <c r="E470" s="120"/>
      <c r="F470" s="120"/>
      <c r="G470" s="120"/>
      <c r="H470" s="120"/>
      <c r="I470" s="120"/>
      <c r="J470" s="120"/>
      <c r="K470" s="120"/>
    </row>
    <row r="471">
      <c r="A471" s="120"/>
      <c r="B471" s="120"/>
      <c r="C471" s="120"/>
      <c r="D471" s="120"/>
      <c r="E471" s="120"/>
      <c r="F471" s="120"/>
      <c r="G471" s="120"/>
      <c r="H471" s="120"/>
      <c r="I471" s="120"/>
      <c r="J471" s="120"/>
      <c r="K471" s="120"/>
    </row>
    <row r="472">
      <c r="A472" s="120"/>
      <c r="B472" s="120"/>
      <c r="C472" s="120"/>
      <c r="D472" s="120"/>
      <c r="E472" s="120"/>
      <c r="F472" s="120"/>
      <c r="G472" s="120"/>
      <c r="H472" s="120"/>
      <c r="I472" s="120"/>
      <c r="J472" s="120"/>
      <c r="K472" s="120"/>
    </row>
    <row r="473">
      <c r="A473" s="120"/>
      <c r="B473" s="120"/>
      <c r="C473" s="120"/>
      <c r="D473" s="120"/>
      <c r="E473" s="120"/>
      <c r="F473" s="120"/>
      <c r="G473" s="120"/>
      <c r="H473" s="120"/>
      <c r="I473" s="120"/>
      <c r="J473" s="120"/>
      <c r="K473" s="120"/>
    </row>
    <row r="474">
      <c r="A474" s="120"/>
      <c r="B474" s="120"/>
      <c r="C474" s="120"/>
      <c r="D474" s="120"/>
      <c r="E474" s="120"/>
      <c r="F474" s="120"/>
      <c r="G474" s="120"/>
      <c r="H474" s="120"/>
      <c r="I474" s="120"/>
      <c r="J474" s="120"/>
      <c r="K474" s="120"/>
    </row>
    <row r="475">
      <c r="A475" s="120"/>
      <c r="B475" s="120"/>
      <c r="C475" s="120"/>
      <c r="D475" s="120"/>
      <c r="E475" s="120"/>
      <c r="F475" s="120"/>
      <c r="G475" s="120"/>
      <c r="H475" s="120"/>
      <c r="I475" s="120"/>
      <c r="J475" s="120"/>
      <c r="K475" s="120"/>
    </row>
    <row r="476">
      <c r="A476" s="120"/>
      <c r="B476" s="120"/>
      <c r="C476" s="120"/>
      <c r="D476" s="120"/>
      <c r="E476" s="120"/>
      <c r="F476" s="120"/>
      <c r="G476" s="120"/>
      <c r="H476" s="120"/>
      <c r="I476" s="120"/>
      <c r="J476" s="120"/>
      <c r="K476" s="120"/>
    </row>
    <row r="477">
      <c r="A477" s="120"/>
      <c r="B477" s="120"/>
      <c r="C477" s="120"/>
      <c r="D477" s="120"/>
      <c r="E477" s="120"/>
      <c r="F477" s="120"/>
      <c r="G477" s="120"/>
      <c r="H477" s="120"/>
      <c r="I477" s="120"/>
      <c r="J477" s="120"/>
      <c r="K477" s="120"/>
    </row>
    <row r="478">
      <c r="A478" s="120"/>
      <c r="B478" s="120"/>
      <c r="C478" s="120"/>
      <c r="D478" s="120"/>
      <c r="E478" s="120"/>
      <c r="F478" s="120"/>
      <c r="G478" s="120"/>
      <c r="H478" s="120"/>
      <c r="I478" s="120"/>
      <c r="J478" s="120"/>
      <c r="K478" s="120"/>
    </row>
    <row r="479">
      <c r="A479" s="120"/>
      <c r="B479" s="120"/>
      <c r="C479" s="120"/>
      <c r="D479" s="120"/>
      <c r="E479" s="120"/>
      <c r="F479" s="120"/>
      <c r="G479" s="120"/>
      <c r="H479" s="120"/>
      <c r="I479" s="120"/>
      <c r="J479" s="120"/>
      <c r="K479" s="120"/>
    </row>
    <row r="480">
      <c r="A480" s="120"/>
      <c r="B480" s="120"/>
      <c r="C480" s="120"/>
      <c r="D480" s="120"/>
      <c r="E480" s="120"/>
      <c r="F480" s="120"/>
      <c r="G480" s="120"/>
      <c r="H480" s="120"/>
      <c r="I480" s="120"/>
      <c r="J480" s="120"/>
      <c r="K480" s="120"/>
    </row>
    <row r="481">
      <c r="A481" s="120"/>
      <c r="B481" s="120"/>
      <c r="C481" s="120"/>
      <c r="D481" s="120"/>
      <c r="E481" s="120"/>
      <c r="F481" s="120"/>
      <c r="G481" s="120"/>
      <c r="H481" s="120"/>
      <c r="I481" s="120"/>
      <c r="J481" s="120"/>
      <c r="K481" s="120"/>
    </row>
    <row r="482">
      <c r="A482" s="120"/>
      <c r="B482" s="120"/>
      <c r="C482" s="120"/>
      <c r="D482" s="120"/>
      <c r="E482" s="120"/>
      <c r="F482" s="120"/>
      <c r="G482" s="120"/>
      <c r="H482" s="120"/>
      <c r="I482" s="120"/>
      <c r="J482" s="120"/>
      <c r="K482" s="120"/>
    </row>
    <row r="483">
      <c r="A483" s="120"/>
      <c r="B483" s="120"/>
      <c r="C483" s="120"/>
      <c r="D483" s="120"/>
      <c r="E483" s="120"/>
      <c r="F483" s="120"/>
      <c r="G483" s="120"/>
      <c r="H483" s="120"/>
      <c r="I483" s="120"/>
      <c r="J483" s="120"/>
      <c r="K483" s="120"/>
    </row>
    <row r="484">
      <c r="A484" s="120"/>
      <c r="B484" s="120"/>
      <c r="C484" s="120"/>
      <c r="D484" s="120"/>
      <c r="E484" s="120"/>
      <c r="F484" s="120"/>
      <c r="G484" s="120"/>
      <c r="H484" s="120"/>
      <c r="I484" s="120"/>
      <c r="J484" s="120"/>
      <c r="K484" s="120"/>
    </row>
    <row r="485">
      <c r="A485" s="120"/>
      <c r="B485" s="120"/>
      <c r="C485" s="120"/>
      <c r="D485" s="120"/>
      <c r="E485" s="120"/>
      <c r="F485" s="120"/>
      <c r="G485" s="120"/>
      <c r="H485" s="120"/>
      <c r="I485" s="120"/>
      <c r="J485" s="120"/>
      <c r="K485" s="120"/>
    </row>
    <row r="486">
      <c r="A486" s="120"/>
      <c r="B486" s="120"/>
      <c r="C486" s="120"/>
      <c r="D486" s="120"/>
      <c r="E486" s="120"/>
      <c r="F486" s="120"/>
      <c r="G486" s="120"/>
      <c r="H486" s="120"/>
      <c r="I486" s="120"/>
      <c r="J486" s="120"/>
      <c r="K486" s="120"/>
    </row>
    <row r="487">
      <c r="A487" s="120"/>
      <c r="B487" s="120"/>
      <c r="C487" s="120"/>
      <c r="D487" s="120"/>
      <c r="E487" s="120"/>
      <c r="F487" s="120"/>
      <c r="G487" s="120"/>
      <c r="H487" s="120"/>
      <c r="I487" s="120"/>
      <c r="J487" s="120"/>
      <c r="K487" s="120"/>
    </row>
    <row r="488">
      <c r="A488" s="120"/>
      <c r="B488" s="120"/>
      <c r="C488" s="120"/>
      <c r="D488" s="120"/>
      <c r="E488" s="120"/>
      <c r="F488" s="120"/>
      <c r="G488" s="120"/>
      <c r="H488" s="120"/>
      <c r="I488" s="120"/>
      <c r="J488" s="120"/>
      <c r="K488" s="120"/>
    </row>
    <row r="489">
      <c r="A489" s="120"/>
      <c r="B489" s="120"/>
      <c r="C489" s="120"/>
      <c r="D489" s="120"/>
      <c r="E489" s="120"/>
      <c r="F489" s="120"/>
      <c r="G489" s="120"/>
      <c r="H489" s="120"/>
      <c r="I489" s="120"/>
      <c r="J489" s="120"/>
      <c r="K489" s="120"/>
    </row>
    <row r="490">
      <c r="A490" s="120"/>
      <c r="B490" s="120"/>
      <c r="C490" s="120"/>
      <c r="D490" s="120"/>
      <c r="E490" s="120"/>
      <c r="F490" s="120"/>
      <c r="G490" s="120"/>
      <c r="H490" s="120"/>
      <c r="I490" s="120"/>
      <c r="J490" s="120"/>
      <c r="K490" s="120"/>
    </row>
    <row r="491">
      <c r="A491" s="120"/>
      <c r="B491" s="120"/>
      <c r="C491" s="120"/>
      <c r="D491" s="120"/>
      <c r="E491" s="120"/>
      <c r="F491" s="120"/>
      <c r="G491" s="120"/>
      <c r="H491" s="120"/>
      <c r="I491" s="120"/>
      <c r="J491" s="120"/>
      <c r="K491" s="120"/>
    </row>
    <row r="492">
      <c r="A492" s="120"/>
      <c r="B492" s="120"/>
      <c r="C492" s="120"/>
      <c r="D492" s="120"/>
      <c r="E492" s="120"/>
      <c r="F492" s="120"/>
      <c r="G492" s="120"/>
      <c r="H492" s="120"/>
      <c r="I492" s="120"/>
      <c r="J492" s="120"/>
      <c r="K492" s="120"/>
    </row>
    <row r="493">
      <c r="A493" s="120"/>
      <c r="B493" s="120"/>
      <c r="C493" s="120"/>
      <c r="D493" s="120"/>
      <c r="E493" s="120"/>
      <c r="F493" s="120"/>
      <c r="G493" s="120"/>
      <c r="H493" s="120"/>
      <c r="I493" s="120"/>
      <c r="J493" s="120"/>
      <c r="K493" s="120"/>
    </row>
    <row r="494">
      <c r="A494" s="120"/>
      <c r="B494" s="120"/>
      <c r="C494" s="120"/>
      <c r="D494" s="120"/>
      <c r="E494" s="120"/>
      <c r="F494" s="120"/>
      <c r="G494" s="120"/>
      <c r="H494" s="120"/>
      <c r="I494" s="120"/>
      <c r="J494" s="120"/>
      <c r="K494" s="120"/>
    </row>
    <row r="495">
      <c r="A495" s="120"/>
      <c r="B495" s="120"/>
      <c r="C495" s="120"/>
      <c r="D495" s="120"/>
      <c r="E495" s="120"/>
      <c r="F495" s="120"/>
      <c r="G495" s="120"/>
      <c r="H495" s="120"/>
      <c r="I495" s="120"/>
      <c r="J495" s="120"/>
      <c r="K495" s="120"/>
    </row>
    <row r="496">
      <c r="A496" s="120"/>
      <c r="B496" s="120"/>
      <c r="C496" s="120"/>
      <c r="D496" s="120"/>
      <c r="E496" s="120"/>
      <c r="F496" s="120"/>
      <c r="G496" s="120"/>
      <c r="H496" s="120"/>
      <c r="I496" s="120"/>
      <c r="J496" s="120"/>
      <c r="K496" s="120"/>
    </row>
    <row r="497">
      <c r="A497" s="120"/>
      <c r="B497" s="120"/>
      <c r="C497" s="120"/>
      <c r="D497" s="120"/>
      <c r="E497" s="120"/>
      <c r="F497" s="120"/>
      <c r="G497" s="120"/>
      <c r="H497" s="120"/>
      <c r="I497" s="120"/>
      <c r="J497" s="120"/>
      <c r="K497" s="120"/>
    </row>
    <row r="498">
      <c r="A498" s="120"/>
      <c r="B498" s="120"/>
      <c r="C498" s="120"/>
      <c r="D498" s="120"/>
      <c r="E498" s="120"/>
      <c r="F498" s="120"/>
      <c r="G498" s="120"/>
      <c r="H498" s="120"/>
      <c r="I498" s="120"/>
      <c r="J498" s="120"/>
      <c r="K498" s="120"/>
    </row>
    <row r="499">
      <c r="A499" s="120"/>
      <c r="B499" s="120"/>
      <c r="C499" s="120"/>
      <c r="D499" s="120"/>
      <c r="E499" s="120"/>
      <c r="F499" s="120"/>
      <c r="G499" s="120"/>
      <c r="H499" s="120"/>
      <c r="I499" s="120"/>
      <c r="J499" s="120"/>
      <c r="K499" s="120"/>
    </row>
    <row r="500">
      <c r="A500" s="120"/>
      <c r="B500" s="120"/>
      <c r="C500" s="120"/>
      <c r="D500" s="120"/>
      <c r="E500" s="120"/>
      <c r="F500" s="120"/>
      <c r="G500" s="120"/>
      <c r="H500" s="120"/>
      <c r="I500" s="120"/>
      <c r="J500" s="120"/>
      <c r="K500" s="120"/>
    </row>
    <row r="501">
      <c r="A501" s="120"/>
      <c r="B501" s="120"/>
      <c r="C501" s="120"/>
      <c r="D501" s="120"/>
      <c r="E501" s="120"/>
      <c r="F501" s="120"/>
      <c r="G501" s="120"/>
      <c r="H501" s="120"/>
      <c r="I501" s="120"/>
      <c r="J501" s="120"/>
      <c r="K501" s="120"/>
    </row>
    <row r="502">
      <c r="A502" s="120"/>
      <c r="B502" s="120"/>
      <c r="C502" s="120"/>
      <c r="D502" s="120"/>
      <c r="E502" s="120"/>
      <c r="F502" s="120"/>
      <c r="G502" s="120"/>
      <c r="H502" s="120"/>
      <c r="I502" s="120"/>
      <c r="J502" s="120"/>
      <c r="K502" s="120"/>
    </row>
    <row r="503">
      <c r="A503" s="120"/>
      <c r="B503" s="120"/>
      <c r="C503" s="120"/>
      <c r="D503" s="120"/>
      <c r="E503" s="120"/>
      <c r="F503" s="120"/>
      <c r="G503" s="120"/>
      <c r="H503" s="120"/>
      <c r="I503" s="120"/>
      <c r="J503" s="120"/>
      <c r="K503" s="120"/>
    </row>
    <row r="504">
      <c r="A504" s="120"/>
      <c r="B504" s="120"/>
      <c r="C504" s="120"/>
      <c r="D504" s="120"/>
      <c r="E504" s="120"/>
      <c r="F504" s="120"/>
      <c r="G504" s="120"/>
      <c r="H504" s="120"/>
      <c r="I504" s="120"/>
      <c r="J504" s="120"/>
      <c r="K504" s="120"/>
    </row>
    <row r="505">
      <c r="A505" s="120"/>
      <c r="B505" s="120"/>
      <c r="C505" s="120"/>
      <c r="D505" s="120"/>
      <c r="E505" s="120"/>
      <c r="F505" s="120"/>
      <c r="G505" s="120"/>
      <c r="H505" s="120"/>
      <c r="I505" s="120"/>
      <c r="J505" s="120"/>
      <c r="K505" s="120"/>
    </row>
    <row r="506">
      <c r="A506" s="120"/>
      <c r="B506" s="120"/>
      <c r="C506" s="120"/>
      <c r="D506" s="120"/>
      <c r="E506" s="120"/>
      <c r="F506" s="120"/>
      <c r="G506" s="120"/>
      <c r="H506" s="120"/>
      <c r="I506" s="120"/>
      <c r="J506" s="120"/>
      <c r="K506" s="120"/>
    </row>
    <row r="507">
      <c r="A507" s="120"/>
      <c r="B507" s="120"/>
      <c r="C507" s="120"/>
      <c r="D507" s="120"/>
      <c r="E507" s="120"/>
      <c r="F507" s="120"/>
      <c r="G507" s="120"/>
      <c r="H507" s="120"/>
      <c r="I507" s="120"/>
      <c r="J507" s="120"/>
      <c r="K507" s="120"/>
    </row>
    <row r="508">
      <c r="A508" s="120"/>
      <c r="B508" s="120"/>
      <c r="C508" s="120"/>
      <c r="D508" s="120"/>
      <c r="E508" s="120"/>
      <c r="F508" s="120"/>
      <c r="G508" s="120"/>
      <c r="H508" s="120"/>
      <c r="I508" s="120"/>
      <c r="J508" s="120"/>
      <c r="K508" s="120"/>
    </row>
    <row r="509">
      <c r="A509" s="120"/>
      <c r="B509" s="120"/>
      <c r="C509" s="120"/>
      <c r="D509" s="120"/>
      <c r="E509" s="120"/>
      <c r="F509" s="120"/>
      <c r="G509" s="120"/>
      <c r="H509" s="120"/>
      <c r="I509" s="120"/>
      <c r="J509" s="120"/>
      <c r="K509" s="120"/>
    </row>
    <row r="510">
      <c r="A510" s="120"/>
      <c r="B510" s="120"/>
      <c r="C510" s="120"/>
      <c r="D510" s="120"/>
      <c r="E510" s="120"/>
      <c r="F510" s="120"/>
      <c r="G510" s="120"/>
      <c r="H510" s="120"/>
      <c r="I510" s="120"/>
      <c r="J510" s="120"/>
      <c r="K510" s="120"/>
    </row>
    <row r="511">
      <c r="A511" s="120"/>
      <c r="B511" s="120"/>
      <c r="C511" s="120"/>
      <c r="D511" s="120"/>
      <c r="E511" s="120"/>
      <c r="F511" s="120"/>
      <c r="G511" s="120"/>
      <c r="H511" s="120"/>
      <c r="I511" s="120"/>
      <c r="J511" s="120"/>
      <c r="K511" s="120"/>
    </row>
    <row r="512">
      <c r="A512" s="120"/>
      <c r="B512" s="120"/>
      <c r="C512" s="120"/>
      <c r="D512" s="120"/>
      <c r="E512" s="120"/>
      <c r="F512" s="120"/>
      <c r="G512" s="120"/>
      <c r="H512" s="120"/>
      <c r="I512" s="120"/>
      <c r="J512" s="120"/>
      <c r="K512" s="120"/>
    </row>
    <row r="513">
      <c r="A513" s="120"/>
      <c r="B513" s="120"/>
      <c r="C513" s="120"/>
      <c r="D513" s="120"/>
      <c r="E513" s="120"/>
      <c r="F513" s="120"/>
      <c r="G513" s="120"/>
      <c r="H513" s="120"/>
      <c r="I513" s="120"/>
      <c r="J513" s="120"/>
      <c r="K513" s="120"/>
    </row>
    <row r="514">
      <c r="A514" s="120"/>
      <c r="B514" s="120"/>
      <c r="C514" s="120"/>
      <c r="D514" s="120"/>
      <c r="E514" s="120"/>
      <c r="F514" s="120"/>
      <c r="G514" s="120"/>
      <c r="H514" s="120"/>
      <c r="I514" s="120"/>
      <c r="J514" s="120"/>
      <c r="K514" s="120"/>
    </row>
    <row r="515">
      <c r="A515" s="120"/>
      <c r="B515" s="120"/>
      <c r="C515" s="120"/>
      <c r="D515" s="120"/>
      <c r="E515" s="120"/>
      <c r="F515" s="120"/>
      <c r="G515" s="120"/>
      <c r="H515" s="120"/>
      <c r="I515" s="120"/>
      <c r="J515" s="120"/>
      <c r="K515" s="120"/>
    </row>
    <row r="516">
      <c r="A516" s="120"/>
      <c r="B516" s="120"/>
      <c r="C516" s="120"/>
      <c r="D516" s="120"/>
      <c r="E516" s="120"/>
      <c r="F516" s="120"/>
      <c r="G516" s="120"/>
      <c r="H516" s="120"/>
      <c r="I516" s="120"/>
      <c r="J516" s="120"/>
      <c r="K516" s="120"/>
    </row>
    <row r="517">
      <c r="A517" s="120"/>
      <c r="B517" s="120"/>
      <c r="C517" s="120"/>
      <c r="D517" s="120"/>
      <c r="E517" s="120"/>
      <c r="F517" s="120"/>
      <c r="G517" s="120"/>
      <c r="H517" s="120"/>
      <c r="I517" s="120"/>
      <c r="J517" s="120"/>
      <c r="K517" s="120"/>
    </row>
    <row r="518">
      <c r="A518" s="120"/>
      <c r="B518" s="120"/>
      <c r="C518" s="120"/>
      <c r="D518" s="120"/>
      <c r="E518" s="120"/>
      <c r="F518" s="120"/>
      <c r="G518" s="120"/>
      <c r="H518" s="120"/>
      <c r="I518" s="120"/>
      <c r="J518" s="120"/>
      <c r="K518" s="120"/>
    </row>
    <row r="519">
      <c r="A519" s="120"/>
      <c r="B519" s="120"/>
      <c r="C519" s="120"/>
      <c r="D519" s="120"/>
      <c r="E519" s="120"/>
      <c r="F519" s="120"/>
      <c r="G519" s="120"/>
      <c r="H519" s="120"/>
      <c r="I519" s="120"/>
      <c r="J519" s="120"/>
      <c r="K519" s="120"/>
    </row>
    <row r="520">
      <c r="A520" s="120"/>
      <c r="B520" s="120"/>
      <c r="C520" s="120"/>
      <c r="D520" s="120"/>
      <c r="E520" s="120"/>
      <c r="F520" s="120"/>
      <c r="G520" s="120"/>
      <c r="H520" s="120"/>
      <c r="I520" s="120"/>
      <c r="J520" s="120"/>
      <c r="K520" s="120"/>
    </row>
    <row r="521">
      <c r="A521" s="120"/>
      <c r="B521" s="120"/>
      <c r="C521" s="120"/>
      <c r="D521" s="120"/>
      <c r="E521" s="120"/>
      <c r="F521" s="120"/>
      <c r="G521" s="120"/>
      <c r="H521" s="120"/>
      <c r="I521" s="120"/>
      <c r="J521" s="120"/>
      <c r="K521" s="120"/>
    </row>
    <row r="522">
      <c r="A522" s="120"/>
      <c r="B522" s="120"/>
      <c r="C522" s="120"/>
      <c r="D522" s="120"/>
      <c r="E522" s="120"/>
      <c r="F522" s="120"/>
      <c r="G522" s="120"/>
      <c r="H522" s="120"/>
      <c r="I522" s="120"/>
      <c r="J522" s="120"/>
      <c r="K522" s="120"/>
    </row>
    <row r="523">
      <c r="A523" s="120"/>
      <c r="B523" s="120"/>
      <c r="C523" s="120"/>
      <c r="D523" s="120"/>
      <c r="E523" s="120"/>
      <c r="F523" s="120"/>
      <c r="G523" s="120"/>
      <c r="H523" s="120"/>
      <c r="I523" s="120"/>
      <c r="J523" s="120"/>
      <c r="K523" s="120"/>
    </row>
    <row r="524">
      <c r="A524" s="120"/>
      <c r="B524" s="120"/>
      <c r="C524" s="120"/>
      <c r="D524" s="120"/>
      <c r="E524" s="120"/>
      <c r="F524" s="120"/>
      <c r="G524" s="120"/>
      <c r="H524" s="120"/>
      <c r="I524" s="120"/>
      <c r="J524" s="120"/>
      <c r="K524" s="120"/>
    </row>
    <row r="525">
      <c r="A525" s="120"/>
      <c r="B525" s="120"/>
      <c r="C525" s="120"/>
      <c r="D525" s="120"/>
      <c r="E525" s="120"/>
      <c r="F525" s="120"/>
      <c r="G525" s="120"/>
      <c r="H525" s="120"/>
      <c r="I525" s="120"/>
      <c r="J525" s="120"/>
      <c r="K525" s="120"/>
    </row>
    <row r="526">
      <c r="A526" s="120"/>
      <c r="B526" s="120"/>
      <c r="C526" s="120"/>
      <c r="D526" s="120"/>
      <c r="E526" s="120"/>
      <c r="F526" s="120"/>
      <c r="G526" s="120"/>
      <c r="H526" s="120"/>
      <c r="I526" s="120"/>
      <c r="J526" s="120"/>
      <c r="K526" s="120"/>
    </row>
    <row r="527">
      <c r="A527" s="120"/>
      <c r="B527" s="120"/>
      <c r="C527" s="120"/>
      <c r="D527" s="120"/>
      <c r="E527" s="120"/>
      <c r="F527" s="120"/>
      <c r="G527" s="120"/>
      <c r="H527" s="120"/>
      <c r="I527" s="120"/>
      <c r="J527" s="120"/>
      <c r="K527" s="120"/>
    </row>
    <row r="528">
      <c r="A528" s="120"/>
      <c r="B528" s="120"/>
      <c r="C528" s="120"/>
      <c r="D528" s="120"/>
      <c r="E528" s="120"/>
      <c r="F528" s="120"/>
      <c r="G528" s="120"/>
      <c r="H528" s="120"/>
      <c r="I528" s="120"/>
      <c r="J528" s="120"/>
      <c r="K528" s="120"/>
    </row>
    <row r="529">
      <c r="A529" s="120"/>
      <c r="B529" s="120"/>
      <c r="C529" s="120"/>
      <c r="D529" s="120"/>
      <c r="E529" s="120"/>
      <c r="F529" s="120"/>
      <c r="G529" s="120"/>
      <c r="H529" s="120"/>
      <c r="I529" s="120"/>
      <c r="J529" s="120"/>
      <c r="K529" s="120"/>
    </row>
    <row r="530">
      <c r="A530" s="120"/>
      <c r="B530" s="120"/>
      <c r="C530" s="120"/>
      <c r="D530" s="120"/>
      <c r="E530" s="120"/>
      <c r="F530" s="120"/>
      <c r="G530" s="120"/>
      <c r="H530" s="120"/>
      <c r="I530" s="120"/>
      <c r="J530" s="120"/>
      <c r="K530" s="120"/>
    </row>
    <row r="531">
      <c r="A531" s="120"/>
      <c r="B531" s="120"/>
      <c r="C531" s="120"/>
      <c r="D531" s="120"/>
      <c r="E531" s="120"/>
      <c r="F531" s="120"/>
      <c r="G531" s="120"/>
      <c r="H531" s="120"/>
      <c r="I531" s="120"/>
      <c r="J531" s="120"/>
      <c r="K531" s="120"/>
    </row>
    <row r="532">
      <c r="A532" s="120"/>
      <c r="B532" s="120"/>
      <c r="C532" s="120"/>
      <c r="D532" s="120"/>
      <c r="E532" s="120"/>
      <c r="F532" s="120"/>
      <c r="G532" s="120"/>
      <c r="H532" s="120"/>
      <c r="I532" s="120"/>
      <c r="J532" s="120"/>
      <c r="K532" s="120"/>
    </row>
    <row r="533">
      <c r="A533" s="120"/>
      <c r="B533" s="120"/>
      <c r="C533" s="120"/>
      <c r="D533" s="120"/>
      <c r="E533" s="120"/>
      <c r="F533" s="120"/>
      <c r="G533" s="120"/>
      <c r="H533" s="120"/>
      <c r="I533" s="120"/>
      <c r="J533" s="120"/>
      <c r="K533" s="120"/>
    </row>
    <row r="534">
      <c r="A534" s="120"/>
      <c r="B534" s="120"/>
      <c r="C534" s="120"/>
      <c r="D534" s="120"/>
      <c r="E534" s="120"/>
      <c r="F534" s="120"/>
      <c r="G534" s="120"/>
      <c r="H534" s="120"/>
      <c r="I534" s="120"/>
      <c r="J534" s="120"/>
      <c r="K534" s="120"/>
    </row>
    <row r="535">
      <c r="A535" s="120"/>
      <c r="B535" s="120"/>
      <c r="C535" s="120"/>
      <c r="D535" s="120"/>
      <c r="E535" s="120"/>
      <c r="F535" s="120"/>
      <c r="G535" s="120"/>
      <c r="H535" s="120"/>
      <c r="I535" s="120"/>
      <c r="J535" s="120"/>
      <c r="K535" s="120"/>
    </row>
    <row r="536">
      <c r="A536" s="120"/>
      <c r="B536" s="120"/>
      <c r="C536" s="120"/>
      <c r="D536" s="120"/>
      <c r="E536" s="120"/>
      <c r="F536" s="120"/>
      <c r="G536" s="120"/>
      <c r="H536" s="120"/>
      <c r="I536" s="120"/>
      <c r="J536" s="120"/>
      <c r="K536" s="120"/>
    </row>
    <row r="537">
      <c r="A537" s="120"/>
      <c r="B537" s="120"/>
      <c r="C537" s="120"/>
      <c r="D537" s="120"/>
      <c r="E537" s="120"/>
      <c r="F537" s="120"/>
      <c r="G537" s="120"/>
      <c r="H537" s="120"/>
      <c r="I537" s="120"/>
      <c r="J537" s="120"/>
      <c r="K537" s="120"/>
    </row>
    <row r="538">
      <c r="A538" s="120"/>
      <c r="B538" s="120"/>
      <c r="C538" s="120"/>
      <c r="D538" s="120"/>
      <c r="E538" s="120"/>
      <c r="F538" s="120"/>
      <c r="G538" s="120"/>
      <c r="H538" s="120"/>
      <c r="I538" s="120"/>
      <c r="J538" s="120"/>
      <c r="K538" s="120"/>
    </row>
    <row r="539">
      <c r="A539" s="120"/>
      <c r="B539" s="120"/>
      <c r="C539" s="120"/>
      <c r="D539" s="120"/>
      <c r="E539" s="120"/>
      <c r="F539" s="120"/>
      <c r="G539" s="120"/>
      <c r="H539" s="120"/>
      <c r="I539" s="120"/>
      <c r="J539" s="120"/>
      <c r="K539" s="120"/>
    </row>
    <row r="540">
      <c r="A540" s="120"/>
      <c r="B540" s="120"/>
      <c r="C540" s="120"/>
      <c r="D540" s="120"/>
      <c r="E540" s="120"/>
      <c r="F540" s="120"/>
      <c r="G540" s="120"/>
      <c r="H540" s="120"/>
      <c r="I540" s="120"/>
      <c r="J540" s="120"/>
      <c r="K540" s="120"/>
    </row>
    <row r="541">
      <c r="A541" s="120"/>
      <c r="B541" s="120"/>
      <c r="C541" s="120"/>
      <c r="D541" s="120"/>
      <c r="E541" s="120"/>
      <c r="F541" s="120"/>
      <c r="G541" s="120"/>
      <c r="H541" s="120"/>
      <c r="I541" s="120"/>
      <c r="J541" s="120"/>
      <c r="K541" s="120"/>
    </row>
    <row r="542">
      <c r="A542" s="120"/>
      <c r="B542" s="120"/>
      <c r="C542" s="120"/>
      <c r="D542" s="120"/>
      <c r="E542" s="120"/>
      <c r="F542" s="120"/>
      <c r="G542" s="120"/>
      <c r="H542" s="120"/>
      <c r="I542" s="120"/>
      <c r="J542" s="120"/>
      <c r="K542" s="120"/>
    </row>
    <row r="543">
      <c r="A543" s="120"/>
      <c r="B543" s="120"/>
      <c r="C543" s="120"/>
      <c r="D543" s="120"/>
      <c r="E543" s="120"/>
      <c r="F543" s="120"/>
      <c r="G543" s="120"/>
      <c r="H543" s="120"/>
      <c r="I543" s="120"/>
      <c r="J543" s="120"/>
      <c r="K543" s="120"/>
    </row>
    <row r="544">
      <c r="A544" s="120"/>
      <c r="B544" s="120"/>
      <c r="C544" s="120"/>
      <c r="D544" s="120"/>
      <c r="E544" s="120"/>
      <c r="F544" s="120"/>
      <c r="G544" s="120"/>
      <c r="H544" s="120"/>
      <c r="I544" s="120"/>
      <c r="J544" s="120"/>
      <c r="K544" s="120"/>
    </row>
    <row r="545">
      <c r="A545" s="120"/>
      <c r="B545" s="120"/>
      <c r="C545" s="120"/>
      <c r="D545" s="120"/>
      <c r="E545" s="120"/>
      <c r="F545" s="120"/>
      <c r="G545" s="120"/>
      <c r="H545" s="120"/>
      <c r="I545" s="120"/>
      <c r="J545" s="120"/>
      <c r="K545" s="120"/>
    </row>
    <row r="546">
      <c r="A546" s="120"/>
      <c r="B546" s="120"/>
      <c r="C546" s="120"/>
      <c r="D546" s="120"/>
      <c r="E546" s="120"/>
      <c r="F546" s="120"/>
      <c r="G546" s="120"/>
      <c r="H546" s="120"/>
      <c r="I546" s="120"/>
      <c r="J546" s="120"/>
      <c r="K546" s="120"/>
    </row>
    <row r="547">
      <c r="A547" s="120"/>
      <c r="B547" s="120"/>
      <c r="C547" s="120"/>
      <c r="D547" s="120"/>
      <c r="E547" s="120"/>
      <c r="F547" s="120"/>
      <c r="G547" s="120"/>
      <c r="H547" s="120"/>
      <c r="I547" s="120"/>
      <c r="J547" s="120"/>
      <c r="K547" s="120"/>
    </row>
    <row r="548">
      <c r="A548" s="120"/>
      <c r="B548" s="120"/>
      <c r="C548" s="120"/>
      <c r="D548" s="120"/>
      <c r="E548" s="120"/>
      <c r="F548" s="120"/>
      <c r="G548" s="120"/>
      <c r="H548" s="120"/>
      <c r="I548" s="120"/>
      <c r="J548" s="120"/>
      <c r="K548" s="120"/>
    </row>
    <row r="549">
      <c r="A549" s="120"/>
      <c r="B549" s="120"/>
      <c r="C549" s="120"/>
      <c r="D549" s="120"/>
      <c r="E549" s="120"/>
      <c r="F549" s="120"/>
      <c r="G549" s="120"/>
      <c r="H549" s="120"/>
      <c r="I549" s="120"/>
      <c r="J549" s="120"/>
      <c r="K549" s="120"/>
    </row>
    <row r="550">
      <c r="A550" s="120"/>
      <c r="B550" s="120"/>
      <c r="C550" s="120"/>
      <c r="D550" s="120"/>
      <c r="E550" s="120"/>
      <c r="F550" s="120"/>
      <c r="G550" s="120"/>
      <c r="H550" s="120"/>
      <c r="I550" s="120"/>
      <c r="J550" s="120"/>
      <c r="K550" s="120"/>
    </row>
    <row r="551">
      <c r="A551" s="120"/>
      <c r="B551" s="120"/>
      <c r="C551" s="120"/>
      <c r="D551" s="120"/>
      <c r="E551" s="120"/>
      <c r="F551" s="120"/>
      <c r="G551" s="120"/>
      <c r="H551" s="120"/>
      <c r="I551" s="120"/>
      <c r="J551" s="120"/>
      <c r="K551" s="120"/>
    </row>
    <row r="552">
      <c r="A552" s="120"/>
      <c r="B552" s="120"/>
      <c r="C552" s="120"/>
      <c r="D552" s="120"/>
      <c r="E552" s="120"/>
      <c r="F552" s="120"/>
      <c r="G552" s="120"/>
      <c r="H552" s="120"/>
      <c r="I552" s="120"/>
      <c r="J552" s="120"/>
      <c r="K552" s="120"/>
    </row>
    <row r="553">
      <c r="A553" s="120"/>
      <c r="B553" s="120"/>
      <c r="C553" s="120"/>
      <c r="D553" s="120"/>
      <c r="E553" s="120"/>
      <c r="F553" s="120"/>
      <c r="G553" s="120"/>
      <c r="H553" s="120"/>
      <c r="I553" s="120"/>
      <c r="J553" s="120"/>
      <c r="K553" s="120"/>
    </row>
    <row r="554">
      <c r="A554" s="120"/>
      <c r="B554" s="120"/>
      <c r="C554" s="120"/>
      <c r="D554" s="120"/>
      <c r="E554" s="120"/>
      <c r="F554" s="120"/>
      <c r="G554" s="120"/>
      <c r="H554" s="120"/>
      <c r="I554" s="120"/>
      <c r="J554" s="120"/>
      <c r="K554" s="120"/>
    </row>
    <row r="555">
      <c r="A555" s="120"/>
      <c r="B555" s="120"/>
      <c r="C555" s="120"/>
      <c r="D555" s="120"/>
      <c r="E555" s="120"/>
      <c r="F555" s="120"/>
      <c r="G555" s="120"/>
      <c r="H555" s="120"/>
      <c r="I555" s="120"/>
      <c r="J555" s="120"/>
      <c r="K555" s="120"/>
    </row>
    <row r="556">
      <c r="A556" s="120"/>
      <c r="B556" s="120"/>
      <c r="C556" s="120"/>
      <c r="D556" s="120"/>
      <c r="E556" s="120"/>
      <c r="F556" s="120"/>
      <c r="G556" s="120"/>
      <c r="H556" s="120"/>
      <c r="I556" s="120"/>
      <c r="J556" s="120"/>
      <c r="K556" s="120"/>
    </row>
    <row r="557">
      <c r="A557" s="120"/>
      <c r="B557" s="120"/>
      <c r="C557" s="120"/>
      <c r="D557" s="120"/>
      <c r="E557" s="120"/>
      <c r="F557" s="120"/>
      <c r="G557" s="120"/>
      <c r="H557" s="120"/>
      <c r="I557" s="120"/>
      <c r="J557" s="120"/>
      <c r="K557" s="120"/>
    </row>
    <row r="558">
      <c r="A558" s="120"/>
      <c r="B558" s="120"/>
      <c r="C558" s="120"/>
      <c r="D558" s="120"/>
      <c r="E558" s="120"/>
      <c r="F558" s="120"/>
      <c r="G558" s="120"/>
      <c r="H558" s="120"/>
      <c r="I558" s="120"/>
      <c r="J558" s="120"/>
      <c r="K558" s="120"/>
    </row>
    <row r="559">
      <c r="A559" s="120"/>
      <c r="B559" s="120"/>
      <c r="C559" s="120"/>
      <c r="D559" s="120"/>
      <c r="E559" s="120"/>
      <c r="F559" s="120"/>
      <c r="G559" s="120"/>
      <c r="H559" s="120"/>
      <c r="I559" s="120"/>
      <c r="J559" s="120"/>
      <c r="K559" s="120"/>
    </row>
    <row r="560">
      <c r="A560" s="120"/>
      <c r="B560" s="120"/>
      <c r="C560" s="120"/>
      <c r="D560" s="120"/>
      <c r="E560" s="120"/>
      <c r="F560" s="120"/>
      <c r="G560" s="120"/>
      <c r="H560" s="120"/>
      <c r="I560" s="120"/>
      <c r="J560" s="120"/>
      <c r="K560" s="120"/>
    </row>
    <row r="561">
      <c r="A561" s="120"/>
      <c r="B561" s="120"/>
      <c r="C561" s="120"/>
      <c r="D561" s="120"/>
      <c r="E561" s="120"/>
      <c r="F561" s="120"/>
      <c r="G561" s="120"/>
      <c r="H561" s="120"/>
      <c r="I561" s="120"/>
      <c r="J561" s="120"/>
      <c r="K561" s="120"/>
    </row>
    <row r="562">
      <c r="A562" s="120"/>
      <c r="B562" s="120"/>
      <c r="C562" s="120"/>
      <c r="D562" s="120"/>
      <c r="E562" s="120"/>
      <c r="F562" s="120"/>
      <c r="G562" s="120"/>
      <c r="H562" s="120"/>
      <c r="I562" s="120"/>
      <c r="J562" s="120"/>
      <c r="K562" s="120"/>
    </row>
    <row r="563">
      <c r="A563" s="120"/>
      <c r="B563" s="120"/>
      <c r="C563" s="120"/>
      <c r="D563" s="120"/>
      <c r="E563" s="120"/>
      <c r="F563" s="120"/>
      <c r="G563" s="120"/>
      <c r="H563" s="120"/>
      <c r="I563" s="120"/>
      <c r="J563" s="120"/>
      <c r="K563" s="120"/>
    </row>
    <row r="564">
      <c r="A564" s="120"/>
      <c r="B564" s="120"/>
      <c r="C564" s="120"/>
      <c r="D564" s="120"/>
      <c r="E564" s="120"/>
      <c r="F564" s="120"/>
      <c r="G564" s="120"/>
      <c r="H564" s="120"/>
      <c r="I564" s="120"/>
      <c r="J564" s="120"/>
      <c r="K564" s="120"/>
    </row>
    <row r="565">
      <c r="A565" s="120"/>
      <c r="B565" s="120"/>
      <c r="C565" s="120"/>
      <c r="D565" s="120"/>
      <c r="E565" s="120"/>
      <c r="F565" s="120"/>
      <c r="G565" s="120"/>
      <c r="H565" s="120"/>
      <c r="I565" s="120"/>
      <c r="J565" s="120"/>
      <c r="K565" s="120"/>
    </row>
    <row r="566">
      <c r="A566" s="120"/>
      <c r="B566" s="120"/>
      <c r="C566" s="120"/>
      <c r="D566" s="120"/>
      <c r="E566" s="120"/>
      <c r="F566" s="120"/>
      <c r="G566" s="120"/>
      <c r="H566" s="120"/>
      <c r="I566" s="120"/>
      <c r="J566" s="120"/>
      <c r="K566" s="120"/>
    </row>
    <row r="567">
      <c r="A567" s="120"/>
      <c r="B567" s="120"/>
      <c r="C567" s="120"/>
      <c r="D567" s="120"/>
      <c r="E567" s="120"/>
      <c r="F567" s="120"/>
      <c r="G567" s="120"/>
      <c r="H567" s="120"/>
      <c r="I567" s="120"/>
      <c r="J567" s="120"/>
      <c r="K567" s="120"/>
    </row>
    <row r="568">
      <c r="A568" s="120"/>
      <c r="B568" s="120"/>
      <c r="C568" s="120"/>
      <c r="D568" s="120"/>
      <c r="E568" s="120"/>
      <c r="F568" s="120"/>
      <c r="G568" s="120"/>
      <c r="H568" s="120"/>
      <c r="I568" s="120"/>
      <c r="J568" s="120"/>
      <c r="K568" s="120"/>
    </row>
    <row r="569">
      <c r="A569" s="120"/>
      <c r="B569" s="120"/>
      <c r="C569" s="120"/>
      <c r="D569" s="120"/>
      <c r="E569" s="120"/>
      <c r="F569" s="120"/>
      <c r="G569" s="120"/>
      <c r="H569" s="120"/>
      <c r="I569" s="120"/>
      <c r="J569" s="120"/>
      <c r="K569" s="120"/>
    </row>
    <row r="570">
      <c r="A570" s="120"/>
      <c r="B570" s="120"/>
      <c r="C570" s="120"/>
      <c r="D570" s="120"/>
      <c r="E570" s="120"/>
      <c r="F570" s="120"/>
      <c r="G570" s="120"/>
      <c r="H570" s="120"/>
      <c r="I570" s="120"/>
      <c r="J570" s="120"/>
      <c r="K570" s="120"/>
    </row>
    <row r="571">
      <c r="A571" s="120"/>
      <c r="B571" s="120"/>
      <c r="C571" s="120"/>
      <c r="D571" s="120"/>
      <c r="E571" s="120"/>
      <c r="F571" s="120"/>
      <c r="G571" s="120"/>
      <c r="H571" s="120"/>
      <c r="I571" s="120"/>
      <c r="J571" s="120"/>
      <c r="K571" s="120"/>
    </row>
    <row r="572">
      <c r="A572" s="120"/>
      <c r="B572" s="120"/>
      <c r="C572" s="120"/>
      <c r="D572" s="120"/>
      <c r="E572" s="120"/>
      <c r="F572" s="120"/>
      <c r="G572" s="120"/>
      <c r="H572" s="120"/>
      <c r="I572" s="120"/>
      <c r="J572" s="120"/>
      <c r="K572" s="120"/>
    </row>
    <row r="573">
      <c r="A573" s="120"/>
      <c r="B573" s="120"/>
      <c r="C573" s="120"/>
      <c r="D573" s="120"/>
      <c r="E573" s="120"/>
      <c r="F573" s="120"/>
      <c r="G573" s="120"/>
      <c r="H573" s="120"/>
      <c r="I573" s="120"/>
      <c r="J573" s="120"/>
      <c r="K573" s="120"/>
    </row>
    <row r="574">
      <c r="A574" s="120"/>
      <c r="B574" s="120"/>
      <c r="C574" s="120"/>
      <c r="D574" s="120"/>
      <c r="E574" s="120"/>
      <c r="F574" s="120"/>
      <c r="G574" s="120"/>
      <c r="H574" s="120"/>
      <c r="I574" s="120"/>
      <c r="J574" s="120"/>
      <c r="K574" s="120"/>
    </row>
    <row r="575">
      <c r="A575" s="120"/>
      <c r="B575" s="120"/>
      <c r="C575" s="120"/>
      <c r="D575" s="120"/>
      <c r="E575" s="120"/>
      <c r="F575" s="120"/>
      <c r="G575" s="120"/>
      <c r="H575" s="120"/>
      <c r="I575" s="120"/>
      <c r="J575" s="120"/>
      <c r="K575" s="120"/>
    </row>
    <row r="576">
      <c r="A576" s="120"/>
      <c r="B576" s="120"/>
      <c r="C576" s="120"/>
      <c r="D576" s="120"/>
      <c r="E576" s="120"/>
      <c r="F576" s="120"/>
      <c r="G576" s="120"/>
      <c r="H576" s="120"/>
      <c r="I576" s="120"/>
      <c r="J576" s="120"/>
      <c r="K576" s="120"/>
    </row>
    <row r="577">
      <c r="A577" s="120"/>
      <c r="B577" s="120"/>
      <c r="C577" s="120"/>
      <c r="D577" s="120"/>
      <c r="E577" s="120"/>
      <c r="F577" s="120"/>
      <c r="G577" s="120"/>
      <c r="H577" s="120"/>
      <c r="I577" s="120"/>
      <c r="J577" s="120"/>
      <c r="K577" s="120"/>
    </row>
    <row r="578">
      <c r="A578" s="120"/>
      <c r="B578" s="120"/>
      <c r="C578" s="120"/>
      <c r="D578" s="120"/>
      <c r="E578" s="120"/>
      <c r="F578" s="120"/>
      <c r="G578" s="120"/>
      <c r="H578" s="120"/>
      <c r="I578" s="120"/>
      <c r="J578" s="120"/>
      <c r="K578" s="120"/>
    </row>
    <row r="579">
      <c r="A579" s="120"/>
      <c r="B579" s="120"/>
      <c r="C579" s="120"/>
      <c r="D579" s="120"/>
      <c r="E579" s="120"/>
      <c r="F579" s="120"/>
      <c r="G579" s="120"/>
      <c r="H579" s="120"/>
      <c r="I579" s="120"/>
      <c r="J579" s="120"/>
      <c r="K579" s="120"/>
    </row>
    <row r="580">
      <c r="A580" s="120"/>
      <c r="B580" s="120"/>
      <c r="C580" s="120"/>
      <c r="D580" s="120"/>
      <c r="E580" s="120"/>
      <c r="F580" s="120"/>
      <c r="G580" s="120"/>
      <c r="H580" s="120"/>
      <c r="I580" s="120"/>
      <c r="J580" s="120"/>
      <c r="K580" s="120"/>
    </row>
    <row r="581">
      <c r="A581" s="120"/>
      <c r="B581" s="120"/>
      <c r="C581" s="120"/>
      <c r="D581" s="120"/>
      <c r="E581" s="120"/>
      <c r="F581" s="120"/>
      <c r="G581" s="120"/>
      <c r="H581" s="120"/>
      <c r="I581" s="120"/>
      <c r="J581" s="120"/>
      <c r="K581" s="120"/>
    </row>
    <row r="582">
      <c r="A582" s="120"/>
      <c r="B582" s="120"/>
      <c r="C582" s="120"/>
      <c r="D582" s="120"/>
      <c r="E582" s="120"/>
      <c r="F582" s="120"/>
      <c r="G582" s="120"/>
      <c r="H582" s="120"/>
      <c r="I582" s="120"/>
      <c r="J582" s="120"/>
      <c r="K582" s="120"/>
    </row>
    <row r="583">
      <c r="A583" s="120"/>
      <c r="B583" s="120"/>
      <c r="C583" s="120"/>
      <c r="D583" s="120"/>
      <c r="E583" s="120"/>
      <c r="F583" s="120"/>
      <c r="G583" s="120"/>
      <c r="H583" s="120"/>
      <c r="I583" s="120"/>
      <c r="J583" s="120"/>
      <c r="K583" s="120"/>
    </row>
    <row r="584">
      <c r="A584" s="120"/>
      <c r="B584" s="120"/>
      <c r="C584" s="120"/>
      <c r="D584" s="120"/>
      <c r="E584" s="120"/>
      <c r="F584" s="120"/>
      <c r="G584" s="120"/>
      <c r="H584" s="120"/>
      <c r="I584" s="120"/>
      <c r="J584" s="120"/>
      <c r="K584" s="120"/>
    </row>
    <row r="585">
      <c r="A585" s="120"/>
      <c r="B585" s="120"/>
      <c r="C585" s="120"/>
      <c r="D585" s="120"/>
      <c r="E585" s="120"/>
      <c r="F585" s="120"/>
      <c r="G585" s="120"/>
      <c r="H585" s="120"/>
      <c r="I585" s="120"/>
      <c r="J585" s="120"/>
      <c r="K585" s="120"/>
    </row>
    <row r="586">
      <c r="A586" s="120"/>
      <c r="B586" s="120"/>
      <c r="C586" s="120"/>
      <c r="D586" s="120"/>
      <c r="E586" s="120"/>
      <c r="F586" s="120"/>
      <c r="G586" s="120"/>
      <c r="H586" s="120"/>
      <c r="I586" s="120"/>
      <c r="J586" s="120"/>
      <c r="K586" s="120"/>
    </row>
    <row r="587">
      <c r="A587" s="120"/>
      <c r="B587" s="120"/>
      <c r="C587" s="120"/>
      <c r="D587" s="120"/>
      <c r="E587" s="120"/>
      <c r="F587" s="120"/>
      <c r="G587" s="120"/>
      <c r="H587" s="120"/>
      <c r="I587" s="120"/>
      <c r="J587" s="120"/>
      <c r="K587" s="120"/>
    </row>
    <row r="588">
      <c r="A588" s="120"/>
      <c r="B588" s="120"/>
      <c r="C588" s="120"/>
      <c r="D588" s="120"/>
      <c r="E588" s="120"/>
      <c r="F588" s="120"/>
      <c r="G588" s="120"/>
      <c r="H588" s="120"/>
      <c r="I588" s="120"/>
      <c r="J588" s="120"/>
      <c r="K588" s="120"/>
    </row>
    <row r="589">
      <c r="A589" s="120"/>
      <c r="B589" s="120"/>
      <c r="C589" s="120"/>
      <c r="D589" s="120"/>
      <c r="E589" s="120"/>
      <c r="F589" s="120"/>
      <c r="G589" s="120"/>
      <c r="H589" s="120"/>
      <c r="I589" s="120"/>
      <c r="J589" s="120"/>
      <c r="K589" s="120"/>
    </row>
    <row r="590">
      <c r="A590" s="120"/>
      <c r="B590" s="120"/>
      <c r="C590" s="120"/>
      <c r="D590" s="120"/>
      <c r="E590" s="120"/>
      <c r="F590" s="120"/>
      <c r="G590" s="120"/>
      <c r="H590" s="120"/>
      <c r="I590" s="120"/>
      <c r="J590" s="120"/>
      <c r="K590" s="120"/>
    </row>
    <row r="591">
      <c r="A591" s="120"/>
      <c r="B591" s="120"/>
      <c r="C591" s="120"/>
      <c r="D591" s="120"/>
      <c r="E591" s="120"/>
      <c r="F591" s="120"/>
      <c r="G591" s="120"/>
      <c r="H591" s="120"/>
      <c r="I591" s="120"/>
      <c r="J591" s="120"/>
      <c r="K591" s="120"/>
    </row>
    <row r="592">
      <c r="A592" s="120"/>
      <c r="B592" s="120"/>
      <c r="C592" s="120"/>
      <c r="D592" s="120"/>
      <c r="E592" s="120"/>
      <c r="F592" s="120"/>
      <c r="G592" s="120"/>
      <c r="H592" s="120"/>
      <c r="I592" s="120"/>
      <c r="J592" s="120"/>
      <c r="K592" s="120"/>
    </row>
    <row r="593">
      <c r="A593" s="120"/>
      <c r="B593" s="120"/>
      <c r="C593" s="120"/>
      <c r="D593" s="120"/>
      <c r="E593" s="120"/>
      <c r="F593" s="120"/>
      <c r="G593" s="120"/>
      <c r="H593" s="120"/>
      <c r="I593" s="120"/>
      <c r="J593" s="120"/>
      <c r="K593" s="120"/>
    </row>
    <row r="594">
      <c r="A594" s="120"/>
      <c r="B594" s="120"/>
      <c r="C594" s="120"/>
      <c r="D594" s="120"/>
      <c r="E594" s="120"/>
      <c r="F594" s="120"/>
      <c r="G594" s="120"/>
      <c r="H594" s="120"/>
      <c r="I594" s="120"/>
      <c r="J594" s="120"/>
      <c r="K594" s="120"/>
    </row>
    <row r="595">
      <c r="A595" s="120"/>
      <c r="B595" s="120"/>
      <c r="C595" s="120"/>
      <c r="D595" s="120"/>
      <c r="E595" s="120"/>
      <c r="F595" s="120"/>
      <c r="G595" s="120"/>
      <c r="H595" s="120"/>
      <c r="I595" s="120"/>
      <c r="J595" s="120"/>
      <c r="K595" s="120"/>
    </row>
    <row r="596">
      <c r="A596" s="120"/>
      <c r="B596" s="120"/>
      <c r="C596" s="120"/>
      <c r="D596" s="120"/>
      <c r="E596" s="120"/>
      <c r="F596" s="120"/>
      <c r="G596" s="120"/>
      <c r="H596" s="120"/>
      <c r="I596" s="120"/>
      <c r="J596" s="120"/>
      <c r="K596" s="120"/>
    </row>
    <row r="597">
      <c r="A597" s="120"/>
      <c r="B597" s="120"/>
      <c r="C597" s="120"/>
      <c r="D597" s="120"/>
      <c r="E597" s="120"/>
      <c r="F597" s="120"/>
      <c r="G597" s="120"/>
      <c r="H597" s="120"/>
      <c r="I597" s="120"/>
      <c r="J597" s="120"/>
      <c r="K597" s="120"/>
    </row>
    <row r="598">
      <c r="A598" s="120"/>
      <c r="B598" s="120"/>
      <c r="C598" s="120"/>
      <c r="D598" s="120"/>
      <c r="E598" s="120"/>
      <c r="F598" s="120"/>
      <c r="G598" s="120"/>
      <c r="H598" s="120"/>
      <c r="I598" s="120"/>
      <c r="J598" s="120"/>
      <c r="K598" s="120"/>
    </row>
    <row r="599">
      <c r="A599" s="120"/>
      <c r="B599" s="120"/>
      <c r="C599" s="120"/>
      <c r="D599" s="120"/>
      <c r="E599" s="120"/>
      <c r="F599" s="120"/>
      <c r="G599" s="120"/>
      <c r="H599" s="120"/>
      <c r="I599" s="120"/>
      <c r="J599" s="120"/>
      <c r="K599" s="120"/>
    </row>
    <row r="600">
      <c r="A600" s="120"/>
      <c r="B600" s="120"/>
      <c r="C600" s="120"/>
      <c r="D600" s="120"/>
      <c r="E600" s="120"/>
      <c r="F600" s="120"/>
      <c r="G600" s="120"/>
      <c r="H600" s="120"/>
      <c r="I600" s="120"/>
      <c r="J600" s="120"/>
      <c r="K600" s="120"/>
    </row>
    <row r="601">
      <c r="A601" s="120"/>
      <c r="B601" s="120"/>
      <c r="C601" s="120"/>
      <c r="D601" s="120"/>
      <c r="E601" s="120"/>
      <c r="F601" s="120"/>
      <c r="G601" s="120"/>
      <c r="H601" s="120"/>
      <c r="I601" s="120"/>
      <c r="J601" s="120"/>
      <c r="K601" s="120"/>
    </row>
    <row r="602">
      <c r="A602" s="120"/>
      <c r="B602" s="120"/>
      <c r="C602" s="120"/>
      <c r="D602" s="120"/>
      <c r="E602" s="120"/>
      <c r="F602" s="120"/>
      <c r="G602" s="120"/>
      <c r="H602" s="120"/>
      <c r="I602" s="120"/>
      <c r="J602" s="120"/>
      <c r="K602" s="120"/>
    </row>
    <row r="603">
      <c r="A603" s="120"/>
      <c r="B603" s="120"/>
      <c r="C603" s="120"/>
      <c r="D603" s="120"/>
      <c r="E603" s="120"/>
      <c r="F603" s="120"/>
      <c r="G603" s="120"/>
      <c r="H603" s="120"/>
      <c r="I603" s="120"/>
      <c r="J603" s="120"/>
      <c r="K603" s="120"/>
    </row>
    <row r="604">
      <c r="A604" s="120"/>
      <c r="B604" s="120"/>
      <c r="C604" s="120"/>
      <c r="D604" s="120"/>
      <c r="E604" s="120"/>
      <c r="F604" s="120"/>
      <c r="G604" s="120"/>
      <c r="H604" s="120"/>
      <c r="I604" s="120"/>
      <c r="J604" s="120"/>
      <c r="K604" s="120"/>
    </row>
    <row r="605">
      <c r="A605" s="120"/>
      <c r="B605" s="120"/>
      <c r="C605" s="120"/>
      <c r="D605" s="120"/>
      <c r="E605" s="120"/>
      <c r="F605" s="120"/>
      <c r="G605" s="120"/>
      <c r="H605" s="120"/>
      <c r="I605" s="120"/>
      <c r="J605" s="120"/>
      <c r="K605" s="120"/>
    </row>
    <row r="606">
      <c r="A606" s="120"/>
      <c r="B606" s="120"/>
      <c r="C606" s="120"/>
      <c r="D606" s="120"/>
      <c r="E606" s="120"/>
      <c r="F606" s="120"/>
      <c r="G606" s="120"/>
      <c r="H606" s="120"/>
      <c r="I606" s="120"/>
      <c r="J606" s="120"/>
      <c r="K606" s="120"/>
    </row>
    <row r="607">
      <c r="A607" s="120"/>
      <c r="B607" s="120"/>
      <c r="C607" s="120"/>
      <c r="D607" s="120"/>
      <c r="E607" s="120"/>
      <c r="F607" s="120"/>
      <c r="G607" s="120"/>
      <c r="H607" s="120"/>
      <c r="I607" s="120"/>
      <c r="J607" s="120"/>
      <c r="K607" s="120"/>
    </row>
    <row r="608">
      <c r="A608" s="120"/>
      <c r="B608" s="120"/>
      <c r="C608" s="120"/>
      <c r="D608" s="120"/>
      <c r="E608" s="120"/>
      <c r="F608" s="120"/>
      <c r="G608" s="120"/>
      <c r="H608" s="120"/>
      <c r="I608" s="120"/>
      <c r="J608" s="120"/>
      <c r="K608" s="120"/>
    </row>
    <row r="609">
      <c r="A609" s="120"/>
      <c r="B609" s="120"/>
      <c r="C609" s="120"/>
      <c r="D609" s="120"/>
      <c r="E609" s="120"/>
      <c r="F609" s="120"/>
      <c r="G609" s="120"/>
      <c r="H609" s="120"/>
      <c r="I609" s="120"/>
      <c r="J609" s="120"/>
      <c r="K609" s="120"/>
    </row>
    <row r="610">
      <c r="A610" s="120"/>
      <c r="B610" s="120"/>
      <c r="C610" s="120"/>
      <c r="D610" s="120"/>
      <c r="E610" s="120"/>
      <c r="F610" s="120"/>
      <c r="G610" s="120"/>
      <c r="H610" s="120"/>
      <c r="I610" s="120"/>
      <c r="J610" s="120"/>
      <c r="K610" s="120"/>
    </row>
    <row r="611">
      <c r="A611" s="120"/>
      <c r="B611" s="120"/>
      <c r="C611" s="120"/>
      <c r="D611" s="120"/>
      <c r="E611" s="120"/>
      <c r="F611" s="120"/>
      <c r="G611" s="120"/>
      <c r="H611" s="120"/>
      <c r="I611" s="120"/>
      <c r="J611" s="120"/>
      <c r="K611" s="120"/>
    </row>
    <row r="612">
      <c r="A612" s="120"/>
      <c r="B612" s="120"/>
      <c r="C612" s="120"/>
      <c r="D612" s="120"/>
      <c r="E612" s="120"/>
      <c r="F612" s="120"/>
      <c r="G612" s="120"/>
      <c r="H612" s="120"/>
      <c r="I612" s="120"/>
      <c r="J612" s="120"/>
      <c r="K612" s="120"/>
    </row>
    <row r="613">
      <c r="A613" s="120"/>
      <c r="B613" s="120"/>
      <c r="C613" s="120"/>
      <c r="D613" s="120"/>
      <c r="E613" s="120"/>
      <c r="F613" s="120"/>
      <c r="G613" s="120"/>
      <c r="H613" s="120"/>
      <c r="I613" s="120"/>
      <c r="J613" s="120"/>
      <c r="K613" s="120"/>
    </row>
    <row r="614">
      <c r="A614" s="120"/>
      <c r="B614" s="120"/>
      <c r="C614" s="120"/>
      <c r="D614" s="120"/>
      <c r="E614" s="120"/>
      <c r="F614" s="120"/>
      <c r="G614" s="120"/>
      <c r="H614" s="120"/>
      <c r="I614" s="120"/>
      <c r="J614" s="120"/>
      <c r="K614" s="120"/>
    </row>
    <row r="615">
      <c r="A615" s="120"/>
      <c r="B615" s="120"/>
      <c r="C615" s="120"/>
      <c r="D615" s="120"/>
      <c r="E615" s="120"/>
      <c r="F615" s="120"/>
      <c r="G615" s="120"/>
      <c r="H615" s="120"/>
      <c r="I615" s="120"/>
      <c r="J615" s="120"/>
      <c r="K615" s="120"/>
    </row>
    <row r="616">
      <c r="A616" s="120"/>
      <c r="B616" s="120"/>
      <c r="C616" s="120"/>
      <c r="D616" s="120"/>
      <c r="E616" s="120"/>
      <c r="F616" s="120"/>
      <c r="G616" s="120"/>
      <c r="H616" s="120"/>
      <c r="I616" s="120"/>
      <c r="J616" s="120"/>
      <c r="K616" s="120"/>
    </row>
    <row r="617">
      <c r="A617" s="120"/>
      <c r="B617" s="120"/>
      <c r="C617" s="120"/>
      <c r="D617" s="120"/>
      <c r="E617" s="120"/>
      <c r="F617" s="120"/>
      <c r="G617" s="120"/>
      <c r="H617" s="120"/>
      <c r="I617" s="120"/>
      <c r="J617" s="120"/>
      <c r="K617" s="120"/>
    </row>
    <row r="618">
      <c r="A618" s="120"/>
      <c r="B618" s="120"/>
      <c r="C618" s="120"/>
      <c r="D618" s="120"/>
      <c r="E618" s="120"/>
      <c r="F618" s="120"/>
      <c r="G618" s="120"/>
      <c r="H618" s="120"/>
      <c r="I618" s="120"/>
      <c r="J618" s="120"/>
      <c r="K618" s="120"/>
    </row>
    <row r="619">
      <c r="A619" s="120"/>
      <c r="B619" s="120"/>
      <c r="C619" s="120"/>
      <c r="D619" s="120"/>
      <c r="E619" s="120"/>
      <c r="F619" s="120"/>
      <c r="G619" s="120"/>
      <c r="H619" s="120"/>
      <c r="I619" s="120"/>
      <c r="J619" s="120"/>
      <c r="K619" s="120"/>
    </row>
    <row r="620">
      <c r="A620" s="120"/>
      <c r="B620" s="120"/>
      <c r="C620" s="120"/>
      <c r="D620" s="120"/>
      <c r="E620" s="120"/>
      <c r="F620" s="120"/>
      <c r="G620" s="120"/>
      <c r="H620" s="120"/>
      <c r="I620" s="120"/>
      <c r="J620" s="120"/>
      <c r="K620" s="120"/>
    </row>
    <row r="621">
      <c r="A621" s="120"/>
      <c r="B621" s="120"/>
      <c r="C621" s="120"/>
      <c r="D621" s="120"/>
      <c r="E621" s="120"/>
      <c r="F621" s="120"/>
      <c r="G621" s="120"/>
      <c r="H621" s="120"/>
      <c r="I621" s="120"/>
      <c r="J621" s="120"/>
      <c r="K621" s="120"/>
    </row>
    <row r="622">
      <c r="A622" s="120"/>
      <c r="B622" s="120"/>
      <c r="C622" s="120"/>
      <c r="D622" s="120"/>
      <c r="E622" s="120"/>
      <c r="F622" s="120"/>
      <c r="G622" s="120"/>
      <c r="H622" s="120"/>
      <c r="I622" s="120"/>
      <c r="J622" s="120"/>
      <c r="K622" s="120"/>
    </row>
    <row r="623">
      <c r="A623" s="120"/>
      <c r="B623" s="120"/>
      <c r="C623" s="120"/>
      <c r="D623" s="120"/>
      <c r="E623" s="120"/>
      <c r="F623" s="120"/>
      <c r="G623" s="120"/>
      <c r="H623" s="120"/>
      <c r="I623" s="120"/>
      <c r="J623" s="120"/>
      <c r="K623" s="120"/>
    </row>
    <row r="624">
      <c r="A624" s="120"/>
      <c r="B624" s="120"/>
      <c r="C624" s="120"/>
      <c r="D624" s="120"/>
      <c r="E624" s="120"/>
      <c r="F624" s="120"/>
      <c r="G624" s="120"/>
      <c r="H624" s="120"/>
      <c r="I624" s="120"/>
      <c r="J624" s="120"/>
      <c r="K624" s="120"/>
    </row>
    <row r="625">
      <c r="A625" s="120"/>
      <c r="B625" s="120"/>
      <c r="C625" s="120"/>
      <c r="D625" s="120"/>
      <c r="E625" s="120"/>
      <c r="F625" s="120"/>
      <c r="G625" s="120"/>
      <c r="H625" s="120"/>
      <c r="I625" s="120"/>
      <c r="J625" s="120"/>
      <c r="K625" s="120"/>
    </row>
    <row r="626">
      <c r="A626" s="120"/>
      <c r="B626" s="120"/>
      <c r="C626" s="120"/>
      <c r="D626" s="120"/>
      <c r="E626" s="120"/>
      <c r="F626" s="120"/>
      <c r="G626" s="120"/>
      <c r="H626" s="120"/>
      <c r="I626" s="120"/>
      <c r="J626" s="120"/>
      <c r="K626" s="120"/>
    </row>
    <row r="627">
      <c r="A627" s="120"/>
      <c r="B627" s="120"/>
      <c r="C627" s="120"/>
      <c r="D627" s="120"/>
      <c r="E627" s="120"/>
      <c r="F627" s="120"/>
      <c r="G627" s="120"/>
      <c r="H627" s="120"/>
      <c r="I627" s="120"/>
      <c r="J627" s="120"/>
      <c r="K627" s="120"/>
    </row>
    <row r="628">
      <c r="A628" s="120"/>
      <c r="B628" s="120"/>
      <c r="C628" s="120"/>
      <c r="D628" s="120"/>
      <c r="E628" s="120"/>
      <c r="F628" s="120"/>
      <c r="G628" s="120"/>
      <c r="H628" s="120"/>
      <c r="I628" s="120"/>
      <c r="J628" s="120"/>
      <c r="K628" s="120"/>
    </row>
    <row r="629">
      <c r="A629" s="120"/>
      <c r="B629" s="120"/>
      <c r="C629" s="120"/>
      <c r="D629" s="120"/>
      <c r="E629" s="120"/>
      <c r="F629" s="120"/>
      <c r="G629" s="120"/>
      <c r="H629" s="120"/>
      <c r="I629" s="120"/>
      <c r="J629" s="120"/>
      <c r="K629" s="120"/>
    </row>
    <row r="630">
      <c r="A630" s="120"/>
      <c r="B630" s="120"/>
      <c r="C630" s="120"/>
      <c r="D630" s="120"/>
      <c r="E630" s="120"/>
      <c r="F630" s="120"/>
      <c r="G630" s="120"/>
      <c r="H630" s="120"/>
      <c r="I630" s="120"/>
      <c r="J630" s="120"/>
      <c r="K630" s="120"/>
    </row>
    <row r="631">
      <c r="A631" s="120"/>
      <c r="B631" s="120"/>
      <c r="C631" s="120"/>
      <c r="D631" s="120"/>
      <c r="E631" s="120"/>
      <c r="F631" s="120"/>
      <c r="G631" s="120"/>
      <c r="H631" s="120"/>
      <c r="I631" s="120"/>
      <c r="J631" s="120"/>
      <c r="K631" s="120"/>
    </row>
    <row r="632">
      <c r="A632" s="120"/>
      <c r="B632" s="120"/>
      <c r="C632" s="120"/>
      <c r="D632" s="120"/>
      <c r="E632" s="120"/>
      <c r="F632" s="120"/>
      <c r="G632" s="120"/>
      <c r="H632" s="120"/>
      <c r="I632" s="120"/>
      <c r="J632" s="120"/>
      <c r="K632" s="120"/>
    </row>
    <row r="633">
      <c r="A633" s="120"/>
      <c r="B633" s="120"/>
      <c r="C633" s="120"/>
      <c r="D633" s="120"/>
      <c r="E633" s="120"/>
      <c r="F633" s="120"/>
      <c r="G633" s="120"/>
      <c r="H633" s="120"/>
      <c r="I633" s="120"/>
      <c r="J633" s="120"/>
      <c r="K633" s="120"/>
    </row>
    <row r="634">
      <c r="A634" s="120"/>
      <c r="B634" s="120"/>
      <c r="C634" s="120"/>
      <c r="D634" s="120"/>
      <c r="E634" s="120"/>
      <c r="F634" s="120"/>
      <c r="G634" s="120"/>
      <c r="H634" s="120"/>
      <c r="I634" s="120"/>
      <c r="J634" s="120"/>
      <c r="K634" s="120"/>
    </row>
    <row r="635">
      <c r="A635" s="120"/>
      <c r="B635" s="120"/>
      <c r="C635" s="120"/>
      <c r="D635" s="120"/>
      <c r="E635" s="120"/>
      <c r="F635" s="120"/>
      <c r="G635" s="120"/>
      <c r="H635" s="120"/>
      <c r="I635" s="120"/>
      <c r="J635" s="120"/>
      <c r="K635" s="120"/>
    </row>
    <row r="636">
      <c r="A636" s="120"/>
      <c r="B636" s="120"/>
      <c r="C636" s="120"/>
      <c r="D636" s="120"/>
      <c r="E636" s="120"/>
      <c r="F636" s="120"/>
      <c r="G636" s="120"/>
      <c r="H636" s="120"/>
      <c r="I636" s="120"/>
      <c r="J636" s="120"/>
      <c r="K636" s="120"/>
    </row>
    <row r="637">
      <c r="A637" s="120"/>
      <c r="B637" s="120"/>
      <c r="C637" s="120"/>
      <c r="D637" s="120"/>
      <c r="E637" s="120"/>
      <c r="F637" s="120"/>
      <c r="G637" s="120"/>
      <c r="H637" s="120"/>
      <c r="I637" s="120"/>
      <c r="J637" s="120"/>
      <c r="K637" s="120"/>
    </row>
    <row r="638">
      <c r="A638" s="120"/>
      <c r="B638" s="120"/>
      <c r="C638" s="120"/>
      <c r="D638" s="120"/>
      <c r="E638" s="120"/>
      <c r="F638" s="120"/>
      <c r="G638" s="120"/>
      <c r="H638" s="120"/>
      <c r="I638" s="120"/>
      <c r="J638" s="120"/>
      <c r="K638" s="120"/>
    </row>
    <row r="639">
      <c r="A639" s="120"/>
      <c r="B639" s="120"/>
      <c r="C639" s="120"/>
      <c r="D639" s="120"/>
      <c r="E639" s="120"/>
      <c r="F639" s="120"/>
      <c r="G639" s="120"/>
      <c r="H639" s="120"/>
      <c r="I639" s="120"/>
      <c r="J639" s="120"/>
      <c r="K639" s="120"/>
    </row>
    <row r="640">
      <c r="A640" s="120"/>
      <c r="B640" s="120"/>
      <c r="C640" s="120"/>
      <c r="D640" s="120"/>
      <c r="E640" s="120"/>
      <c r="F640" s="120"/>
      <c r="G640" s="120"/>
      <c r="H640" s="120"/>
      <c r="I640" s="120"/>
      <c r="J640" s="120"/>
      <c r="K640" s="120"/>
    </row>
    <row r="641">
      <c r="A641" s="120"/>
      <c r="B641" s="120"/>
      <c r="C641" s="120"/>
      <c r="D641" s="120"/>
      <c r="E641" s="120"/>
      <c r="F641" s="120"/>
      <c r="G641" s="120"/>
      <c r="H641" s="120"/>
      <c r="I641" s="120"/>
      <c r="J641" s="120"/>
      <c r="K641" s="120"/>
    </row>
    <row r="642">
      <c r="A642" s="120"/>
      <c r="B642" s="120"/>
      <c r="C642" s="120"/>
      <c r="D642" s="120"/>
      <c r="E642" s="120"/>
      <c r="F642" s="120"/>
      <c r="G642" s="120"/>
      <c r="H642" s="120"/>
      <c r="I642" s="120"/>
      <c r="J642" s="120"/>
      <c r="K642" s="120"/>
    </row>
    <row r="643">
      <c r="A643" s="120"/>
      <c r="B643" s="120"/>
      <c r="C643" s="120"/>
      <c r="D643" s="120"/>
      <c r="E643" s="120"/>
      <c r="F643" s="120"/>
      <c r="G643" s="120"/>
      <c r="H643" s="120"/>
      <c r="I643" s="120"/>
      <c r="J643" s="120"/>
      <c r="K643" s="120"/>
    </row>
    <row r="644">
      <c r="A644" s="120"/>
      <c r="B644" s="120"/>
      <c r="C644" s="120"/>
      <c r="D644" s="120"/>
      <c r="E644" s="120"/>
      <c r="F644" s="120"/>
      <c r="G644" s="120"/>
      <c r="H644" s="120"/>
      <c r="I644" s="120"/>
      <c r="J644" s="120"/>
      <c r="K644" s="120"/>
    </row>
    <row r="645">
      <c r="A645" s="120"/>
      <c r="B645" s="120"/>
      <c r="C645" s="120"/>
      <c r="D645" s="120"/>
      <c r="E645" s="120"/>
      <c r="F645" s="120"/>
      <c r="G645" s="120"/>
      <c r="H645" s="120"/>
      <c r="I645" s="120"/>
      <c r="J645" s="120"/>
      <c r="K645" s="120"/>
    </row>
    <row r="646">
      <c r="A646" s="120"/>
      <c r="B646" s="120"/>
      <c r="C646" s="120"/>
      <c r="D646" s="120"/>
      <c r="E646" s="120"/>
      <c r="F646" s="120"/>
      <c r="G646" s="120"/>
      <c r="H646" s="120"/>
      <c r="I646" s="120"/>
      <c r="J646" s="120"/>
      <c r="K646" s="120"/>
    </row>
    <row r="647">
      <c r="A647" s="120"/>
      <c r="B647" s="120"/>
      <c r="C647" s="120"/>
      <c r="D647" s="120"/>
      <c r="E647" s="120"/>
      <c r="F647" s="120"/>
      <c r="G647" s="120"/>
      <c r="H647" s="120"/>
      <c r="I647" s="120"/>
      <c r="J647" s="120"/>
      <c r="K647" s="120"/>
    </row>
    <row r="648">
      <c r="A648" s="120"/>
      <c r="B648" s="120"/>
      <c r="C648" s="120"/>
      <c r="D648" s="120"/>
      <c r="E648" s="120"/>
      <c r="F648" s="120"/>
      <c r="G648" s="120"/>
      <c r="H648" s="120"/>
      <c r="I648" s="120"/>
      <c r="J648" s="120"/>
      <c r="K648" s="120"/>
    </row>
    <row r="649">
      <c r="A649" s="120"/>
      <c r="B649" s="120"/>
      <c r="C649" s="120"/>
      <c r="D649" s="120"/>
      <c r="E649" s="120"/>
      <c r="F649" s="120"/>
      <c r="G649" s="120"/>
      <c r="H649" s="120"/>
      <c r="I649" s="120"/>
      <c r="J649" s="120"/>
      <c r="K649" s="120"/>
    </row>
    <row r="650">
      <c r="A650" s="120"/>
      <c r="B650" s="120"/>
      <c r="C650" s="120"/>
      <c r="D650" s="120"/>
      <c r="E650" s="120"/>
      <c r="F650" s="120"/>
      <c r="G650" s="120"/>
      <c r="H650" s="120"/>
      <c r="I650" s="120"/>
      <c r="J650" s="120"/>
      <c r="K650" s="120"/>
    </row>
    <row r="651">
      <c r="A651" s="120"/>
      <c r="B651" s="120"/>
      <c r="C651" s="120"/>
      <c r="D651" s="120"/>
      <c r="E651" s="120"/>
      <c r="F651" s="120"/>
      <c r="G651" s="120"/>
      <c r="H651" s="120"/>
      <c r="I651" s="120"/>
      <c r="J651" s="120"/>
      <c r="K651" s="120"/>
    </row>
    <row r="652">
      <c r="A652" s="120"/>
      <c r="B652" s="120"/>
      <c r="C652" s="120"/>
      <c r="D652" s="120"/>
      <c r="E652" s="120"/>
      <c r="F652" s="120"/>
      <c r="G652" s="120"/>
      <c r="H652" s="120"/>
      <c r="I652" s="120"/>
      <c r="J652" s="120"/>
      <c r="K652" s="120"/>
    </row>
    <row r="653">
      <c r="A653" s="120"/>
      <c r="B653" s="120"/>
      <c r="C653" s="120"/>
      <c r="D653" s="120"/>
      <c r="E653" s="120"/>
      <c r="F653" s="120"/>
      <c r="G653" s="120"/>
      <c r="H653" s="120"/>
      <c r="I653" s="120"/>
      <c r="J653" s="120"/>
      <c r="K653" s="120"/>
    </row>
    <row r="654">
      <c r="A654" s="120"/>
      <c r="B654" s="120"/>
      <c r="C654" s="120"/>
      <c r="D654" s="120"/>
      <c r="E654" s="120"/>
      <c r="F654" s="120"/>
      <c r="G654" s="120"/>
      <c r="H654" s="120"/>
      <c r="I654" s="120"/>
      <c r="J654" s="120"/>
      <c r="K654" s="120"/>
    </row>
    <row r="655">
      <c r="A655" s="120"/>
      <c r="B655" s="120"/>
      <c r="C655" s="120"/>
      <c r="D655" s="120"/>
      <c r="E655" s="120"/>
      <c r="F655" s="120"/>
      <c r="G655" s="120"/>
      <c r="H655" s="120"/>
      <c r="I655" s="120"/>
      <c r="J655" s="120"/>
      <c r="K655" s="120"/>
    </row>
    <row r="656">
      <c r="A656" s="120"/>
      <c r="B656" s="120"/>
      <c r="C656" s="120"/>
      <c r="D656" s="120"/>
      <c r="E656" s="120"/>
      <c r="F656" s="120"/>
      <c r="G656" s="120"/>
      <c r="H656" s="120"/>
      <c r="I656" s="120"/>
      <c r="J656" s="120"/>
      <c r="K656" s="120"/>
    </row>
    <row r="657">
      <c r="A657" s="120"/>
      <c r="B657" s="120"/>
      <c r="C657" s="120"/>
      <c r="D657" s="120"/>
      <c r="E657" s="120"/>
      <c r="F657" s="120"/>
      <c r="G657" s="120"/>
      <c r="H657" s="120"/>
      <c r="I657" s="120"/>
      <c r="J657" s="120"/>
      <c r="K657" s="120"/>
    </row>
    <row r="658">
      <c r="A658" s="120"/>
      <c r="B658" s="120"/>
      <c r="C658" s="120"/>
      <c r="D658" s="120"/>
      <c r="E658" s="120"/>
      <c r="F658" s="120"/>
      <c r="G658" s="120"/>
      <c r="H658" s="120"/>
      <c r="I658" s="120"/>
      <c r="J658" s="120"/>
      <c r="K658" s="120"/>
    </row>
    <row r="659">
      <c r="A659" s="120"/>
      <c r="B659" s="120"/>
      <c r="C659" s="120"/>
      <c r="D659" s="120"/>
      <c r="E659" s="120"/>
      <c r="F659" s="120"/>
      <c r="G659" s="120"/>
      <c r="H659" s="120"/>
      <c r="I659" s="120"/>
      <c r="J659" s="120"/>
      <c r="K659" s="120"/>
    </row>
    <row r="660">
      <c r="A660" s="120"/>
      <c r="B660" s="120"/>
      <c r="C660" s="120"/>
      <c r="D660" s="120"/>
      <c r="E660" s="120"/>
      <c r="F660" s="120"/>
      <c r="G660" s="120"/>
      <c r="H660" s="120"/>
      <c r="I660" s="120"/>
      <c r="J660" s="120"/>
      <c r="K660" s="120"/>
    </row>
    <row r="661">
      <c r="A661" s="120"/>
      <c r="B661" s="120"/>
      <c r="C661" s="120"/>
      <c r="D661" s="120"/>
      <c r="E661" s="120"/>
      <c r="F661" s="120"/>
      <c r="G661" s="120"/>
      <c r="H661" s="120"/>
      <c r="I661" s="120"/>
      <c r="J661" s="120"/>
      <c r="K661" s="120"/>
    </row>
    <row r="662">
      <c r="A662" s="120"/>
      <c r="B662" s="120"/>
      <c r="C662" s="120"/>
      <c r="D662" s="120"/>
      <c r="E662" s="120"/>
      <c r="F662" s="120"/>
      <c r="G662" s="120"/>
      <c r="H662" s="120"/>
      <c r="I662" s="120"/>
      <c r="J662" s="120"/>
      <c r="K662" s="120"/>
    </row>
    <row r="663">
      <c r="A663" s="120"/>
      <c r="B663" s="120"/>
      <c r="C663" s="120"/>
      <c r="D663" s="120"/>
      <c r="E663" s="120"/>
      <c r="F663" s="120"/>
      <c r="G663" s="120"/>
      <c r="H663" s="120"/>
      <c r="I663" s="120"/>
      <c r="J663" s="120"/>
      <c r="K663" s="120"/>
    </row>
    <row r="664">
      <c r="A664" s="120"/>
      <c r="B664" s="120"/>
      <c r="C664" s="120"/>
      <c r="D664" s="120"/>
      <c r="E664" s="120"/>
      <c r="F664" s="120"/>
      <c r="G664" s="120"/>
      <c r="H664" s="120"/>
      <c r="I664" s="120"/>
      <c r="J664" s="120"/>
      <c r="K664" s="120"/>
    </row>
    <row r="665">
      <c r="A665" s="120"/>
      <c r="B665" s="120"/>
      <c r="C665" s="120"/>
      <c r="D665" s="120"/>
      <c r="E665" s="120"/>
      <c r="F665" s="120"/>
      <c r="G665" s="120"/>
      <c r="H665" s="120"/>
      <c r="I665" s="120"/>
      <c r="J665" s="120"/>
      <c r="K665" s="120"/>
    </row>
    <row r="666">
      <c r="A666" s="120"/>
      <c r="B666" s="120"/>
      <c r="C666" s="120"/>
      <c r="D666" s="120"/>
      <c r="E666" s="120"/>
      <c r="F666" s="120"/>
      <c r="G666" s="120"/>
      <c r="H666" s="120"/>
      <c r="I666" s="120"/>
      <c r="J666" s="120"/>
      <c r="K666" s="120"/>
    </row>
    <row r="667">
      <c r="A667" s="120"/>
      <c r="B667" s="120"/>
      <c r="C667" s="120"/>
      <c r="D667" s="120"/>
      <c r="E667" s="120"/>
      <c r="F667" s="120"/>
      <c r="G667" s="120"/>
      <c r="H667" s="120"/>
      <c r="I667" s="120"/>
      <c r="J667" s="120"/>
      <c r="K667" s="120"/>
    </row>
    <row r="668">
      <c r="A668" s="120"/>
      <c r="B668" s="120"/>
      <c r="C668" s="120"/>
      <c r="D668" s="120"/>
      <c r="E668" s="120"/>
      <c r="F668" s="120"/>
      <c r="G668" s="120"/>
      <c r="H668" s="120"/>
      <c r="I668" s="120"/>
      <c r="J668" s="120"/>
      <c r="K668" s="120"/>
    </row>
    <row r="669">
      <c r="A669" s="120"/>
      <c r="B669" s="120"/>
      <c r="C669" s="120"/>
      <c r="D669" s="120"/>
      <c r="E669" s="120"/>
      <c r="F669" s="120"/>
      <c r="G669" s="120"/>
      <c r="H669" s="120"/>
      <c r="I669" s="120"/>
      <c r="J669" s="120"/>
      <c r="K669" s="120"/>
    </row>
    <row r="670">
      <c r="A670" s="120"/>
      <c r="B670" s="120"/>
      <c r="C670" s="120"/>
      <c r="D670" s="120"/>
      <c r="E670" s="120"/>
      <c r="F670" s="120"/>
      <c r="G670" s="120"/>
      <c r="H670" s="120"/>
      <c r="I670" s="120"/>
      <c r="J670" s="120"/>
      <c r="K670" s="120"/>
    </row>
    <row r="671">
      <c r="A671" s="120"/>
      <c r="B671" s="120"/>
      <c r="C671" s="120"/>
      <c r="D671" s="120"/>
      <c r="E671" s="120"/>
      <c r="F671" s="120"/>
      <c r="G671" s="120"/>
      <c r="H671" s="120"/>
      <c r="I671" s="120"/>
      <c r="J671" s="120"/>
      <c r="K671" s="120"/>
    </row>
    <row r="672">
      <c r="A672" s="120"/>
      <c r="B672" s="120"/>
      <c r="C672" s="120"/>
      <c r="D672" s="120"/>
      <c r="E672" s="120"/>
      <c r="F672" s="120"/>
      <c r="G672" s="120"/>
      <c r="H672" s="120"/>
      <c r="I672" s="120"/>
      <c r="J672" s="120"/>
      <c r="K672" s="120"/>
    </row>
    <row r="673">
      <c r="A673" s="120"/>
      <c r="B673" s="120"/>
      <c r="C673" s="120"/>
      <c r="D673" s="120"/>
      <c r="E673" s="120"/>
      <c r="F673" s="120"/>
      <c r="G673" s="120"/>
      <c r="H673" s="120"/>
      <c r="I673" s="120"/>
      <c r="J673" s="120"/>
      <c r="K673" s="120"/>
    </row>
    <row r="674">
      <c r="A674" s="120"/>
      <c r="B674" s="120"/>
      <c r="C674" s="120"/>
      <c r="D674" s="120"/>
      <c r="E674" s="120"/>
      <c r="F674" s="120"/>
      <c r="G674" s="120"/>
      <c r="H674" s="120"/>
      <c r="I674" s="120"/>
      <c r="J674" s="120"/>
      <c r="K674" s="120"/>
    </row>
    <row r="675">
      <c r="A675" s="120"/>
      <c r="B675" s="120"/>
      <c r="C675" s="120"/>
      <c r="D675" s="120"/>
      <c r="E675" s="120"/>
      <c r="F675" s="120"/>
      <c r="G675" s="120"/>
      <c r="H675" s="120"/>
      <c r="I675" s="120"/>
      <c r="J675" s="120"/>
      <c r="K675" s="120"/>
    </row>
    <row r="676">
      <c r="A676" s="120"/>
      <c r="B676" s="120"/>
      <c r="C676" s="120"/>
      <c r="D676" s="120"/>
      <c r="E676" s="120"/>
      <c r="F676" s="120"/>
      <c r="G676" s="120"/>
      <c r="H676" s="120"/>
      <c r="I676" s="120"/>
      <c r="J676" s="120"/>
      <c r="K676" s="120"/>
    </row>
    <row r="677">
      <c r="A677" s="120"/>
      <c r="B677" s="120"/>
      <c r="C677" s="120"/>
      <c r="D677" s="120"/>
      <c r="E677" s="120"/>
      <c r="F677" s="120"/>
      <c r="G677" s="120"/>
      <c r="H677" s="120"/>
      <c r="I677" s="120"/>
      <c r="J677" s="120"/>
      <c r="K677" s="120"/>
    </row>
    <row r="678">
      <c r="A678" s="120"/>
      <c r="B678" s="120"/>
      <c r="C678" s="120"/>
      <c r="D678" s="120"/>
      <c r="E678" s="120"/>
      <c r="F678" s="120"/>
      <c r="G678" s="120"/>
      <c r="H678" s="120"/>
      <c r="I678" s="120"/>
      <c r="J678" s="120"/>
      <c r="K678" s="120"/>
    </row>
    <row r="679">
      <c r="A679" s="120"/>
      <c r="B679" s="120"/>
      <c r="C679" s="120"/>
      <c r="D679" s="120"/>
      <c r="E679" s="120"/>
      <c r="F679" s="120"/>
      <c r="G679" s="120"/>
      <c r="H679" s="120"/>
      <c r="I679" s="120"/>
      <c r="J679" s="120"/>
      <c r="K679" s="120"/>
    </row>
    <row r="680">
      <c r="A680" s="120"/>
      <c r="B680" s="120"/>
      <c r="C680" s="120"/>
      <c r="D680" s="120"/>
      <c r="E680" s="120"/>
      <c r="F680" s="120"/>
      <c r="G680" s="120"/>
      <c r="H680" s="120"/>
      <c r="I680" s="120"/>
      <c r="J680" s="120"/>
      <c r="K680" s="120"/>
    </row>
    <row r="681">
      <c r="A681" s="120"/>
      <c r="B681" s="120"/>
      <c r="C681" s="120"/>
      <c r="D681" s="120"/>
      <c r="E681" s="120"/>
      <c r="F681" s="120"/>
      <c r="G681" s="120"/>
      <c r="H681" s="120"/>
      <c r="I681" s="120"/>
      <c r="J681" s="120"/>
      <c r="K681" s="120"/>
    </row>
    <row r="682">
      <c r="A682" s="120"/>
      <c r="B682" s="120"/>
      <c r="C682" s="120"/>
      <c r="D682" s="120"/>
      <c r="E682" s="120"/>
      <c r="F682" s="120"/>
      <c r="G682" s="120"/>
      <c r="H682" s="120"/>
      <c r="I682" s="120"/>
      <c r="J682" s="120"/>
      <c r="K682" s="120"/>
    </row>
    <row r="683">
      <c r="A683" s="120"/>
      <c r="B683" s="120"/>
      <c r="C683" s="120"/>
      <c r="D683" s="120"/>
      <c r="E683" s="120"/>
      <c r="F683" s="120"/>
      <c r="G683" s="120"/>
      <c r="H683" s="120"/>
      <c r="I683" s="120"/>
      <c r="J683" s="120"/>
      <c r="K683" s="120"/>
    </row>
    <row r="684">
      <c r="A684" s="120"/>
      <c r="B684" s="120"/>
      <c r="C684" s="120"/>
      <c r="D684" s="120"/>
      <c r="E684" s="120"/>
      <c r="F684" s="120"/>
      <c r="G684" s="120"/>
      <c r="H684" s="120"/>
      <c r="I684" s="120"/>
      <c r="J684" s="120"/>
      <c r="K684" s="120"/>
    </row>
    <row r="685">
      <c r="A685" s="120"/>
      <c r="B685" s="120"/>
      <c r="C685" s="120"/>
      <c r="D685" s="120"/>
      <c r="E685" s="120"/>
      <c r="F685" s="120"/>
      <c r="G685" s="120"/>
      <c r="H685" s="120"/>
      <c r="I685" s="120"/>
      <c r="J685" s="120"/>
      <c r="K685" s="120"/>
    </row>
    <row r="686">
      <c r="A686" s="120"/>
      <c r="B686" s="120"/>
      <c r="C686" s="120"/>
      <c r="D686" s="120"/>
      <c r="E686" s="120"/>
      <c r="F686" s="120"/>
      <c r="G686" s="120"/>
      <c r="H686" s="120"/>
      <c r="I686" s="120"/>
      <c r="J686" s="120"/>
      <c r="K686" s="120"/>
    </row>
    <row r="687">
      <c r="A687" s="120"/>
      <c r="B687" s="120"/>
      <c r="C687" s="120"/>
      <c r="D687" s="120"/>
      <c r="E687" s="120"/>
      <c r="F687" s="120"/>
      <c r="G687" s="120"/>
      <c r="H687" s="120"/>
      <c r="I687" s="120"/>
      <c r="J687" s="120"/>
      <c r="K687" s="120"/>
    </row>
    <row r="688">
      <c r="A688" s="120"/>
      <c r="B688" s="120"/>
      <c r="C688" s="120"/>
      <c r="D688" s="120"/>
      <c r="E688" s="120"/>
      <c r="F688" s="120"/>
      <c r="G688" s="120"/>
      <c r="H688" s="120"/>
      <c r="I688" s="120"/>
      <c r="J688" s="120"/>
      <c r="K688" s="120"/>
    </row>
    <row r="689">
      <c r="A689" s="120"/>
      <c r="B689" s="120"/>
      <c r="C689" s="120"/>
      <c r="D689" s="120"/>
      <c r="E689" s="120"/>
      <c r="F689" s="120"/>
      <c r="G689" s="120"/>
      <c r="H689" s="120"/>
      <c r="I689" s="120"/>
      <c r="J689" s="120"/>
      <c r="K689" s="120"/>
    </row>
    <row r="690">
      <c r="A690" s="120"/>
      <c r="B690" s="120"/>
      <c r="C690" s="120"/>
      <c r="D690" s="120"/>
      <c r="E690" s="120"/>
      <c r="F690" s="120"/>
      <c r="G690" s="120"/>
      <c r="H690" s="120"/>
      <c r="I690" s="120"/>
      <c r="J690" s="120"/>
      <c r="K690" s="120"/>
    </row>
    <row r="691">
      <c r="A691" s="120"/>
      <c r="B691" s="120"/>
      <c r="C691" s="120"/>
      <c r="D691" s="120"/>
      <c r="E691" s="120"/>
      <c r="F691" s="120"/>
      <c r="G691" s="120"/>
      <c r="H691" s="120"/>
      <c r="I691" s="120"/>
      <c r="J691" s="120"/>
      <c r="K691" s="120"/>
    </row>
    <row r="692">
      <c r="A692" s="120"/>
      <c r="B692" s="120"/>
      <c r="C692" s="120"/>
      <c r="D692" s="120"/>
      <c r="E692" s="120"/>
      <c r="F692" s="120"/>
      <c r="G692" s="120"/>
      <c r="H692" s="120"/>
      <c r="I692" s="120"/>
      <c r="J692" s="120"/>
      <c r="K692" s="120"/>
    </row>
    <row r="693">
      <c r="A693" s="120"/>
      <c r="B693" s="120"/>
      <c r="C693" s="120"/>
      <c r="D693" s="120"/>
      <c r="E693" s="120"/>
      <c r="F693" s="120"/>
      <c r="G693" s="120"/>
      <c r="H693" s="120"/>
      <c r="I693" s="120"/>
      <c r="J693" s="120"/>
      <c r="K693" s="120"/>
    </row>
    <row r="694">
      <c r="A694" s="120"/>
      <c r="B694" s="120"/>
      <c r="C694" s="120"/>
      <c r="D694" s="120"/>
      <c r="E694" s="120"/>
      <c r="F694" s="120"/>
      <c r="G694" s="120"/>
      <c r="H694" s="120"/>
      <c r="I694" s="120"/>
      <c r="J694" s="120"/>
      <c r="K694" s="120"/>
    </row>
    <row r="695">
      <c r="A695" s="120"/>
      <c r="B695" s="120"/>
      <c r="C695" s="120"/>
      <c r="D695" s="120"/>
      <c r="E695" s="120"/>
      <c r="F695" s="120"/>
      <c r="G695" s="120"/>
      <c r="H695" s="120"/>
      <c r="I695" s="120"/>
      <c r="J695" s="120"/>
      <c r="K695" s="120"/>
    </row>
    <row r="696">
      <c r="A696" s="120"/>
      <c r="B696" s="120"/>
      <c r="C696" s="120"/>
      <c r="D696" s="120"/>
      <c r="E696" s="120"/>
      <c r="F696" s="120"/>
      <c r="G696" s="120"/>
      <c r="H696" s="120"/>
      <c r="I696" s="120"/>
      <c r="J696" s="120"/>
      <c r="K696" s="120"/>
    </row>
    <row r="697">
      <c r="A697" s="120"/>
      <c r="B697" s="120"/>
      <c r="C697" s="120"/>
      <c r="D697" s="120"/>
      <c r="E697" s="120"/>
      <c r="F697" s="120"/>
      <c r="G697" s="120"/>
      <c r="H697" s="120"/>
      <c r="I697" s="120"/>
      <c r="J697" s="120"/>
      <c r="K697" s="120"/>
    </row>
    <row r="698">
      <c r="A698" s="120"/>
      <c r="B698" s="120"/>
      <c r="C698" s="120"/>
      <c r="D698" s="120"/>
      <c r="E698" s="120"/>
      <c r="F698" s="120"/>
      <c r="G698" s="120"/>
      <c r="H698" s="120"/>
      <c r="I698" s="120"/>
      <c r="J698" s="120"/>
      <c r="K698" s="120"/>
    </row>
    <row r="699">
      <c r="A699" s="120"/>
      <c r="B699" s="120"/>
      <c r="C699" s="120"/>
      <c r="D699" s="120"/>
      <c r="E699" s="120"/>
      <c r="F699" s="120"/>
      <c r="G699" s="120"/>
      <c r="H699" s="120"/>
      <c r="I699" s="120"/>
      <c r="J699" s="120"/>
      <c r="K699" s="120"/>
    </row>
    <row r="700">
      <c r="A700" s="120"/>
      <c r="B700" s="120"/>
      <c r="C700" s="120"/>
      <c r="D700" s="120"/>
      <c r="E700" s="120"/>
      <c r="F700" s="120"/>
      <c r="G700" s="120"/>
      <c r="H700" s="120"/>
      <c r="I700" s="120"/>
      <c r="J700" s="120"/>
      <c r="K700" s="120"/>
    </row>
    <row r="701">
      <c r="A701" s="120"/>
      <c r="B701" s="120"/>
      <c r="C701" s="120"/>
      <c r="D701" s="120"/>
      <c r="E701" s="120"/>
      <c r="F701" s="120"/>
      <c r="G701" s="120"/>
      <c r="H701" s="120"/>
      <c r="I701" s="120"/>
      <c r="J701" s="120"/>
      <c r="K701" s="120"/>
    </row>
    <row r="702">
      <c r="A702" s="120"/>
      <c r="B702" s="120"/>
      <c r="C702" s="120"/>
      <c r="D702" s="120"/>
      <c r="E702" s="120"/>
      <c r="F702" s="120"/>
      <c r="G702" s="120"/>
      <c r="H702" s="120"/>
      <c r="I702" s="120"/>
      <c r="J702" s="120"/>
      <c r="K702" s="120"/>
    </row>
    <row r="703">
      <c r="A703" s="120"/>
      <c r="B703" s="120"/>
      <c r="C703" s="120"/>
      <c r="D703" s="120"/>
      <c r="E703" s="120"/>
      <c r="F703" s="120"/>
      <c r="G703" s="120"/>
      <c r="H703" s="120"/>
      <c r="I703" s="120"/>
      <c r="J703" s="120"/>
      <c r="K703" s="120"/>
    </row>
    <row r="704">
      <c r="A704" s="120"/>
      <c r="B704" s="120"/>
      <c r="C704" s="120"/>
      <c r="D704" s="120"/>
      <c r="E704" s="120"/>
      <c r="F704" s="120"/>
      <c r="G704" s="120"/>
      <c r="H704" s="120"/>
      <c r="I704" s="120"/>
      <c r="J704" s="120"/>
      <c r="K704" s="120"/>
    </row>
    <row r="705">
      <c r="A705" s="120"/>
      <c r="B705" s="120"/>
      <c r="C705" s="120"/>
      <c r="D705" s="120"/>
      <c r="E705" s="120"/>
      <c r="F705" s="120"/>
      <c r="G705" s="120"/>
      <c r="H705" s="120"/>
      <c r="I705" s="120"/>
      <c r="J705" s="120"/>
      <c r="K705" s="120"/>
    </row>
    <row r="706">
      <c r="A706" s="120"/>
      <c r="B706" s="120"/>
      <c r="C706" s="120"/>
      <c r="D706" s="120"/>
      <c r="E706" s="120"/>
      <c r="F706" s="120"/>
      <c r="G706" s="120"/>
      <c r="H706" s="120"/>
      <c r="I706" s="120"/>
      <c r="J706" s="120"/>
      <c r="K706" s="120"/>
    </row>
    <row r="707">
      <c r="A707" s="120"/>
      <c r="B707" s="120"/>
      <c r="C707" s="120"/>
      <c r="D707" s="120"/>
      <c r="E707" s="120"/>
      <c r="F707" s="120"/>
      <c r="G707" s="120"/>
      <c r="H707" s="120"/>
      <c r="I707" s="120"/>
      <c r="J707" s="120"/>
      <c r="K707" s="120"/>
    </row>
    <row r="708">
      <c r="A708" s="120"/>
      <c r="B708" s="120"/>
      <c r="C708" s="120"/>
      <c r="D708" s="120"/>
      <c r="E708" s="120"/>
      <c r="F708" s="120"/>
      <c r="G708" s="120"/>
      <c r="H708" s="120"/>
      <c r="I708" s="120"/>
      <c r="J708" s="120"/>
      <c r="K708" s="120"/>
    </row>
    <row r="709">
      <c r="A709" s="120"/>
      <c r="B709" s="120"/>
      <c r="C709" s="120"/>
      <c r="D709" s="120"/>
      <c r="E709" s="120"/>
      <c r="F709" s="120"/>
      <c r="G709" s="120"/>
      <c r="H709" s="120"/>
      <c r="I709" s="120"/>
      <c r="J709" s="120"/>
      <c r="K709" s="120"/>
    </row>
    <row r="710">
      <c r="A710" s="120"/>
      <c r="B710" s="120"/>
      <c r="C710" s="120"/>
      <c r="D710" s="120"/>
      <c r="E710" s="120"/>
      <c r="F710" s="120"/>
      <c r="G710" s="120"/>
      <c r="H710" s="120"/>
      <c r="I710" s="120"/>
      <c r="J710" s="120"/>
      <c r="K710" s="120"/>
    </row>
    <row r="711">
      <c r="A711" s="120"/>
      <c r="B711" s="120"/>
      <c r="C711" s="120"/>
      <c r="D711" s="120"/>
      <c r="E711" s="120"/>
      <c r="F711" s="120"/>
      <c r="G711" s="120"/>
      <c r="H711" s="120"/>
      <c r="I711" s="120"/>
      <c r="J711" s="120"/>
      <c r="K711" s="120"/>
    </row>
    <row r="712">
      <c r="A712" s="120"/>
      <c r="B712" s="120"/>
      <c r="C712" s="120"/>
      <c r="D712" s="120"/>
      <c r="E712" s="120"/>
      <c r="F712" s="120"/>
      <c r="G712" s="120"/>
      <c r="H712" s="120"/>
      <c r="I712" s="120"/>
      <c r="J712" s="120"/>
      <c r="K712" s="120"/>
    </row>
    <row r="713">
      <c r="A713" s="120"/>
      <c r="B713" s="120"/>
      <c r="C713" s="120"/>
      <c r="D713" s="120"/>
      <c r="E713" s="120"/>
      <c r="F713" s="120"/>
      <c r="G713" s="120"/>
      <c r="H713" s="120"/>
      <c r="I713" s="120"/>
      <c r="J713" s="120"/>
      <c r="K713" s="120"/>
    </row>
    <row r="714">
      <c r="A714" s="120"/>
      <c r="B714" s="120"/>
      <c r="C714" s="120"/>
      <c r="D714" s="120"/>
      <c r="E714" s="120"/>
      <c r="F714" s="120"/>
      <c r="G714" s="120"/>
      <c r="H714" s="120"/>
      <c r="I714" s="120"/>
      <c r="J714" s="120"/>
      <c r="K714" s="120"/>
    </row>
    <row r="715">
      <c r="A715" s="120"/>
      <c r="B715" s="120"/>
      <c r="C715" s="120"/>
      <c r="D715" s="120"/>
      <c r="E715" s="120"/>
      <c r="F715" s="120"/>
      <c r="G715" s="120"/>
      <c r="H715" s="120"/>
      <c r="I715" s="120"/>
      <c r="J715" s="120"/>
      <c r="K715" s="120"/>
    </row>
    <row r="716">
      <c r="A716" s="120"/>
      <c r="B716" s="120"/>
      <c r="C716" s="120"/>
      <c r="D716" s="120"/>
      <c r="E716" s="120"/>
      <c r="F716" s="120"/>
      <c r="G716" s="120"/>
      <c r="H716" s="120"/>
      <c r="I716" s="120"/>
      <c r="J716" s="120"/>
      <c r="K716" s="120"/>
    </row>
    <row r="717">
      <c r="A717" s="120"/>
      <c r="B717" s="120"/>
      <c r="C717" s="120"/>
      <c r="D717" s="120"/>
      <c r="E717" s="120"/>
      <c r="F717" s="120"/>
      <c r="G717" s="120"/>
      <c r="H717" s="120"/>
      <c r="I717" s="120"/>
      <c r="J717" s="120"/>
      <c r="K717" s="120"/>
    </row>
    <row r="718">
      <c r="A718" s="120"/>
      <c r="B718" s="120"/>
      <c r="C718" s="120"/>
      <c r="D718" s="120"/>
      <c r="E718" s="120"/>
      <c r="F718" s="120"/>
      <c r="G718" s="120"/>
      <c r="H718" s="120"/>
      <c r="I718" s="120"/>
      <c r="J718" s="120"/>
      <c r="K718" s="120"/>
    </row>
    <row r="719">
      <c r="A719" s="120"/>
      <c r="B719" s="120"/>
      <c r="C719" s="120"/>
      <c r="D719" s="120"/>
      <c r="E719" s="120"/>
      <c r="F719" s="120"/>
      <c r="G719" s="120"/>
      <c r="H719" s="120"/>
      <c r="I719" s="120"/>
      <c r="J719" s="120"/>
      <c r="K719" s="120"/>
    </row>
    <row r="720">
      <c r="A720" s="120"/>
      <c r="B720" s="120"/>
      <c r="C720" s="120"/>
      <c r="D720" s="120"/>
      <c r="E720" s="120"/>
      <c r="F720" s="120"/>
      <c r="G720" s="120"/>
      <c r="H720" s="120"/>
      <c r="I720" s="120"/>
      <c r="J720" s="120"/>
      <c r="K720" s="120"/>
    </row>
    <row r="721">
      <c r="A721" s="120"/>
      <c r="B721" s="120"/>
      <c r="C721" s="120"/>
      <c r="D721" s="120"/>
      <c r="E721" s="120"/>
      <c r="F721" s="120"/>
      <c r="G721" s="120"/>
      <c r="H721" s="120"/>
      <c r="I721" s="120"/>
      <c r="J721" s="120"/>
      <c r="K721" s="120"/>
    </row>
    <row r="722">
      <c r="A722" s="120"/>
      <c r="B722" s="120"/>
      <c r="C722" s="120"/>
      <c r="D722" s="120"/>
      <c r="E722" s="120"/>
      <c r="F722" s="120"/>
      <c r="G722" s="120"/>
      <c r="H722" s="120"/>
      <c r="I722" s="120"/>
      <c r="J722" s="120"/>
      <c r="K722" s="120"/>
    </row>
    <row r="723">
      <c r="A723" s="120"/>
      <c r="B723" s="120"/>
      <c r="C723" s="120"/>
      <c r="D723" s="120"/>
      <c r="E723" s="120"/>
      <c r="F723" s="120"/>
      <c r="G723" s="120"/>
      <c r="H723" s="120"/>
      <c r="I723" s="120"/>
      <c r="J723" s="120"/>
      <c r="K723" s="120"/>
    </row>
    <row r="724">
      <c r="A724" s="120"/>
      <c r="B724" s="120"/>
      <c r="C724" s="120"/>
      <c r="D724" s="120"/>
      <c r="E724" s="120"/>
      <c r="F724" s="120"/>
      <c r="G724" s="120"/>
      <c r="H724" s="120"/>
      <c r="I724" s="120"/>
      <c r="J724" s="120"/>
      <c r="K724" s="120"/>
    </row>
    <row r="725">
      <c r="A725" s="120"/>
      <c r="B725" s="120"/>
      <c r="C725" s="120"/>
      <c r="D725" s="120"/>
      <c r="E725" s="120"/>
      <c r="F725" s="120"/>
      <c r="G725" s="120"/>
      <c r="H725" s="120"/>
      <c r="I725" s="120"/>
      <c r="J725" s="120"/>
      <c r="K725" s="120"/>
    </row>
    <row r="726">
      <c r="A726" s="120"/>
      <c r="B726" s="120"/>
      <c r="C726" s="120"/>
      <c r="D726" s="120"/>
      <c r="E726" s="120"/>
      <c r="F726" s="120"/>
      <c r="G726" s="120"/>
      <c r="H726" s="120"/>
      <c r="I726" s="120"/>
      <c r="J726" s="120"/>
      <c r="K726" s="120"/>
    </row>
    <row r="727">
      <c r="A727" s="120"/>
      <c r="B727" s="120"/>
      <c r="C727" s="120"/>
      <c r="D727" s="120"/>
      <c r="E727" s="120"/>
      <c r="F727" s="120"/>
      <c r="G727" s="120"/>
      <c r="H727" s="120"/>
      <c r="I727" s="120"/>
      <c r="J727" s="120"/>
      <c r="K727" s="120"/>
    </row>
    <row r="728">
      <c r="A728" s="120"/>
      <c r="B728" s="120"/>
      <c r="C728" s="120"/>
      <c r="D728" s="120"/>
      <c r="E728" s="120"/>
      <c r="F728" s="120"/>
      <c r="G728" s="120"/>
      <c r="H728" s="120"/>
      <c r="I728" s="120"/>
      <c r="J728" s="120"/>
      <c r="K728" s="120"/>
    </row>
    <row r="729">
      <c r="A729" s="120"/>
      <c r="B729" s="120"/>
      <c r="C729" s="120"/>
      <c r="D729" s="120"/>
      <c r="E729" s="120"/>
      <c r="F729" s="120"/>
      <c r="G729" s="120"/>
      <c r="H729" s="120"/>
      <c r="I729" s="120"/>
      <c r="J729" s="120"/>
      <c r="K729" s="120"/>
    </row>
    <row r="730">
      <c r="A730" s="120"/>
      <c r="B730" s="120"/>
      <c r="C730" s="120"/>
      <c r="D730" s="120"/>
      <c r="E730" s="120"/>
      <c r="F730" s="120"/>
      <c r="G730" s="120"/>
      <c r="H730" s="120"/>
      <c r="I730" s="120"/>
      <c r="J730" s="120"/>
      <c r="K730" s="120"/>
    </row>
    <row r="731">
      <c r="A731" s="120"/>
      <c r="B731" s="120"/>
      <c r="C731" s="120"/>
      <c r="D731" s="120"/>
      <c r="E731" s="120"/>
      <c r="F731" s="120"/>
      <c r="G731" s="120"/>
      <c r="H731" s="120"/>
      <c r="I731" s="120"/>
      <c r="J731" s="120"/>
      <c r="K731" s="120"/>
    </row>
    <row r="732">
      <c r="A732" s="120"/>
      <c r="B732" s="120"/>
      <c r="C732" s="120"/>
      <c r="D732" s="120"/>
      <c r="E732" s="120"/>
      <c r="F732" s="120"/>
      <c r="G732" s="120"/>
      <c r="H732" s="120"/>
      <c r="I732" s="120"/>
      <c r="J732" s="120"/>
      <c r="K732" s="120"/>
    </row>
    <row r="733">
      <c r="A733" s="120"/>
      <c r="B733" s="120"/>
      <c r="C733" s="120"/>
      <c r="D733" s="120"/>
      <c r="E733" s="120"/>
      <c r="F733" s="120"/>
      <c r="G733" s="120"/>
      <c r="H733" s="120"/>
      <c r="I733" s="120"/>
      <c r="J733" s="120"/>
      <c r="K733" s="120"/>
    </row>
    <row r="734">
      <c r="A734" s="120"/>
      <c r="B734" s="120"/>
      <c r="C734" s="120"/>
      <c r="D734" s="120"/>
      <c r="E734" s="120"/>
      <c r="F734" s="120"/>
      <c r="G734" s="120"/>
      <c r="H734" s="120"/>
      <c r="I734" s="120"/>
      <c r="J734" s="120"/>
      <c r="K734" s="120"/>
    </row>
    <row r="735">
      <c r="A735" s="120"/>
      <c r="B735" s="120"/>
      <c r="C735" s="120"/>
      <c r="D735" s="120"/>
      <c r="E735" s="120"/>
      <c r="F735" s="120"/>
      <c r="G735" s="120"/>
      <c r="H735" s="120"/>
      <c r="I735" s="120"/>
      <c r="J735" s="120"/>
      <c r="K735" s="120"/>
    </row>
    <row r="736">
      <c r="A736" s="120"/>
      <c r="B736" s="120"/>
      <c r="C736" s="120"/>
      <c r="D736" s="120"/>
      <c r="E736" s="120"/>
      <c r="F736" s="120"/>
      <c r="G736" s="120"/>
      <c r="H736" s="120"/>
      <c r="I736" s="120"/>
      <c r="J736" s="120"/>
      <c r="K736" s="120"/>
    </row>
    <row r="737">
      <c r="A737" s="120"/>
      <c r="B737" s="120"/>
      <c r="C737" s="120"/>
      <c r="D737" s="120"/>
      <c r="E737" s="120"/>
      <c r="F737" s="120"/>
      <c r="G737" s="120"/>
      <c r="H737" s="120"/>
      <c r="I737" s="120"/>
      <c r="J737" s="120"/>
      <c r="K737" s="120"/>
    </row>
    <row r="738">
      <c r="A738" s="120"/>
      <c r="B738" s="120"/>
      <c r="C738" s="120"/>
      <c r="D738" s="120"/>
      <c r="E738" s="120"/>
      <c r="F738" s="120"/>
      <c r="G738" s="120"/>
      <c r="H738" s="120"/>
      <c r="I738" s="120"/>
      <c r="J738" s="120"/>
      <c r="K738" s="120"/>
    </row>
    <row r="739">
      <c r="A739" s="120"/>
      <c r="B739" s="120"/>
      <c r="C739" s="120"/>
      <c r="D739" s="120"/>
      <c r="E739" s="120"/>
      <c r="F739" s="120"/>
      <c r="G739" s="120"/>
      <c r="H739" s="120"/>
      <c r="I739" s="120"/>
      <c r="J739" s="120"/>
      <c r="K739" s="120"/>
    </row>
    <row r="740">
      <c r="A740" s="120"/>
      <c r="B740" s="120"/>
      <c r="C740" s="120"/>
      <c r="D740" s="120"/>
      <c r="E740" s="120"/>
      <c r="F740" s="120"/>
      <c r="G740" s="120"/>
      <c r="H740" s="120"/>
      <c r="I740" s="120"/>
      <c r="J740" s="120"/>
      <c r="K740" s="120"/>
    </row>
    <row r="741">
      <c r="A741" s="120"/>
      <c r="B741" s="120"/>
      <c r="C741" s="120"/>
      <c r="D741" s="120"/>
      <c r="E741" s="120"/>
      <c r="F741" s="120"/>
      <c r="G741" s="120"/>
      <c r="H741" s="120"/>
      <c r="I741" s="120"/>
      <c r="J741" s="120"/>
      <c r="K741" s="120"/>
    </row>
    <row r="742">
      <c r="A742" s="120"/>
      <c r="B742" s="120"/>
      <c r="C742" s="120"/>
      <c r="D742" s="120"/>
      <c r="E742" s="120"/>
      <c r="F742" s="120"/>
      <c r="G742" s="120"/>
      <c r="H742" s="120"/>
      <c r="I742" s="120"/>
      <c r="J742" s="120"/>
      <c r="K742" s="120"/>
    </row>
    <row r="743">
      <c r="A743" s="120"/>
      <c r="B743" s="120"/>
      <c r="C743" s="120"/>
      <c r="D743" s="120"/>
      <c r="E743" s="120"/>
      <c r="F743" s="120"/>
      <c r="G743" s="120"/>
      <c r="H743" s="120"/>
      <c r="I743" s="120"/>
      <c r="J743" s="120"/>
      <c r="K743" s="120"/>
    </row>
    <row r="744">
      <c r="A744" s="120"/>
      <c r="B744" s="120"/>
      <c r="C744" s="120"/>
      <c r="D744" s="120"/>
      <c r="E744" s="120"/>
      <c r="F744" s="120"/>
      <c r="G744" s="120"/>
      <c r="H744" s="120"/>
      <c r="I744" s="120"/>
      <c r="J744" s="120"/>
      <c r="K744" s="120"/>
    </row>
    <row r="745">
      <c r="A745" s="120"/>
      <c r="B745" s="120"/>
      <c r="C745" s="120"/>
      <c r="D745" s="120"/>
      <c r="E745" s="120"/>
      <c r="F745" s="120"/>
      <c r="G745" s="120"/>
      <c r="H745" s="120"/>
      <c r="I745" s="120"/>
      <c r="J745" s="120"/>
      <c r="K745" s="120"/>
    </row>
    <row r="746">
      <c r="A746" s="120"/>
      <c r="B746" s="120"/>
      <c r="C746" s="120"/>
      <c r="D746" s="120"/>
      <c r="E746" s="120"/>
      <c r="F746" s="120"/>
      <c r="G746" s="120"/>
      <c r="H746" s="120"/>
      <c r="I746" s="120"/>
      <c r="J746" s="120"/>
      <c r="K746" s="120"/>
    </row>
    <row r="747">
      <c r="A747" s="120"/>
      <c r="B747" s="120"/>
      <c r="C747" s="120"/>
      <c r="D747" s="120"/>
      <c r="E747" s="120"/>
      <c r="F747" s="120"/>
      <c r="G747" s="120"/>
      <c r="H747" s="120"/>
      <c r="I747" s="120"/>
      <c r="J747" s="120"/>
      <c r="K747" s="120"/>
    </row>
    <row r="748">
      <c r="A748" s="120"/>
      <c r="B748" s="120"/>
      <c r="C748" s="120"/>
      <c r="D748" s="120"/>
      <c r="E748" s="120"/>
      <c r="F748" s="120"/>
      <c r="G748" s="120"/>
      <c r="H748" s="120"/>
      <c r="I748" s="120"/>
      <c r="J748" s="120"/>
      <c r="K748" s="120"/>
    </row>
    <row r="749">
      <c r="A749" s="120"/>
      <c r="B749" s="120"/>
      <c r="C749" s="120"/>
      <c r="D749" s="120"/>
      <c r="E749" s="120"/>
      <c r="F749" s="120"/>
      <c r="G749" s="120"/>
      <c r="H749" s="120"/>
      <c r="I749" s="120"/>
      <c r="J749" s="120"/>
      <c r="K749" s="120"/>
    </row>
    <row r="750">
      <c r="A750" s="120"/>
      <c r="B750" s="120"/>
      <c r="C750" s="120"/>
      <c r="D750" s="120"/>
      <c r="E750" s="120"/>
      <c r="F750" s="120"/>
      <c r="G750" s="120"/>
      <c r="H750" s="120"/>
      <c r="I750" s="120"/>
      <c r="J750" s="120"/>
      <c r="K750" s="120"/>
    </row>
    <row r="751">
      <c r="A751" s="120"/>
      <c r="B751" s="120"/>
      <c r="C751" s="120"/>
      <c r="D751" s="120"/>
      <c r="E751" s="120"/>
      <c r="F751" s="120"/>
      <c r="G751" s="120"/>
      <c r="H751" s="120"/>
      <c r="I751" s="120"/>
      <c r="J751" s="120"/>
      <c r="K751" s="120"/>
    </row>
    <row r="752">
      <c r="A752" s="120"/>
      <c r="B752" s="120"/>
      <c r="C752" s="120"/>
      <c r="D752" s="120"/>
      <c r="E752" s="120"/>
      <c r="F752" s="120"/>
      <c r="G752" s="120"/>
      <c r="H752" s="120"/>
      <c r="I752" s="120"/>
      <c r="J752" s="120"/>
      <c r="K752" s="120"/>
    </row>
    <row r="753">
      <c r="A753" s="120"/>
      <c r="B753" s="120"/>
      <c r="C753" s="120"/>
      <c r="D753" s="120"/>
      <c r="E753" s="120"/>
      <c r="F753" s="120"/>
      <c r="G753" s="120"/>
      <c r="H753" s="120"/>
      <c r="I753" s="120"/>
      <c r="J753" s="120"/>
      <c r="K753" s="120"/>
    </row>
    <row r="754">
      <c r="A754" s="120"/>
      <c r="B754" s="120"/>
      <c r="C754" s="120"/>
      <c r="D754" s="120"/>
      <c r="E754" s="120"/>
      <c r="F754" s="120"/>
      <c r="G754" s="120"/>
      <c r="H754" s="120"/>
      <c r="I754" s="120"/>
      <c r="J754" s="120"/>
      <c r="K754" s="120"/>
    </row>
    <row r="755">
      <c r="A755" s="120"/>
      <c r="B755" s="120"/>
      <c r="C755" s="120"/>
      <c r="D755" s="120"/>
      <c r="E755" s="120"/>
      <c r="F755" s="120"/>
      <c r="G755" s="120"/>
      <c r="H755" s="120"/>
      <c r="I755" s="120"/>
      <c r="J755" s="120"/>
      <c r="K755" s="120"/>
    </row>
    <row r="756">
      <c r="A756" s="120"/>
      <c r="B756" s="120"/>
      <c r="C756" s="120"/>
      <c r="D756" s="120"/>
      <c r="E756" s="120"/>
      <c r="F756" s="120"/>
      <c r="G756" s="120"/>
      <c r="H756" s="120"/>
      <c r="I756" s="120"/>
      <c r="J756" s="120"/>
      <c r="K756" s="120"/>
    </row>
    <row r="757">
      <c r="A757" s="120"/>
      <c r="B757" s="120"/>
      <c r="C757" s="120"/>
      <c r="D757" s="120"/>
      <c r="E757" s="120"/>
      <c r="F757" s="120"/>
      <c r="G757" s="120"/>
      <c r="H757" s="120"/>
      <c r="I757" s="120"/>
      <c r="J757" s="120"/>
      <c r="K757" s="120"/>
    </row>
    <row r="758">
      <c r="A758" s="120"/>
      <c r="B758" s="120"/>
      <c r="C758" s="120"/>
      <c r="D758" s="120"/>
      <c r="E758" s="120"/>
      <c r="F758" s="120"/>
      <c r="G758" s="120"/>
      <c r="H758" s="120"/>
      <c r="I758" s="120"/>
      <c r="J758" s="120"/>
      <c r="K758" s="120"/>
    </row>
    <row r="759">
      <c r="A759" s="120"/>
      <c r="B759" s="120"/>
      <c r="C759" s="120"/>
      <c r="D759" s="120"/>
      <c r="E759" s="120"/>
      <c r="F759" s="120"/>
      <c r="G759" s="120"/>
      <c r="H759" s="120"/>
      <c r="I759" s="120"/>
      <c r="J759" s="120"/>
      <c r="K759" s="120"/>
    </row>
    <row r="760">
      <c r="A760" s="120"/>
      <c r="B760" s="120"/>
      <c r="C760" s="120"/>
      <c r="D760" s="120"/>
      <c r="E760" s="120"/>
      <c r="F760" s="120"/>
      <c r="G760" s="120"/>
      <c r="H760" s="120"/>
      <c r="I760" s="120"/>
      <c r="J760" s="120"/>
      <c r="K760" s="120"/>
    </row>
    <row r="761">
      <c r="A761" s="120"/>
      <c r="B761" s="120"/>
      <c r="C761" s="120"/>
      <c r="D761" s="120"/>
      <c r="E761" s="120"/>
      <c r="F761" s="120"/>
      <c r="G761" s="120"/>
      <c r="H761" s="120"/>
      <c r="I761" s="120"/>
      <c r="J761" s="120"/>
      <c r="K761" s="120"/>
    </row>
    <row r="762">
      <c r="A762" s="120"/>
      <c r="B762" s="120"/>
      <c r="C762" s="120"/>
      <c r="D762" s="120"/>
      <c r="E762" s="120"/>
      <c r="F762" s="120"/>
      <c r="G762" s="120"/>
      <c r="H762" s="120"/>
      <c r="I762" s="120"/>
      <c r="J762" s="120"/>
      <c r="K762" s="120"/>
    </row>
    <row r="763">
      <c r="A763" s="120"/>
      <c r="B763" s="120"/>
      <c r="C763" s="120"/>
      <c r="D763" s="120"/>
      <c r="E763" s="120"/>
      <c r="F763" s="120"/>
      <c r="G763" s="120"/>
      <c r="H763" s="120"/>
      <c r="I763" s="120"/>
      <c r="J763" s="120"/>
      <c r="K763" s="120"/>
    </row>
    <row r="764">
      <c r="A764" s="120"/>
      <c r="B764" s="120"/>
      <c r="C764" s="120"/>
      <c r="D764" s="120"/>
      <c r="E764" s="120"/>
      <c r="F764" s="120"/>
      <c r="G764" s="120"/>
      <c r="H764" s="120"/>
      <c r="I764" s="120"/>
      <c r="J764" s="120"/>
      <c r="K764" s="120"/>
    </row>
    <row r="765">
      <c r="A765" s="120"/>
      <c r="B765" s="120"/>
      <c r="C765" s="120"/>
      <c r="D765" s="120"/>
      <c r="E765" s="120"/>
      <c r="F765" s="120"/>
      <c r="G765" s="120"/>
      <c r="H765" s="120"/>
      <c r="I765" s="120"/>
      <c r="J765" s="120"/>
      <c r="K765" s="120"/>
    </row>
    <row r="766">
      <c r="A766" s="120"/>
      <c r="B766" s="120"/>
      <c r="C766" s="120"/>
      <c r="D766" s="120"/>
      <c r="E766" s="120"/>
      <c r="F766" s="120"/>
      <c r="G766" s="120"/>
      <c r="H766" s="120"/>
      <c r="I766" s="120"/>
      <c r="J766" s="120"/>
      <c r="K766" s="120"/>
    </row>
    <row r="767">
      <c r="A767" s="120"/>
      <c r="B767" s="120"/>
      <c r="C767" s="120"/>
      <c r="D767" s="120"/>
      <c r="E767" s="120"/>
      <c r="F767" s="120"/>
      <c r="G767" s="120"/>
      <c r="H767" s="120"/>
      <c r="I767" s="120"/>
      <c r="J767" s="120"/>
      <c r="K767" s="120"/>
    </row>
    <row r="768">
      <c r="A768" s="120"/>
      <c r="B768" s="120"/>
      <c r="C768" s="120"/>
      <c r="D768" s="120"/>
      <c r="E768" s="120"/>
      <c r="F768" s="120"/>
      <c r="G768" s="120"/>
      <c r="H768" s="120"/>
      <c r="I768" s="120"/>
      <c r="J768" s="120"/>
      <c r="K768" s="120"/>
    </row>
    <row r="769">
      <c r="A769" s="120"/>
      <c r="B769" s="120"/>
      <c r="C769" s="120"/>
      <c r="D769" s="120"/>
      <c r="E769" s="120"/>
      <c r="F769" s="120"/>
      <c r="G769" s="120"/>
      <c r="H769" s="120"/>
      <c r="I769" s="120"/>
      <c r="J769" s="120"/>
      <c r="K769" s="120"/>
    </row>
    <row r="770">
      <c r="A770" s="120"/>
      <c r="B770" s="120"/>
      <c r="C770" s="120"/>
      <c r="D770" s="120"/>
      <c r="E770" s="120"/>
      <c r="F770" s="120"/>
      <c r="G770" s="120"/>
      <c r="H770" s="120"/>
      <c r="I770" s="120"/>
      <c r="J770" s="120"/>
      <c r="K770" s="120"/>
    </row>
    <row r="771">
      <c r="A771" s="120"/>
      <c r="B771" s="120"/>
      <c r="C771" s="120"/>
      <c r="D771" s="120"/>
      <c r="E771" s="120"/>
      <c r="F771" s="120"/>
      <c r="G771" s="120"/>
      <c r="H771" s="120"/>
      <c r="I771" s="120"/>
      <c r="J771" s="120"/>
      <c r="K771" s="120"/>
    </row>
    <row r="772">
      <c r="A772" s="120"/>
      <c r="B772" s="120"/>
      <c r="C772" s="120"/>
      <c r="D772" s="120"/>
      <c r="E772" s="120"/>
      <c r="F772" s="120"/>
      <c r="G772" s="120"/>
      <c r="H772" s="120"/>
      <c r="I772" s="120"/>
      <c r="J772" s="120"/>
      <c r="K772" s="120"/>
    </row>
    <row r="773">
      <c r="A773" s="120"/>
      <c r="B773" s="120"/>
      <c r="C773" s="120"/>
      <c r="D773" s="120"/>
      <c r="E773" s="120"/>
      <c r="F773" s="120"/>
      <c r="G773" s="120"/>
      <c r="H773" s="120"/>
      <c r="I773" s="120"/>
      <c r="J773" s="120"/>
      <c r="K773" s="120"/>
    </row>
    <row r="774">
      <c r="A774" s="120"/>
      <c r="B774" s="120"/>
      <c r="C774" s="120"/>
      <c r="D774" s="120"/>
      <c r="E774" s="120"/>
      <c r="F774" s="120"/>
      <c r="G774" s="120"/>
      <c r="H774" s="120"/>
      <c r="I774" s="120"/>
      <c r="J774" s="120"/>
      <c r="K774" s="120"/>
    </row>
    <row r="775">
      <c r="A775" s="120"/>
      <c r="B775" s="120"/>
      <c r="C775" s="120"/>
      <c r="D775" s="120"/>
      <c r="E775" s="120"/>
      <c r="F775" s="120"/>
      <c r="G775" s="120"/>
      <c r="H775" s="120"/>
      <c r="I775" s="120"/>
      <c r="J775" s="120"/>
      <c r="K775" s="120"/>
    </row>
    <row r="776">
      <c r="A776" s="120"/>
      <c r="B776" s="120"/>
      <c r="C776" s="120"/>
      <c r="D776" s="120"/>
      <c r="E776" s="120"/>
      <c r="F776" s="120"/>
      <c r="G776" s="120"/>
      <c r="H776" s="120"/>
      <c r="I776" s="120"/>
      <c r="J776" s="120"/>
      <c r="K776" s="120"/>
    </row>
    <row r="777">
      <c r="A777" s="120"/>
      <c r="B777" s="120"/>
      <c r="C777" s="120"/>
      <c r="D777" s="120"/>
      <c r="E777" s="120"/>
      <c r="F777" s="120"/>
      <c r="G777" s="120"/>
      <c r="H777" s="120"/>
      <c r="I777" s="120"/>
      <c r="J777" s="120"/>
      <c r="K777" s="120"/>
    </row>
    <row r="778">
      <c r="A778" s="120"/>
      <c r="B778" s="120"/>
      <c r="C778" s="120"/>
      <c r="D778" s="120"/>
      <c r="E778" s="120"/>
      <c r="F778" s="120"/>
      <c r="G778" s="120"/>
      <c r="H778" s="120"/>
      <c r="I778" s="120"/>
      <c r="J778" s="120"/>
      <c r="K778" s="120"/>
    </row>
    <row r="779">
      <c r="A779" s="120"/>
      <c r="B779" s="120"/>
      <c r="C779" s="120"/>
      <c r="D779" s="120"/>
      <c r="E779" s="120"/>
      <c r="F779" s="120"/>
      <c r="G779" s="120"/>
      <c r="H779" s="120"/>
      <c r="I779" s="120"/>
      <c r="J779" s="120"/>
      <c r="K779" s="120"/>
    </row>
    <row r="780">
      <c r="A780" s="120"/>
      <c r="B780" s="120"/>
      <c r="C780" s="120"/>
      <c r="D780" s="120"/>
      <c r="E780" s="120"/>
      <c r="F780" s="120"/>
      <c r="G780" s="120"/>
      <c r="H780" s="120"/>
      <c r="I780" s="120"/>
      <c r="J780" s="120"/>
      <c r="K780" s="120"/>
    </row>
    <row r="781">
      <c r="A781" s="120"/>
      <c r="B781" s="120"/>
      <c r="C781" s="120"/>
      <c r="D781" s="120"/>
      <c r="E781" s="120"/>
      <c r="F781" s="120"/>
      <c r="G781" s="120"/>
      <c r="H781" s="120"/>
      <c r="I781" s="120"/>
      <c r="J781" s="120"/>
      <c r="K781" s="120"/>
    </row>
    <row r="782">
      <c r="A782" s="120"/>
      <c r="B782" s="120"/>
      <c r="C782" s="120"/>
      <c r="D782" s="120"/>
      <c r="E782" s="120"/>
      <c r="F782" s="120"/>
      <c r="G782" s="120"/>
      <c r="H782" s="120"/>
      <c r="I782" s="120"/>
      <c r="J782" s="120"/>
      <c r="K782" s="120"/>
    </row>
    <row r="783">
      <c r="A783" s="120"/>
      <c r="B783" s="120"/>
      <c r="C783" s="120"/>
      <c r="D783" s="120"/>
      <c r="E783" s="120"/>
      <c r="F783" s="120"/>
      <c r="G783" s="120"/>
      <c r="H783" s="120"/>
      <c r="I783" s="120"/>
      <c r="J783" s="120"/>
      <c r="K783" s="120"/>
    </row>
    <row r="784">
      <c r="A784" s="120"/>
      <c r="B784" s="120"/>
      <c r="C784" s="120"/>
      <c r="D784" s="120"/>
      <c r="E784" s="120"/>
      <c r="F784" s="120"/>
      <c r="G784" s="120"/>
      <c r="H784" s="120"/>
      <c r="I784" s="120"/>
      <c r="J784" s="120"/>
      <c r="K784" s="120"/>
    </row>
    <row r="785">
      <c r="A785" s="120"/>
      <c r="B785" s="120"/>
      <c r="C785" s="120"/>
      <c r="D785" s="120"/>
      <c r="E785" s="120"/>
      <c r="F785" s="120"/>
      <c r="G785" s="120"/>
      <c r="H785" s="120"/>
      <c r="I785" s="120"/>
      <c r="J785" s="120"/>
      <c r="K785" s="120"/>
    </row>
    <row r="786">
      <c r="A786" s="120"/>
      <c r="B786" s="120"/>
      <c r="C786" s="120"/>
      <c r="D786" s="120"/>
      <c r="E786" s="120"/>
      <c r="F786" s="120"/>
      <c r="G786" s="120"/>
      <c r="H786" s="120"/>
      <c r="I786" s="120"/>
      <c r="J786" s="120"/>
      <c r="K786" s="120"/>
    </row>
    <row r="787">
      <c r="A787" s="120"/>
      <c r="B787" s="120"/>
      <c r="C787" s="120"/>
      <c r="D787" s="120"/>
      <c r="E787" s="120"/>
      <c r="F787" s="120"/>
      <c r="G787" s="120"/>
      <c r="H787" s="120"/>
      <c r="I787" s="120"/>
      <c r="J787" s="120"/>
      <c r="K787" s="120"/>
    </row>
    <row r="788">
      <c r="A788" s="120"/>
      <c r="B788" s="120"/>
      <c r="C788" s="120"/>
      <c r="D788" s="120"/>
      <c r="E788" s="120"/>
      <c r="F788" s="120"/>
      <c r="G788" s="120"/>
      <c r="H788" s="120"/>
      <c r="I788" s="120"/>
      <c r="J788" s="120"/>
      <c r="K788" s="120"/>
    </row>
    <row r="789">
      <c r="A789" s="120"/>
      <c r="B789" s="120"/>
      <c r="C789" s="120"/>
      <c r="D789" s="120"/>
      <c r="E789" s="120"/>
      <c r="F789" s="120"/>
      <c r="G789" s="120"/>
      <c r="H789" s="120"/>
      <c r="I789" s="120"/>
      <c r="J789" s="120"/>
      <c r="K789" s="120"/>
    </row>
    <row r="790">
      <c r="A790" s="120"/>
      <c r="B790" s="120"/>
      <c r="C790" s="120"/>
      <c r="D790" s="120"/>
      <c r="E790" s="120"/>
      <c r="F790" s="120"/>
      <c r="G790" s="120"/>
      <c r="H790" s="120"/>
      <c r="I790" s="120"/>
      <c r="J790" s="120"/>
      <c r="K790" s="120"/>
    </row>
    <row r="791">
      <c r="A791" s="120"/>
      <c r="B791" s="120"/>
      <c r="C791" s="120"/>
      <c r="D791" s="120"/>
      <c r="E791" s="120"/>
      <c r="F791" s="120"/>
      <c r="G791" s="120"/>
      <c r="H791" s="120"/>
      <c r="I791" s="120"/>
      <c r="J791" s="120"/>
      <c r="K791" s="120"/>
    </row>
    <row r="792">
      <c r="A792" s="120"/>
      <c r="B792" s="120"/>
      <c r="C792" s="120"/>
      <c r="D792" s="120"/>
      <c r="E792" s="120"/>
      <c r="F792" s="120"/>
      <c r="G792" s="120"/>
      <c r="H792" s="120"/>
      <c r="I792" s="120"/>
      <c r="J792" s="120"/>
      <c r="K792" s="120"/>
    </row>
    <row r="793">
      <c r="A793" s="120"/>
      <c r="B793" s="120"/>
      <c r="C793" s="120"/>
      <c r="D793" s="120"/>
      <c r="E793" s="120"/>
      <c r="F793" s="120"/>
      <c r="G793" s="120"/>
      <c r="H793" s="120"/>
      <c r="I793" s="120"/>
      <c r="J793" s="120"/>
      <c r="K793" s="120"/>
    </row>
    <row r="794">
      <c r="A794" s="120"/>
      <c r="B794" s="120"/>
      <c r="C794" s="120"/>
      <c r="D794" s="120"/>
      <c r="E794" s="120"/>
      <c r="F794" s="120"/>
      <c r="G794" s="120"/>
      <c r="H794" s="120"/>
      <c r="I794" s="120"/>
      <c r="J794" s="120"/>
      <c r="K794" s="120"/>
    </row>
    <row r="795">
      <c r="A795" s="120"/>
      <c r="B795" s="120"/>
      <c r="C795" s="120"/>
      <c r="D795" s="120"/>
      <c r="E795" s="120"/>
      <c r="F795" s="120"/>
      <c r="G795" s="120"/>
      <c r="H795" s="120"/>
      <c r="I795" s="120"/>
      <c r="J795" s="120"/>
      <c r="K795" s="120"/>
    </row>
    <row r="796">
      <c r="A796" s="120"/>
      <c r="B796" s="120"/>
      <c r="C796" s="120"/>
      <c r="D796" s="120"/>
      <c r="E796" s="120"/>
      <c r="F796" s="120"/>
      <c r="G796" s="120"/>
      <c r="H796" s="120"/>
      <c r="I796" s="120"/>
      <c r="J796" s="120"/>
      <c r="K796" s="120"/>
    </row>
    <row r="797">
      <c r="A797" s="120"/>
      <c r="B797" s="120"/>
      <c r="C797" s="120"/>
      <c r="D797" s="120"/>
      <c r="E797" s="120"/>
      <c r="F797" s="120"/>
      <c r="G797" s="120"/>
      <c r="H797" s="120"/>
      <c r="I797" s="120"/>
      <c r="J797" s="120"/>
      <c r="K797" s="120"/>
    </row>
    <row r="798">
      <c r="A798" s="120"/>
      <c r="B798" s="120"/>
      <c r="C798" s="120"/>
      <c r="D798" s="120"/>
      <c r="E798" s="120"/>
      <c r="F798" s="120"/>
      <c r="G798" s="120"/>
      <c r="H798" s="120"/>
      <c r="I798" s="120"/>
      <c r="J798" s="120"/>
      <c r="K798" s="120"/>
    </row>
    <row r="799">
      <c r="A799" s="120"/>
      <c r="B799" s="120"/>
      <c r="C799" s="120"/>
      <c r="D799" s="120"/>
      <c r="E799" s="120"/>
      <c r="F799" s="120"/>
      <c r="G799" s="120"/>
      <c r="H799" s="120"/>
      <c r="I799" s="120"/>
      <c r="J799" s="120"/>
      <c r="K799" s="120"/>
    </row>
    <row r="800">
      <c r="A800" s="120"/>
      <c r="B800" s="120"/>
      <c r="C800" s="120"/>
      <c r="D800" s="120"/>
      <c r="E800" s="120"/>
      <c r="F800" s="120"/>
      <c r="G800" s="120"/>
      <c r="H800" s="120"/>
      <c r="I800" s="120"/>
      <c r="J800" s="120"/>
      <c r="K800" s="120"/>
    </row>
    <row r="801">
      <c r="A801" s="120"/>
      <c r="B801" s="120"/>
      <c r="C801" s="120"/>
      <c r="D801" s="120"/>
      <c r="E801" s="120"/>
      <c r="F801" s="120"/>
      <c r="G801" s="120"/>
      <c r="H801" s="120"/>
      <c r="I801" s="120"/>
      <c r="J801" s="120"/>
      <c r="K801" s="120"/>
    </row>
    <row r="802">
      <c r="A802" s="120"/>
      <c r="B802" s="120"/>
      <c r="C802" s="120"/>
      <c r="D802" s="120"/>
      <c r="E802" s="120"/>
      <c r="F802" s="120"/>
      <c r="G802" s="120"/>
      <c r="H802" s="120"/>
      <c r="I802" s="120"/>
      <c r="J802" s="120"/>
      <c r="K802" s="120"/>
    </row>
    <row r="803">
      <c r="A803" s="120"/>
      <c r="B803" s="120"/>
      <c r="C803" s="120"/>
      <c r="D803" s="120"/>
      <c r="E803" s="120"/>
      <c r="F803" s="120"/>
      <c r="G803" s="120"/>
      <c r="H803" s="120"/>
      <c r="I803" s="120"/>
      <c r="J803" s="120"/>
      <c r="K803" s="120"/>
    </row>
    <row r="804">
      <c r="A804" s="120"/>
      <c r="B804" s="120"/>
      <c r="C804" s="120"/>
      <c r="D804" s="120"/>
      <c r="E804" s="120"/>
      <c r="F804" s="120"/>
      <c r="G804" s="120"/>
      <c r="H804" s="120"/>
      <c r="I804" s="120"/>
      <c r="J804" s="120"/>
      <c r="K804" s="120"/>
    </row>
    <row r="805">
      <c r="A805" s="120"/>
      <c r="B805" s="120"/>
      <c r="C805" s="120"/>
      <c r="D805" s="120"/>
      <c r="E805" s="120"/>
      <c r="F805" s="120"/>
      <c r="G805" s="120"/>
      <c r="H805" s="120"/>
      <c r="I805" s="120"/>
      <c r="J805" s="120"/>
      <c r="K805" s="120"/>
    </row>
    <row r="806">
      <c r="A806" s="120"/>
      <c r="B806" s="120"/>
      <c r="C806" s="120"/>
      <c r="D806" s="120"/>
      <c r="E806" s="120"/>
      <c r="F806" s="120"/>
      <c r="G806" s="120"/>
      <c r="H806" s="120"/>
      <c r="I806" s="120"/>
      <c r="J806" s="120"/>
      <c r="K806" s="120"/>
    </row>
    <row r="807">
      <c r="A807" s="120"/>
      <c r="B807" s="120"/>
      <c r="C807" s="120"/>
      <c r="D807" s="120"/>
      <c r="E807" s="120"/>
      <c r="F807" s="120"/>
      <c r="G807" s="120"/>
      <c r="H807" s="120"/>
      <c r="I807" s="120"/>
      <c r="J807" s="120"/>
      <c r="K807" s="120"/>
    </row>
    <row r="808">
      <c r="A808" s="120"/>
      <c r="B808" s="120"/>
      <c r="C808" s="120"/>
      <c r="D808" s="120"/>
      <c r="E808" s="120"/>
      <c r="F808" s="120"/>
      <c r="G808" s="120"/>
      <c r="H808" s="120"/>
      <c r="I808" s="120"/>
      <c r="J808" s="120"/>
      <c r="K808" s="120"/>
    </row>
    <row r="809">
      <c r="A809" s="120"/>
      <c r="B809" s="120"/>
      <c r="C809" s="120"/>
      <c r="D809" s="120"/>
      <c r="E809" s="120"/>
      <c r="F809" s="120"/>
      <c r="G809" s="120"/>
      <c r="H809" s="120"/>
      <c r="I809" s="120"/>
      <c r="J809" s="120"/>
      <c r="K809" s="120"/>
    </row>
    <row r="810">
      <c r="A810" s="120"/>
      <c r="B810" s="120"/>
      <c r="C810" s="120"/>
      <c r="D810" s="120"/>
      <c r="E810" s="120"/>
      <c r="F810" s="120"/>
      <c r="G810" s="120"/>
      <c r="H810" s="120"/>
      <c r="I810" s="120"/>
      <c r="J810" s="120"/>
      <c r="K810" s="120"/>
    </row>
    <row r="811">
      <c r="A811" s="120"/>
      <c r="B811" s="120"/>
      <c r="C811" s="120"/>
      <c r="D811" s="120"/>
      <c r="E811" s="120"/>
      <c r="F811" s="120"/>
      <c r="G811" s="120"/>
      <c r="H811" s="120"/>
      <c r="I811" s="120"/>
      <c r="J811" s="120"/>
      <c r="K811" s="120"/>
    </row>
    <row r="812">
      <c r="A812" s="120"/>
      <c r="B812" s="120"/>
      <c r="C812" s="120"/>
      <c r="D812" s="120"/>
      <c r="E812" s="120"/>
      <c r="F812" s="120"/>
      <c r="G812" s="120"/>
      <c r="H812" s="120"/>
      <c r="I812" s="120"/>
      <c r="J812" s="120"/>
      <c r="K812" s="120"/>
    </row>
    <row r="813">
      <c r="A813" s="120"/>
      <c r="B813" s="120"/>
      <c r="C813" s="120"/>
      <c r="D813" s="120"/>
      <c r="E813" s="120"/>
      <c r="F813" s="120"/>
      <c r="G813" s="120"/>
      <c r="H813" s="120"/>
      <c r="I813" s="120"/>
      <c r="J813" s="120"/>
      <c r="K813" s="120"/>
    </row>
    <row r="814">
      <c r="A814" s="120"/>
      <c r="B814" s="120"/>
      <c r="C814" s="120"/>
      <c r="D814" s="120"/>
      <c r="E814" s="120"/>
      <c r="F814" s="120"/>
      <c r="G814" s="120"/>
      <c r="H814" s="120"/>
      <c r="I814" s="120"/>
      <c r="J814" s="120"/>
      <c r="K814" s="120"/>
    </row>
    <row r="815">
      <c r="A815" s="120"/>
      <c r="B815" s="120"/>
      <c r="C815" s="120"/>
      <c r="D815" s="120"/>
      <c r="E815" s="120"/>
      <c r="F815" s="120"/>
      <c r="G815" s="120"/>
      <c r="H815" s="120"/>
      <c r="I815" s="120"/>
      <c r="J815" s="120"/>
      <c r="K815" s="120"/>
    </row>
    <row r="816">
      <c r="A816" s="120"/>
      <c r="B816" s="120"/>
      <c r="C816" s="120"/>
      <c r="D816" s="120"/>
      <c r="E816" s="120"/>
      <c r="F816" s="120"/>
      <c r="G816" s="120"/>
      <c r="H816" s="120"/>
      <c r="I816" s="120"/>
      <c r="J816" s="120"/>
      <c r="K816" s="120"/>
    </row>
    <row r="817">
      <c r="A817" s="120"/>
      <c r="B817" s="120"/>
      <c r="C817" s="120"/>
      <c r="D817" s="120"/>
      <c r="E817" s="120"/>
      <c r="F817" s="120"/>
      <c r="G817" s="120"/>
      <c r="H817" s="120"/>
      <c r="I817" s="120"/>
      <c r="J817" s="120"/>
      <c r="K817" s="120"/>
    </row>
    <row r="818">
      <c r="A818" s="120"/>
      <c r="B818" s="120"/>
      <c r="C818" s="120"/>
      <c r="D818" s="120"/>
      <c r="E818" s="120"/>
      <c r="F818" s="120"/>
      <c r="G818" s="120"/>
      <c r="H818" s="120"/>
      <c r="I818" s="120"/>
      <c r="J818" s="120"/>
      <c r="K818" s="120"/>
    </row>
    <row r="819">
      <c r="A819" s="120"/>
      <c r="B819" s="120"/>
      <c r="C819" s="120"/>
      <c r="D819" s="120"/>
      <c r="E819" s="120"/>
      <c r="F819" s="120"/>
      <c r="G819" s="120"/>
      <c r="H819" s="120"/>
      <c r="I819" s="120"/>
      <c r="J819" s="120"/>
      <c r="K819" s="120"/>
    </row>
    <row r="820">
      <c r="A820" s="120"/>
      <c r="B820" s="120"/>
      <c r="C820" s="120"/>
      <c r="D820" s="120"/>
      <c r="E820" s="120"/>
      <c r="F820" s="120"/>
      <c r="G820" s="120"/>
      <c r="H820" s="120"/>
      <c r="I820" s="120"/>
      <c r="J820" s="120"/>
      <c r="K820" s="120"/>
    </row>
    <row r="821">
      <c r="A821" s="120"/>
      <c r="B821" s="120"/>
      <c r="C821" s="120"/>
      <c r="D821" s="120"/>
      <c r="E821" s="120"/>
      <c r="F821" s="120"/>
      <c r="G821" s="120"/>
      <c r="H821" s="120"/>
      <c r="I821" s="120"/>
      <c r="J821" s="120"/>
      <c r="K821" s="120"/>
    </row>
    <row r="822">
      <c r="A822" s="120"/>
      <c r="B822" s="120"/>
      <c r="C822" s="120"/>
      <c r="D822" s="120"/>
      <c r="E822" s="120"/>
      <c r="F822" s="120"/>
      <c r="G822" s="120"/>
      <c r="H822" s="120"/>
      <c r="I822" s="120"/>
      <c r="J822" s="120"/>
      <c r="K822" s="120"/>
    </row>
    <row r="823">
      <c r="A823" s="120"/>
      <c r="B823" s="120"/>
      <c r="C823" s="120"/>
      <c r="D823" s="120"/>
      <c r="E823" s="120"/>
      <c r="F823" s="120"/>
      <c r="G823" s="120"/>
      <c r="H823" s="120"/>
      <c r="I823" s="120"/>
      <c r="J823" s="120"/>
      <c r="K823" s="120"/>
    </row>
    <row r="824">
      <c r="A824" s="120"/>
      <c r="B824" s="120"/>
      <c r="C824" s="120"/>
      <c r="D824" s="120"/>
      <c r="E824" s="120"/>
      <c r="F824" s="120"/>
      <c r="G824" s="120"/>
      <c r="H824" s="120"/>
      <c r="I824" s="120"/>
      <c r="J824" s="120"/>
      <c r="K824" s="120"/>
    </row>
    <row r="825">
      <c r="A825" s="120"/>
      <c r="B825" s="120"/>
      <c r="C825" s="120"/>
      <c r="D825" s="120"/>
      <c r="E825" s="120"/>
      <c r="F825" s="120"/>
      <c r="G825" s="120"/>
      <c r="H825" s="120"/>
      <c r="I825" s="120"/>
      <c r="J825" s="120"/>
      <c r="K825" s="120"/>
    </row>
    <row r="826">
      <c r="A826" s="120"/>
      <c r="B826" s="120"/>
      <c r="C826" s="120"/>
      <c r="D826" s="120"/>
      <c r="E826" s="120"/>
      <c r="F826" s="120"/>
      <c r="G826" s="120"/>
      <c r="H826" s="120"/>
      <c r="I826" s="120"/>
      <c r="J826" s="120"/>
      <c r="K826" s="120"/>
    </row>
    <row r="827">
      <c r="A827" s="120"/>
      <c r="B827" s="120"/>
      <c r="C827" s="120"/>
      <c r="D827" s="120"/>
      <c r="E827" s="120"/>
      <c r="F827" s="120"/>
      <c r="G827" s="120"/>
      <c r="H827" s="120"/>
      <c r="I827" s="120"/>
      <c r="J827" s="120"/>
      <c r="K827" s="120"/>
    </row>
    <row r="828">
      <c r="A828" s="120"/>
      <c r="B828" s="120"/>
      <c r="C828" s="120"/>
      <c r="D828" s="120"/>
      <c r="E828" s="120"/>
      <c r="F828" s="120"/>
      <c r="G828" s="120"/>
      <c r="H828" s="120"/>
      <c r="I828" s="120"/>
      <c r="J828" s="120"/>
      <c r="K828" s="120"/>
    </row>
    <row r="829">
      <c r="A829" s="120"/>
      <c r="B829" s="120"/>
      <c r="C829" s="120"/>
      <c r="D829" s="120"/>
      <c r="E829" s="120"/>
      <c r="F829" s="120"/>
      <c r="G829" s="120"/>
      <c r="H829" s="120"/>
      <c r="I829" s="120"/>
      <c r="J829" s="120"/>
      <c r="K829" s="120"/>
    </row>
    <row r="830">
      <c r="A830" s="120"/>
      <c r="B830" s="120"/>
      <c r="C830" s="120"/>
      <c r="D830" s="120"/>
      <c r="E830" s="120"/>
      <c r="F830" s="120"/>
      <c r="G830" s="120"/>
      <c r="H830" s="120"/>
      <c r="I830" s="120"/>
      <c r="J830" s="120"/>
      <c r="K830" s="120"/>
    </row>
    <row r="831">
      <c r="A831" s="120"/>
      <c r="B831" s="120"/>
      <c r="C831" s="120"/>
      <c r="D831" s="120"/>
      <c r="E831" s="120"/>
      <c r="F831" s="120"/>
      <c r="G831" s="120"/>
      <c r="H831" s="120"/>
      <c r="I831" s="120"/>
      <c r="J831" s="120"/>
      <c r="K831" s="120"/>
    </row>
    <row r="832">
      <c r="A832" s="120"/>
      <c r="B832" s="120"/>
      <c r="C832" s="120"/>
      <c r="D832" s="120"/>
      <c r="E832" s="120"/>
      <c r="F832" s="120"/>
      <c r="G832" s="120"/>
      <c r="H832" s="120"/>
      <c r="I832" s="120"/>
      <c r="J832" s="120"/>
      <c r="K832" s="120"/>
    </row>
    <row r="833">
      <c r="A833" s="120"/>
      <c r="B833" s="120"/>
      <c r="C833" s="120"/>
      <c r="D833" s="120"/>
      <c r="E833" s="120"/>
      <c r="F833" s="120"/>
      <c r="G833" s="120"/>
      <c r="H833" s="120"/>
      <c r="I833" s="120"/>
      <c r="J833" s="120"/>
      <c r="K833" s="120"/>
    </row>
    <row r="834">
      <c r="A834" s="120"/>
      <c r="B834" s="120"/>
      <c r="C834" s="120"/>
      <c r="D834" s="120"/>
      <c r="E834" s="120"/>
      <c r="F834" s="120"/>
      <c r="G834" s="120"/>
      <c r="H834" s="120"/>
      <c r="I834" s="120"/>
      <c r="J834" s="120"/>
      <c r="K834" s="120"/>
    </row>
    <row r="835">
      <c r="A835" s="120"/>
      <c r="B835" s="120"/>
      <c r="C835" s="120"/>
      <c r="D835" s="120"/>
      <c r="E835" s="120"/>
      <c r="F835" s="120"/>
      <c r="G835" s="120"/>
      <c r="H835" s="120"/>
      <c r="I835" s="120"/>
      <c r="J835" s="120"/>
      <c r="K835" s="120"/>
    </row>
    <row r="836">
      <c r="A836" s="120"/>
      <c r="B836" s="120"/>
      <c r="C836" s="120"/>
      <c r="D836" s="120"/>
      <c r="E836" s="120"/>
      <c r="F836" s="120"/>
      <c r="G836" s="120"/>
      <c r="H836" s="120"/>
      <c r="I836" s="120"/>
      <c r="J836" s="120"/>
      <c r="K836" s="120"/>
    </row>
    <row r="837">
      <c r="A837" s="120"/>
      <c r="B837" s="120"/>
      <c r="C837" s="120"/>
      <c r="D837" s="120"/>
      <c r="E837" s="120"/>
      <c r="F837" s="120"/>
      <c r="G837" s="120"/>
      <c r="H837" s="120"/>
      <c r="I837" s="120"/>
      <c r="J837" s="120"/>
      <c r="K837" s="120"/>
    </row>
    <row r="838">
      <c r="A838" s="120"/>
      <c r="B838" s="120"/>
      <c r="C838" s="120"/>
      <c r="D838" s="120"/>
      <c r="E838" s="120"/>
      <c r="F838" s="120"/>
      <c r="G838" s="120"/>
      <c r="H838" s="120"/>
      <c r="I838" s="120"/>
      <c r="J838" s="120"/>
      <c r="K838" s="120"/>
    </row>
    <row r="839">
      <c r="A839" s="120"/>
      <c r="B839" s="120"/>
      <c r="C839" s="120"/>
      <c r="D839" s="120"/>
      <c r="E839" s="120"/>
      <c r="F839" s="120"/>
      <c r="G839" s="120"/>
      <c r="H839" s="120"/>
      <c r="I839" s="120"/>
      <c r="J839" s="120"/>
      <c r="K839" s="120"/>
    </row>
    <row r="840">
      <c r="A840" s="120"/>
      <c r="B840" s="120"/>
      <c r="C840" s="120"/>
      <c r="D840" s="120"/>
      <c r="E840" s="120"/>
      <c r="F840" s="120"/>
      <c r="G840" s="120"/>
      <c r="H840" s="120"/>
      <c r="I840" s="120"/>
      <c r="J840" s="120"/>
      <c r="K840" s="120"/>
    </row>
    <row r="841">
      <c r="A841" s="120"/>
      <c r="B841" s="120"/>
      <c r="C841" s="120"/>
      <c r="D841" s="120"/>
      <c r="E841" s="120"/>
      <c r="F841" s="120"/>
      <c r="G841" s="120"/>
      <c r="H841" s="120"/>
      <c r="I841" s="120"/>
      <c r="J841" s="120"/>
      <c r="K841" s="120"/>
    </row>
    <row r="842">
      <c r="A842" s="120"/>
      <c r="B842" s="120"/>
      <c r="C842" s="120"/>
      <c r="D842" s="120"/>
      <c r="E842" s="120"/>
      <c r="F842" s="120"/>
      <c r="G842" s="120"/>
      <c r="H842" s="120"/>
      <c r="I842" s="120"/>
      <c r="J842" s="120"/>
      <c r="K842" s="120"/>
    </row>
    <row r="843">
      <c r="A843" s="120"/>
      <c r="B843" s="120"/>
      <c r="C843" s="120"/>
      <c r="D843" s="120"/>
      <c r="E843" s="120"/>
      <c r="F843" s="120"/>
      <c r="G843" s="120"/>
      <c r="H843" s="120"/>
      <c r="I843" s="120"/>
      <c r="J843" s="120"/>
      <c r="K843" s="120"/>
    </row>
    <row r="844">
      <c r="A844" s="120"/>
      <c r="B844" s="120"/>
      <c r="C844" s="120"/>
      <c r="D844" s="120"/>
      <c r="E844" s="120"/>
      <c r="F844" s="120"/>
      <c r="G844" s="120"/>
      <c r="H844" s="120"/>
      <c r="I844" s="120"/>
      <c r="J844" s="120"/>
      <c r="K844" s="120"/>
    </row>
    <row r="845">
      <c r="A845" s="120"/>
      <c r="B845" s="120"/>
      <c r="C845" s="120"/>
      <c r="D845" s="120"/>
      <c r="E845" s="120"/>
      <c r="F845" s="120"/>
      <c r="G845" s="120"/>
      <c r="H845" s="120"/>
      <c r="I845" s="120"/>
      <c r="J845" s="120"/>
      <c r="K845" s="120"/>
    </row>
    <row r="846">
      <c r="A846" s="120"/>
      <c r="B846" s="120"/>
      <c r="C846" s="120"/>
      <c r="D846" s="120"/>
      <c r="E846" s="120"/>
      <c r="F846" s="120"/>
      <c r="G846" s="120"/>
      <c r="H846" s="120"/>
      <c r="I846" s="120"/>
      <c r="J846" s="120"/>
      <c r="K846" s="120"/>
    </row>
    <row r="847">
      <c r="A847" s="120"/>
      <c r="B847" s="120"/>
      <c r="C847" s="120"/>
      <c r="D847" s="120"/>
      <c r="E847" s="120"/>
      <c r="F847" s="120"/>
      <c r="G847" s="120"/>
      <c r="H847" s="120"/>
      <c r="I847" s="120"/>
      <c r="J847" s="120"/>
      <c r="K847" s="120"/>
    </row>
    <row r="848">
      <c r="A848" s="120"/>
      <c r="B848" s="120"/>
      <c r="C848" s="120"/>
      <c r="D848" s="120"/>
      <c r="E848" s="120"/>
      <c r="F848" s="120"/>
      <c r="G848" s="120"/>
      <c r="H848" s="120"/>
      <c r="I848" s="120"/>
      <c r="J848" s="120"/>
      <c r="K848" s="120"/>
    </row>
    <row r="849">
      <c r="A849" s="120"/>
      <c r="B849" s="120"/>
      <c r="C849" s="120"/>
      <c r="D849" s="120"/>
      <c r="E849" s="120"/>
      <c r="F849" s="120"/>
      <c r="G849" s="120"/>
      <c r="H849" s="120"/>
      <c r="I849" s="120"/>
      <c r="J849" s="120"/>
      <c r="K849" s="120"/>
    </row>
    <row r="850">
      <c r="A850" s="120"/>
      <c r="B850" s="120"/>
      <c r="C850" s="120"/>
      <c r="D850" s="120"/>
      <c r="E850" s="120"/>
      <c r="F850" s="120"/>
      <c r="G850" s="120"/>
      <c r="H850" s="120"/>
      <c r="I850" s="120"/>
      <c r="J850" s="120"/>
      <c r="K850" s="120"/>
    </row>
    <row r="851">
      <c r="A851" s="120"/>
      <c r="B851" s="120"/>
      <c r="C851" s="120"/>
      <c r="D851" s="120"/>
      <c r="E851" s="120"/>
      <c r="F851" s="120"/>
      <c r="G851" s="120"/>
      <c r="H851" s="120"/>
      <c r="I851" s="120"/>
      <c r="J851" s="120"/>
      <c r="K851" s="120"/>
    </row>
    <row r="852">
      <c r="A852" s="120"/>
      <c r="B852" s="120"/>
      <c r="C852" s="120"/>
      <c r="D852" s="120"/>
      <c r="E852" s="120"/>
      <c r="F852" s="120"/>
      <c r="G852" s="120"/>
      <c r="H852" s="120"/>
      <c r="I852" s="120"/>
      <c r="J852" s="120"/>
      <c r="K852" s="120"/>
    </row>
    <row r="853">
      <c r="A853" s="120"/>
      <c r="B853" s="120"/>
      <c r="C853" s="120"/>
      <c r="D853" s="120"/>
      <c r="E853" s="120"/>
      <c r="F853" s="120"/>
      <c r="G853" s="120"/>
      <c r="H853" s="120"/>
      <c r="I853" s="120"/>
      <c r="J853" s="120"/>
      <c r="K853" s="120"/>
    </row>
    <row r="854">
      <c r="A854" s="120"/>
      <c r="B854" s="120"/>
      <c r="C854" s="120"/>
      <c r="D854" s="120"/>
      <c r="E854" s="120"/>
      <c r="F854" s="120"/>
      <c r="G854" s="120"/>
      <c r="H854" s="120"/>
      <c r="I854" s="120"/>
      <c r="J854" s="120"/>
      <c r="K854" s="120"/>
    </row>
    <row r="855">
      <c r="A855" s="120"/>
      <c r="B855" s="120"/>
      <c r="C855" s="120"/>
      <c r="D855" s="120"/>
      <c r="E855" s="120"/>
      <c r="F855" s="120"/>
      <c r="G855" s="120"/>
      <c r="H855" s="120"/>
      <c r="I855" s="120"/>
      <c r="J855" s="120"/>
      <c r="K855" s="120"/>
    </row>
    <row r="856">
      <c r="A856" s="120"/>
      <c r="B856" s="120"/>
      <c r="C856" s="120"/>
      <c r="D856" s="120"/>
      <c r="E856" s="120"/>
      <c r="F856" s="120"/>
      <c r="G856" s="120"/>
      <c r="H856" s="120"/>
      <c r="I856" s="120"/>
      <c r="J856" s="120"/>
      <c r="K856" s="120"/>
    </row>
    <row r="857">
      <c r="A857" s="120"/>
      <c r="B857" s="120"/>
      <c r="C857" s="120"/>
      <c r="D857" s="120"/>
      <c r="E857" s="120"/>
      <c r="F857" s="120"/>
      <c r="G857" s="120"/>
      <c r="H857" s="120"/>
      <c r="I857" s="120"/>
      <c r="J857" s="120"/>
      <c r="K857" s="120"/>
    </row>
    <row r="858">
      <c r="A858" s="120"/>
      <c r="B858" s="120"/>
      <c r="C858" s="120"/>
      <c r="D858" s="120"/>
      <c r="E858" s="120"/>
      <c r="F858" s="120"/>
      <c r="G858" s="120"/>
      <c r="H858" s="120"/>
      <c r="I858" s="120"/>
      <c r="J858" s="120"/>
      <c r="K858" s="120"/>
    </row>
    <row r="859">
      <c r="A859" s="120"/>
      <c r="B859" s="120"/>
      <c r="C859" s="120"/>
      <c r="D859" s="120"/>
      <c r="E859" s="120"/>
      <c r="F859" s="120"/>
      <c r="G859" s="120"/>
      <c r="H859" s="120"/>
      <c r="I859" s="120"/>
      <c r="J859" s="120"/>
      <c r="K859" s="120"/>
    </row>
    <row r="860">
      <c r="A860" s="120"/>
      <c r="B860" s="120"/>
      <c r="C860" s="120"/>
      <c r="D860" s="120"/>
      <c r="E860" s="120"/>
      <c r="F860" s="120"/>
      <c r="G860" s="120"/>
      <c r="H860" s="120"/>
      <c r="I860" s="120"/>
      <c r="J860" s="120"/>
      <c r="K860" s="120"/>
    </row>
    <row r="861">
      <c r="A861" s="120"/>
      <c r="B861" s="120"/>
      <c r="C861" s="120"/>
      <c r="D861" s="120"/>
      <c r="E861" s="120"/>
      <c r="F861" s="120"/>
      <c r="G861" s="120"/>
      <c r="H861" s="120"/>
      <c r="I861" s="120"/>
      <c r="J861" s="120"/>
      <c r="K861" s="120"/>
    </row>
    <row r="862">
      <c r="A862" s="120"/>
      <c r="B862" s="120"/>
      <c r="C862" s="120"/>
      <c r="D862" s="120"/>
      <c r="E862" s="120"/>
      <c r="F862" s="120"/>
      <c r="G862" s="120"/>
      <c r="H862" s="120"/>
      <c r="I862" s="120"/>
      <c r="J862" s="120"/>
      <c r="K862" s="120"/>
    </row>
    <row r="863">
      <c r="A863" s="120"/>
      <c r="B863" s="120"/>
      <c r="C863" s="120"/>
      <c r="D863" s="120"/>
      <c r="E863" s="120"/>
      <c r="F863" s="120"/>
      <c r="G863" s="120"/>
      <c r="H863" s="120"/>
      <c r="I863" s="120"/>
      <c r="J863" s="120"/>
      <c r="K863" s="120"/>
    </row>
    <row r="864">
      <c r="A864" s="120"/>
      <c r="B864" s="120"/>
      <c r="C864" s="120"/>
      <c r="D864" s="120"/>
      <c r="E864" s="120"/>
      <c r="F864" s="120"/>
      <c r="G864" s="120"/>
      <c r="H864" s="120"/>
      <c r="I864" s="120"/>
      <c r="J864" s="120"/>
      <c r="K864" s="120"/>
    </row>
    <row r="865">
      <c r="A865" s="120"/>
      <c r="B865" s="120"/>
      <c r="C865" s="120"/>
      <c r="D865" s="120"/>
      <c r="E865" s="120"/>
      <c r="F865" s="120"/>
      <c r="G865" s="120"/>
      <c r="H865" s="120"/>
      <c r="I865" s="120"/>
      <c r="J865" s="120"/>
      <c r="K865" s="120"/>
    </row>
    <row r="866">
      <c r="A866" s="120"/>
      <c r="B866" s="120"/>
      <c r="C866" s="120"/>
      <c r="D866" s="120"/>
      <c r="E866" s="120"/>
      <c r="F866" s="120"/>
      <c r="G866" s="120"/>
      <c r="H866" s="120"/>
      <c r="I866" s="120"/>
      <c r="J866" s="120"/>
      <c r="K866" s="120"/>
    </row>
    <row r="867">
      <c r="A867" s="120"/>
      <c r="B867" s="120"/>
      <c r="C867" s="120"/>
      <c r="D867" s="120"/>
      <c r="E867" s="120"/>
      <c r="F867" s="120"/>
      <c r="G867" s="120"/>
      <c r="H867" s="120"/>
      <c r="I867" s="120"/>
      <c r="J867" s="120"/>
      <c r="K867" s="120"/>
    </row>
    <row r="868">
      <c r="A868" s="120"/>
      <c r="B868" s="120"/>
      <c r="C868" s="120"/>
      <c r="D868" s="120"/>
      <c r="E868" s="120"/>
      <c r="F868" s="120"/>
      <c r="G868" s="120"/>
      <c r="H868" s="120"/>
      <c r="I868" s="120"/>
      <c r="J868" s="120"/>
      <c r="K868" s="120"/>
    </row>
    <row r="869">
      <c r="A869" s="120"/>
      <c r="B869" s="120"/>
      <c r="C869" s="120"/>
      <c r="D869" s="120"/>
      <c r="E869" s="120"/>
      <c r="F869" s="120"/>
      <c r="G869" s="120"/>
      <c r="H869" s="120"/>
      <c r="I869" s="120"/>
      <c r="J869" s="120"/>
      <c r="K869" s="120"/>
    </row>
    <row r="870">
      <c r="A870" s="120"/>
      <c r="B870" s="120"/>
      <c r="C870" s="120"/>
      <c r="D870" s="120"/>
      <c r="E870" s="120"/>
      <c r="F870" s="120"/>
      <c r="G870" s="120"/>
      <c r="H870" s="120"/>
      <c r="I870" s="120"/>
      <c r="J870" s="120"/>
      <c r="K870" s="120"/>
    </row>
    <row r="871">
      <c r="A871" s="120"/>
      <c r="B871" s="120"/>
      <c r="C871" s="120"/>
      <c r="D871" s="120"/>
      <c r="E871" s="120"/>
      <c r="F871" s="120"/>
      <c r="G871" s="120"/>
      <c r="H871" s="120"/>
      <c r="I871" s="120"/>
      <c r="J871" s="120"/>
      <c r="K871" s="120"/>
    </row>
    <row r="872">
      <c r="A872" s="120"/>
      <c r="B872" s="120"/>
      <c r="C872" s="120"/>
      <c r="D872" s="120"/>
      <c r="E872" s="120"/>
      <c r="F872" s="120"/>
      <c r="G872" s="120"/>
      <c r="H872" s="120"/>
      <c r="I872" s="120"/>
      <c r="J872" s="120"/>
      <c r="K872" s="120"/>
    </row>
    <row r="873">
      <c r="A873" s="120"/>
      <c r="B873" s="120"/>
      <c r="C873" s="120"/>
      <c r="D873" s="120"/>
      <c r="E873" s="120"/>
      <c r="F873" s="120"/>
      <c r="G873" s="120"/>
      <c r="H873" s="120"/>
      <c r="I873" s="120"/>
      <c r="J873" s="120"/>
      <c r="K873" s="120"/>
    </row>
    <row r="874">
      <c r="A874" s="120"/>
      <c r="B874" s="120"/>
      <c r="C874" s="120"/>
      <c r="D874" s="120"/>
      <c r="E874" s="120"/>
      <c r="F874" s="120"/>
      <c r="G874" s="120"/>
      <c r="H874" s="120"/>
      <c r="I874" s="120"/>
      <c r="J874" s="120"/>
      <c r="K874" s="120"/>
    </row>
    <row r="875">
      <c r="A875" s="120"/>
      <c r="B875" s="120"/>
      <c r="C875" s="120"/>
      <c r="D875" s="120"/>
      <c r="E875" s="120"/>
      <c r="F875" s="120"/>
      <c r="G875" s="120"/>
      <c r="H875" s="120"/>
      <c r="I875" s="120"/>
      <c r="J875" s="120"/>
      <c r="K875" s="120"/>
    </row>
    <row r="876">
      <c r="A876" s="120"/>
      <c r="B876" s="120"/>
      <c r="C876" s="120"/>
      <c r="D876" s="120"/>
      <c r="E876" s="120"/>
      <c r="F876" s="120"/>
      <c r="G876" s="120"/>
      <c r="H876" s="120"/>
      <c r="I876" s="120"/>
      <c r="J876" s="120"/>
      <c r="K876" s="120"/>
    </row>
    <row r="877">
      <c r="A877" s="120"/>
      <c r="B877" s="120"/>
      <c r="C877" s="120"/>
      <c r="D877" s="120"/>
      <c r="E877" s="120"/>
      <c r="F877" s="120"/>
      <c r="G877" s="120"/>
      <c r="H877" s="120"/>
      <c r="I877" s="120"/>
      <c r="J877" s="120"/>
      <c r="K877" s="120"/>
    </row>
    <row r="878">
      <c r="A878" s="120"/>
      <c r="B878" s="120"/>
      <c r="C878" s="120"/>
      <c r="D878" s="120"/>
      <c r="E878" s="120"/>
      <c r="F878" s="120"/>
      <c r="G878" s="120"/>
      <c r="H878" s="120"/>
      <c r="I878" s="120"/>
      <c r="J878" s="120"/>
      <c r="K878" s="120"/>
    </row>
    <row r="879">
      <c r="A879" s="120"/>
      <c r="B879" s="120"/>
      <c r="C879" s="120"/>
      <c r="D879" s="120"/>
      <c r="E879" s="120"/>
      <c r="F879" s="120"/>
      <c r="G879" s="120"/>
      <c r="H879" s="120"/>
      <c r="I879" s="120"/>
      <c r="J879" s="120"/>
      <c r="K879" s="120"/>
    </row>
    <row r="880">
      <c r="A880" s="120"/>
      <c r="B880" s="120"/>
      <c r="C880" s="120"/>
      <c r="D880" s="120"/>
      <c r="E880" s="120"/>
      <c r="F880" s="120"/>
      <c r="G880" s="120"/>
      <c r="H880" s="120"/>
      <c r="I880" s="120"/>
      <c r="J880" s="120"/>
      <c r="K880" s="120"/>
    </row>
    <row r="881">
      <c r="A881" s="120"/>
      <c r="B881" s="120"/>
      <c r="C881" s="120"/>
      <c r="D881" s="120"/>
      <c r="E881" s="120"/>
      <c r="F881" s="120"/>
      <c r="G881" s="120"/>
      <c r="H881" s="120"/>
      <c r="I881" s="120"/>
      <c r="J881" s="120"/>
      <c r="K881" s="120"/>
    </row>
    <row r="882">
      <c r="A882" s="120"/>
      <c r="B882" s="120"/>
      <c r="C882" s="120"/>
      <c r="D882" s="120"/>
      <c r="E882" s="120"/>
      <c r="F882" s="120"/>
      <c r="G882" s="120"/>
      <c r="H882" s="120"/>
      <c r="I882" s="120"/>
      <c r="J882" s="120"/>
      <c r="K882" s="120"/>
    </row>
    <row r="883">
      <c r="A883" s="120"/>
      <c r="B883" s="120"/>
      <c r="C883" s="120"/>
      <c r="D883" s="120"/>
      <c r="E883" s="120"/>
      <c r="F883" s="120"/>
      <c r="G883" s="120"/>
      <c r="H883" s="120"/>
      <c r="I883" s="120"/>
      <c r="J883" s="120"/>
      <c r="K883" s="120"/>
    </row>
    <row r="884">
      <c r="A884" s="120"/>
      <c r="B884" s="120"/>
      <c r="C884" s="120"/>
      <c r="D884" s="120"/>
      <c r="E884" s="120"/>
      <c r="F884" s="120"/>
      <c r="G884" s="120"/>
      <c r="H884" s="120"/>
      <c r="I884" s="120"/>
      <c r="J884" s="120"/>
      <c r="K884" s="120"/>
    </row>
    <row r="885">
      <c r="A885" s="120"/>
      <c r="B885" s="120"/>
      <c r="C885" s="120"/>
      <c r="D885" s="120"/>
      <c r="E885" s="120"/>
      <c r="F885" s="120"/>
      <c r="G885" s="120"/>
      <c r="H885" s="120"/>
      <c r="I885" s="120"/>
      <c r="J885" s="120"/>
      <c r="K885" s="120"/>
    </row>
    <row r="886">
      <c r="A886" s="120"/>
      <c r="B886" s="120"/>
      <c r="C886" s="120"/>
      <c r="D886" s="120"/>
      <c r="E886" s="120"/>
      <c r="F886" s="120"/>
      <c r="G886" s="120"/>
      <c r="H886" s="120"/>
      <c r="I886" s="120"/>
      <c r="J886" s="120"/>
      <c r="K886" s="120"/>
    </row>
    <row r="887">
      <c r="A887" s="120"/>
      <c r="B887" s="120"/>
      <c r="C887" s="120"/>
      <c r="D887" s="120"/>
      <c r="E887" s="120"/>
      <c r="F887" s="120"/>
      <c r="G887" s="120"/>
      <c r="H887" s="120"/>
      <c r="I887" s="120"/>
      <c r="J887" s="120"/>
      <c r="K887" s="120"/>
    </row>
    <row r="888">
      <c r="A888" s="120"/>
      <c r="B888" s="120"/>
      <c r="C888" s="120"/>
      <c r="D888" s="120"/>
      <c r="E888" s="120"/>
      <c r="F888" s="120"/>
      <c r="G888" s="120"/>
      <c r="H888" s="120"/>
      <c r="I888" s="120"/>
      <c r="J888" s="120"/>
      <c r="K888" s="120"/>
    </row>
    <row r="889">
      <c r="A889" s="120"/>
      <c r="B889" s="120"/>
      <c r="C889" s="120"/>
      <c r="D889" s="120"/>
      <c r="E889" s="120"/>
      <c r="F889" s="120"/>
      <c r="G889" s="120"/>
      <c r="H889" s="120"/>
      <c r="I889" s="120"/>
      <c r="J889" s="120"/>
      <c r="K889" s="120"/>
    </row>
    <row r="890">
      <c r="A890" s="120"/>
      <c r="B890" s="120"/>
      <c r="C890" s="120"/>
      <c r="D890" s="120"/>
      <c r="E890" s="120"/>
      <c r="F890" s="120"/>
      <c r="G890" s="120"/>
      <c r="H890" s="120"/>
      <c r="I890" s="120"/>
      <c r="J890" s="120"/>
      <c r="K890" s="120"/>
    </row>
    <row r="891">
      <c r="A891" s="120"/>
      <c r="B891" s="120"/>
      <c r="C891" s="120"/>
      <c r="D891" s="120"/>
      <c r="E891" s="120"/>
      <c r="F891" s="120"/>
      <c r="G891" s="120"/>
      <c r="H891" s="120"/>
      <c r="I891" s="120"/>
      <c r="J891" s="120"/>
      <c r="K891" s="120"/>
    </row>
    <row r="892">
      <c r="A892" s="120"/>
      <c r="B892" s="120"/>
      <c r="C892" s="120"/>
      <c r="D892" s="120"/>
      <c r="E892" s="120"/>
      <c r="F892" s="120"/>
      <c r="G892" s="120"/>
      <c r="H892" s="120"/>
      <c r="I892" s="120"/>
      <c r="J892" s="120"/>
      <c r="K892" s="120"/>
    </row>
    <row r="893">
      <c r="A893" s="120"/>
      <c r="B893" s="120"/>
      <c r="C893" s="120"/>
      <c r="D893" s="120"/>
      <c r="E893" s="120"/>
      <c r="F893" s="120"/>
      <c r="G893" s="120"/>
      <c r="H893" s="120"/>
      <c r="I893" s="120"/>
      <c r="J893" s="120"/>
      <c r="K893" s="120"/>
    </row>
    <row r="894">
      <c r="A894" s="120"/>
      <c r="B894" s="120"/>
      <c r="C894" s="120"/>
      <c r="D894" s="120"/>
      <c r="E894" s="120"/>
      <c r="F894" s="120"/>
      <c r="G894" s="120"/>
      <c r="H894" s="120"/>
      <c r="I894" s="120"/>
      <c r="J894" s="120"/>
      <c r="K894" s="120"/>
    </row>
    <row r="895">
      <c r="A895" s="120"/>
      <c r="B895" s="120"/>
      <c r="C895" s="120"/>
      <c r="D895" s="120"/>
      <c r="E895" s="120"/>
      <c r="F895" s="120"/>
      <c r="G895" s="120"/>
      <c r="H895" s="120"/>
      <c r="I895" s="120"/>
      <c r="J895" s="120"/>
      <c r="K895" s="120"/>
    </row>
    <row r="896">
      <c r="A896" s="120"/>
      <c r="B896" s="120"/>
      <c r="C896" s="120"/>
      <c r="D896" s="120"/>
      <c r="E896" s="120"/>
      <c r="F896" s="120"/>
      <c r="G896" s="120"/>
      <c r="H896" s="120"/>
      <c r="I896" s="120"/>
      <c r="J896" s="120"/>
      <c r="K896" s="120"/>
    </row>
    <row r="897">
      <c r="A897" s="120"/>
      <c r="B897" s="120"/>
      <c r="C897" s="120"/>
      <c r="D897" s="120"/>
      <c r="E897" s="120"/>
      <c r="F897" s="120"/>
      <c r="G897" s="120"/>
      <c r="H897" s="120"/>
      <c r="I897" s="120"/>
      <c r="J897" s="120"/>
      <c r="K897" s="120"/>
    </row>
    <row r="898">
      <c r="A898" s="120"/>
      <c r="B898" s="120"/>
      <c r="C898" s="120"/>
      <c r="D898" s="120"/>
      <c r="E898" s="120"/>
      <c r="F898" s="120"/>
      <c r="G898" s="120"/>
      <c r="H898" s="120"/>
      <c r="I898" s="120"/>
      <c r="J898" s="120"/>
      <c r="K898" s="120"/>
    </row>
    <row r="899">
      <c r="A899" s="120"/>
      <c r="B899" s="120"/>
      <c r="C899" s="120"/>
      <c r="D899" s="120"/>
      <c r="E899" s="120"/>
      <c r="F899" s="120"/>
      <c r="G899" s="120"/>
      <c r="H899" s="120"/>
      <c r="I899" s="120"/>
      <c r="J899" s="120"/>
      <c r="K899" s="120"/>
    </row>
    <row r="900">
      <c r="A900" s="120"/>
      <c r="B900" s="120"/>
      <c r="C900" s="120"/>
      <c r="D900" s="120"/>
      <c r="E900" s="120"/>
      <c r="F900" s="120"/>
      <c r="G900" s="120"/>
      <c r="H900" s="120"/>
      <c r="I900" s="120"/>
      <c r="J900" s="120"/>
      <c r="K900" s="120"/>
    </row>
    <row r="901">
      <c r="A901" s="120"/>
      <c r="B901" s="120"/>
      <c r="C901" s="120"/>
      <c r="D901" s="120"/>
      <c r="E901" s="120"/>
      <c r="F901" s="120"/>
      <c r="G901" s="120"/>
      <c r="H901" s="120"/>
      <c r="I901" s="120"/>
      <c r="J901" s="120"/>
      <c r="K901" s="120"/>
    </row>
    <row r="902">
      <c r="A902" s="120"/>
      <c r="B902" s="120"/>
      <c r="C902" s="120"/>
      <c r="D902" s="120"/>
      <c r="E902" s="120"/>
      <c r="F902" s="120"/>
      <c r="G902" s="120"/>
      <c r="H902" s="120"/>
      <c r="I902" s="120"/>
      <c r="J902" s="120"/>
      <c r="K902" s="120"/>
    </row>
    <row r="903">
      <c r="A903" s="120"/>
      <c r="B903" s="120"/>
      <c r="C903" s="120"/>
      <c r="D903" s="120"/>
      <c r="E903" s="120"/>
      <c r="F903" s="120"/>
      <c r="G903" s="120"/>
      <c r="H903" s="120"/>
      <c r="I903" s="120"/>
      <c r="J903" s="120"/>
      <c r="K903" s="120"/>
    </row>
    <row r="904">
      <c r="A904" s="120"/>
      <c r="B904" s="120"/>
      <c r="C904" s="120"/>
      <c r="D904" s="120"/>
      <c r="E904" s="120"/>
      <c r="F904" s="120"/>
      <c r="G904" s="120"/>
      <c r="H904" s="120"/>
      <c r="I904" s="120"/>
      <c r="J904" s="120"/>
      <c r="K904" s="120"/>
    </row>
    <row r="905">
      <c r="A905" s="120"/>
      <c r="B905" s="120"/>
      <c r="C905" s="120"/>
      <c r="D905" s="120"/>
      <c r="E905" s="120"/>
      <c r="F905" s="120"/>
      <c r="G905" s="120"/>
      <c r="H905" s="120"/>
      <c r="I905" s="120"/>
      <c r="J905" s="120"/>
      <c r="K905" s="120"/>
    </row>
    <row r="906">
      <c r="A906" s="120"/>
      <c r="B906" s="120"/>
      <c r="C906" s="120"/>
      <c r="D906" s="120"/>
      <c r="E906" s="120"/>
      <c r="F906" s="120"/>
      <c r="G906" s="120"/>
      <c r="H906" s="120"/>
      <c r="I906" s="120"/>
      <c r="J906" s="120"/>
      <c r="K906" s="120"/>
    </row>
    <row r="907">
      <c r="A907" s="120"/>
      <c r="B907" s="120"/>
      <c r="C907" s="120"/>
      <c r="D907" s="120"/>
      <c r="E907" s="120"/>
      <c r="F907" s="120"/>
      <c r="G907" s="120"/>
      <c r="H907" s="120"/>
      <c r="I907" s="120"/>
      <c r="J907" s="120"/>
      <c r="K907" s="120"/>
    </row>
    <row r="908">
      <c r="A908" s="120"/>
      <c r="B908" s="120"/>
      <c r="C908" s="120"/>
      <c r="D908" s="120"/>
      <c r="E908" s="120"/>
      <c r="F908" s="120"/>
      <c r="G908" s="120"/>
      <c r="H908" s="120"/>
      <c r="I908" s="120"/>
      <c r="J908" s="120"/>
      <c r="K908" s="120"/>
    </row>
    <row r="909">
      <c r="A909" s="120"/>
      <c r="B909" s="120"/>
      <c r="C909" s="120"/>
      <c r="D909" s="120"/>
      <c r="E909" s="120"/>
      <c r="F909" s="120"/>
      <c r="G909" s="120"/>
      <c r="H909" s="120"/>
      <c r="I909" s="120"/>
      <c r="J909" s="120"/>
      <c r="K909" s="120"/>
    </row>
    <row r="910">
      <c r="A910" s="120"/>
      <c r="B910" s="120"/>
      <c r="C910" s="120"/>
      <c r="D910" s="120"/>
      <c r="E910" s="120"/>
      <c r="F910" s="120"/>
      <c r="G910" s="120"/>
      <c r="H910" s="120"/>
      <c r="I910" s="120"/>
      <c r="J910" s="120"/>
      <c r="K910" s="120"/>
    </row>
    <row r="911">
      <c r="A911" s="120"/>
      <c r="B911" s="120"/>
      <c r="C911" s="120"/>
      <c r="D911" s="120"/>
      <c r="E911" s="120"/>
      <c r="F911" s="120"/>
      <c r="G911" s="120"/>
      <c r="H911" s="120"/>
      <c r="I911" s="120"/>
      <c r="J911" s="120"/>
      <c r="K911" s="120"/>
    </row>
    <row r="912">
      <c r="A912" s="120"/>
      <c r="B912" s="120"/>
      <c r="C912" s="120"/>
      <c r="D912" s="120"/>
      <c r="E912" s="120"/>
      <c r="F912" s="120"/>
      <c r="G912" s="120"/>
      <c r="H912" s="120"/>
      <c r="I912" s="120"/>
      <c r="J912" s="120"/>
      <c r="K912" s="120"/>
    </row>
    <row r="913">
      <c r="A913" s="120"/>
      <c r="B913" s="120"/>
      <c r="C913" s="120"/>
      <c r="D913" s="120"/>
      <c r="E913" s="120"/>
      <c r="F913" s="120"/>
      <c r="G913" s="120"/>
      <c r="H913" s="120"/>
      <c r="I913" s="120"/>
      <c r="J913" s="120"/>
      <c r="K913" s="120"/>
    </row>
    <row r="914">
      <c r="A914" s="120"/>
      <c r="B914" s="120"/>
      <c r="C914" s="120"/>
      <c r="D914" s="120"/>
      <c r="E914" s="120"/>
      <c r="F914" s="120"/>
      <c r="G914" s="120"/>
      <c r="H914" s="120"/>
      <c r="I914" s="120"/>
      <c r="J914" s="120"/>
      <c r="K914" s="120"/>
    </row>
    <row r="915">
      <c r="A915" s="120"/>
      <c r="B915" s="120"/>
      <c r="C915" s="120"/>
      <c r="D915" s="120"/>
      <c r="E915" s="120"/>
      <c r="F915" s="120"/>
      <c r="G915" s="120"/>
      <c r="H915" s="120"/>
      <c r="I915" s="120"/>
      <c r="J915" s="120"/>
      <c r="K915" s="120"/>
    </row>
    <row r="916">
      <c r="A916" s="120"/>
      <c r="B916" s="120"/>
      <c r="C916" s="120"/>
      <c r="D916" s="120"/>
      <c r="E916" s="120"/>
      <c r="F916" s="120"/>
      <c r="G916" s="120"/>
      <c r="H916" s="120"/>
      <c r="I916" s="120"/>
      <c r="J916" s="120"/>
      <c r="K916" s="120"/>
    </row>
    <row r="917">
      <c r="A917" s="120"/>
      <c r="B917" s="120"/>
      <c r="C917" s="120"/>
      <c r="D917" s="120"/>
      <c r="E917" s="120"/>
      <c r="F917" s="120"/>
      <c r="G917" s="120"/>
      <c r="H917" s="120"/>
      <c r="I917" s="120"/>
      <c r="J917" s="120"/>
      <c r="K917" s="120"/>
    </row>
    <row r="918">
      <c r="A918" s="120"/>
      <c r="B918" s="120"/>
      <c r="C918" s="120"/>
      <c r="D918" s="120"/>
      <c r="E918" s="120"/>
      <c r="F918" s="120"/>
      <c r="G918" s="120"/>
      <c r="H918" s="120"/>
      <c r="I918" s="120"/>
      <c r="J918" s="120"/>
      <c r="K918" s="120"/>
    </row>
    <row r="919">
      <c r="A919" s="120"/>
      <c r="B919" s="120"/>
      <c r="C919" s="120"/>
      <c r="D919" s="120"/>
      <c r="E919" s="120"/>
      <c r="F919" s="120"/>
      <c r="G919" s="120"/>
      <c r="H919" s="120"/>
      <c r="I919" s="120"/>
      <c r="J919" s="120"/>
      <c r="K919" s="120"/>
    </row>
    <row r="920">
      <c r="A920" s="120"/>
      <c r="B920" s="120"/>
      <c r="C920" s="120"/>
      <c r="D920" s="120"/>
      <c r="E920" s="120"/>
      <c r="F920" s="120"/>
      <c r="G920" s="120"/>
      <c r="H920" s="120"/>
      <c r="I920" s="120"/>
      <c r="J920" s="120"/>
      <c r="K920" s="120"/>
    </row>
    <row r="921">
      <c r="A921" s="120"/>
      <c r="B921" s="120"/>
      <c r="C921" s="120"/>
      <c r="D921" s="120"/>
      <c r="E921" s="120"/>
      <c r="F921" s="120"/>
      <c r="G921" s="120"/>
      <c r="H921" s="120"/>
      <c r="I921" s="120"/>
      <c r="J921" s="120"/>
      <c r="K921" s="120"/>
    </row>
    <row r="922">
      <c r="A922" s="120"/>
      <c r="B922" s="120"/>
      <c r="C922" s="120"/>
      <c r="D922" s="120"/>
      <c r="E922" s="120"/>
      <c r="F922" s="120"/>
      <c r="G922" s="120"/>
      <c r="H922" s="120"/>
      <c r="I922" s="120"/>
      <c r="J922" s="120"/>
      <c r="K922" s="120"/>
    </row>
    <row r="923">
      <c r="A923" s="120"/>
      <c r="B923" s="120"/>
      <c r="C923" s="120"/>
      <c r="D923" s="120"/>
      <c r="E923" s="120"/>
      <c r="F923" s="120"/>
      <c r="G923" s="120"/>
      <c r="H923" s="120"/>
      <c r="I923" s="120"/>
      <c r="J923" s="120"/>
      <c r="K923" s="120"/>
    </row>
    <row r="924">
      <c r="A924" s="120"/>
      <c r="B924" s="120"/>
      <c r="C924" s="120"/>
      <c r="D924" s="120"/>
      <c r="E924" s="120"/>
      <c r="F924" s="120"/>
      <c r="G924" s="120"/>
      <c r="H924" s="120"/>
      <c r="I924" s="120"/>
      <c r="J924" s="120"/>
      <c r="K924" s="120"/>
    </row>
    <row r="925">
      <c r="A925" s="120"/>
      <c r="B925" s="120"/>
      <c r="C925" s="120"/>
      <c r="D925" s="120"/>
      <c r="E925" s="120"/>
      <c r="F925" s="120"/>
      <c r="G925" s="120"/>
      <c r="H925" s="120"/>
      <c r="I925" s="120"/>
      <c r="J925" s="120"/>
      <c r="K925" s="120"/>
    </row>
    <row r="926">
      <c r="A926" s="120"/>
      <c r="B926" s="120"/>
      <c r="C926" s="120"/>
      <c r="D926" s="120"/>
      <c r="E926" s="120"/>
      <c r="F926" s="120"/>
      <c r="G926" s="120"/>
      <c r="H926" s="120"/>
      <c r="I926" s="120"/>
      <c r="J926" s="120"/>
      <c r="K926" s="120"/>
    </row>
    <row r="927">
      <c r="A927" s="120"/>
      <c r="B927" s="120"/>
      <c r="C927" s="120"/>
      <c r="D927" s="120"/>
      <c r="E927" s="120"/>
      <c r="F927" s="120"/>
      <c r="G927" s="120"/>
      <c r="H927" s="120"/>
      <c r="I927" s="120"/>
      <c r="J927" s="120"/>
      <c r="K927" s="120"/>
    </row>
    <row r="928">
      <c r="A928" s="120"/>
      <c r="B928" s="120"/>
      <c r="C928" s="120"/>
      <c r="D928" s="120"/>
      <c r="E928" s="120"/>
      <c r="F928" s="120"/>
      <c r="G928" s="120"/>
      <c r="H928" s="120"/>
      <c r="I928" s="120"/>
      <c r="J928" s="120"/>
      <c r="K928" s="120"/>
    </row>
    <row r="929">
      <c r="A929" s="120"/>
      <c r="B929" s="120"/>
      <c r="C929" s="120"/>
      <c r="D929" s="120"/>
      <c r="E929" s="120"/>
      <c r="F929" s="120"/>
      <c r="G929" s="120"/>
      <c r="H929" s="120"/>
      <c r="I929" s="120"/>
      <c r="J929" s="120"/>
      <c r="K929" s="120"/>
    </row>
    <row r="930">
      <c r="A930" s="120"/>
      <c r="B930" s="120"/>
      <c r="C930" s="120"/>
      <c r="D930" s="120"/>
      <c r="E930" s="120"/>
      <c r="F930" s="120"/>
      <c r="G930" s="120"/>
      <c r="H930" s="120"/>
      <c r="I930" s="120"/>
      <c r="J930" s="120"/>
      <c r="K930" s="120"/>
    </row>
    <row r="931">
      <c r="A931" s="120"/>
      <c r="B931" s="120"/>
      <c r="C931" s="120"/>
      <c r="D931" s="120"/>
      <c r="E931" s="120"/>
      <c r="F931" s="120"/>
      <c r="G931" s="120"/>
      <c r="H931" s="120"/>
      <c r="I931" s="120"/>
      <c r="J931" s="120"/>
      <c r="K931" s="120"/>
    </row>
    <row r="932">
      <c r="A932" s="120"/>
      <c r="B932" s="120"/>
      <c r="C932" s="120"/>
      <c r="D932" s="120"/>
      <c r="E932" s="120"/>
      <c r="F932" s="120"/>
      <c r="G932" s="120"/>
      <c r="H932" s="120"/>
      <c r="I932" s="120"/>
      <c r="J932" s="120"/>
      <c r="K932" s="120"/>
    </row>
    <row r="933">
      <c r="A933" s="120"/>
      <c r="B933" s="120"/>
      <c r="C933" s="120"/>
      <c r="D933" s="120"/>
      <c r="E933" s="120"/>
      <c r="F933" s="120"/>
      <c r="G933" s="120"/>
      <c r="H933" s="120"/>
      <c r="I933" s="120"/>
      <c r="J933" s="120"/>
      <c r="K933" s="120"/>
    </row>
    <row r="934">
      <c r="A934" s="120"/>
      <c r="B934" s="120"/>
      <c r="C934" s="120"/>
      <c r="D934" s="120"/>
      <c r="E934" s="120"/>
      <c r="F934" s="120"/>
      <c r="G934" s="120"/>
      <c r="H934" s="120"/>
      <c r="I934" s="120"/>
      <c r="J934" s="120"/>
      <c r="K934" s="120"/>
    </row>
    <row r="935">
      <c r="A935" s="120"/>
      <c r="B935" s="120"/>
      <c r="C935" s="120"/>
      <c r="D935" s="120"/>
      <c r="E935" s="120"/>
      <c r="F935" s="120"/>
      <c r="G935" s="120"/>
      <c r="H935" s="120"/>
      <c r="I935" s="120"/>
      <c r="J935" s="120"/>
      <c r="K935" s="120"/>
    </row>
    <row r="936">
      <c r="A936" s="120"/>
      <c r="B936" s="120"/>
      <c r="C936" s="120"/>
      <c r="D936" s="120"/>
      <c r="E936" s="120"/>
      <c r="F936" s="120"/>
      <c r="G936" s="120"/>
      <c r="H936" s="120"/>
      <c r="I936" s="120"/>
      <c r="J936" s="120"/>
      <c r="K936" s="120"/>
    </row>
    <row r="937">
      <c r="A937" s="120"/>
      <c r="B937" s="120"/>
      <c r="C937" s="120"/>
      <c r="D937" s="120"/>
      <c r="E937" s="120"/>
      <c r="F937" s="120"/>
      <c r="G937" s="120"/>
      <c r="H937" s="120"/>
      <c r="I937" s="120"/>
      <c r="J937" s="120"/>
      <c r="K937" s="120"/>
    </row>
    <row r="938">
      <c r="A938" s="120"/>
      <c r="B938" s="120"/>
      <c r="C938" s="120"/>
      <c r="D938" s="120"/>
      <c r="E938" s="120"/>
      <c r="F938" s="120"/>
      <c r="G938" s="120"/>
      <c r="H938" s="120"/>
      <c r="I938" s="120"/>
      <c r="J938" s="120"/>
      <c r="K938" s="120"/>
    </row>
    <row r="939">
      <c r="A939" s="120"/>
      <c r="B939" s="120"/>
      <c r="C939" s="120"/>
      <c r="D939" s="120"/>
      <c r="E939" s="120"/>
      <c r="F939" s="120"/>
      <c r="G939" s="120"/>
      <c r="H939" s="120"/>
      <c r="I939" s="120"/>
      <c r="J939" s="120"/>
      <c r="K939" s="120"/>
    </row>
    <row r="940">
      <c r="A940" s="120"/>
      <c r="B940" s="120"/>
      <c r="C940" s="120"/>
      <c r="D940" s="120"/>
      <c r="E940" s="120"/>
      <c r="F940" s="120"/>
      <c r="G940" s="120"/>
      <c r="H940" s="120"/>
      <c r="I940" s="120"/>
      <c r="J940" s="120"/>
      <c r="K940" s="120"/>
    </row>
    <row r="941">
      <c r="A941" s="120"/>
      <c r="B941" s="120"/>
      <c r="C941" s="120"/>
      <c r="D941" s="120"/>
      <c r="E941" s="120"/>
      <c r="F941" s="120"/>
      <c r="G941" s="120"/>
      <c r="H941" s="120"/>
      <c r="I941" s="120"/>
      <c r="J941" s="120"/>
      <c r="K941" s="120"/>
    </row>
    <row r="942">
      <c r="A942" s="120"/>
      <c r="B942" s="120"/>
      <c r="C942" s="120"/>
      <c r="D942" s="120"/>
      <c r="E942" s="120"/>
      <c r="F942" s="120"/>
      <c r="G942" s="120"/>
      <c r="H942" s="120"/>
      <c r="I942" s="120"/>
      <c r="J942" s="120"/>
      <c r="K942" s="120"/>
    </row>
    <row r="943">
      <c r="A943" s="120"/>
      <c r="B943" s="120"/>
      <c r="C943" s="120"/>
      <c r="D943" s="120"/>
      <c r="E943" s="120"/>
      <c r="F943" s="120"/>
      <c r="G943" s="120"/>
      <c r="H943" s="120"/>
      <c r="I943" s="120"/>
      <c r="J943" s="120"/>
      <c r="K943" s="120"/>
    </row>
    <row r="944">
      <c r="A944" s="120"/>
      <c r="B944" s="120"/>
      <c r="C944" s="120"/>
      <c r="D944" s="120"/>
      <c r="E944" s="120"/>
      <c r="F944" s="120"/>
      <c r="G944" s="120"/>
      <c r="H944" s="120"/>
      <c r="I944" s="120"/>
      <c r="J944" s="120"/>
      <c r="K944" s="120"/>
    </row>
    <row r="945">
      <c r="A945" s="120"/>
      <c r="B945" s="120"/>
      <c r="C945" s="120"/>
      <c r="D945" s="120"/>
      <c r="E945" s="120"/>
      <c r="F945" s="120"/>
      <c r="G945" s="120"/>
      <c r="H945" s="120"/>
      <c r="I945" s="120"/>
      <c r="J945" s="120"/>
      <c r="K945" s="120"/>
    </row>
    <row r="946">
      <c r="A946" s="120"/>
      <c r="B946" s="120"/>
      <c r="C946" s="120"/>
      <c r="D946" s="120"/>
      <c r="E946" s="120"/>
      <c r="F946" s="120"/>
      <c r="G946" s="120"/>
      <c r="H946" s="120"/>
      <c r="I946" s="120"/>
      <c r="J946" s="120"/>
      <c r="K946" s="120"/>
    </row>
    <row r="947">
      <c r="A947" s="120"/>
      <c r="B947" s="120"/>
      <c r="C947" s="120"/>
      <c r="D947" s="120"/>
      <c r="E947" s="120"/>
      <c r="F947" s="120"/>
      <c r="G947" s="120"/>
      <c r="H947" s="120"/>
      <c r="I947" s="120"/>
      <c r="J947" s="120"/>
      <c r="K947" s="120"/>
    </row>
    <row r="948">
      <c r="A948" s="120"/>
      <c r="B948" s="120"/>
      <c r="C948" s="120"/>
      <c r="D948" s="120"/>
      <c r="E948" s="120"/>
      <c r="F948" s="120"/>
      <c r="G948" s="120"/>
      <c r="H948" s="120"/>
      <c r="I948" s="120"/>
      <c r="J948" s="120"/>
      <c r="K948" s="120"/>
    </row>
    <row r="949">
      <c r="A949" s="120"/>
      <c r="B949" s="120"/>
      <c r="C949" s="120"/>
      <c r="D949" s="120"/>
      <c r="E949" s="120"/>
      <c r="F949" s="120"/>
      <c r="G949" s="120"/>
      <c r="H949" s="120"/>
      <c r="I949" s="120"/>
      <c r="J949" s="120"/>
      <c r="K949" s="120"/>
    </row>
    <row r="950">
      <c r="A950" s="120"/>
      <c r="B950" s="120"/>
      <c r="C950" s="120"/>
      <c r="D950" s="120"/>
      <c r="E950" s="120"/>
      <c r="F950" s="120"/>
      <c r="G950" s="120"/>
      <c r="H950" s="120"/>
      <c r="I950" s="120"/>
      <c r="J950" s="120"/>
      <c r="K950" s="120"/>
    </row>
    <row r="951">
      <c r="A951" s="120"/>
      <c r="B951" s="120"/>
      <c r="C951" s="120"/>
      <c r="D951" s="120"/>
      <c r="E951" s="120"/>
      <c r="F951" s="120"/>
      <c r="G951" s="120"/>
      <c r="H951" s="120"/>
      <c r="I951" s="120"/>
      <c r="J951" s="120"/>
      <c r="K951" s="120"/>
    </row>
    <row r="952">
      <c r="A952" s="120"/>
      <c r="B952" s="120"/>
      <c r="C952" s="120"/>
      <c r="D952" s="120"/>
      <c r="E952" s="120"/>
      <c r="F952" s="120"/>
      <c r="G952" s="120"/>
      <c r="H952" s="120"/>
      <c r="I952" s="120"/>
      <c r="J952" s="120"/>
      <c r="K952" s="120"/>
    </row>
    <row r="953">
      <c r="A953" s="120"/>
      <c r="B953" s="120"/>
      <c r="C953" s="120"/>
      <c r="D953" s="120"/>
      <c r="E953" s="120"/>
      <c r="F953" s="120"/>
      <c r="G953" s="120"/>
      <c r="H953" s="120"/>
      <c r="I953" s="120"/>
      <c r="J953" s="120"/>
      <c r="K953" s="120"/>
    </row>
    <row r="954">
      <c r="A954" s="120"/>
      <c r="B954" s="120"/>
      <c r="C954" s="120"/>
      <c r="D954" s="120"/>
      <c r="E954" s="120"/>
      <c r="F954" s="120"/>
      <c r="G954" s="120"/>
      <c r="H954" s="120"/>
      <c r="I954" s="120"/>
      <c r="J954" s="120"/>
      <c r="K954" s="120"/>
    </row>
    <row r="955">
      <c r="A955" s="120"/>
      <c r="B955" s="120"/>
      <c r="C955" s="120"/>
      <c r="D955" s="120"/>
      <c r="E955" s="120"/>
      <c r="F955" s="120"/>
      <c r="G955" s="120"/>
      <c r="H955" s="120"/>
      <c r="I955" s="120"/>
      <c r="J955" s="120"/>
      <c r="K955" s="120"/>
    </row>
    <row r="956">
      <c r="A956" s="120"/>
      <c r="B956" s="120"/>
      <c r="C956" s="120"/>
      <c r="D956" s="120"/>
      <c r="E956" s="120"/>
      <c r="F956" s="120"/>
      <c r="G956" s="120"/>
      <c r="H956" s="120"/>
      <c r="I956" s="120"/>
      <c r="J956" s="120"/>
      <c r="K956" s="120"/>
    </row>
    <row r="957">
      <c r="A957" s="120"/>
      <c r="B957" s="120"/>
      <c r="C957" s="120"/>
      <c r="D957" s="120"/>
      <c r="E957" s="120"/>
      <c r="F957" s="120"/>
      <c r="G957" s="120"/>
      <c r="H957" s="120"/>
      <c r="I957" s="120"/>
      <c r="J957" s="120"/>
      <c r="K957" s="120"/>
    </row>
    <row r="958">
      <c r="A958" s="120"/>
      <c r="B958" s="120"/>
      <c r="C958" s="120"/>
      <c r="D958" s="120"/>
      <c r="E958" s="120"/>
      <c r="F958" s="120"/>
      <c r="G958" s="120"/>
      <c r="H958" s="120"/>
      <c r="I958" s="120"/>
      <c r="J958" s="120"/>
      <c r="K958" s="120"/>
    </row>
    <row r="959">
      <c r="A959" s="120"/>
      <c r="B959" s="120"/>
      <c r="C959" s="120"/>
      <c r="D959" s="120"/>
      <c r="E959" s="120"/>
      <c r="F959" s="120"/>
      <c r="G959" s="120"/>
      <c r="H959" s="120"/>
      <c r="I959" s="120"/>
      <c r="J959" s="120"/>
      <c r="K959" s="120"/>
    </row>
    <row r="960">
      <c r="A960" s="120"/>
      <c r="B960" s="120"/>
      <c r="C960" s="120"/>
      <c r="D960" s="120"/>
      <c r="E960" s="120"/>
      <c r="F960" s="120"/>
      <c r="G960" s="120"/>
      <c r="H960" s="120"/>
      <c r="I960" s="120"/>
      <c r="J960" s="120"/>
      <c r="K960" s="120"/>
    </row>
    <row r="961">
      <c r="A961" s="120"/>
      <c r="B961" s="120"/>
      <c r="C961" s="120"/>
      <c r="D961" s="120"/>
      <c r="E961" s="120"/>
      <c r="F961" s="120"/>
      <c r="G961" s="120"/>
      <c r="H961" s="120"/>
      <c r="I961" s="120"/>
      <c r="J961" s="120"/>
      <c r="K961" s="120"/>
    </row>
    <row r="962">
      <c r="A962" s="120"/>
      <c r="B962" s="120"/>
      <c r="C962" s="120"/>
      <c r="D962" s="120"/>
      <c r="E962" s="120"/>
      <c r="F962" s="120"/>
      <c r="G962" s="120"/>
      <c r="H962" s="120"/>
      <c r="I962" s="120"/>
      <c r="J962" s="120"/>
      <c r="K962" s="120"/>
    </row>
    <row r="963">
      <c r="A963" s="120"/>
      <c r="B963" s="120"/>
      <c r="C963" s="120"/>
      <c r="D963" s="120"/>
      <c r="E963" s="120"/>
      <c r="F963" s="120"/>
      <c r="G963" s="120"/>
      <c r="H963" s="120"/>
      <c r="I963" s="120"/>
      <c r="J963" s="120"/>
      <c r="K963" s="120"/>
    </row>
    <row r="964">
      <c r="A964" s="120"/>
      <c r="B964" s="120"/>
      <c r="C964" s="120"/>
      <c r="D964" s="120"/>
      <c r="E964" s="120"/>
      <c r="F964" s="120"/>
      <c r="G964" s="120"/>
      <c r="H964" s="120"/>
      <c r="I964" s="120"/>
      <c r="J964" s="120"/>
      <c r="K964" s="120"/>
    </row>
    <row r="965">
      <c r="A965" s="120"/>
      <c r="B965" s="120"/>
      <c r="C965" s="120"/>
      <c r="D965" s="120"/>
      <c r="E965" s="120"/>
      <c r="F965" s="120"/>
      <c r="G965" s="120"/>
      <c r="H965" s="120"/>
      <c r="I965" s="120"/>
      <c r="J965" s="120"/>
      <c r="K965" s="120"/>
    </row>
    <row r="966">
      <c r="A966" s="120"/>
      <c r="B966" s="120"/>
      <c r="C966" s="120"/>
      <c r="D966" s="120"/>
      <c r="E966" s="120"/>
      <c r="F966" s="120"/>
      <c r="G966" s="120"/>
      <c r="H966" s="120"/>
      <c r="I966" s="120"/>
      <c r="J966" s="120"/>
      <c r="K966" s="120"/>
    </row>
    <row r="967">
      <c r="A967" s="120"/>
      <c r="B967" s="120"/>
      <c r="C967" s="120"/>
      <c r="D967" s="120"/>
      <c r="E967" s="120"/>
      <c r="F967" s="120"/>
      <c r="G967" s="120"/>
      <c r="H967" s="120"/>
      <c r="I967" s="120"/>
      <c r="J967" s="120"/>
      <c r="K967" s="120"/>
    </row>
    <row r="968">
      <c r="A968" s="120"/>
      <c r="B968" s="120"/>
      <c r="C968" s="120"/>
      <c r="D968" s="120"/>
      <c r="E968" s="120"/>
      <c r="F968" s="120"/>
      <c r="G968" s="120"/>
      <c r="H968" s="120"/>
      <c r="I968" s="120"/>
      <c r="J968" s="120"/>
      <c r="K968" s="120"/>
    </row>
    <row r="969">
      <c r="A969" s="120"/>
      <c r="B969" s="120"/>
      <c r="C969" s="120"/>
      <c r="D969" s="120"/>
      <c r="E969" s="120"/>
      <c r="F969" s="120"/>
      <c r="G969" s="120"/>
      <c r="H969" s="120"/>
      <c r="I969" s="120"/>
      <c r="J969" s="120"/>
      <c r="K969" s="120"/>
    </row>
    <row r="970">
      <c r="A970" s="120"/>
      <c r="B970" s="120"/>
      <c r="C970" s="120"/>
      <c r="D970" s="120"/>
      <c r="E970" s="120"/>
      <c r="F970" s="120"/>
      <c r="G970" s="120"/>
      <c r="H970" s="120"/>
      <c r="I970" s="120"/>
      <c r="J970" s="120"/>
      <c r="K970" s="120"/>
    </row>
    <row r="971">
      <c r="A971" s="120"/>
      <c r="B971" s="120"/>
      <c r="C971" s="120"/>
      <c r="D971" s="120"/>
      <c r="E971" s="120"/>
      <c r="F971" s="120"/>
      <c r="G971" s="120"/>
      <c r="H971" s="120"/>
      <c r="I971" s="120"/>
      <c r="J971" s="120"/>
      <c r="K971" s="120"/>
    </row>
    <row r="972">
      <c r="A972" s="120"/>
      <c r="B972" s="120"/>
      <c r="C972" s="120"/>
      <c r="D972" s="120"/>
      <c r="E972" s="120"/>
      <c r="F972" s="120"/>
      <c r="G972" s="120"/>
      <c r="H972" s="120"/>
      <c r="I972" s="120"/>
      <c r="J972" s="120"/>
      <c r="K972" s="120"/>
    </row>
    <row r="973">
      <c r="A973" s="120"/>
      <c r="B973" s="120"/>
      <c r="C973" s="120"/>
      <c r="D973" s="120"/>
      <c r="E973" s="120"/>
      <c r="F973" s="120"/>
      <c r="G973" s="120"/>
      <c r="H973" s="120"/>
      <c r="I973" s="120"/>
      <c r="J973" s="120"/>
      <c r="K973" s="120"/>
    </row>
    <row r="974">
      <c r="A974" s="120"/>
      <c r="B974" s="120"/>
      <c r="C974" s="120"/>
      <c r="D974" s="120"/>
      <c r="E974" s="120"/>
      <c r="F974" s="120"/>
      <c r="G974" s="120"/>
      <c r="H974" s="120"/>
      <c r="I974" s="120"/>
      <c r="J974" s="120"/>
      <c r="K974" s="120"/>
    </row>
    <row r="975">
      <c r="A975" s="120"/>
      <c r="B975" s="120"/>
      <c r="C975" s="120"/>
      <c r="D975" s="120"/>
      <c r="E975" s="120"/>
      <c r="F975" s="120"/>
      <c r="G975" s="120"/>
      <c r="H975" s="120"/>
      <c r="I975" s="120"/>
      <c r="J975" s="120"/>
      <c r="K975" s="120"/>
    </row>
    <row r="976">
      <c r="A976" s="120"/>
      <c r="B976" s="120"/>
      <c r="C976" s="120"/>
      <c r="D976" s="120"/>
      <c r="E976" s="120"/>
      <c r="F976" s="120"/>
      <c r="G976" s="120"/>
      <c r="H976" s="120"/>
      <c r="I976" s="120"/>
      <c r="J976" s="120"/>
      <c r="K976" s="120"/>
    </row>
    <row r="977">
      <c r="A977" s="120"/>
      <c r="B977" s="120"/>
      <c r="C977" s="120"/>
      <c r="D977" s="120"/>
      <c r="E977" s="120"/>
      <c r="F977" s="120"/>
      <c r="G977" s="120"/>
      <c r="H977" s="120"/>
      <c r="I977" s="120"/>
      <c r="J977" s="120"/>
      <c r="K977" s="120"/>
    </row>
    <row r="978">
      <c r="A978" s="120"/>
      <c r="B978" s="120"/>
      <c r="C978" s="120"/>
      <c r="D978" s="120"/>
      <c r="E978" s="120"/>
      <c r="F978" s="120"/>
      <c r="G978" s="120"/>
      <c r="H978" s="120"/>
      <c r="I978" s="120"/>
      <c r="J978" s="120"/>
      <c r="K978" s="120"/>
    </row>
    <row r="979">
      <c r="A979" s="120"/>
      <c r="B979" s="120"/>
      <c r="C979" s="120"/>
      <c r="D979" s="120"/>
      <c r="E979" s="120"/>
      <c r="F979" s="120"/>
      <c r="G979" s="120"/>
      <c r="H979" s="120"/>
      <c r="I979" s="120"/>
      <c r="J979" s="120"/>
      <c r="K979" s="120"/>
    </row>
    <row r="980">
      <c r="A980" s="120"/>
      <c r="B980" s="120"/>
      <c r="C980" s="120"/>
      <c r="D980" s="120"/>
      <c r="E980" s="120"/>
      <c r="F980" s="120"/>
      <c r="G980" s="120"/>
      <c r="H980" s="120"/>
      <c r="I980" s="120"/>
      <c r="J980" s="120"/>
      <c r="K980" s="120"/>
    </row>
    <row r="981">
      <c r="A981" s="120"/>
      <c r="B981" s="120"/>
      <c r="C981" s="120"/>
      <c r="D981" s="120"/>
      <c r="E981" s="120"/>
      <c r="F981" s="120"/>
      <c r="G981" s="120"/>
      <c r="H981" s="120"/>
      <c r="I981" s="120"/>
      <c r="J981" s="120"/>
      <c r="K981" s="120"/>
    </row>
    <row r="982">
      <c r="A982" s="120"/>
      <c r="B982" s="120"/>
      <c r="C982" s="120"/>
      <c r="D982" s="120"/>
      <c r="E982" s="120"/>
      <c r="F982" s="120"/>
      <c r="G982" s="120"/>
      <c r="H982" s="120"/>
      <c r="I982" s="120"/>
      <c r="J982" s="120"/>
      <c r="K982" s="120"/>
    </row>
    <row r="983">
      <c r="A983" s="120"/>
      <c r="B983" s="120"/>
      <c r="C983" s="120"/>
      <c r="D983" s="120"/>
      <c r="E983" s="120"/>
      <c r="F983" s="120"/>
      <c r="G983" s="120"/>
      <c r="H983" s="120"/>
      <c r="I983" s="120"/>
      <c r="J983" s="120"/>
      <c r="K983" s="120"/>
    </row>
    <row r="984">
      <c r="A984" s="120"/>
      <c r="B984" s="120"/>
      <c r="C984" s="120"/>
      <c r="D984" s="120"/>
      <c r="E984" s="120"/>
      <c r="F984" s="120"/>
      <c r="G984" s="120"/>
      <c r="H984" s="120"/>
      <c r="I984" s="120"/>
      <c r="J984" s="120"/>
      <c r="K984" s="120"/>
    </row>
    <row r="985">
      <c r="A985" s="120"/>
      <c r="B985" s="120"/>
      <c r="C985" s="120"/>
      <c r="D985" s="120"/>
      <c r="E985" s="120"/>
      <c r="F985" s="120"/>
      <c r="G985" s="120"/>
      <c r="H985" s="120"/>
      <c r="I985" s="120"/>
      <c r="J985" s="120"/>
      <c r="K985" s="120"/>
    </row>
    <row r="986">
      <c r="A986" s="120"/>
      <c r="B986" s="120"/>
      <c r="C986" s="120"/>
      <c r="D986" s="120"/>
      <c r="E986" s="120"/>
      <c r="F986" s="120"/>
      <c r="G986" s="120"/>
      <c r="H986" s="120"/>
      <c r="I986" s="120"/>
      <c r="J986" s="120"/>
      <c r="K986" s="120"/>
    </row>
    <row r="987">
      <c r="A987" s="120"/>
      <c r="B987" s="120"/>
      <c r="C987" s="120"/>
      <c r="D987" s="120"/>
      <c r="E987" s="120"/>
      <c r="F987" s="120"/>
      <c r="G987" s="120"/>
      <c r="H987" s="120"/>
      <c r="I987" s="120"/>
      <c r="J987" s="120"/>
      <c r="K987" s="120"/>
    </row>
    <row r="988">
      <c r="A988" s="120"/>
      <c r="B988" s="120"/>
      <c r="C988" s="120"/>
      <c r="D988" s="120"/>
      <c r="E988" s="120"/>
      <c r="F988" s="120"/>
      <c r="G988" s="120"/>
      <c r="H988" s="120"/>
      <c r="I988" s="120"/>
      <c r="J988" s="120"/>
      <c r="K988" s="120"/>
    </row>
    <row r="989">
      <c r="A989" s="120"/>
      <c r="B989" s="120"/>
      <c r="C989" s="120"/>
      <c r="D989" s="120"/>
      <c r="E989" s="120"/>
      <c r="F989" s="120"/>
      <c r="G989" s="120"/>
      <c r="H989" s="120"/>
      <c r="I989" s="120"/>
      <c r="J989" s="120"/>
      <c r="K989" s="120"/>
    </row>
    <row r="990">
      <c r="A990" s="120"/>
      <c r="B990" s="120"/>
      <c r="C990" s="120"/>
      <c r="D990" s="120"/>
      <c r="E990" s="120"/>
      <c r="F990" s="120"/>
      <c r="G990" s="120"/>
      <c r="H990" s="120"/>
      <c r="I990" s="120"/>
      <c r="J990" s="120"/>
      <c r="K990" s="120"/>
    </row>
    <row r="991">
      <c r="A991" s="120"/>
      <c r="B991" s="120"/>
      <c r="C991" s="120"/>
      <c r="D991" s="120"/>
      <c r="E991" s="120"/>
      <c r="F991" s="120"/>
      <c r="G991" s="120"/>
      <c r="H991" s="120"/>
      <c r="I991" s="120"/>
      <c r="J991" s="120"/>
      <c r="K991" s="120"/>
    </row>
    <row r="992">
      <c r="A992" s="120"/>
      <c r="B992" s="120"/>
      <c r="C992" s="120"/>
      <c r="D992" s="120"/>
      <c r="E992" s="120"/>
      <c r="F992" s="120"/>
      <c r="G992" s="120"/>
      <c r="H992" s="120"/>
      <c r="I992" s="120"/>
      <c r="J992" s="120"/>
      <c r="K992" s="120"/>
    </row>
    <row r="993">
      <c r="A993" s="120"/>
      <c r="B993" s="120"/>
      <c r="C993" s="120"/>
      <c r="D993" s="120"/>
      <c r="E993" s="120"/>
      <c r="F993" s="120"/>
      <c r="G993" s="120"/>
      <c r="H993" s="120"/>
      <c r="I993" s="120"/>
      <c r="J993" s="120"/>
      <c r="K993" s="120"/>
    </row>
    <row r="994">
      <c r="A994" s="120"/>
      <c r="B994" s="120"/>
      <c r="C994" s="120"/>
      <c r="D994" s="120"/>
      <c r="E994" s="120"/>
      <c r="F994" s="120"/>
      <c r="G994" s="120"/>
      <c r="H994" s="120"/>
      <c r="I994" s="120"/>
      <c r="J994" s="120"/>
      <c r="K994" s="120"/>
    </row>
    <row r="995">
      <c r="A995" s="120"/>
      <c r="B995" s="120"/>
      <c r="C995" s="120"/>
      <c r="D995" s="120"/>
      <c r="E995" s="120"/>
      <c r="F995" s="120"/>
      <c r="G995" s="120"/>
      <c r="H995" s="120"/>
      <c r="I995" s="120"/>
      <c r="J995" s="120"/>
      <c r="K995" s="120"/>
    </row>
    <row r="996">
      <c r="A996" s="120"/>
      <c r="B996" s="120"/>
      <c r="C996" s="120"/>
      <c r="D996" s="120"/>
      <c r="E996" s="120"/>
      <c r="F996" s="120"/>
      <c r="G996" s="120"/>
      <c r="H996" s="120"/>
      <c r="I996" s="120"/>
      <c r="J996" s="120"/>
      <c r="K996" s="120"/>
    </row>
    <row r="997">
      <c r="A997" s="120"/>
      <c r="B997" s="120"/>
      <c r="C997" s="120"/>
      <c r="D997" s="120"/>
      <c r="E997" s="120"/>
      <c r="F997" s="120"/>
      <c r="G997" s="120"/>
      <c r="H997" s="120"/>
      <c r="I997" s="120"/>
      <c r="J997" s="120"/>
      <c r="K997" s="120"/>
    </row>
    <row r="998">
      <c r="A998" s="120"/>
      <c r="B998" s="120"/>
      <c r="C998" s="120"/>
      <c r="D998" s="120"/>
      <c r="E998" s="120"/>
      <c r="F998" s="120"/>
      <c r="G998" s="120"/>
      <c r="H998" s="120"/>
      <c r="I998" s="120"/>
      <c r="J998" s="120"/>
      <c r="K998" s="120"/>
    </row>
    <row r="999">
      <c r="A999" s="120"/>
      <c r="B999" s="120"/>
      <c r="C999" s="120"/>
      <c r="D999" s="120"/>
      <c r="E999" s="120"/>
      <c r="F999" s="120"/>
      <c r="G999" s="120"/>
      <c r="H999" s="120"/>
      <c r="I999" s="120"/>
      <c r="J999" s="120"/>
      <c r="K999" s="120"/>
    </row>
    <row r="1000">
      <c r="A1000" s="120"/>
      <c r="B1000" s="120"/>
      <c r="C1000" s="120"/>
      <c r="D1000" s="120"/>
      <c r="E1000" s="120"/>
      <c r="F1000" s="120"/>
      <c r="G1000" s="120"/>
      <c r="H1000" s="120"/>
      <c r="I1000" s="120"/>
      <c r="J1000" s="120"/>
      <c r="K1000" s="120"/>
    </row>
    <row r="1001">
      <c r="A1001" s="120"/>
      <c r="B1001" s="120"/>
      <c r="C1001" s="120"/>
      <c r="D1001" s="120"/>
      <c r="E1001" s="120"/>
      <c r="F1001" s="120"/>
      <c r="G1001" s="120"/>
      <c r="H1001" s="120"/>
      <c r="I1001" s="120"/>
      <c r="J1001" s="120"/>
      <c r="K1001" s="120"/>
    </row>
    <row r="1002">
      <c r="A1002" s="120"/>
      <c r="B1002" s="120"/>
      <c r="C1002" s="120"/>
      <c r="D1002" s="120"/>
      <c r="E1002" s="120"/>
      <c r="F1002" s="120"/>
      <c r="G1002" s="120"/>
      <c r="H1002" s="120"/>
      <c r="I1002" s="120"/>
      <c r="J1002" s="120"/>
      <c r="K1002" s="120"/>
    </row>
    <row r="1003">
      <c r="A1003" s="120"/>
      <c r="B1003" s="120"/>
      <c r="C1003" s="120"/>
      <c r="D1003" s="120"/>
      <c r="E1003" s="120"/>
      <c r="F1003" s="120"/>
      <c r="G1003" s="120"/>
      <c r="H1003" s="120"/>
      <c r="I1003" s="120"/>
      <c r="J1003" s="120"/>
      <c r="K1003" s="120"/>
    </row>
    <row r="1004">
      <c r="A1004" s="120"/>
      <c r="B1004" s="120"/>
      <c r="C1004" s="120"/>
      <c r="D1004" s="120"/>
      <c r="E1004" s="120"/>
      <c r="F1004" s="120"/>
      <c r="G1004" s="120"/>
      <c r="H1004" s="120"/>
      <c r="I1004" s="120"/>
      <c r="J1004" s="120"/>
      <c r="K1004" s="120"/>
    </row>
    <row r="1005">
      <c r="A1005" s="120"/>
      <c r="B1005" s="120"/>
      <c r="C1005" s="120"/>
      <c r="D1005" s="120"/>
      <c r="E1005" s="120"/>
      <c r="F1005" s="120"/>
      <c r="G1005" s="120"/>
      <c r="H1005" s="120"/>
      <c r="I1005" s="120"/>
      <c r="J1005" s="120"/>
      <c r="K1005" s="120"/>
    </row>
    <row r="1006">
      <c r="A1006" s="120"/>
      <c r="B1006" s="120"/>
      <c r="C1006" s="120"/>
      <c r="D1006" s="120"/>
      <c r="E1006" s="120"/>
      <c r="F1006" s="120"/>
      <c r="G1006" s="120"/>
      <c r="H1006" s="120"/>
      <c r="I1006" s="120"/>
      <c r="J1006" s="120"/>
      <c r="K1006" s="120"/>
    </row>
    <row r="1007">
      <c r="A1007" s="120"/>
      <c r="B1007" s="120"/>
      <c r="C1007" s="120"/>
      <c r="D1007" s="120"/>
      <c r="E1007" s="120"/>
      <c r="F1007" s="120"/>
      <c r="G1007" s="120"/>
      <c r="H1007" s="120"/>
      <c r="I1007" s="120"/>
      <c r="J1007" s="120"/>
      <c r="K1007" s="120"/>
    </row>
    <row r="1008">
      <c r="A1008" s="120"/>
      <c r="B1008" s="120"/>
      <c r="C1008" s="120"/>
      <c r="D1008" s="120"/>
      <c r="E1008" s="120"/>
      <c r="F1008" s="120"/>
      <c r="G1008" s="120"/>
      <c r="H1008" s="120"/>
      <c r="I1008" s="120"/>
      <c r="J1008" s="120"/>
      <c r="K1008" s="120"/>
    </row>
    <row r="1009">
      <c r="A1009" s="120"/>
      <c r="B1009" s="120"/>
      <c r="C1009" s="120"/>
      <c r="D1009" s="120"/>
      <c r="E1009" s="120"/>
      <c r="F1009" s="120"/>
      <c r="G1009" s="120"/>
      <c r="H1009" s="120"/>
      <c r="I1009" s="120"/>
      <c r="J1009" s="120"/>
      <c r="K1009" s="120"/>
    </row>
    <row r="1010">
      <c r="A1010" s="120"/>
      <c r="B1010" s="120"/>
      <c r="C1010" s="120"/>
      <c r="D1010" s="120"/>
      <c r="E1010" s="120"/>
      <c r="F1010" s="120"/>
      <c r="G1010" s="120"/>
      <c r="H1010" s="120"/>
      <c r="I1010" s="120"/>
      <c r="J1010" s="120"/>
      <c r="K1010" s="120"/>
    </row>
    <row r="1011">
      <c r="A1011" s="120"/>
      <c r="B1011" s="120"/>
      <c r="C1011" s="120"/>
      <c r="D1011" s="120"/>
      <c r="E1011" s="120"/>
      <c r="F1011" s="120"/>
      <c r="G1011" s="120"/>
      <c r="H1011" s="120"/>
      <c r="I1011" s="120"/>
      <c r="J1011" s="120"/>
      <c r="K1011" s="120"/>
    </row>
    <row r="1012">
      <c r="A1012" s="120"/>
      <c r="B1012" s="120"/>
      <c r="C1012" s="120"/>
      <c r="D1012" s="120"/>
      <c r="E1012" s="120"/>
      <c r="F1012" s="120"/>
      <c r="G1012" s="120"/>
      <c r="H1012" s="120"/>
      <c r="I1012" s="120"/>
      <c r="J1012" s="120"/>
      <c r="K1012" s="120"/>
    </row>
    <row r="1013">
      <c r="A1013" s="120"/>
      <c r="B1013" s="120"/>
      <c r="C1013" s="120"/>
      <c r="D1013" s="120"/>
      <c r="E1013" s="120"/>
      <c r="F1013" s="120"/>
      <c r="G1013" s="120"/>
      <c r="H1013" s="120"/>
      <c r="I1013" s="120"/>
      <c r="J1013" s="120"/>
      <c r="K1013" s="120"/>
    </row>
    <row r="1014">
      <c r="A1014" s="120"/>
      <c r="B1014" s="120"/>
      <c r="C1014" s="120"/>
      <c r="D1014" s="120"/>
      <c r="E1014" s="120"/>
      <c r="F1014" s="120"/>
      <c r="G1014" s="120"/>
      <c r="H1014" s="120"/>
      <c r="I1014" s="120"/>
      <c r="J1014" s="120"/>
      <c r="K1014" s="120"/>
    </row>
    <row r="1015">
      <c r="A1015" s="120"/>
      <c r="B1015" s="120"/>
      <c r="C1015" s="120"/>
      <c r="D1015" s="120"/>
      <c r="E1015" s="120"/>
      <c r="F1015" s="120"/>
      <c r="G1015" s="120"/>
      <c r="H1015" s="120"/>
      <c r="I1015" s="120"/>
      <c r="J1015" s="120"/>
      <c r="K1015" s="120"/>
    </row>
    <row r="1016">
      <c r="A1016" s="120"/>
      <c r="B1016" s="120"/>
      <c r="C1016" s="120"/>
      <c r="D1016" s="120"/>
      <c r="E1016" s="120"/>
      <c r="F1016" s="120"/>
      <c r="G1016" s="120"/>
      <c r="H1016" s="120"/>
      <c r="I1016" s="120"/>
      <c r="J1016" s="120"/>
      <c r="K1016" s="120"/>
    </row>
    <row r="1017">
      <c r="A1017" s="120"/>
      <c r="B1017" s="120"/>
      <c r="C1017" s="120"/>
      <c r="D1017" s="120"/>
      <c r="E1017" s="120"/>
      <c r="F1017" s="120"/>
      <c r="G1017" s="120"/>
      <c r="H1017" s="120"/>
      <c r="I1017" s="120"/>
      <c r="J1017" s="120"/>
      <c r="K1017" s="120"/>
    </row>
    <row r="1018">
      <c r="A1018" s="120"/>
      <c r="B1018" s="120"/>
      <c r="C1018" s="120"/>
      <c r="D1018" s="120"/>
      <c r="E1018" s="120"/>
      <c r="F1018" s="120"/>
      <c r="G1018" s="120"/>
      <c r="H1018" s="120"/>
      <c r="I1018" s="120"/>
      <c r="J1018" s="120"/>
      <c r="K1018" s="120"/>
    </row>
    <row r="1019">
      <c r="A1019" s="120"/>
      <c r="B1019" s="120"/>
      <c r="C1019" s="120"/>
      <c r="D1019" s="120"/>
      <c r="E1019" s="120"/>
      <c r="F1019" s="120"/>
      <c r="G1019" s="120"/>
      <c r="H1019" s="120"/>
      <c r="I1019" s="120"/>
      <c r="J1019" s="120"/>
      <c r="K1019" s="120"/>
    </row>
    <row r="1020">
      <c r="A1020" s="120"/>
      <c r="B1020" s="120"/>
      <c r="C1020" s="120"/>
      <c r="D1020" s="120"/>
      <c r="E1020" s="120"/>
      <c r="F1020" s="120"/>
      <c r="G1020" s="120"/>
      <c r="H1020" s="120"/>
      <c r="I1020" s="120"/>
      <c r="J1020" s="120"/>
      <c r="K1020" s="120"/>
    </row>
    <row r="1021">
      <c r="A1021" s="120"/>
      <c r="B1021" s="120"/>
      <c r="C1021" s="120"/>
      <c r="D1021" s="120"/>
      <c r="E1021" s="120"/>
      <c r="F1021" s="120"/>
      <c r="G1021" s="120"/>
      <c r="H1021" s="120"/>
      <c r="I1021" s="120"/>
      <c r="J1021" s="120"/>
      <c r="K1021" s="120"/>
    </row>
    <row r="1022">
      <c r="A1022" s="120"/>
      <c r="B1022" s="120"/>
      <c r="C1022" s="120"/>
      <c r="D1022" s="120"/>
      <c r="E1022" s="120"/>
      <c r="F1022" s="120"/>
      <c r="G1022" s="120"/>
      <c r="H1022" s="120"/>
      <c r="I1022" s="120"/>
      <c r="J1022" s="120"/>
      <c r="K1022" s="120"/>
    </row>
    <row r="1023">
      <c r="A1023" s="120"/>
      <c r="B1023" s="120"/>
      <c r="C1023" s="120"/>
      <c r="D1023" s="120"/>
      <c r="E1023" s="120"/>
      <c r="F1023" s="120"/>
      <c r="G1023" s="120"/>
      <c r="H1023" s="120"/>
      <c r="I1023" s="120"/>
      <c r="J1023" s="120"/>
      <c r="K1023" s="120"/>
    </row>
    <row r="1024">
      <c r="A1024" s="120"/>
      <c r="B1024" s="120"/>
      <c r="C1024" s="120"/>
      <c r="D1024" s="120"/>
      <c r="E1024" s="120"/>
      <c r="F1024" s="120"/>
      <c r="G1024" s="120"/>
      <c r="H1024" s="120"/>
      <c r="I1024" s="120"/>
      <c r="J1024" s="120"/>
      <c r="K1024" s="120"/>
    </row>
    <row r="1025">
      <c r="A1025" s="120"/>
      <c r="B1025" s="120"/>
      <c r="C1025" s="120"/>
      <c r="D1025" s="120"/>
      <c r="E1025" s="120"/>
      <c r="F1025" s="120"/>
      <c r="G1025" s="120"/>
      <c r="H1025" s="120"/>
      <c r="I1025" s="120"/>
      <c r="J1025" s="120"/>
      <c r="K1025" s="120"/>
    </row>
    <row r="1026">
      <c r="A1026" s="120"/>
      <c r="B1026" s="120"/>
      <c r="C1026" s="120"/>
      <c r="D1026" s="120"/>
      <c r="E1026" s="120"/>
      <c r="F1026" s="120"/>
      <c r="G1026" s="120"/>
      <c r="H1026" s="120"/>
      <c r="I1026" s="120"/>
      <c r="J1026" s="120"/>
      <c r="K1026" s="120"/>
    </row>
    <row r="1027">
      <c r="A1027" s="120"/>
      <c r="B1027" s="120"/>
      <c r="C1027" s="120"/>
      <c r="D1027" s="120"/>
      <c r="E1027" s="120"/>
      <c r="F1027" s="120"/>
      <c r="G1027" s="120"/>
      <c r="H1027" s="120"/>
      <c r="I1027" s="120"/>
      <c r="J1027" s="120"/>
      <c r="K1027" s="120"/>
    </row>
    <row r="1028">
      <c r="A1028" s="120"/>
      <c r="B1028" s="120"/>
      <c r="C1028" s="120"/>
      <c r="D1028" s="120"/>
      <c r="E1028" s="120"/>
      <c r="F1028" s="120"/>
      <c r="G1028" s="120"/>
      <c r="H1028" s="120"/>
      <c r="I1028" s="120"/>
      <c r="J1028" s="120"/>
      <c r="K1028" s="120"/>
    </row>
    <row r="1029">
      <c r="A1029" s="120"/>
      <c r="B1029" s="120"/>
      <c r="C1029" s="120"/>
      <c r="D1029" s="120"/>
      <c r="E1029" s="120"/>
      <c r="F1029" s="120"/>
      <c r="G1029" s="120"/>
      <c r="H1029" s="120"/>
      <c r="I1029" s="120"/>
      <c r="J1029" s="120"/>
      <c r="K1029" s="120"/>
    </row>
    <row r="1030">
      <c r="A1030" s="120"/>
      <c r="B1030" s="120"/>
      <c r="C1030" s="120"/>
      <c r="D1030" s="120"/>
      <c r="E1030" s="120"/>
      <c r="F1030" s="120"/>
      <c r="G1030" s="120"/>
      <c r="H1030" s="120"/>
      <c r="I1030" s="120"/>
      <c r="J1030" s="120"/>
      <c r="K1030" s="120"/>
    </row>
    <row r="1031">
      <c r="A1031" s="120"/>
      <c r="B1031" s="120"/>
      <c r="C1031" s="120"/>
      <c r="D1031" s="120"/>
      <c r="E1031" s="120"/>
      <c r="F1031" s="120"/>
      <c r="G1031" s="120"/>
      <c r="H1031" s="120"/>
      <c r="I1031" s="120"/>
      <c r="J1031" s="120"/>
      <c r="K1031" s="120"/>
    </row>
    <row r="1032">
      <c r="A1032" s="120"/>
      <c r="B1032" s="120"/>
      <c r="C1032" s="120"/>
      <c r="D1032" s="120"/>
      <c r="E1032" s="120"/>
      <c r="F1032" s="120"/>
      <c r="G1032" s="120"/>
      <c r="H1032" s="120"/>
      <c r="I1032" s="120"/>
      <c r="J1032" s="120"/>
      <c r="K1032" s="120"/>
    </row>
    <row r="1033">
      <c r="A1033" s="120"/>
      <c r="B1033" s="120"/>
      <c r="C1033" s="120"/>
      <c r="D1033" s="120"/>
      <c r="E1033" s="120"/>
      <c r="F1033" s="120"/>
      <c r="G1033" s="120"/>
      <c r="H1033" s="120"/>
      <c r="I1033" s="120"/>
      <c r="J1033" s="120"/>
      <c r="K1033" s="120"/>
    </row>
    <row r="1034">
      <c r="A1034" s="120"/>
      <c r="B1034" s="120"/>
      <c r="C1034" s="120"/>
      <c r="D1034" s="120"/>
      <c r="E1034" s="120"/>
      <c r="F1034" s="120"/>
      <c r="G1034" s="120"/>
      <c r="H1034" s="120"/>
      <c r="I1034" s="120"/>
      <c r="J1034" s="120"/>
      <c r="K1034" s="120"/>
    </row>
    <row r="1035">
      <c r="A1035" s="120"/>
      <c r="B1035" s="120"/>
      <c r="C1035" s="120"/>
      <c r="D1035" s="120"/>
      <c r="E1035" s="120"/>
      <c r="F1035" s="120"/>
      <c r="G1035" s="120"/>
      <c r="H1035" s="120"/>
      <c r="I1035" s="120"/>
      <c r="J1035" s="120"/>
      <c r="K1035" s="120"/>
    </row>
    <row r="1036">
      <c r="A1036" s="120"/>
      <c r="B1036" s="120"/>
      <c r="C1036" s="120"/>
      <c r="D1036" s="120"/>
      <c r="E1036" s="120"/>
      <c r="F1036" s="120"/>
      <c r="G1036" s="120"/>
      <c r="H1036" s="120"/>
      <c r="I1036" s="120"/>
      <c r="J1036" s="120"/>
      <c r="K1036" s="120"/>
    </row>
    <row r="1037">
      <c r="A1037" s="120"/>
      <c r="B1037" s="120"/>
      <c r="C1037" s="120"/>
      <c r="D1037" s="120"/>
      <c r="E1037" s="120"/>
      <c r="F1037" s="120"/>
      <c r="G1037" s="120"/>
      <c r="H1037" s="120"/>
      <c r="I1037" s="120"/>
      <c r="J1037" s="120"/>
      <c r="K1037" s="120"/>
    </row>
    <row r="1038">
      <c r="A1038" s="120"/>
      <c r="B1038" s="120"/>
      <c r="C1038" s="120"/>
      <c r="D1038" s="120"/>
      <c r="E1038" s="120"/>
      <c r="F1038" s="120"/>
      <c r="G1038" s="120"/>
      <c r="H1038" s="120"/>
      <c r="I1038" s="120"/>
      <c r="J1038" s="120"/>
      <c r="K1038" s="120"/>
    </row>
    <row r="1039">
      <c r="A1039" s="120"/>
      <c r="B1039" s="120"/>
      <c r="C1039" s="120"/>
      <c r="D1039" s="120"/>
      <c r="E1039" s="120"/>
      <c r="F1039" s="120"/>
      <c r="G1039" s="120"/>
      <c r="H1039" s="120"/>
      <c r="I1039" s="120"/>
      <c r="J1039" s="120"/>
      <c r="K1039" s="120"/>
    </row>
    <row r="1040">
      <c r="A1040" s="120"/>
      <c r="B1040" s="120"/>
      <c r="C1040" s="120"/>
      <c r="D1040" s="120"/>
      <c r="E1040" s="120"/>
      <c r="F1040" s="120"/>
      <c r="G1040" s="120"/>
      <c r="H1040" s="120"/>
      <c r="I1040" s="120"/>
      <c r="J1040" s="120"/>
      <c r="K1040" s="120"/>
    </row>
    <row r="1041">
      <c r="A1041" s="120"/>
      <c r="B1041" s="120"/>
      <c r="C1041" s="120"/>
      <c r="D1041" s="120"/>
      <c r="E1041" s="120"/>
      <c r="F1041" s="120"/>
      <c r="G1041" s="120"/>
      <c r="H1041" s="120"/>
      <c r="I1041" s="120"/>
      <c r="J1041" s="120"/>
      <c r="K1041" s="120"/>
    </row>
    <row r="1042">
      <c r="A1042" s="120"/>
      <c r="B1042" s="120"/>
      <c r="C1042" s="120"/>
      <c r="D1042" s="120"/>
      <c r="E1042" s="120"/>
      <c r="F1042" s="120"/>
      <c r="G1042" s="120"/>
      <c r="H1042" s="120"/>
      <c r="I1042" s="120"/>
      <c r="J1042" s="120"/>
      <c r="K1042" s="120"/>
    </row>
    <row r="1043">
      <c r="A1043" s="120"/>
      <c r="B1043" s="120"/>
      <c r="C1043" s="120"/>
      <c r="D1043" s="120"/>
      <c r="E1043" s="120"/>
      <c r="F1043" s="120"/>
      <c r="G1043" s="120"/>
      <c r="H1043" s="120"/>
      <c r="I1043" s="120"/>
      <c r="J1043" s="120"/>
      <c r="K1043" s="120"/>
    </row>
    <row r="1044">
      <c r="A1044" s="120"/>
      <c r="B1044" s="120"/>
      <c r="C1044" s="120"/>
      <c r="D1044" s="120"/>
      <c r="E1044" s="120"/>
      <c r="F1044" s="120"/>
      <c r="G1044" s="120"/>
      <c r="H1044" s="120"/>
      <c r="I1044" s="120"/>
      <c r="J1044" s="120"/>
      <c r="K1044" s="120"/>
    </row>
    <row r="1045">
      <c r="A1045" s="120"/>
      <c r="B1045" s="120"/>
      <c r="C1045" s="120"/>
      <c r="D1045" s="120"/>
      <c r="E1045" s="120"/>
      <c r="F1045" s="120"/>
      <c r="G1045" s="120"/>
      <c r="H1045" s="120"/>
      <c r="I1045" s="120"/>
      <c r="J1045" s="120"/>
      <c r="K1045" s="120"/>
    </row>
    <row r="1046">
      <c r="A1046" s="120"/>
      <c r="B1046" s="120"/>
      <c r="C1046" s="120"/>
      <c r="D1046" s="120"/>
      <c r="E1046" s="120"/>
      <c r="F1046" s="120"/>
      <c r="G1046" s="120"/>
      <c r="H1046" s="120"/>
      <c r="I1046" s="120"/>
      <c r="J1046" s="120"/>
      <c r="K1046" s="120"/>
    </row>
    <row r="1047">
      <c r="A1047" s="120"/>
      <c r="B1047" s="120"/>
      <c r="C1047" s="120"/>
      <c r="D1047" s="120"/>
      <c r="E1047" s="120"/>
      <c r="F1047" s="120"/>
      <c r="G1047" s="120"/>
      <c r="H1047" s="120"/>
      <c r="I1047" s="120"/>
      <c r="J1047" s="120"/>
      <c r="K1047" s="120"/>
    </row>
    <row r="1048">
      <c r="A1048" s="120"/>
      <c r="B1048" s="120"/>
      <c r="C1048" s="120"/>
      <c r="D1048" s="120"/>
      <c r="E1048" s="120"/>
      <c r="F1048" s="120"/>
      <c r="G1048" s="120"/>
      <c r="H1048" s="120"/>
      <c r="I1048" s="120"/>
      <c r="J1048" s="120"/>
      <c r="K1048" s="120"/>
    </row>
    <row r="1049">
      <c r="A1049" s="120"/>
      <c r="B1049" s="120"/>
      <c r="C1049" s="120"/>
      <c r="D1049" s="120"/>
      <c r="E1049" s="120"/>
      <c r="F1049" s="120"/>
      <c r="G1049" s="120"/>
      <c r="H1049" s="120"/>
      <c r="I1049" s="120"/>
      <c r="J1049" s="120"/>
      <c r="K1049" s="120"/>
    </row>
    <row r="1050">
      <c r="A1050" s="120"/>
      <c r="B1050" s="120"/>
      <c r="C1050" s="120"/>
      <c r="D1050" s="120"/>
      <c r="E1050" s="120"/>
      <c r="F1050" s="120"/>
      <c r="G1050" s="120"/>
      <c r="H1050" s="120"/>
      <c r="I1050" s="120"/>
      <c r="J1050" s="120"/>
      <c r="K1050" s="120"/>
    </row>
    <row r="1051">
      <c r="A1051" s="120"/>
      <c r="B1051" s="120"/>
      <c r="C1051" s="120"/>
      <c r="D1051" s="120"/>
      <c r="E1051" s="120"/>
      <c r="F1051" s="120"/>
      <c r="G1051" s="120"/>
      <c r="H1051" s="120"/>
      <c r="I1051" s="120"/>
      <c r="J1051" s="120"/>
      <c r="K1051" s="120"/>
    </row>
    <row r="1052">
      <c r="A1052" s="120"/>
      <c r="B1052" s="120"/>
      <c r="C1052" s="120"/>
      <c r="D1052" s="120"/>
      <c r="E1052" s="120"/>
      <c r="F1052" s="120"/>
      <c r="G1052" s="120"/>
      <c r="H1052" s="120"/>
      <c r="I1052" s="120"/>
      <c r="J1052" s="120"/>
      <c r="K1052" s="120"/>
    </row>
    <row r="1053">
      <c r="A1053" s="120"/>
      <c r="B1053" s="120"/>
      <c r="C1053" s="120"/>
      <c r="D1053" s="120"/>
      <c r="E1053" s="120"/>
      <c r="F1053" s="120"/>
      <c r="G1053" s="120"/>
      <c r="H1053" s="120"/>
      <c r="I1053" s="120"/>
      <c r="J1053" s="120"/>
      <c r="K1053" s="120"/>
    </row>
    <row r="1054">
      <c r="A1054" s="120"/>
      <c r="B1054" s="120"/>
      <c r="C1054" s="120"/>
      <c r="D1054" s="120"/>
      <c r="E1054" s="120"/>
      <c r="F1054" s="120"/>
      <c r="G1054" s="120"/>
      <c r="H1054" s="120"/>
      <c r="I1054" s="120"/>
      <c r="J1054" s="120"/>
      <c r="K1054" s="120"/>
    </row>
    <row r="1055">
      <c r="A1055" s="120"/>
      <c r="B1055" s="120"/>
      <c r="C1055" s="120"/>
      <c r="D1055" s="120"/>
      <c r="E1055" s="120"/>
      <c r="F1055" s="120"/>
      <c r="G1055" s="120"/>
      <c r="H1055" s="120"/>
      <c r="I1055" s="120"/>
      <c r="J1055" s="120"/>
      <c r="K1055" s="120"/>
    </row>
    <row r="1056">
      <c r="A1056" s="120"/>
      <c r="B1056" s="120"/>
      <c r="C1056" s="120"/>
      <c r="D1056" s="120"/>
      <c r="E1056" s="120"/>
      <c r="F1056" s="120"/>
      <c r="G1056" s="120"/>
      <c r="H1056" s="120"/>
      <c r="I1056" s="120"/>
      <c r="J1056" s="120"/>
      <c r="K1056" s="120"/>
    </row>
    <row r="1057">
      <c r="A1057" s="120"/>
      <c r="B1057" s="120"/>
      <c r="C1057" s="120"/>
      <c r="D1057" s="120"/>
      <c r="E1057" s="120"/>
      <c r="F1057" s="120"/>
      <c r="G1057" s="120"/>
      <c r="H1057" s="120"/>
      <c r="I1057" s="120"/>
      <c r="J1057" s="120"/>
      <c r="K1057" s="120"/>
    </row>
    <row r="1058">
      <c r="A1058" s="120"/>
      <c r="B1058" s="120"/>
      <c r="C1058" s="120"/>
      <c r="D1058" s="120"/>
      <c r="E1058" s="120"/>
      <c r="F1058" s="120"/>
      <c r="G1058" s="120"/>
      <c r="H1058" s="120"/>
      <c r="I1058" s="120"/>
      <c r="J1058" s="120"/>
      <c r="K1058" s="120"/>
    </row>
    <row r="1059">
      <c r="A1059" s="120"/>
      <c r="B1059" s="120"/>
      <c r="C1059" s="120"/>
      <c r="D1059" s="120"/>
      <c r="E1059" s="120"/>
      <c r="F1059" s="120"/>
      <c r="G1059" s="120"/>
      <c r="H1059" s="120"/>
      <c r="I1059" s="120"/>
      <c r="J1059" s="120"/>
      <c r="K1059" s="120"/>
    </row>
    <row r="1060">
      <c r="A1060" s="120"/>
      <c r="B1060" s="120"/>
      <c r="C1060" s="120"/>
      <c r="D1060" s="120"/>
      <c r="E1060" s="120"/>
      <c r="F1060" s="120"/>
      <c r="G1060" s="120"/>
      <c r="H1060" s="120"/>
      <c r="I1060" s="120"/>
      <c r="J1060" s="120"/>
      <c r="K1060" s="120"/>
    </row>
    <row r="1061">
      <c r="A1061" s="120"/>
      <c r="B1061" s="120"/>
      <c r="C1061" s="120"/>
      <c r="D1061" s="120"/>
      <c r="E1061" s="120"/>
      <c r="F1061" s="120"/>
      <c r="G1061" s="120"/>
      <c r="H1061" s="120"/>
      <c r="I1061" s="120"/>
      <c r="J1061" s="120"/>
      <c r="K1061" s="120"/>
    </row>
    <row r="1062">
      <c r="A1062" s="120"/>
      <c r="B1062" s="120"/>
      <c r="C1062" s="120"/>
      <c r="D1062" s="120"/>
      <c r="E1062" s="120"/>
      <c r="F1062" s="120"/>
      <c r="G1062" s="120"/>
      <c r="H1062" s="120"/>
      <c r="I1062" s="120"/>
      <c r="J1062" s="120"/>
      <c r="K1062" s="120"/>
    </row>
    <row r="1063">
      <c r="A1063" s="120"/>
      <c r="B1063" s="120"/>
      <c r="C1063" s="120"/>
      <c r="D1063" s="120"/>
      <c r="E1063" s="120"/>
      <c r="F1063" s="120"/>
      <c r="G1063" s="120"/>
      <c r="H1063" s="120"/>
      <c r="I1063" s="120"/>
      <c r="J1063" s="120"/>
      <c r="K1063" s="120"/>
    </row>
    <row r="1064">
      <c r="A1064" s="120"/>
      <c r="B1064" s="120"/>
      <c r="C1064" s="120"/>
      <c r="D1064" s="120"/>
      <c r="E1064" s="120"/>
      <c r="F1064" s="120"/>
      <c r="G1064" s="120"/>
      <c r="H1064" s="120"/>
      <c r="I1064" s="120"/>
      <c r="J1064" s="120"/>
      <c r="K1064" s="120"/>
    </row>
    <row r="1065">
      <c r="A1065" s="120"/>
      <c r="B1065" s="120"/>
      <c r="C1065" s="120"/>
      <c r="D1065" s="120"/>
      <c r="E1065" s="120"/>
      <c r="F1065" s="120"/>
      <c r="G1065" s="120"/>
      <c r="H1065" s="120"/>
      <c r="I1065" s="120"/>
      <c r="J1065" s="120"/>
      <c r="K1065" s="120"/>
    </row>
    <row r="1066">
      <c r="A1066" s="120"/>
      <c r="B1066" s="120"/>
      <c r="C1066" s="120"/>
      <c r="D1066" s="120"/>
      <c r="E1066" s="120"/>
      <c r="F1066" s="120"/>
      <c r="G1066" s="120"/>
      <c r="H1066" s="120"/>
      <c r="I1066" s="120"/>
      <c r="J1066" s="120"/>
      <c r="K1066" s="120"/>
    </row>
    <row r="1067">
      <c r="A1067" s="120"/>
      <c r="B1067" s="120"/>
      <c r="C1067" s="120"/>
      <c r="D1067" s="120"/>
      <c r="E1067" s="120"/>
      <c r="F1067" s="120"/>
      <c r="G1067" s="120"/>
      <c r="H1067" s="120"/>
      <c r="I1067" s="120"/>
      <c r="J1067" s="120"/>
      <c r="K1067" s="120"/>
    </row>
    <row r="1068">
      <c r="A1068" s="120"/>
      <c r="B1068" s="120"/>
      <c r="C1068" s="120"/>
      <c r="D1068" s="120"/>
      <c r="E1068" s="120"/>
      <c r="F1068" s="120"/>
      <c r="G1068" s="120"/>
      <c r="H1068" s="120"/>
      <c r="I1068" s="120"/>
      <c r="J1068" s="120"/>
      <c r="K1068" s="120"/>
    </row>
    <row r="1069">
      <c r="A1069" s="120"/>
      <c r="B1069" s="120"/>
      <c r="C1069" s="120"/>
      <c r="D1069" s="120"/>
      <c r="E1069" s="120"/>
      <c r="F1069" s="120"/>
      <c r="G1069" s="120"/>
      <c r="H1069" s="120"/>
      <c r="I1069" s="120"/>
      <c r="J1069" s="120"/>
      <c r="K1069" s="120"/>
    </row>
    <row r="1070">
      <c r="A1070" s="120"/>
      <c r="B1070" s="120"/>
      <c r="C1070" s="120"/>
      <c r="D1070" s="120"/>
      <c r="E1070" s="120"/>
      <c r="F1070" s="120"/>
      <c r="G1070" s="120"/>
      <c r="H1070" s="120"/>
      <c r="I1070" s="120"/>
      <c r="J1070" s="120"/>
      <c r="K1070" s="120"/>
    </row>
    <row r="1071">
      <c r="A1071" s="120"/>
      <c r="B1071" s="120"/>
      <c r="C1071" s="120"/>
      <c r="D1071" s="120"/>
      <c r="E1071" s="120"/>
      <c r="F1071" s="120"/>
      <c r="G1071" s="120"/>
      <c r="H1071" s="120"/>
      <c r="I1071" s="120"/>
      <c r="J1071" s="120"/>
      <c r="K1071" s="120"/>
    </row>
    <row r="1072">
      <c r="A1072" s="120"/>
      <c r="B1072" s="120"/>
      <c r="C1072" s="120"/>
      <c r="D1072" s="120"/>
      <c r="E1072" s="120"/>
      <c r="F1072" s="120"/>
      <c r="G1072" s="120"/>
      <c r="H1072" s="120"/>
      <c r="I1072" s="120"/>
      <c r="J1072" s="120"/>
      <c r="K1072" s="120"/>
    </row>
    <row r="1073">
      <c r="A1073" s="120"/>
      <c r="B1073" s="120"/>
      <c r="C1073" s="120"/>
      <c r="D1073" s="120"/>
      <c r="E1073" s="120"/>
      <c r="F1073" s="120"/>
      <c r="G1073" s="120"/>
      <c r="H1073" s="120"/>
      <c r="I1073" s="120"/>
      <c r="J1073" s="120"/>
      <c r="K1073" s="120"/>
    </row>
    <row r="1074">
      <c r="A1074" s="120"/>
      <c r="B1074" s="120"/>
      <c r="C1074" s="120"/>
      <c r="D1074" s="120"/>
      <c r="E1074" s="120"/>
      <c r="F1074" s="120"/>
      <c r="G1074" s="120"/>
      <c r="H1074" s="120"/>
      <c r="I1074" s="120"/>
      <c r="J1074" s="120"/>
      <c r="K1074" s="120"/>
    </row>
    <row r="1075">
      <c r="A1075" s="120"/>
      <c r="B1075" s="120"/>
      <c r="C1075" s="120"/>
      <c r="D1075" s="120"/>
      <c r="E1075" s="120"/>
      <c r="F1075" s="120"/>
      <c r="G1075" s="120"/>
      <c r="H1075" s="120"/>
      <c r="I1075" s="120"/>
      <c r="J1075" s="120"/>
      <c r="K1075" s="120"/>
    </row>
    <row r="1076">
      <c r="A1076" s="120"/>
      <c r="B1076" s="120"/>
      <c r="C1076" s="120"/>
      <c r="D1076" s="120"/>
      <c r="E1076" s="120"/>
      <c r="F1076" s="120"/>
      <c r="G1076" s="120"/>
      <c r="H1076" s="120"/>
      <c r="I1076" s="120"/>
      <c r="J1076" s="120"/>
      <c r="K1076" s="120"/>
    </row>
    <row r="1077">
      <c r="A1077" s="120"/>
      <c r="B1077" s="120"/>
      <c r="C1077" s="120"/>
      <c r="D1077" s="120"/>
      <c r="E1077" s="120"/>
      <c r="F1077" s="120"/>
      <c r="G1077" s="120"/>
      <c r="H1077" s="120"/>
      <c r="I1077" s="120"/>
      <c r="J1077" s="120"/>
      <c r="K1077" s="120"/>
    </row>
    <row r="1078">
      <c r="A1078" s="120"/>
      <c r="B1078" s="120"/>
      <c r="C1078" s="120"/>
      <c r="D1078" s="120"/>
      <c r="E1078" s="120"/>
      <c r="F1078" s="120"/>
      <c r="G1078" s="120"/>
      <c r="H1078" s="120"/>
      <c r="I1078" s="120"/>
      <c r="J1078" s="120"/>
      <c r="K1078" s="120"/>
    </row>
    <row r="1079">
      <c r="A1079" s="120"/>
      <c r="B1079" s="120"/>
      <c r="C1079" s="120"/>
      <c r="D1079" s="120"/>
      <c r="E1079" s="120"/>
      <c r="F1079" s="120"/>
      <c r="G1079" s="120"/>
      <c r="H1079" s="120"/>
      <c r="I1079" s="120"/>
      <c r="J1079" s="120"/>
      <c r="K1079" s="120"/>
    </row>
    <row r="1080">
      <c r="A1080" s="120"/>
      <c r="B1080" s="120"/>
      <c r="C1080" s="120"/>
      <c r="D1080" s="120"/>
      <c r="E1080" s="120"/>
      <c r="F1080" s="120"/>
      <c r="G1080" s="120"/>
      <c r="H1080" s="120"/>
      <c r="I1080" s="120"/>
      <c r="J1080" s="120"/>
      <c r="K1080" s="120"/>
    </row>
    <row r="1081">
      <c r="A1081" s="120"/>
      <c r="B1081" s="120"/>
      <c r="C1081" s="120"/>
      <c r="D1081" s="120"/>
      <c r="E1081" s="120"/>
      <c r="F1081" s="120"/>
      <c r="G1081" s="120"/>
      <c r="H1081" s="120"/>
      <c r="I1081" s="120"/>
      <c r="J1081" s="120"/>
      <c r="K1081" s="120"/>
    </row>
    <row r="1082">
      <c r="A1082" s="120"/>
      <c r="B1082" s="120"/>
      <c r="C1082" s="120"/>
      <c r="D1082" s="120"/>
      <c r="E1082" s="120"/>
      <c r="F1082" s="120"/>
      <c r="G1082" s="120"/>
      <c r="H1082" s="120"/>
      <c r="I1082" s="120"/>
      <c r="J1082" s="120"/>
      <c r="K1082" s="120"/>
    </row>
    <row r="1083">
      <c r="A1083" s="120"/>
      <c r="B1083" s="120"/>
      <c r="C1083" s="120"/>
      <c r="D1083" s="120"/>
      <c r="E1083" s="120"/>
      <c r="F1083" s="120"/>
      <c r="G1083" s="120"/>
      <c r="H1083" s="120"/>
      <c r="I1083" s="120"/>
      <c r="J1083" s="120"/>
      <c r="K1083" s="120"/>
    </row>
    <row r="1084">
      <c r="A1084" s="120"/>
      <c r="B1084" s="120"/>
      <c r="C1084" s="120"/>
      <c r="D1084" s="120"/>
      <c r="E1084" s="120"/>
      <c r="F1084" s="120"/>
      <c r="G1084" s="120"/>
      <c r="H1084" s="120"/>
      <c r="I1084" s="120"/>
      <c r="J1084" s="120"/>
      <c r="K1084" s="120"/>
    </row>
    <row r="1085">
      <c r="A1085" s="120"/>
      <c r="B1085" s="120"/>
      <c r="C1085" s="120"/>
      <c r="D1085" s="120"/>
      <c r="E1085" s="120"/>
      <c r="F1085" s="120"/>
      <c r="G1085" s="120"/>
      <c r="H1085" s="120"/>
      <c r="I1085" s="120"/>
      <c r="J1085" s="120"/>
      <c r="K1085" s="120"/>
    </row>
    <row r="1086">
      <c r="A1086" s="120"/>
      <c r="B1086" s="120"/>
      <c r="C1086" s="120"/>
      <c r="D1086" s="120"/>
      <c r="E1086" s="120"/>
      <c r="F1086" s="120"/>
      <c r="G1086" s="120"/>
      <c r="H1086" s="120"/>
      <c r="I1086" s="120"/>
      <c r="J1086" s="120"/>
      <c r="K1086" s="120"/>
    </row>
    <row r="1087">
      <c r="A1087" s="120"/>
      <c r="B1087" s="120"/>
      <c r="C1087" s="120"/>
      <c r="D1087" s="120"/>
      <c r="E1087" s="120"/>
      <c r="F1087" s="120"/>
      <c r="G1087" s="120"/>
      <c r="H1087" s="120"/>
      <c r="I1087" s="120"/>
      <c r="J1087" s="120"/>
      <c r="K1087" s="120"/>
    </row>
    <row r="1088">
      <c r="A1088" s="120"/>
      <c r="B1088" s="120"/>
      <c r="C1088" s="120"/>
      <c r="D1088" s="120"/>
      <c r="E1088" s="120"/>
      <c r="F1088" s="120"/>
      <c r="G1088" s="120"/>
      <c r="H1088" s="120"/>
      <c r="I1088" s="120"/>
      <c r="J1088" s="120"/>
      <c r="K1088" s="120"/>
    </row>
    <row r="1089">
      <c r="A1089" s="120"/>
      <c r="B1089" s="120"/>
      <c r="C1089" s="120"/>
      <c r="D1089" s="120"/>
      <c r="E1089" s="120"/>
      <c r="F1089" s="120"/>
      <c r="G1089" s="120"/>
      <c r="H1089" s="120"/>
      <c r="I1089" s="120"/>
      <c r="J1089" s="120"/>
      <c r="K1089" s="120"/>
    </row>
    <row r="1090">
      <c r="A1090" s="120"/>
      <c r="B1090" s="120"/>
      <c r="C1090" s="120"/>
      <c r="D1090" s="120"/>
      <c r="E1090" s="120"/>
      <c r="F1090" s="120"/>
      <c r="G1090" s="120"/>
      <c r="H1090" s="120"/>
      <c r="I1090" s="120"/>
      <c r="J1090" s="120"/>
      <c r="K1090" s="120"/>
    </row>
    <row r="1091">
      <c r="A1091" s="120"/>
      <c r="B1091" s="120"/>
      <c r="C1091" s="120"/>
      <c r="D1091" s="120"/>
      <c r="E1091" s="120"/>
      <c r="F1091" s="120"/>
      <c r="G1091" s="120"/>
      <c r="H1091" s="120"/>
      <c r="I1091" s="120"/>
      <c r="J1091" s="120"/>
      <c r="K1091" s="120"/>
    </row>
    <row r="1092">
      <c r="A1092" s="120"/>
      <c r="B1092" s="120"/>
      <c r="C1092" s="120"/>
      <c r="D1092" s="120"/>
      <c r="E1092" s="120"/>
      <c r="F1092" s="120"/>
      <c r="G1092" s="120"/>
      <c r="H1092" s="120"/>
      <c r="I1092" s="120"/>
      <c r="J1092" s="120"/>
      <c r="K1092" s="120"/>
    </row>
    <row r="1093">
      <c r="A1093" s="120"/>
      <c r="B1093" s="120"/>
      <c r="C1093" s="120"/>
      <c r="D1093" s="120"/>
      <c r="E1093" s="120"/>
      <c r="F1093" s="120"/>
      <c r="G1093" s="120"/>
      <c r="H1093" s="120"/>
      <c r="I1093" s="120"/>
      <c r="J1093" s="120"/>
      <c r="K1093" s="120"/>
    </row>
    <row r="1094">
      <c r="A1094" s="120"/>
      <c r="B1094" s="120"/>
      <c r="C1094" s="120"/>
      <c r="D1094" s="120"/>
      <c r="E1094" s="120"/>
      <c r="F1094" s="120"/>
      <c r="G1094" s="120"/>
      <c r="H1094" s="120"/>
      <c r="I1094" s="120"/>
      <c r="J1094" s="120"/>
      <c r="K1094" s="120"/>
    </row>
    <row r="1095">
      <c r="A1095" s="120"/>
      <c r="B1095" s="120"/>
      <c r="C1095" s="120"/>
      <c r="D1095" s="120"/>
      <c r="E1095" s="120"/>
      <c r="F1095" s="120"/>
      <c r="G1095" s="120"/>
      <c r="H1095" s="120"/>
      <c r="I1095" s="120"/>
      <c r="J1095" s="120"/>
      <c r="K1095" s="120"/>
    </row>
    <row r="1096">
      <c r="A1096" s="120"/>
      <c r="B1096" s="120"/>
      <c r="C1096" s="120"/>
      <c r="D1096" s="120"/>
      <c r="E1096" s="120"/>
      <c r="F1096" s="120"/>
      <c r="G1096" s="120"/>
      <c r="H1096" s="120"/>
      <c r="I1096" s="120"/>
      <c r="J1096" s="120"/>
      <c r="K1096" s="120"/>
    </row>
    <row r="1097">
      <c r="A1097" s="120"/>
      <c r="B1097" s="120"/>
      <c r="C1097" s="120"/>
      <c r="D1097" s="120"/>
      <c r="E1097" s="120"/>
      <c r="F1097" s="120"/>
      <c r="G1097" s="120"/>
      <c r="H1097" s="120"/>
      <c r="I1097" s="120"/>
      <c r="J1097" s="120"/>
      <c r="K1097" s="120"/>
    </row>
    <row r="1098">
      <c r="A1098" s="120"/>
      <c r="B1098" s="120"/>
      <c r="C1098" s="120"/>
      <c r="D1098" s="120"/>
      <c r="E1098" s="120"/>
      <c r="F1098" s="120"/>
      <c r="G1098" s="120"/>
      <c r="H1098" s="120"/>
      <c r="I1098" s="120"/>
      <c r="J1098" s="120"/>
      <c r="K1098" s="120"/>
    </row>
    <row r="1099">
      <c r="A1099" s="120"/>
      <c r="B1099" s="120"/>
      <c r="C1099" s="120"/>
      <c r="D1099" s="120"/>
      <c r="E1099" s="120"/>
      <c r="F1099" s="120"/>
      <c r="G1099" s="120"/>
      <c r="H1099" s="120"/>
      <c r="I1099" s="120"/>
      <c r="J1099" s="120"/>
      <c r="K1099" s="120"/>
    </row>
    <row r="1100">
      <c r="A1100" s="120"/>
      <c r="B1100" s="120"/>
      <c r="C1100" s="120"/>
      <c r="D1100" s="120"/>
      <c r="E1100" s="120"/>
      <c r="F1100" s="120"/>
      <c r="G1100" s="120"/>
      <c r="H1100" s="120"/>
      <c r="I1100" s="120"/>
      <c r="J1100" s="120"/>
      <c r="K1100" s="120"/>
    </row>
    <row r="1101">
      <c r="A1101" s="120"/>
      <c r="B1101" s="120"/>
      <c r="C1101" s="120"/>
      <c r="D1101" s="120"/>
      <c r="E1101" s="120"/>
      <c r="F1101" s="120"/>
      <c r="G1101" s="120"/>
      <c r="H1101" s="120"/>
      <c r="I1101" s="120"/>
      <c r="J1101" s="120"/>
      <c r="K1101" s="120"/>
    </row>
    <row r="1102">
      <c r="A1102" s="120"/>
      <c r="B1102" s="120"/>
      <c r="C1102" s="120"/>
      <c r="D1102" s="120"/>
      <c r="E1102" s="120"/>
      <c r="F1102" s="120"/>
      <c r="G1102" s="120"/>
      <c r="H1102" s="120"/>
      <c r="I1102" s="120"/>
      <c r="J1102" s="120"/>
      <c r="K1102" s="120"/>
    </row>
    <row r="1103">
      <c r="A1103" s="120"/>
      <c r="B1103" s="120"/>
      <c r="C1103" s="120"/>
      <c r="D1103" s="120"/>
      <c r="E1103" s="120"/>
      <c r="F1103" s="120"/>
      <c r="G1103" s="120"/>
      <c r="H1103" s="120"/>
      <c r="I1103" s="120"/>
      <c r="J1103" s="120"/>
      <c r="K1103" s="120"/>
    </row>
    <row r="1104">
      <c r="A1104" s="120"/>
      <c r="B1104" s="120"/>
      <c r="C1104" s="120"/>
      <c r="D1104" s="120"/>
      <c r="E1104" s="120"/>
      <c r="F1104" s="120"/>
      <c r="G1104" s="120"/>
      <c r="H1104" s="120"/>
      <c r="I1104" s="120"/>
      <c r="J1104" s="120"/>
      <c r="K1104" s="120"/>
    </row>
    <row r="1105">
      <c r="A1105" s="120"/>
      <c r="B1105" s="120"/>
      <c r="C1105" s="120"/>
      <c r="D1105" s="120"/>
      <c r="E1105" s="120"/>
      <c r="F1105" s="120"/>
      <c r="G1105" s="120"/>
      <c r="H1105" s="120"/>
      <c r="I1105" s="120"/>
      <c r="J1105" s="120"/>
      <c r="K1105" s="120"/>
    </row>
    <row r="1106">
      <c r="A1106" s="120"/>
      <c r="B1106" s="120"/>
      <c r="C1106" s="120"/>
      <c r="D1106" s="120"/>
      <c r="E1106" s="120"/>
      <c r="F1106" s="120"/>
      <c r="G1106" s="120"/>
      <c r="H1106" s="120"/>
      <c r="I1106" s="120"/>
      <c r="J1106" s="120"/>
      <c r="K1106" s="120"/>
    </row>
    <row r="1107">
      <c r="A1107" s="120"/>
      <c r="B1107" s="120"/>
      <c r="C1107" s="120"/>
      <c r="D1107" s="120"/>
      <c r="E1107" s="120"/>
      <c r="F1107" s="120"/>
      <c r="G1107" s="120"/>
      <c r="H1107" s="120"/>
      <c r="I1107" s="120"/>
      <c r="J1107" s="120"/>
      <c r="K1107" s="120"/>
    </row>
    <row r="1108">
      <c r="A1108" s="120"/>
      <c r="B1108" s="120"/>
      <c r="C1108" s="120"/>
      <c r="D1108" s="120"/>
      <c r="E1108" s="120"/>
      <c r="F1108" s="120"/>
      <c r="G1108" s="120"/>
      <c r="H1108" s="120"/>
      <c r="I1108" s="120"/>
      <c r="J1108" s="120"/>
      <c r="K1108" s="120"/>
    </row>
    <row r="1109">
      <c r="A1109" s="120"/>
      <c r="B1109" s="120"/>
      <c r="C1109" s="120"/>
      <c r="D1109" s="120"/>
      <c r="E1109" s="120"/>
      <c r="F1109" s="120"/>
      <c r="G1109" s="120"/>
      <c r="H1109" s="120"/>
      <c r="I1109" s="120"/>
      <c r="J1109" s="120"/>
      <c r="K1109" s="120"/>
    </row>
    <row r="1110">
      <c r="A1110" s="120"/>
      <c r="B1110" s="120"/>
      <c r="C1110" s="120"/>
      <c r="D1110" s="120"/>
      <c r="E1110" s="120"/>
      <c r="F1110" s="120"/>
      <c r="G1110" s="120"/>
      <c r="H1110" s="120"/>
      <c r="I1110" s="120"/>
      <c r="J1110" s="120"/>
      <c r="K1110" s="120"/>
    </row>
    <row r="1111">
      <c r="A1111" s="120"/>
      <c r="B1111" s="120"/>
      <c r="C1111" s="120"/>
      <c r="D1111" s="120"/>
      <c r="E1111" s="120"/>
      <c r="F1111" s="120"/>
      <c r="G1111" s="120"/>
      <c r="H1111" s="120"/>
      <c r="I1111" s="120"/>
      <c r="J1111" s="120"/>
      <c r="K1111" s="120"/>
    </row>
    <row r="1112">
      <c r="A1112" s="120"/>
      <c r="B1112" s="120"/>
      <c r="C1112" s="120"/>
      <c r="D1112" s="120"/>
      <c r="E1112" s="120"/>
      <c r="F1112" s="120"/>
      <c r="G1112" s="120"/>
      <c r="H1112" s="120"/>
      <c r="I1112" s="120"/>
      <c r="J1112" s="120"/>
      <c r="K1112" s="120"/>
    </row>
    <row r="1113">
      <c r="A1113" s="120"/>
      <c r="B1113" s="120"/>
      <c r="C1113" s="120"/>
      <c r="D1113" s="120"/>
      <c r="E1113" s="120"/>
      <c r="F1113" s="120"/>
      <c r="G1113" s="120"/>
      <c r="H1113" s="120"/>
      <c r="I1113" s="120"/>
      <c r="J1113" s="120"/>
      <c r="K1113" s="120"/>
    </row>
    <row r="1114">
      <c r="A1114" s="120"/>
      <c r="B1114" s="120"/>
      <c r="C1114" s="120"/>
      <c r="D1114" s="120"/>
      <c r="E1114" s="120"/>
      <c r="F1114" s="120"/>
      <c r="G1114" s="120"/>
      <c r="H1114" s="120"/>
      <c r="I1114" s="120"/>
      <c r="J1114" s="120"/>
      <c r="K1114" s="120"/>
    </row>
    <row r="1115">
      <c r="A1115" s="120"/>
      <c r="B1115" s="120"/>
      <c r="C1115" s="120"/>
      <c r="D1115" s="120"/>
      <c r="E1115" s="120"/>
      <c r="F1115" s="120"/>
      <c r="G1115" s="120"/>
      <c r="H1115" s="120"/>
      <c r="I1115" s="120"/>
      <c r="J1115" s="120"/>
      <c r="K1115" s="120"/>
    </row>
    <row r="1116">
      <c r="A1116" s="120"/>
      <c r="B1116" s="120"/>
      <c r="C1116" s="120"/>
      <c r="D1116" s="120"/>
      <c r="E1116" s="120"/>
      <c r="F1116" s="120"/>
      <c r="G1116" s="120"/>
      <c r="H1116" s="120"/>
      <c r="I1116" s="120"/>
      <c r="J1116" s="120"/>
      <c r="K1116" s="120"/>
    </row>
    <row r="1117">
      <c r="A1117" s="120"/>
      <c r="B1117" s="120"/>
      <c r="C1117" s="120"/>
      <c r="D1117" s="120"/>
      <c r="E1117" s="120"/>
      <c r="F1117" s="120"/>
      <c r="G1117" s="120"/>
      <c r="H1117" s="120"/>
      <c r="I1117" s="120"/>
      <c r="J1117" s="120"/>
      <c r="K1117" s="120"/>
    </row>
    <row r="1118">
      <c r="A1118" s="120"/>
      <c r="B1118" s="120"/>
      <c r="C1118" s="120"/>
      <c r="D1118" s="120"/>
      <c r="E1118" s="120"/>
      <c r="F1118" s="120"/>
      <c r="G1118" s="120"/>
      <c r="H1118" s="120"/>
      <c r="I1118" s="120"/>
      <c r="J1118" s="120"/>
      <c r="K1118" s="120"/>
    </row>
    <row r="1119">
      <c r="A1119" s="120"/>
      <c r="B1119" s="120"/>
      <c r="C1119" s="120"/>
      <c r="D1119" s="120"/>
      <c r="E1119" s="120"/>
      <c r="F1119" s="120"/>
      <c r="G1119" s="120"/>
      <c r="H1119" s="120"/>
      <c r="I1119" s="120"/>
      <c r="J1119" s="120"/>
      <c r="K1119" s="120"/>
    </row>
    <row r="1120">
      <c r="A1120" s="120"/>
      <c r="B1120" s="120"/>
      <c r="C1120" s="120"/>
      <c r="D1120" s="120"/>
      <c r="E1120" s="120"/>
      <c r="F1120" s="120"/>
      <c r="G1120" s="120"/>
      <c r="H1120" s="120"/>
      <c r="I1120" s="120"/>
      <c r="J1120" s="120"/>
      <c r="K1120" s="120"/>
    </row>
    <row r="1121">
      <c r="A1121" s="120"/>
      <c r="B1121" s="120"/>
      <c r="C1121" s="120"/>
      <c r="D1121" s="120"/>
      <c r="E1121" s="120"/>
      <c r="F1121" s="120"/>
      <c r="G1121" s="120"/>
      <c r="H1121" s="120"/>
      <c r="I1121" s="120"/>
      <c r="J1121" s="120"/>
      <c r="K1121" s="120"/>
    </row>
    <row r="1122">
      <c r="A1122" s="120"/>
      <c r="B1122" s="120"/>
      <c r="C1122" s="120"/>
      <c r="D1122" s="120"/>
      <c r="E1122" s="120"/>
      <c r="F1122" s="120"/>
      <c r="G1122" s="120"/>
      <c r="H1122" s="120"/>
      <c r="I1122" s="120"/>
      <c r="J1122" s="120"/>
      <c r="K1122" s="120"/>
    </row>
    <row r="1123">
      <c r="A1123" s="120"/>
      <c r="B1123" s="120"/>
      <c r="C1123" s="120"/>
      <c r="D1123" s="120"/>
      <c r="E1123" s="120"/>
      <c r="F1123" s="120"/>
      <c r="G1123" s="120"/>
      <c r="H1123" s="120"/>
      <c r="I1123" s="120"/>
      <c r="J1123" s="120"/>
      <c r="K1123" s="120"/>
    </row>
    <row r="1124">
      <c r="A1124" s="120"/>
      <c r="B1124" s="120"/>
      <c r="C1124" s="120"/>
      <c r="D1124" s="120"/>
      <c r="E1124" s="120"/>
      <c r="F1124" s="120"/>
      <c r="G1124" s="120"/>
      <c r="H1124" s="120"/>
      <c r="I1124" s="120"/>
      <c r="J1124" s="120"/>
      <c r="K1124" s="120"/>
    </row>
    <row r="1125">
      <c r="A1125" s="120"/>
      <c r="B1125" s="120"/>
      <c r="C1125" s="120"/>
      <c r="D1125" s="120"/>
      <c r="E1125" s="120"/>
      <c r="F1125" s="120"/>
      <c r="G1125" s="120"/>
      <c r="H1125" s="120"/>
      <c r="I1125" s="120"/>
      <c r="J1125" s="120"/>
      <c r="K1125" s="120"/>
    </row>
    <row r="1126">
      <c r="A1126" s="120"/>
      <c r="B1126" s="120"/>
      <c r="C1126" s="120"/>
      <c r="D1126" s="120"/>
      <c r="E1126" s="120"/>
      <c r="F1126" s="120"/>
      <c r="G1126" s="120"/>
      <c r="H1126" s="120"/>
      <c r="I1126" s="120"/>
      <c r="J1126" s="120"/>
      <c r="K1126" s="120"/>
    </row>
    <row r="1127">
      <c r="A1127" s="120"/>
      <c r="B1127" s="120"/>
      <c r="C1127" s="120"/>
      <c r="D1127" s="120"/>
      <c r="E1127" s="120"/>
      <c r="F1127" s="120"/>
      <c r="G1127" s="120"/>
      <c r="H1127" s="120"/>
      <c r="I1127" s="120"/>
      <c r="J1127" s="120"/>
      <c r="K1127" s="120"/>
    </row>
    <row r="1128">
      <c r="A1128" s="120"/>
      <c r="B1128" s="120"/>
      <c r="C1128" s="120"/>
      <c r="D1128" s="120"/>
      <c r="E1128" s="120"/>
      <c r="F1128" s="120"/>
      <c r="G1128" s="120"/>
      <c r="H1128" s="120"/>
      <c r="I1128" s="120"/>
      <c r="J1128" s="120"/>
      <c r="K1128" s="120"/>
    </row>
    <row r="1129">
      <c r="A1129" s="120"/>
      <c r="B1129" s="120"/>
      <c r="C1129" s="120"/>
      <c r="D1129" s="120"/>
      <c r="E1129" s="120"/>
      <c r="F1129" s="120"/>
      <c r="G1129" s="120"/>
      <c r="H1129" s="120"/>
      <c r="I1129" s="120"/>
      <c r="J1129" s="120"/>
      <c r="K1129" s="120"/>
    </row>
    <row r="1130">
      <c r="A1130" s="120"/>
      <c r="B1130" s="120"/>
      <c r="C1130" s="120"/>
      <c r="D1130" s="120"/>
      <c r="E1130" s="120"/>
      <c r="F1130" s="120"/>
      <c r="G1130" s="120"/>
      <c r="H1130" s="120"/>
      <c r="I1130" s="120"/>
      <c r="J1130" s="120"/>
      <c r="K1130" s="120"/>
    </row>
    <row r="1131">
      <c r="A1131" s="120"/>
      <c r="B1131" s="120"/>
      <c r="C1131" s="120"/>
      <c r="D1131" s="120"/>
      <c r="E1131" s="120"/>
      <c r="F1131" s="120"/>
      <c r="G1131" s="120"/>
      <c r="H1131" s="120"/>
      <c r="I1131" s="120"/>
      <c r="J1131" s="120"/>
      <c r="K1131" s="120"/>
    </row>
    <row r="1132">
      <c r="A1132" s="120"/>
      <c r="B1132" s="120"/>
      <c r="C1132" s="120"/>
      <c r="D1132" s="120"/>
      <c r="E1132" s="120"/>
      <c r="F1132" s="120"/>
      <c r="G1132" s="120"/>
      <c r="H1132" s="120"/>
      <c r="I1132" s="120"/>
      <c r="J1132" s="120"/>
      <c r="K1132" s="120"/>
    </row>
    <row r="1133">
      <c r="A1133" s="120"/>
      <c r="B1133" s="120"/>
      <c r="C1133" s="120"/>
      <c r="D1133" s="120"/>
      <c r="E1133" s="120"/>
      <c r="F1133" s="120"/>
      <c r="G1133" s="120"/>
      <c r="H1133" s="120"/>
      <c r="I1133" s="120"/>
      <c r="J1133" s="120"/>
      <c r="K1133" s="120"/>
    </row>
    <row r="1134">
      <c r="A1134" s="120"/>
      <c r="B1134" s="120"/>
      <c r="C1134" s="120"/>
      <c r="D1134" s="120"/>
      <c r="E1134" s="120"/>
      <c r="F1134" s="120"/>
      <c r="G1134" s="120"/>
      <c r="H1134" s="120"/>
      <c r="I1134" s="120"/>
      <c r="J1134" s="120"/>
      <c r="K1134" s="120"/>
    </row>
    <row r="1135">
      <c r="A1135" s="120"/>
      <c r="B1135" s="120"/>
      <c r="C1135" s="120"/>
      <c r="D1135" s="120"/>
      <c r="E1135" s="120"/>
      <c r="F1135" s="120"/>
      <c r="G1135" s="120"/>
      <c r="H1135" s="120"/>
      <c r="I1135" s="120"/>
      <c r="J1135" s="120"/>
      <c r="K1135" s="120"/>
    </row>
    <row r="1136">
      <c r="A1136" s="120"/>
      <c r="B1136" s="120"/>
      <c r="C1136" s="120"/>
      <c r="D1136" s="120"/>
      <c r="E1136" s="120"/>
      <c r="F1136" s="120"/>
      <c r="G1136" s="120"/>
      <c r="H1136" s="120"/>
      <c r="I1136" s="120"/>
      <c r="J1136" s="120"/>
      <c r="K1136" s="120"/>
    </row>
    <row r="1137">
      <c r="A1137" s="120"/>
      <c r="B1137" s="120"/>
      <c r="C1137" s="120"/>
      <c r="D1137" s="120"/>
      <c r="E1137" s="120"/>
      <c r="F1137" s="120"/>
      <c r="G1137" s="120"/>
      <c r="H1137" s="120"/>
      <c r="I1137" s="120"/>
      <c r="J1137" s="120"/>
      <c r="K1137" s="120"/>
    </row>
    <row r="1138">
      <c r="A1138" s="120"/>
      <c r="B1138" s="120"/>
      <c r="C1138" s="120"/>
      <c r="D1138" s="120"/>
      <c r="E1138" s="120"/>
      <c r="F1138" s="120"/>
      <c r="G1138" s="120"/>
      <c r="H1138" s="120"/>
      <c r="I1138" s="120"/>
      <c r="J1138" s="120"/>
      <c r="K1138" s="120"/>
    </row>
    <row r="1139">
      <c r="A1139" s="120"/>
      <c r="B1139" s="120"/>
      <c r="C1139" s="120"/>
      <c r="D1139" s="120"/>
      <c r="E1139" s="120"/>
      <c r="F1139" s="120"/>
      <c r="G1139" s="120"/>
      <c r="H1139" s="120"/>
      <c r="I1139" s="120"/>
      <c r="J1139" s="120"/>
      <c r="K1139" s="120"/>
    </row>
    <row r="1140">
      <c r="A1140" s="120"/>
      <c r="B1140" s="120"/>
      <c r="C1140" s="120"/>
      <c r="D1140" s="120"/>
      <c r="E1140" s="120"/>
      <c r="F1140" s="120"/>
      <c r="G1140" s="120"/>
      <c r="H1140" s="120"/>
      <c r="I1140" s="120"/>
      <c r="J1140" s="120"/>
      <c r="K1140" s="120"/>
    </row>
    <row r="1141">
      <c r="A1141" s="120"/>
      <c r="B1141" s="120"/>
      <c r="C1141" s="120"/>
      <c r="D1141" s="120"/>
      <c r="E1141" s="120"/>
      <c r="F1141" s="120"/>
      <c r="G1141" s="120"/>
      <c r="H1141" s="120"/>
      <c r="I1141" s="120"/>
      <c r="J1141" s="120"/>
      <c r="K1141" s="120"/>
    </row>
    <row r="1142">
      <c r="A1142" s="120"/>
      <c r="B1142" s="120"/>
      <c r="C1142" s="120"/>
      <c r="D1142" s="120"/>
      <c r="E1142" s="120"/>
      <c r="F1142" s="120"/>
      <c r="G1142" s="120"/>
      <c r="H1142" s="120"/>
      <c r="I1142" s="120"/>
      <c r="J1142" s="120"/>
      <c r="K1142" s="120"/>
    </row>
    <row r="1143">
      <c r="A1143" s="120"/>
      <c r="B1143" s="120"/>
      <c r="C1143" s="120"/>
      <c r="D1143" s="120"/>
      <c r="E1143" s="120"/>
      <c r="F1143" s="120"/>
      <c r="G1143" s="120"/>
      <c r="H1143" s="120"/>
      <c r="I1143" s="120"/>
      <c r="J1143" s="120"/>
      <c r="K1143" s="120"/>
    </row>
    <row r="1144">
      <c r="A1144" s="120"/>
      <c r="B1144" s="120"/>
      <c r="C1144" s="120"/>
      <c r="D1144" s="120"/>
      <c r="E1144" s="120"/>
      <c r="F1144" s="120"/>
      <c r="G1144" s="120"/>
      <c r="H1144" s="120"/>
      <c r="I1144" s="120"/>
      <c r="J1144" s="120"/>
      <c r="K1144" s="120"/>
    </row>
    <row r="1145">
      <c r="A1145" s="120"/>
      <c r="B1145" s="120"/>
      <c r="C1145" s="120"/>
      <c r="D1145" s="120"/>
      <c r="E1145" s="120"/>
      <c r="F1145" s="120"/>
      <c r="G1145" s="120"/>
      <c r="H1145" s="120"/>
      <c r="I1145" s="120"/>
      <c r="J1145" s="120"/>
      <c r="K1145" s="120"/>
    </row>
    <row r="1146">
      <c r="A1146" s="120"/>
      <c r="B1146" s="120"/>
      <c r="C1146" s="120"/>
      <c r="D1146" s="120"/>
      <c r="E1146" s="120"/>
      <c r="F1146" s="120"/>
      <c r="G1146" s="120"/>
      <c r="H1146" s="120"/>
      <c r="I1146" s="120"/>
      <c r="J1146" s="120"/>
      <c r="K1146" s="120"/>
    </row>
    <row r="1147">
      <c r="A1147" s="120"/>
      <c r="B1147" s="120"/>
      <c r="C1147" s="120"/>
      <c r="D1147" s="120"/>
      <c r="E1147" s="120"/>
      <c r="F1147" s="120"/>
      <c r="G1147" s="120"/>
      <c r="H1147" s="120"/>
      <c r="I1147" s="120"/>
      <c r="J1147" s="120"/>
      <c r="K1147" s="120"/>
    </row>
    <row r="1148">
      <c r="A1148" s="120"/>
      <c r="B1148" s="120"/>
      <c r="C1148" s="120"/>
      <c r="D1148" s="120"/>
      <c r="E1148" s="120"/>
      <c r="F1148" s="120"/>
      <c r="G1148" s="120"/>
      <c r="H1148" s="120"/>
      <c r="I1148" s="120"/>
      <c r="J1148" s="120"/>
      <c r="K1148" s="120"/>
    </row>
    <row r="1149">
      <c r="A1149" s="120"/>
      <c r="B1149" s="120"/>
      <c r="C1149" s="120"/>
      <c r="D1149" s="120"/>
      <c r="E1149" s="120"/>
      <c r="F1149" s="120"/>
      <c r="G1149" s="120"/>
      <c r="H1149" s="120"/>
      <c r="I1149" s="120"/>
      <c r="J1149" s="120"/>
      <c r="K1149" s="120"/>
    </row>
    <row r="1150">
      <c r="A1150" s="120"/>
      <c r="B1150" s="120"/>
      <c r="C1150" s="120"/>
      <c r="D1150" s="120"/>
      <c r="E1150" s="120"/>
      <c r="F1150" s="120"/>
      <c r="G1150" s="120"/>
      <c r="H1150" s="120"/>
      <c r="I1150" s="120"/>
      <c r="J1150" s="120"/>
      <c r="K1150" s="120"/>
    </row>
    <row r="1151">
      <c r="A1151" s="120"/>
      <c r="B1151" s="120"/>
      <c r="C1151" s="120"/>
      <c r="D1151" s="120"/>
      <c r="E1151" s="120"/>
      <c r="F1151" s="120"/>
      <c r="G1151" s="120"/>
      <c r="H1151" s="120"/>
      <c r="I1151" s="120"/>
      <c r="J1151" s="120"/>
      <c r="K1151" s="120"/>
    </row>
    <row r="1152">
      <c r="A1152" s="120"/>
      <c r="B1152" s="120"/>
      <c r="C1152" s="120"/>
      <c r="D1152" s="120"/>
      <c r="E1152" s="120"/>
      <c r="F1152" s="120"/>
      <c r="G1152" s="120"/>
      <c r="H1152" s="120"/>
      <c r="I1152" s="120"/>
      <c r="J1152" s="120"/>
      <c r="K1152" s="120"/>
    </row>
    <row r="1153">
      <c r="A1153" s="120"/>
      <c r="B1153" s="120"/>
      <c r="C1153" s="120"/>
      <c r="D1153" s="120"/>
      <c r="E1153" s="120"/>
      <c r="F1153" s="120"/>
      <c r="G1153" s="120"/>
      <c r="H1153" s="120"/>
      <c r="I1153" s="120"/>
      <c r="J1153" s="120"/>
      <c r="K1153" s="120"/>
    </row>
    <row r="1154">
      <c r="A1154" s="120"/>
      <c r="B1154" s="120"/>
      <c r="C1154" s="120"/>
      <c r="D1154" s="120"/>
      <c r="E1154" s="120"/>
      <c r="F1154" s="120"/>
      <c r="G1154" s="120"/>
      <c r="H1154" s="120"/>
      <c r="I1154" s="120"/>
      <c r="J1154" s="120"/>
      <c r="K1154" s="120"/>
    </row>
    <row r="1155">
      <c r="A1155" s="120"/>
      <c r="B1155" s="120"/>
      <c r="C1155" s="120"/>
      <c r="D1155" s="120"/>
      <c r="E1155" s="120"/>
      <c r="F1155" s="120"/>
      <c r="G1155" s="120"/>
      <c r="H1155" s="120"/>
      <c r="I1155" s="120"/>
      <c r="J1155" s="120"/>
      <c r="K1155" s="120"/>
    </row>
    <row r="1156">
      <c r="A1156" s="120"/>
      <c r="B1156" s="120"/>
      <c r="C1156" s="120"/>
      <c r="D1156" s="120"/>
      <c r="E1156" s="120"/>
      <c r="F1156" s="120"/>
      <c r="G1156" s="120"/>
      <c r="H1156" s="120"/>
      <c r="I1156" s="120"/>
      <c r="J1156" s="120"/>
      <c r="K1156" s="120"/>
    </row>
    <row r="1157">
      <c r="A1157" s="120"/>
      <c r="B1157" s="120"/>
      <c r="C1157" s="120"/>
      <c r="D1157" s="120"/>
      <c r="E1157" s="120"/>
      <c r="F1157" s="120"/>
      <c r="G1157" s="120"/>
      <c r="H1157" s="120"/>
      <c r="I1157" s="120"/>
      <c r="J1157" s="120"/>
      <c r="K1157" s="120"/>
    </row>
    <row r="1158">
      <c r="A1158" s="120"/>
      <c r="B1158" s="120"/>
      <c r="C1158" s="120"/>
      <c r="D1158" s="120"/>
      <c r="E1158" s="120"/>
      <c r="F1158" s="120"/>
      <c r="G1158" s="120"/>
      <c r="H1158" s="120"/>
      <c r="I1158" s="120"/>
      <c r="J1158" s="120"/>
      <c r="K1158" s="120"/>
    </row>
    <row r="1159">
      <c r="A1159" s="120"/>
      <c r="B1159" s="120"/>
      <c r="C1159" s="120"/>
      <c r="D1159" s="120"/>
      <c r="E1159" s="120"/>
      <c r="F1159" s="120"/>
      <c r="G1159" s="120"/>
      <c r="H1159" s="120"/>
      <c r="I1159" s="120"/>
      <c r="J1159" s="120"/>
      <c r="K1159" s="120"/>
    </row>
    <row r="1160">
      <c r="A1160" s="120"/>
      <c r="B1160" s="120"/>
      <c r="C1160" s="120"/>
      <c r="D1160" s="120"/>
      <c r="E1160" s="120"/>
      <c r="F1160" s="120"/>
      <c r="G1160" s="120"/>
      <c r="H1160" s="120"/>
      <c r="I1160" s="120"/>
      <c r="J1160" s="120"/>
      <c r="K1160" s="120"/>
    </row>
    <row r="1161">
      <c r="A1161" s="120"/>
      <c r="B1161" s="120"/>
      <c r="C1161" s="120"/>
      <c r="D1161" s="120"/>
      <c r="E1161" s="120"/>
      <c r="F1161" s="120"/>
      <c r="G1161" s="120"/>
      <c r="H1161" s="120"/>
      <c r="I1161" s="120"/>
      <c r="J1161" s="120"/>
      <c r="K1161" s="120"/>
    </row>
    <row r="1162">
      <c r="A1162" s="120"/>
      <c r="B1162" s="120"/>
      <c r="C1162" s="120"/>
      <c r="D1162" s="120"/>
      <c r="E1162" s="120"/>
      <c r="F1162" s="120"/>
      <c r="G1162" s="120"/>
      <c r="H1162" s="120"/>
      <c r="I1162" s="120"/>
      <c r="J1162" s="120"/>
      <c r="K1162" s="120"/>
    </row>
    <row r="1163">
      <c r="A1163" s="120"/>
      <c r="B1163" s="120"/>
      <c r="C1163" s="120"/>
      <c r="D1163" s="120"/>
      <c r="E1163" s="120"/>
      <c r="F1163" s="120"/>
      <c r="G1163" s="120"/>
      <c r="H1163" s="120"/>
      <c r="I1163" s="120"/>
      <c r="J1163" s="120"/>
      <c r="K1163" s="120"/>
    </row>
    <row r="1164">
      <c r="A1164" s="120"/>
      <c r="B1164" s="120"/>
      <c r="C1164" s="120"/>
      <c r="D1164" s="120"/>
      <c r="E1164" s="120"/>
      <c r="F1164" s="120"/>
      <c r="G1164" s="120"/>
      <c r="H1164" s="120"/>
      <c r="I1164" s="120"/>
      <c r="J1164" s="120"/>
      <c r="K1164" s="120"/>
    </row>
    <row r="1165">
      <c r="A1165" s="120"/>
      <c r="B1165" s="120"/>
      <c r="C1165" s="120"/>
      <c r="D1165" s="120"/>
      <c r="E1165" s="120"/>
      <c r="F1165" s="120"/>
      <c r="G1165" s="120"/>
      <c r="H1165" s="120"/>
      <c r="I1165" s="120"/>
      <c r="J1165" s="120"/>
      <c r="K1165" s="120"/>
    </row>
    <row r="1166">
      <c r="A1166" s="120"/>
      <c r="B1166" s="120"/>
      <c r="C1166" s="120"/>
      <c r="D1166" s="120"/>
      <c r="E1166" s="120"/>
      <c r="F1166" s="120"/>
      <c r="G1166" s="120"/>
      <c r="H1166" s="120"/>
      <c r="I1166" s="120"/>
      <c r="J1166" s="120"/>
      <c r="K1166" s="120"/>
    </row>
    <row r="1167">
      <c r="A1167" s="120"/>
      <c r="B1167" s="120"/>
      <c r="C1167" s="120"/>
      <c r="D1167" s="120"/>
      <c r="E1167" s="120"/>
      <c r="F1167" s="120"/>
      <c r="G1167" s="120"/>
      <c r="H1167" s="120"/>
      <c r="I1167" s="120"/>
      <c r="J1167" s="120"/>
      <c r="K1167" s="120"/>
    </row>
    <row r="1168">
      <c r="A1168" s="120"/>
      <c r="B1168" s="120"/>
      <c r="C1168" s="120"/>
      <c r="D1168" s="120"/>
      <c r="E1168" s="120"/>
      <c r="F1168" s="120"/>
      <c r="G1168" s="120"/>
      <c r="H1168" s="120"/>
      <c r="I1168" s="120"/>
      <c r="J1168" s="120"/>
      <c r="K1168" s="120"/>
    </row>
    <row r="1169">
      <c r="A1169" s="120"/>
      <c r="B1169" s="120"/>
      <c r="C1169" s="120"/>
      <c r="D1169" s="120"/>
      <c r="E1169" s="120"/>
      <c r="F1169" s="120"/>
      <c r="G1169" s="120"/>
      <c r="H1169" s="120"/>
      <c r="I1169" s="120"/>
      <c r="J1169" s="120"/>
      <c r="K1169" s="120"/>
    </row>
    <row r="1170">
      <c r="A1170" s="120"/>
      <c r="B1170" s="120"/>
      <c r="C1170" s="120"/>
      <c r="D1170" s="120"/>
      <c r="E1170" s="120"/>
      <c r="F1170" s="120"/>
      <c r="G1170" s="120"/>
      <c r="H1170" s="120"/>
      <c r="I1170" s="120"/>
      <c r="J1170" s="120"/>
      <c r="K1170" s="120"/>
    </row>
    <row r="1171">
      <c r="A1171" s="120"/>
      <c r="B1171" s="120"/>
      <c r="C1171" s="120"/>
      <c r="D1171" s="120"/>
      <c r="E1171" s="120"/>
      <c r="F1171" s="120"/>
      <c r="G1171" s="120"/>
      <c r="H1171" s="120"/>
      <c r="I1171" s="120"/>
      <c r="J1171" s="120"/>
      <c r="K1171" s="120"/>
    </row>
    <row r="1172">
      <c r="A1172" s="120"/>
      <c r="B1172" s="120"/>
      <c r="C1172" s="120"/>
      <c r="D1172" s="120"/>
      <c r="E1172" s="120"/>
      <c r="F1172" s="120"/>
      <c r="G1172" s="120"/>
      <c r="H1172" s="120"/>
      <c r="I1172" s="120"/>
      <c r="J1172" s="120"/>
      <c r="K1172" s="120"/>
    </row>
    <row r="1173">
      <c r="A1173" s="120"/>
      <c r="B1173" s="120"/>
      <c r="C1173" s="120"/>
      <c r="D1173" s="120"/>
      <c r="E1173" s="120"/>
      <c r="F1173" s="120"/>
      <c r="G1173" s="120"/>
      <c r="H1173" s="120"/>
      <c r="I1173" s="120"/>
      <c r="J1173" s="120"/>
      <c r="K1173" s="120"/>
    </row>
    <row r="1174">
      <c r="A1174" s="120"/>
      <c r="B1174" s="120"/>
      <c r="C1174" s="120"/>
      <c r="D1174" s="120"/>
      <c r="E1174" s="120"/>
      <c r="F1174" s="120"/>
      <c r="G1174" s="120"/>
      <c r="H1174" s="120"/>
      <c r="I1174" s="120"/>
      <c r="J1174" s="120"/>
      <c r="K1174" s="120"/>
    </row>
    <row r="1175">
      <c r="A1175" s="120"/>
      <c r="B1175" s="120"/>
      <c r="C1175" s="120"/>
      <c r="D1175" s="120"/>
      <c r="E1175" s="120"/>
      <c r="F1175" s="120"/>
      <c r="G1175" s="120"/>
      <c r="H1175" s="120"/>
      <c r="I1175" s="120"/>
      <c r="J1175" s="120"/>
      <c r="K1175" s="120"/>
    </row>
    <row r="1176">
      <c r="A1176" s="120"/>
      <c r="B1176" s="120"/>
      <c r="C1176" s="120"/>
      <c r="D1176" s="120"/>
      <c r="E1176" s="120"/>
      <c r="F1176" s="120"/>
      <c r="G1176" s="120"/>
      <c r="H1176" s="120"/>
      <c r="I1176" s="120"/>
      <c r="J1176" s="120"/>
      <c r="K1176" s="120"/>
    </row>
    <row r="1177">
      <c r="A1177" s="120"/>
      <c r="B1177" s="120"/>
      <c r="C1177" s="120"/>
      <c r="D1177" s="120"/>
      <c r="E1177" s="120"/>
      <c r="F1177" s="120"/>
      <c r="G1177" s="120"/>
      <c r="H1177" s="120"/>
      <c r="I1177" s="120"/>
      <c r="J1177" s="120"/>
      <c r="K1177" s="120"/>
    </row>
    <row r="1178">
      <c r="A1178" s="120"/>
      <c r="B1178" s="120"/>
      <c r="C1178" s="120"/>
      <c r="D1178" s="120"/>
      <c r="E1178" s="120"/>
      <c r="F1178" s="120"/>
      <c r="G1178" s="120"/>
      <c r="H1178" s="120"/>
      <c r="I1178" s="120"/>
      <c r="J1178" s="120"/>
      <c r="K1178" s="120"/>
    </row>
    <row r="1179">
      <c r="A1179" s="120"/>
      <c r="B1179" s="120"/>
      <c r="C1179" s="120"/>
      <c r="D1179" s="120"/>
      <c r="E1179" s="120"/>
      <c r="F1179" s="120"/>
      <c r="G1179" s="120"/>
      <c r="H1179" s="120"/>
      <c r="I1179" s="120"/>
      <c r="J1179" s="120"/>
      <c r="K1179" s="120"/>
    </row>
    <row r="1180">
      <c r="A1180" s="120"/>
      <c r="B1180" s="120"/>
      <c r="C1180" s="120"/>
      <c r="D1180" s="120"/>
      <c r="E1180" s="120"/>
      <c r="F1180" s="120"/>
      <c r="G1180" s="120"/>
      <c r="H1180" s="120"/>
      <c r="I1180" s="120"/>
      <c r="J1180" s="120"/>
      <c r="K1180" s="120"/>
    </row>
    <row r="1181">
      <c r="A1181" s="120"/>
      <c r="B1181" s="120"/>
      <c r="C1181" s="120"/>
      <c r="D1181" s="120"/>
      <c r="E1181" s="120"/>
      <c r="F1181" s="120"/>
      <c r="G1181" s="120"/>
      <c r="H1181" s="120"/>
      <c r="I1181" s="120"/>
      <c r="J1181" s="120"/>
      <c r="K1181" s="120"/>
    </row>
    <row r="1182">
      <c r="A1182" s="120"/>
      <c r="B1182" s="120"/>
      <c r="C1182" s="120"/>
      <c r="D1182" s="120"/>
      <c r="E1182" s="120"/>
      <c r="F1182" s="120"/>
      <c r="G1182" s="120"/>
      <c r="H1182" s="120"/>
      <c r="I1182" s="120"/>
      <c r="J1182" s="120"/>
      <c r="K1182" s="120"/>
    </row>
    <row r="1183">
      <c r="A1183" s="120"/>
      <c r="B1183" s="120"/>
      <c r="C1183" s="120"/>
      <c r="D1183" s="120"/>
      <c r="E1183" s="120"/>
      <c r="F1183" s="120"/>
      <c r="G1183" s="120"/>
      <c r="H1183" s="120"/>
      <c r="I1183" s="120"/>
      <c r="J1183" s="120"/>
      <c r="K1183" s="120"/>
    </row>
    <row r="1184">
      <c r="A1184" s="120"/>
      <c r="B1184" s="120"/>
      <c r="C1184" s="120"/>
      <c r="D1184" s="120"/>
      <c r="E1184" s="120"/>
      <c r="F1184" s="120"/>
      <c r="G1184" s="120"/>
      <c r="H1184" s="120"/>
      <c r="I1184" s="120"/>
      <c r="J1184" s="120"/>
      <c r="K1184" s="120"/>
    </row>
    <row r="1185">
      <c r="A1185" s="120"/>
      <c r="B1185" s="120"/>
      <c r="C1185" s="120"/>
      <c r="D1185" s="120"/>
      <c r="E1185" s="120"/>
      <c r="F1185" s="120"/>
      <c r="G1185" s="120"/>
      <c r="H1185" s="120"/>
      <c r="I1185" s="120"/>
      <c r="J1185" s="120"/>
      <c r="K1185" s="120"/>
    </row>
    <row r="1186">
      <c r="A1186" s="120"/>
      <c r="B1186" s="120"/>
      <c r="C1186" s="120"/>
      <c r="D1186" s="120"/>
      <c r="E1186" s="120"/>
      <c r="F1186" s="120"/>
      <c r="G1186" s="120"/>
      <c r="H1186" s="120"/>
      <c r="I1186" s="120"/>
      <c r="J1186" s="120"/>
      <c r="K1186" s="120"/>
    </row>
    <row r="1187">
      <c r="A1187" s="120"/>
      <c r="B1187" s="120"/>
      <c r="C1187" s="120"/>
      <c r="D1187" s="120"/>
      <c r="E1187" s="120"/>
      <c r="F1187" s="120"/>
      <c r="G1187" s="120"/>
      <c r="H1187" s="120"/>
      <c r="I1187" s="120"/>
      <c r="J1187" s="120"/>
      <c r="K1187" s="120"/>
    </row>
    <row r="1188">
      <c r="A1188" s="120"/>
      <c r="B1188" s="120"/>
      <c r="C1188" s="120"/>
      <c r="D1188" s="120"/>
      <c r="E1188" s="120"/>
      <c r="F1188" s="120"/>
      <c r="G1188" s="120"/>
      <c r="H1188" s="120"/>
      <c r="I1188" s="120"/>
      <c r="J1188" s="120"/>
      <c r="K1188" s="120"/>
    </row>
    <row r="1189">
      <c r="A1189" s="120"/>
      <c r="B1189" s="120"/>
      <c r="C1189" s="120"/>
      <c r="D1189" s="120"/>
      <c r="E1189" s="120"/>
      <c r="F1189" s="120"/>
      <c r="G1189" s="120"/>
      <c r="H1189" s="120"/>
      <c r="I1189" s="120"/>
      <c r="J1189" s="120"/>
      <c r="K1189" s="120"/>
    </row>
    <row r="1190">
      <c r="A1190" s="120"/>
      <c r="B1190" s="120"/>
      <c r="C1190" s="120"/>
      <c r="D1190" s="120"/>
      <c r="E1190" s="120"/>
      <c r="F1190" s="120"/>
      <c r="G1190" s="120"/>
      <c r="H1190" s="120"/>
      <c r="I1190" s="120"/>
      <c r="J1190" s="120"/>
      <c r="K1190" s="120"/>
    </row>
    <row r="1191">
      <c r="A1191" s="120"/>
      <c r="B1191" s="120"/>
      <c r="C1191" s="120"/>
      <c r="D1191" s="120"/>
      <c r="E1191" s="120"/>
      <c r="F1191" s="120"/>
      <c r="G1191" s="120"/>
      <c r="H1191" s="120"/>
      <c r="I1191" s="120"/>
      <c r="J1191" s="120"/>
      <c r="K1191" s="120"/>
    </row>
    <row r="1192">
      <c r="A1192" s="120"/>
      <c r="B1192" s="120"/>
      <c r="C1192" s="120"/>
      <c r="D1192" s="120"/>
      <c r="E1192" s="120"/>
      <c r="F1192" s="120"/>
      <c r="G1192" s="120"/>
      <c r="H1192" s="120"/>
      <c r="I1192" s="120"/>
      <c r="J1192" s="120"/>
      <c r="K1192" s="120"/>
    </row>
    <row r="1193">
      <c r="A1193" s="120"/>
      <c r="B1193" s="120"/>
      <c r="C1193" s="120"/>
      <c r="D1193" s="120"/>
      <c r="E1193" s="120"/>
      <c r="F1193" s="120"/>
      <c r="G1193" s="120"/>
      <c r="H1193" s="120"/>
      <c r="I1193" s="120"/>
      <c r="J1193" s="120"/>
      <c r="K1193" s="120"/>
    </row>
    <row r="1194">
      <c r="A1194" s="120"/>
      <c r="B1194" s="120"/>
      <c r="C1194" s="120"/>
      <c r="D1194" s="120"/>
      <c r="E1194" s="120"/>
      <c r="F1194" s="120"/>
      <c r="G1194" s="120"/>
      <c r="H1194" s="120"/>
      <c r="I1194" s="120"/>
      <c r="J1194" s="120"/>
      <c r="K1194" s="120"/>
    </row>
    <row r="1195">
      <c r="A1195" s="120"/>
      <c r="B1195" s="120"/>
      <c r="C1195" s="120"/>
      <c r="D1195" s="120"/>
      <c r="E1195" s="120"/>
      <c r="F1195" s="120"/>
      <c r="G1195" s="120"/>
      <c r="H1195" s="120"/>
      <c r="I1195" s="120"/>
      <c r="J1195" s="120"/>
      <c r="K1195" s="120"/>
    </row>
    <row r="1196">
      <c r="A1196" s="120"/>
      <c r="B1196" s="120"/>
      <c r="C1196" s="120"/>
      <c r="D1196" s="120"/>
      <c r="E1196" s="120"/>
      <c r="F1196" s="120"/>
      <c r="G1196" s="120"/>
      <c r="H1196" s="120"/>
      <c r="I1196" s="120"/>
      <c r="J1196" s="120"/>
      <c r="K1196" s="120"/>
    </row>
    <row r="1197">
      <c r="A1197" s="120"/>
      <c r="B1197" s="120"/>
      <c r="C1197" s="120"/>
      <c r="D1197" s="120"/>
      <c r="E1197" s="120"/>
      <c r="F1197" s="120"/>
      <c r="G1197" s="120"/>
      <c r="H1197" s="120"/>
      <c r="I1197" s="120"/>
      <c r="J1197" s="120"/>
      <c r="K1197" s="120"/>
    </row>
    <row r="1198">
      <c r="A1198" s="120"/>
      <c r="B1198" s="120"/>
      <c r="C1198" s="120"/>
      <c r="D1198" s="120"/>
      <c r="E1198" s="120"/>
      <c r="F1198" s="120"/>
      <c r="G1198" s="120"/>
      <c r="H1198" s="120"/>
      <c r="I1198" s="120"/>
      <c r="J1198" s="120"/>
      <c r="K1198" s="120"/>
    </row>
    <row r="1199">
      <c r="A1199" s="120"/>
      <c r="B1199" s="120"/>
      <c r="C1199" s="120"/>
      <c r="D1199" s="120"/>
      <c r="E1199" s="120"/>
      <c r="F1199" s="120"/>
      <c r="G1199" s="120"/>
      <c r="H1199" s="120"/>
      <c r="I1199" s="120"/>
      <c r="J1199" s="120"/>
      <c r="K1199" s="120"/>
    </row>
    <row r="1200">
      <c r="A1200" s="120"/>
      <c r="B1200" s="120"/>
      <c r="C1200" s="120"/>
      <c r="D1200" s="120"/>
      <c r="E1200" s="120"/>
      <c r="F1200" s="120"/>
      <c r="G1200" s="120"/>
      <c r="H1200" s="120"/>
      <c r="I1200" s="120"/>
      <c r="J1200" s="120"/>
      <c r="K1200" s="120"/>
    </row>
    <row r="1201">
      <c r="A1201" s="120"/>
      <c r="B1201" s="120"/>
      <c r="C1201" s="120"/>
      <c r="D1201" s="120"/>
      <c r="E1201" s="120"/>
      <c r="F1201" s="120"/>
      <c r="G1201" s="120"/>
      <c r="H1201" s="120"/>
      <c r="I1201" s="120"/>
      <c r="J1201" s="120"/>
      <c r="K1201" s="120"/>
    </row>
    <row r="1202">
      <c r="A1202" s="120"/>
      <c r="B1202" s="120"/>
      <c r="C1202" s="120"/>
      <c r="D1202" s="120"/>
      <c r="E1202" s="120"/>
      <c r="F1202" s="120"/>
      <c r="G1202" s="120"/>
      <c r="H1202" s="120"/>
      <c r="I1202" s="120"/>
      <c r="J1202" s="120"/>
      <c r="K1202" s="120"/>
    </row>
    <row r="1203">
      <c r="A1203" s="120"/>
      <c r="B1203" s="120"/>
      <c r="C1203" s="120"/>
      <c r="D1203" s="120"/>
      <c r="E1203" s="120"/>
      <c r="F1203" s="120"/>
      <c r="G1203" s="120"/>
      <c r="H1203" s="120"/>
      <c r="I1203" s="120"/>
      <c r="J1203" s="120"/>
      <c r="K1203" s="120"/>
    </row>
    <row r="1204">
      <c r="A1204" s="120"/>
      <c r="B1204" s="120"/>
      <c r="C1204" s="120"/>
      <c r="D1204" s="120"/>
      <c r="E1204" s="120"/>
      <c r="F1204" s="120"/>
      <c r="G1204" s="120"/>
      <c r="H1204" s="120"/>
      <c r="I1204" s="120"/>
      <c r="J1204" s="120"/>
      <c r="K1204" s="120"/>
    </row>
    <row r="1205">
      <c r="A1205" s="120"/>
      <c r="B1205" s="120"/>
      <c r="C1205" s="120"/>
      <c r="D1205" s="120"/>
      <c r="E1205" s="120"/>
      <c r="F1205" s="120"/>
      <c r="G1205" s="120"/>
      <c r="H1205" s="120"/>
      <c r="I1205" s="120"/>
      <c r="J1205" s="120"/>
      <c r="K1205" s="120"/>
    </row>
    <row r="1206">
      <c r="A1206" s="120"/>
      <c r="B1206" s="120"/>
      <c r="C1206" s="120"/>
      <c r="D1206" s="120"/>
      <c r="E1206" s="120"/>
      <c r="F1206" s="120"/>
      <c r="G1206" s="120"/>
      <c r="H1206" s="120"/>
      <c r="I1206" s="120"/>
      <c r="J1206" s="120"/>
      <c r="K1206" s="120"/>
    </row>
    <row r="1207">
      <c r="A1207" s="120"/>
      <c r="B1207" s="120"/>
      <c r="C1207" s="120"/>
      <c r="D1207" s="120"/>
      <c r="E1207" s="120"/>
      <c r="F1207" s="120"/>
      <c r="G1207" s="120"/>
      <c r="H1207" s="120"/>
      <c r="I1207" s="120"/>
      <c r="J1207" s="120"/>
      <c r="K1207" s="120"/>
    </row>
    <row r="1208">
      <c r="A1208" s="120"/>
      <c r="B1208" s="120"/>
      <c r="C1208" s="120"/>
      <c r="D1208" s="120"/>
      <c r="E1208" s="120"/>
      <c r="F1208" s="120"/>
      <c r="G1208" s="120"/>
      <c r="H1208" s="120"/>
      <c r="I1208" s="120"/>
      <c r="J1208" s="120"/>
      <c r="K1208" s="120"/>
    </row>
    <row r="1209">
      <c r="A1209" s="120"/>
      <c r="B1209" s="120"/>
      <c r="C1209" s="120"/>
      <c r="D1209" s="120"/>
      <c r="E1209" s="120"/>
      <c r="F1209" s="120"/>
      <c r="G1209" s="120"/>
      <c r="H1209" s="120"/>
      <c r="I1209" s="120"/>
      <c r="J1209" s="120"/>
      <c r="K1209" s="120"/>
    </row>
    <row r="1210">
      <c r="A1210" s="120"/>
      <c r="B1210" s="120"/>
      <c r="C1210" s="120"/>
      <c r="D1210" s="120"/>
      <c r="E1210" s="120"/>
      <c r="F1210" s="120"/>
      <c r="G1210" s="120"/>
      <c r="H1210" s="120"/>
      <c r="I1210" s="120"/>
      <c r="J1210" s="120"/>
      <c r="K1210" s="120"/>
    </row>
    <row r="1211">
      <c r="A1211" s="120"/>
      <c r="B1211" s="120"/>
      <c r="C1211" s="120"/>
      <c r="D1211" s="120"/>
      <c r="E1211" s="120"/>
      <c r="F1211" s="120"/>
      <c r="G1211" s="120"/>
      <c r="H1211" s="120"/>
      <c r="I1211" s="120"/>
      <c r="J1211" s="120"/>
      <c r="K1211" s="120"/>
    </row>
    <row r="1212">
      <c r="A1212" s="120"/>
      <c r="B1212" s="120"/>
      <c r="C1212" s="120"/>
      <c r="D1212" s="120"/>
      <c r="E1212" s="120"/>
      <c r="F1212" s="120"/>
      <c r="G1212" s="120"/>
      <c r="H1212" s="120"/>
      <c r="I1212" s="120"/>
      <c r="J1212" s="120"/>
      <c r="K1212" s="120"/>
    </row>
    <row r="1213">
      <c r="A1213" s="120"/>
      <c r="B1213" s="120"/>
      <c r="C1213" s="120"/>
      <c r="D1213" s="120"/>
      <c r="E1213" s="120"/>
      <c r="F1213" s="120"/>
      <c r="G1213" s="120"/>
      <c r="H1213" s="120"/>
      <c r="I1213" s="120"/>
      <c r="J1213" s="120"/>
      <c r="K1213" s="120"/>
    </row>
    <row r="1214">
      <c r="A1214" s="120"/>
      <c r="B1214" s="120"/>
      <c r="C1214" s="120"/>
      <c r="D1214" s="120"/>
      <c r="E1214" s="120"/>
      <c r="F1214" s="120"/>
      <c r="G1214" s="120"/>
      <c r="H1214" s="120"/>
      <c r="I1214" s="120"/>
      <c r="J1214" s="120"/>
      <c r="K1214" s="120"/>
    </row>
    <row r="1215">
      <c r="A1215" s="120"/>
      <c r="B1215" s="120"/>
      <c r="C1215" s="120"/>
      <c r="D1215" s="120"/>
      <c r="E1215" s="120"/>
      <c r="F1215" s="120"/>
      <c r="G1215" s="120"/>
      <c r="H1215" s="120"/>
      <c r="I1215" s="120"/>
      <c r="J1215" s="120"/>
      <c r="K1215" s="120"/>
    </row>
    <row r="1216">
      <c r="A1216" s="120"/>
      <c r="B1216" s="120"/>
      <c r="C1216" s="120"/>
      <c r="D1216" s="120"/>
      <c r="E1216" s="120"/>
      <c r="F1216" s="120"/>
      <c r="G1216" s="120"/>
      <c r="H1216" s="120"/>
      <c r="I1216" s="120"/>
      <c r="J1216" s="120"/>
      <c r="K1216" s="120"/>
    </row>
    <row r="1217">
      <c r="A1217" s="120"/>
      <c r="B1217" s="120"/>
      <c r="C1217" s="120"/>
      <c r="D1217" s="120"/>
      <c r="E1217" s="120"/>
      <c r="F1217" s="120"/>
      <c r="G1217" s="120"/>
      <c r="H1217" s="120"/>
      <c r="I1217" s="120"/>
      <c r="J1217" s="120"/>
      <c r="K1217" s="120"/>
    </row>
    <row r="1218">
      <c r="A1218" s="120"/>
      <c r="B1218" s="120"/>
      <c r="C1218" s="120"/>
      <c r="D1218" s="120"/>
      <c r="E1218" s="120"/>
      <c r="F1218" s="120"/>
      <c r="G1218" s="120"/>
      <c r="H1218" s="120"/>
      <c r="I1218" s="120"/>
      <c r="J1218" s="120"/>
      <c r="K1218" s="120"/>
    </row>
    <row r="1219">
      <c r="A1219" s="120"/>
      <c r="B1219" s="120"/>
      <c r="C1219" s="120"/>
      <c r="D1219" s="120"/>
      <c r="E1219" s="120"/>
      <c r="F1219" s="120"/>
      <c r="G1219" s="120"/>
      <c r="H1219" s="120"/>
      <c r="I1219" s="120"/>
      <c r="J1219" s="120"/>
      <c r="K1219" s="120"/>
    </row>
    <row r="1220">
      <c r="A1220" s="120"/>
      <c r="B1220" s="120"/>
      <c r="C1220" s="120"/>
      <c r="D1220" s="120"/>
      <c r="E1220" s="120"/>
      <c r="F1220" s="120"/>
      <c r="G1220" s="120"/>
      <c r="H1220" s="120"/>
      <c r="I1220" s="120"/>
      <c r="J1220" s="120"/>
      <c r="K1220" s="120"/>
    </row>
    <row r="1221">
      <c r="A1221" s="120"/>
      <c r="B1221" s="120"/>
      <c r="C1221" s="120"/>
      <c r="D1221" s="120"/>
      <c r="E1221" s="120"/>
      <c r="F1221" s="120"/>
      <c r="G1221" s="120"/>
      <c r="H1221" s="120"/>
      <c r="I1221" s="120"/>
      <c r="J1221" s="120"/>
      <c r="K1221" s="120"/>
    </row>
    <row r="1222">
      <c r="A1222" s="120"/>
      <c r="B1222" s="120"/>
      <c r="C1222" s="120"/>
      <c r="D1222" s="120"/>
      <c r="E1222" s="120"/>
      <c r="F1222" s="120"/>
      <c r="G1222" s="120"/>
      <c r="H1222" s="120"/>
      <c r="I1222" s="120"/>
      <c r="J1222" s="120"/>
      <c r="K1222" s="120"/>
    </row>
    <row r="1223">
      <c r="A1223" s="120"/>
      <c r="B1223" s="120"/>
      <c r="C1223" s="120"/>
      <c r="D1223" s="120"/>
      <c r="E1223" s="120"/>
      <c r="F1223" s="120"/>
      <c r="G1223" s="120"/>
      <c r="H1223" s="120"/>
      <c r="I1223" s="120"/>
      <c r="J1223" s="120"/>
      <c r="K1223" s="120"/>
    </row>
    <row r="1224">
      <c r="A1224" s="120"/>
      <c r="B1224" s="120"/>
      <c r="C1224" s="120"/>
      <c r="D1224" s="120"/>
      <c r="E1224" s="120"/>
      <c r="F1224" s="120"/>
      <c r="G1224" s="120"/>
      <c r="H1224" s="120"/>
      <c r="I1224" s="120"/>
      <c r="J1224" s="120"/>
      <c r="K1224" s="120"/>
    </row>
    <row r="1225">
      <c r="A1225" s="120"/>
      <c r="B1225" s="120"/>
      <c r="C1225" s="120"/>
      <c r="D1225" s="120"/>
      <c r="E1225" s="120"/>
      <c r="F1225" s="120"/>
      <c r="G1225" s="120"/>
      <c r="H1225" s="120"/>
      <c r="I1225" s="120"/>
      <c r="J1225" s="120"/>
      <c r="K1225" s="120"/>
    </row>
    <row r="1226">
      <c r="A1226" s="120"/>
      <c r="B1226" s="120"/>
      <c r="C1226" s="120"/>
      <c r="D1226" s="120"/>
      <c r="E1226" s="120"/>
      <c r="F1226" s="120"/>
      <c r="G1226" s="120"/>
      <c r="H1226" s="120"/>
      <c r="I1226" s="120"/>
      <c r="J1226" s="120"/>
      <c r="K1226" s="120"/>
    </row>
    <row r="1227">
      <c r="A1227" s="120"/>
      <c r="B1227" s="120"/>
      <c r="C1227" s="120"/>
      <c r="D1227" s="120"/>
      <c r="E1227" s="120"/>
      <c r="F1227" s="120"/>
      <c r="G1227" s="120"/>
      <c r="H1227" s="120"/>
      <c r="I1227" s="120"/>
      <c r="J1227" s="120"/>
      <c r="K1227" s="120"/>
    </row>
    <row r="1228">
      <c r="A1228" s="120"/>
      <c r="B1228" s="120"/>
      <c r="C1228" s="120"/>
      <c r="D1228" s="120"/>
      <c r="E1228" s="120"/>
      <c r="F1228" s="120"/>
      <c r="G1228" s="120"/>
      <c r="H1228" s="120"/>
      <c r="I1228" s="120"/>
      <c r="J1228" s="120"/>
      <c r="K1228" s="120"/>
    </row>
    <row r="1229">
      <c r="A1229" s="120"/>
      <c r="B1229" s="120"/>
      <c r="C1229" s="120"/>
      <c r="D1229" s="120"/>
      <c r="E1229" s="120"/>
      <c r="F1229" s="120"/>
      <c r="G1229" s="120"/>
      <c r="H1229" s="120"/>
      <c r="I1229" s="120"/>
      <c r="J1229" s="120"/>
      <c r="K1229" s="120"/>
    </row>
    <row r="1230">
      <c r="A1230" s="120"/>
      <c r="B1230" s="120"/>
      <c r="C1230" s="120"/>
      <c r="D1230" s="120"/>
      <c r="E1230" s="120"/>
      <c r="F1230" s="120"/>
      <c r="G1230" s="120"/>
      <c r="H1230" s="120"/>
      <c r="I1230" s="120"/>
      <c r="J1230" s="120"/>
      <c r="K1230" s="120"/>
    </row>
    <row r="1231">
      <c r="A1231" s="120"/>
      <c r="B1231" s="120"/>
      <c r="C1231" s="120"/>
      <c r="D1231" s="120"/>
      <c r="E1231" s="120"/>
      <c r="F1231" s="120"/>
      <c r="G1231" s="120"/>
      <c r="H1231" s="120"/>
      <c r="I1231" s="120"/>
      <c r="J1231" s="120"/>
      <c r="K1231" s="120"/>
    </row>
    <row r="1232">
      <c r="A1232" s="120"/>
      <c r="B1232" s="120"/>
      <c r="C1232" s="120"/>
      <c r="D1232" s="120"/>
      <c r="E1232" s="120"/>
      <c r="F1232" s="120"/>
      <c r="G1232" s="120"/>
      <c r="H1232" s="120"/>
      <c r="I1232" s="120"/>
      <c r="J1232" s="120"/>
      <c r="K1232" s="120"/>
    </row>
    <row r="1233">
      <c r="A1233" s="120"/>
      <c r="B1233" s="120"/>
      <c r="C1233" s="120"/>
      <c r="D1233" s="120"/>
      <c r="E1233" s="120"/>
      <c r="F1233" s="120"/>
      <c r="G1233" s="120"/>
      <c r="H1233" s="120"/>
      <c r="I1233" s="120"/>
      <c r="J1233" s="120"/>
      <c r="K1233" s="120"/>
    </row>
    <row r="1234">
      <c r="A1234" s="120"/>
      <c r="B1234" s="120"/>
      <c r="C1234" s="120"/>
      <c r="D1234" s="120"/>
      <c r="E1234" s="120"/>
      <c r="F1234" s="120"/>
      <c r="G1234" s="120"/>
      <c r="H1234" s="120"/>
      <c r="I1234" s="120"/>
      <c r="J1234" s="120"/>
      <c r="K1234" s="120"/>
    </row>
    <row r="1235">
      <c r="A1235" s="120"/>
      <c r="B1235" s="120"/>
      <c r="C1235" s="120"/>
      <c r="D1235" s="120"/>
      <c r="E1235" s="120"/>
      <c r="F1235" s="120"/>
      <c r="G1235" s="120"/>
      <c r="H1235" s="120"/>
      <c r="I1235" s="120"/>
      <c r="J1235" s="120"/>
      <c r="K1235" s="120"/>
    </row>
    <row r="1236">
      <c r="A1236" s="120"/>
      <c r="B1236" s="120"/>
      <c r="C1236" s="120"/>
      <c r="D1236" s="120"/>
      <c r="E1236" s="120"/>
      <c r="F1236" s="120"/>
      <c r="G1236" s="120"/>
      <c r="H1236" s="120"/>
      <c r="I1236" s="120"/>
      <c r="J1236" s="120"/>
      <c r="K1236" s="120"/>
    </row>
    <row r="1237">
      <c r="A1237" s="120"/>
      <c r="B1237" s="120"/>
      <c r="C1237" s="120"/>
      <c r="D1237" s="120"/>
      <c r="E1237" s="120"/>
      <c r="F1237" s="120"/>
      <c r="G1237" s="120"/>
      <c r="H1237" s="120"/>
      <c r="I1237" s="120"/>
      <c r="J1237" s="120"/>
      <c r="K1237" s="120"/>
    </row>
    <row r="1238">
      <c r="A1238" s="120"/>
      <c r="B1238" s="120"/>
      <c r="C1238" s="120"/>
      <c r="D1238" s="120"/>
      <c r="E1238" s="120"/>
      <c r="F1238" s="120"/>
      <c r="G1238" s="120"/>
      <c r="H1238" s="120"/>
      <c r="I1238" s="120"/>
      <c r="J1238" s="120"/>
      <c r="K1238" s="120"/>
    </row>
    <row r="1239">
      <c r="A1239" s="120"/>
      <c r="B1239" s="120"/>
      <c r="C1239" s="120"/>
      <c r="D1239" s="120"/>
      <c r="E1239" s="120"/>
      <c r="F1239" s="120"/>
      <c r="G1239" s="120"/>
      <c r="H1239" s="120"/>
      <c r="I1239" s="120"/>
      <c r="J1239" s="120"/>
      <c r="K1239" s="120"/>
    </row>
    <row r="1240">
      <c r="A1240" s="120"/>
      <c r="B1240" s="120"/>
      <c r="C1240" s="120"/>
      <c r="D1240" s="120"/>
      <c r="E1240" s="120"/>
      <c r="F1240" s="120"/>
      <c r="G1240" s="120"/>
      <c r="H1240" s="120"/>
      <c r="I1240" s="120"/>
      <c r="J1240" s="120"/>
      <c r="K1240" s="120"/>
    </row>
    <row r="1241">
      <c r="A1241" s="120"/>
      <c r="B1241" s="120"/>
      <c r="C1241" s="120"/>
      <c r="D1241" s="120"/>
      <c r="E1241" s="120"/>
      <c r="F1241" s="120"/>
      <c r="G1241" s="120"/>
      <c r="H1241" s="120"/>
      <c r="I1241" s="120"/>
      <c r="J1241" s="120"/>
      <c r="K1241" s="120"/>
    </row>
    <row r="1242">
      <c r="A1242" s="120"/>
      <c r="B1242" s="120"/>
      <c r="C1242" s="120"/>
      <c r="D1242" s="120"/>
      <c r="E1242" s="120"/>
      <c r="F1242" s="120"/>
      <c r="G1242" s="120"/>
      <c r="H1242" s="120"/>
      <c r="I1242" s="120"/>
      <c r="J1242" s="120"/>
      <c r="K1242" s="120"/>
    </row>
    <row r="1243">
      <c r="A1243" s="120"/>
      <c r="B1243" s="120"/>
      <c r="C1243" s="120"/>
      <c r="D1243" s="120"/>
      <c r="E1243" s="120"/>
      <c r="F1243" s="120"/>
      <c r="G1243" s="120"/>
      <c r="H1243" s="120"/>
      <c r="I1243" s="120"/>
      <c r="J1243" s="120"/>
      <c r="K1243" s="120"/>
    </row>
    <row r="1244">
      <c r="A1244" s="120"/>
      <c r="B1244" s="120"/>
      <c r="C1244" s="120"/>
      <c r="D1244" s="120"/>
      <c r="E1244" s="120"/>
      <c r="F1244" s="120"/>
      <c r="G1244" s="120"/>
      <c r="H1244" s="120"/>
      <c r="I1244" s="120"/>
      <c r="J1244" s="120"/>
      <c r="K1244" s="120"/>
    </row>
    <row r="1245">
      <c r="A1245" s="120"/>
      <c r="B1245" s="120"/>
      <c r="C1245" s="120"/>
      <c r="D1245" s="120"/>
      <c r="E1245" s="120"/>
      <c r="F1245" s="120"/>
      <c r="G1245" s="120"/>
      <c r="H1245" s="120"/>
      <c r="I1245" s="120"/>
      <c r="J1245" s="120"/>
      <c r="K1245" s="120"/>
    </row>
    <row r="1246">
      <c r="A1246" s="120"/>
      <c r="B1246" s="120"/>
      <c r="C1246" s="120"/>
      <c r="D1246" s="120"/>
      <c r="E1246" s="120"/>
      <c r="F1246" s="120"/>
      <c r="G1246" s="120"/>
      <c r="H1246" s="120"/>
      <c r="I1246" s="120"/>
      <c r="J1246" s="120"/>
      <c r="K1246" s="120"/>
    </row>
    <row r="1247">
      <c r="A1247" s="120"/>
      <c r="B1247" s="120"/>
      <c r="C1247" s="120"/>
      <c r="D1247" s="120"/>
      <c r="E1247" s="120"/>
      <c r="F1247" s="120"/>
      <c r="G1247" s="120"/>
      <c r="H1247" s="120"/>
      <c r="I1247" s="120"/>
      <c r="J1247" s="120"/>
      <c r="K1247" s="120"/>
    </row>
    <row r="1248">
      <c r="A1248" s="120"/>
      <c r="B1248" s="120"/>
      <c r="C1248" s="120"/>
      <c r="D1248" s="120"/>
      <c r="E1248" s="120"/>
      <c r="F1248" s="120"/>
      <c r="G1248" s="120"/>
      <c r="H1248" s="120"/>
      <c r="I1248" s="120"/>
      <c r="J1248" s="120"/>
      <c r="K1248" s="120"/>
    </row>
    <row r="1249">
      <c r="A1249" s="120"/>
      <c r="B1249" s="120"/>
      <c r="C1249" s="120"/>
      <c r="D1249" s="120"/>
      <c r="E1249" s="120"/>
      <c r="F1249" s="120"/>
      <c r="G1249" s="120"/>
      <c r="H1249" s="120"/>
      <c r="I1249" s="120"/>
      <c r="J1249" s="120"/>
      <c r="K1249" s="120"/>
    </row>
    <row r="1250">
      <c r="A1250" s="120"/>
      <c r="B1250" s="120"/>
      <c r="C1250" s="120"/>
      <c r="D1250" s="120"/>
      <c r="E1250" s="120"/>
      <c r="F1250" s="120"/>
      <c r="G1250" s="120"/>
      <c r="H1250" s="120"/>
      <c r="I1250" s="120"/>
      <c r="J1250" s="120"/>
      <c r="K1250" s="120"/>
    </row>
    <row r="1251">
      <c r="A1251" s="120"/>
      <c r="B1251" s="120"/>
      <c r="C1251" s="120"/>
      <c r="D1251" s="120"/>
      <c r="E1251" s="120"/>
      <c r="F1251" s="120"/>
      <c r="G1251" s="120"/>
      <c r="H1251" s="120"/>
      <c r="I1251" s="120"/>
      <c r="J1251" s="120"/>
      <c r="K1251" s="120"/>
    </row>
    <row r="1252">
      <c r="A1252" s="120"/>
      <c r="B1252" s="120"/>
      <c r="C1252" s="120"/>
      <c r="D1252" s="120"/>
      <c r="E1252" s="120"/>
      <c r="F1252" s="120"/>
      <c r="G1252" s="120"/>
      <c r="H1252" s="120"/>
      <c r="I1252" s="120"/>
      <c r="J1252" s="120"/>
      <c r="K1252" s="120"/>
    </row>
    <row r="1253">
      <c r="A1253" s="120"/>
      <c r="B1253" s="120"/>
      <c r="C1253" s="120"/>
      <c r="D1253" s="120"/>
      <c r="E1253" s="120"/>
      <c r="F1253" s="120"/>
      <c r="G1253" s="120"/>
      <c r="H1253" s="120"/>
      <c r="I1253" s="120"/>
      <c r="J1253" s="120"/>
      <c r="K1253" s="120"/>
    </row>
    <row r="1254">
      <c r="A1254" s="120"/>
      <c r="B1254" s="120"/>
      <c r="C1254" s="120"/>
      <c r="D1254" s="120"/>
      <c r="E1254" s="120"/>
      <c r="F1254" s="120"/>
      <c r="G1254" s="120"/>
      <c r="H1254" s="120"/>
      <c r="I1254" s="120"/>
      <c r="J1254" s="120"/>
      <c r="K1254" s="120"/>
    </row>
    <row r="1255">
      <c r="A1255" s="120"/>
      <c r="B1255" s="120"/>
      <c r="C1255" s="120"/>
      <c r="D1255" s="120"/>
      <c r="E1255" s="120"/>
      <c r="F1255" s="120"/>
      <c r="G1255" s="120"/>
      <c r="H1255" s="120"/>
      <c r="I1255" s="120"/>
      <c r="J1255" s="120"/>
      <c r="K1255" s="120"/>
    </row>
    <row r="1256">
      <c r="A1256" s="120"/>
      <c r="B1256" s="120"/>
      <c r="C1256" s="120"/>
      <c r="D1256" s="120"/>
      <c r="E1256" s="120"/>
      <c r="F1256" s="120"/>
      <c r="G1256" s="120"/>
      <c r="H1256" s="120"/>
      <c r="I1256" s="120"/>
      <c r="J1256" s="120"/>
      <c r="K1256" s="120"/>
    </row>
    <row r="1257">
      <c r="A1257" s="120"/>
      <c r="B1257" s="120"/>
      <c r="C1257" s="120"/>
      <c r="D1257" s="120"/>
      <c r="E1257" s="120"/>
      <c r="F1257" s="120"/>
      <c r="G1257" s="120"/>
      <c r="H1257" s="120"/>
      <c r="I1257" s="120"/>
      <c r="J1257" s="120"/>
      <c r="K1257" s="120"/>
    </row>
    <row r="1258">
      <c r="A1258" s="120"/>
      <c r="B1258" s="120"/>
      <c r="C1258" s="120"/>
      <c r="D1258" s="120"/>
      <c r="E1258" s="120"/>
      <c r="F1258" s="120"/>
      <c r="G1258" s="120"/>
      <c r="H1258" s="120"/>
      <c r="I1258" s="120"/>
      <c r="J1258" s="120"/>
      <c r="K1258" s="120"/>
    </row>
    <row r="1259">
      <c r="A1259" s="120"/>
      <c r="B1259" s="120"/>
      <c r="C1259" s="120"/>
      <c r="D1259" s="120"/>
      <c r="E1259" s="120"/>
      <c r="F1259" s="120"/>
      <c r="G1259" s="120"/>
      <c r="H1259" s="120"/>
      <c r="I1259" s="120"/>
      <c r="J1259" s="120"/>
      <c r="K1259" s="120"/>
    </row>
    <row r="1260">
      <c r="A1260" s="120"/>
      <c r="B1260" s="120"/>
      <c r="C1260" s="120"/>
      <c r="D1260" s="120"/>
      <c r="E1260" s="120"/>
      <c r="F1260" s="120"/>
      <c r="G1260" s="120"/>
      <c r="H1260" s="120"/>
      <c r="I1260" s="120"/>
      <c r="J1260" s="120"/>
      <c r="K1260" s="120"/>
    </row>
    <row r="1261">
      <c r="A1261" s="120"/>
      <c r="B1261" s="120"/>
      <c r="C1261" s="120"/>
      <c r="D1261" s="120"/>
      <c r="E1261" s="120"/>
      <c r="F1261" s="120"/>
      <c r="G1261" s="120"/>
      <c r="H1261" s="120"/>
      <c r="I1261" s="120"/>
      <c r="J1261" s="120"/>
      <c r="K1261" s="120"/>
    </row>
    <row r="1262">
      <c r="A1262" s="120"/>
      <c r="B1262" s="120"/>
      <c r="C1262" s="120"/>
      <c r="D1262" s="120"/>
      <c r="E1262" s="120"/>
      <c r="F1262" s="120"/>
      <c r="G1262" s="120"/>
      <c r="H1262" s="120"/>
      <c r="I1262" s="120"/>
      <c r="J1262" s="120"/>
      <c r="K1262" s="120"/>
    </row>
    <row r="1263">
      <c r="A1263" s="120"/>
      <c r="B1263" s="120"/>
      <c r="C1263" s="120"/>
      <c r="D1263" s="120"/>
      <c r="E1263" s="120"/>
      <c r="F1263" s="120"/>
      <c r="G1263" s="120"/>
      <c r="H1263" s="120"/>
      <c r="I1263" s="120"/>
      <c r="J1263" s="120"/>
      <c r="K1263" s="120"/>
    </row>
    <row r="1264">
      <c r="A1264" s="120"/>
      <c r="B1264" s="120"/>
      <c r="C1264" s="120"/>
      <c r="D1264" s="120"/>
      <c r="E1264" s="120"/>
      <c r="F1264" s="120"/>
      <c r="G1264" s="120"/>
      <c r="H1264" s="120"/>
      <c r="I1264" s="120"/>
      <c r="J1264" s="120"/>
      <c r="K1264" s="120"/>
    </row>
    <row r="1265">
      <c r="A1265" s="120"/>
      <c r="B1265" s="120"/>
      <c r="C1265" s="120"/>
      <c r="D1265" s="120"/>
      <c r="E1265" s="120"/>
      <c r="F1265" s="120"/>
      <c r="G1265" s="120"/>
      <c r="H1265" s="120"/>
      <c r="I1265" s="120"/>
      <c r="J1265" s="120"/>
      <c r="K1265" s="120"/>
    </row>
    <row r="1266">
      <c r="A1266" s="120"/>
      <c r="B1266" s="120"/>
      <c r="C1266" s="120"/>
      <c r="D1266" s="120"/>
      <c r="E1266" s="120"/>
      <c r="F1266" s="120"/>
      <c r="G1266" s="120"/>
      <c r="H1266" s="120"/>
      <c r="I1266" s="120"/>
      <c r="J1266" s="120"/>
      <c r="K1266" s="120"/>
    </row>
    <row r="1267">
      <c r="A1267" s="120"/>
      <c r="B1267" s="120"/>
      <c r="C1267" s="120"/>
      <c r="D1267" s="120"/>
      <c r="E1267" s="120"/>
      <c r="F1267" s="120"/>
      <c r="G1267" s="120"/>
      <c r="H1267" s="120"/>
      <c r="I1267" s="120"/>
      <c r="J1267" s="120"/>
      <c r="K1267" s="120"/>
    </row>
    <row r="1268">
      <c r="A1268" s="120"/>
      <c r="B1268" s="120"/>
      <c r="C1268" s="120"/>
      <c r="D1268" s="120"/>
      <c r="E1268" s="120"/>
      <c r="F1268" s="120"/>
      <c r="G1268" s="120"/>
      <c r="H1268" s="120"/>
      <c r="I1268" s="120"/>
      <c r="J1268" s="120"/>
      <c r="K1268" s="120"/>
    </row>
    <row r="1269">
      <c r="A1269" s="120"/>
      <c r="B1269" s="120"/>
      <c r="C1269" s="120"/>
      <c r="D1269" s="120"/>
      <c r="E1269" s="120"/>
      <c r="F1269" s="120"/>
      <c r="G1269" s="120"/>
      <c r="H1269" s="120"/>
      <c r="I1269" s="120"/>
      <c r="J1269" s="120"/>
      <c r="K1269" s="120"/>
    </row>
    <row r="1270">
      <c r="A1270" s="120"/>
      <c r="B1270" s="120"/>
      <c r="C1270" s="120"/>
      <c r="D1270" s="120"/>
      <c r="E1270" s="120"/>
      <c r="F1270" s="120"/>
      <c r="G1270" s="120"/>
      <c r="H1270" s="120"/>
      <c r="I1270" s="120"/>
      <c r="J1270" s="120"/>
      <c r="K1270" s="120"/>
    </row>
    <row r="1271">
      <c r="A1271" s="120"/>
      <c r="B1271" s="120"/>
      <c r="C1271" s="120"/>
      <c r="D1271" s="120"/>
      <c r="E1271" s="120"/>
      <c r="F1271" s="120"/>
      <c r="G1271" s="120"/>
      <c r="H1271" s="120"/>
      <c r="I1271" s="120"/>
      <c r="J1271" s="120"/>
      <c r="K1271" s="120"/>
    </row>
    <row r="1272">
      <c r="A1272" s="120"/>
      <c r="B1272" s="120"/>
      <c r="C1272" s="120"/>
      <c r="D1272" s="120"/>
      <c r="E1272" s="120"/>
      <c r="F1272" s="120"/>
      <c r="G1272" s="120"/>
      <c r="H1272" s="120"/>
      <c r="I1272" s="120"/>
      <c r="J1272" s="120"/>
      <c r="K1272" s="120"/>
    </row>
    <row r="1273">
      <c r="A1273" s="120"/>
      <c r="B1273" s="120"/>
      <c r="C1273" s="120"/>
      <c r="D1273" s="120"/>
      <c r="E1273" s="120"/>
      <c r="F1273" s="120"/>
      <c r="G1273" s="120"/>
      <c r="H1273" s="120"/>
      <c r="I1273" s="120"/>
      <c r="J1273" s="120"/>
      <c r="K1273" s="120"/>
    </row>
    <row r="1274">
      <c r="A1274" s="120"/>
      <c r="B1274" s="120"/>
      <c r="C1274" s="120"/>
      <c r="D1274" s="120"/>
      <c r="E1274" s="120"/>
      <c r="F1274" s="120"/>
      <c r="G1274" s="120"/>
      <c r="H1274" s="120"/>
      <c r="I1274" s="120"/>
      <c r="J1274" s="120"/>
      <c r="K1274" s="120"/>
    </row>
    <row r="1275">
      <c r="A1275" s="120"/>
      <c r="B1275" s="120"/>
      <c r="C1275" s="120"/>
      <c r="D1275" s="120"/>
      <c r="E1275" s="120"/>
      <c r="F1275" s="120"/>
      <c r="G1275" s="120"/>
      <c r="H1275" s="120"/>
      <c r="I1275" s="120"/>
      <c r="J1275" s="120"/>
      <c r="K1275" s="120"/>
    </row>
    <row r="1276">
      <c r="A1276" s="120"/>
      <c r="B1276" s="120"/>
      <c r="C1276" s="120"/>
      <c r="D1276" s="120"/>
      <c r="E1276" s="120"/>
      <c r="F1276" s="120"/>
      <c r="G1276" s="120"/>
      <c r="H1276" s="120"/>
      <c r="I1276" s="120"/>
      <c r="J1276" s="120"/>
      <c r="K1276" s="120"/>
    </row>
    <row r="1277">
      <c r="A1277" s="120"/>
      <c r="B1277" s="120"/>
      <c r="C1277" s="120"/>
      <c r="D1277" s="120"/>
      <c r="E1277" s="120"/>
      <c r="F1277" s="120"/>
      <c r="G1277" s="120"/>
      <c r="H1277" s="120"/>
      <c r="I1277" s="120"/>
      <c r="J1277" s="120"/>
      <c r="K1277" s="120"/>
    </row>
    <row r="1278">
      <c r="A1278" s="120"/>
      <c r="B1278" s="120"/>
      <c r="C1278" s="120"/>
      <c r="D1278" s="120"/>
      <c r="E1278" s="120"/>
      <c r="F1278" s="120"/>
      <c r="G1278" s="120"/>
      <c r="H1278" s="120"/>
      <c r="I1278" s="120"/>
      <c r="J1278" s="120"/>
      <c r="K1278" s="120"/>
    </row>
    <row r="1279">
      <c r="A1279" s="120"/>
      <c r="B1279" s="120"/>
      <c r="C1279" s="120"/>
      <c r="D1279" s="120"/>
      <c r="E1279" s="120"/>
      <c r="F1279" s="120"/>
      <c r="G1279" s="120"/>
      <c r="H1279" s="120"/>
      <c r="I1279" s="120"/>
      <c r="J1279" s="120"/>
      <c r="K1279" s="120"/>
    </row>
    <row r="1280">
      <c r="A1280" s="120"/>
      <c r="B1280" s="120"/>
      <c r="C1280" s="120"/>
      <c r="D1280" s="120"/>
      <c r="E1280" s="120"/>
      <c r="F1280" s="120"/>
      <c r="G1280" s="120"/>
      <c r="H1280" s="120"/>
      <c r="I1280" s="120"/>
      <c r="J1280" s="120"/>
      <c r="K1280" s="120"/>
    </row>
    <row r="1281">
      <c r="A1281" s="120"/>
      <c r="B1281" s="120"/>
      <c r="C1281" s="120"/>
      <c r="D1281" s="120"/>
      <c r="E1281" s="120"/>
      <c r="F1281" s="120"/>
      <c r="G1281" s="120"/>
      <c r="H1281" s="120"/>
      <c r="I1281" s="120"/>
      <c r="J1281" s="120"/>
      <c r="K1281" s="120"/>
    </row>
    <row r="1282">
      <c r="A1282" s="120"/>
      <c r="B1282" s="120"/>
      <c r="C1282" s="120"/>
      <c r="D1282" s="120"/>
      <c r="E1282" s="120"/>
      <c r="F1282" s="120"/>
      <c r="G1282" s="120"/>
      <c r="H1282" s="120"/>
      <c r="I1282" s="120"/>
      <c r="J1282" s="120"/>
      <c r="K1282" s="120"/>
    </row>
    <row r="1283">
      <c r="A1283" s="120"/>
      <c r="B1283" s="120"/>
      <c r="C1283" s="120"/>
      <c r="D1283" s="120"/>
      <c r="E1283" s="120"/>
      <c r="F1283" s="120"/>
      <c r="G1283" s="120"/>
      <c r="H1283" s="120"/>
      <c r="I1283" s="120"/>
      <c r="J1283" s="120"/>
      <c r="K1283" s="120"/>
    </row>
    <row r="1284">
      <c r="A1284" s="120"/>
      <c r="B1284" s="120"/>
      <c r="C1284" s="120"/>
      <c r="D1284" s="120"/>
      <c r="E1284" s="120"/>
      <c r="F1284" s="120"/>
      <c r="G1284" s="120"/>
      <c r="H1284" s="120"/>
      <c r="I1284" s="120"/>
      <c r="J1284" s="120"/>
      <c r="K1284" s="120"/>
    </row>
    <row r="1285">
      <c r="A1285" s="120"/>
      <c r="B1285" s="120"/>
      <c r="C1285" s="120"/>
      <c r="D1285" s="120"/>
      <c r="E1285" s="120"/>
      <c r="F1285" s="120"/>
      <c r="G1285" s="120"/>
      <c r="H1285" s="120"/>
      <c r="I1285" s="120"/>
      <c r="J1285" s="120"/>
      <c r="K1285" s="120"/>
    </row>
    <row r="1286">
      <c r="A1286" s="120"/>
      <c r="B1286" s="120"/>
      <c r="C1286" s="120"/>
      <c r="D1286" s="120"/>
      <c r="E1286" s="120"/>
      <c r="F1286" s="120"/>
      <c r="G1286" s="120"/>
      <c r="H1286" s="120"/>
      <c r="I1286" s="120"/>
      <c r="J1286" s="120"/>
      <c r="K1286" s="120"/>
    </row>
    <row r="1287">
      <c r="A1287" s="120"/>
      <c r="B1287" s="120"/>
      <c r="C1287" s="120"/>
      <c r="D1287" s="120"/>
      <c r="E1287" s="120"/>
      <c r="F1287" s="120"/>
      <c r="G1287" s="120"/>
      <c r="H1287" s="120"/>
      <c r="I1287" s="120"/>
      <c r="J1287" s="120"/>
      <c r="K1287" s="120"/>
    </row>
    <row r="1288">
      <c r="A1288" s="120"/>
      <c r="B1288" s="120"/>
      <c r="C1288" s="120"/>
      <c r="D1288" s="120"/>
      <c r="E1288" s="120"/>
      <c r="F1288" s="120"/>
      <c r="G1288" s="120"/>
      <c r="H1288" s="120"/>
      <c r="I1288" s="120"/>
      <c r="J1288" s="120"/>
      <c r="K1288" s="120"/>
    </row>
    <row r="1289">
      <c r="A1289" s="120"/>
      <c r="B1289" s="120"/>
      <c r="C1289" s="120"/>
      <c r="D1289" s="120"/>
      <c r="E1289" s="120"/>
      <c r="F1289" s="120"/>
      <c r="G1289" s="120"/>
      <c r="H1289" s="120"/>
      <c r="I1289" s="120"/>
      <c r="J1289" s="120"/>
      <c r="K1289" s="120"/>
    </row>
    <row r="1290">
      <c r="A1290" s="120"/>
      <c r="B1290" s="120"/>
      <c r="C1290" s="120"/>
      <c r="D1290" s="120"/>
      <c r="E1290" s="120"/>
      <c r="F1290" s="120"/>
      <c r="G1290" s="120"/>
      <c r="H1290" s="120"/>
      <c r="I1290" s="120"/>
      <c r="J1290" s="120"/>
      <c r="K1290" s="120"/>
    </row>
    <row r="1291">
      <c r="A1291" s="120"/>
      <c r="B1291" s="120"/>
      <c r="C1291" s="120"/>
      <c r="D1291" s="120"/>
      <c r="E1291" s="120"/>
      <c r="F1291" s="120"/>
      <c r="G1291" s="120"/>
      <c r="H1291" s="120"/>
      <c r="I1291" s="120"/>
      <c r="J1291" s="120"/>
      <c r="K1291" s="120"/>
    </row>
    <row r="1292">
      <c r="A1292" s="120"/>
      <c r="B1292" s="120"/>
      <c r="C1292" s="120"/>
      <c r="D1292" s="120"/>
      <c r="E1292" s="120"/>
      <c r="F1292" s="120"/>
      <c r="G1292" s="120"/>
      <c r="H1292" s="120"/>
      <c r="I1292" s="120"/>
      <c r="J1292" s="120"/>
      <c r="K1292" s="120"/>
    </row>
    <row r="1293">
      <c r="A1293" s="120"/>
      <c r="B1293" s="120"/>
      <c r="C1293" s="120"/>
      <c r="D1293" s="120"/>
      <c r="E1293" s="120"/>
      <c r="F1293" s="120"/>
      <c r="G1293" s="120"/>
      <c r="H1293" s="120"/>
      <c r="I1293" s="120"/>
      <c r="J1293" s="120"/>
      <c r="K1293" s="120"/>
    </row>
    <row r="1294">
      <c r="A1294" s="120"/>
      <c r="B1294" s="120"/>
      <c r="C1294" s="120"/>
      <c r="D1294" s="120"/>
      <c r="E1294" s="120"/>
      <c r="F1294" s="120"/>
      <c r="G1294" s="120"/>
      <c r="H1294" s="120"/>
      <c r="I1294" s="120"/>
      <c r="J1294" s="120"/>
      <c r="K1294" s="120"/>
    </row>
    <row r="1295">
      <c r="A1295" s="120"/>
      <c r="B1295" s="120"/>
      <c r="C1295" s="120"/>
      <c r="D1295" s="120"/>
      <c r="E1295" s="120"/>
      <c r="F1295" s="120"/>
      <c r="G1295" s="120"/>
      <c r="H1295" s="120"/>
      <c r="I1295" s="120"/>
      <c r="J1295" s="120"/>
      <c r="K1295" s="120"/>
    </row>
    <row r="1296">
      <c r="A1296" s="120"/>
      <c r="B1296" s="120"/>
      <c r="C1296" s="120"/>
      <c r="D1296" s="120"/>
      <c r="E1296" s="120"/>
      <c r="F1296" s="120"/>
      <c r="G1296" s="120"/>
      <c r="H1296" s="120"/>
      <c r="I1296" s="120"/>
      <c r="J1296" s="120"/>
      <c r="K1296" s="120"/>
    </row>
    <row r="1297">
      <c r="A1297" s="120"/>
      <c r="B1297" s="120"/>
      <c r="C1297" s="120"/>
      <c r="D1297" s="120"/>
      <c r="E1297" s="120"/>
      <c r="F1297" s="120"/>
      <c r="G1297" s="120"/>
      <c r="H1297" s="120"/>
      <c r="I1297" s="120"/>
      <c r="J1297" s="120"/>
      <c r="K1297" s="120"/>
    </row>
    <row r="1298">
      <c r="A1298" s="120"/>
      <c r="B1298" s="120"/>
      <c r="C1298" s="120"/>
      <c r="D1298" s="120"/>
      <c r="E1298" s="120"/>
      <c r="F1298" s="120"/>
      <c r="G1298" s="120"/>
      <c r="H1298" s="120"/>
      <c r="I1298" s="120"/>
      <c r="J1298" s="120"/>
      <c r="K1298" s="120"/>
    </row>
    <row r="1299">
      <c r="A1299" s="120"/>
      <c r="B1299" s="120"/>
      <c r="C1299" s="120"/>
      <c r="D1299" s="120"/>
      <c r="E1299" s="120"/>
      <c r="F1299" s="120"/>
      <c r="G1299" s="120"/>
      <c r="H1299" s="120"/>
      <c r="I1299" s="120"/>
      <c r="J1299" s="120"/>
      <c r="K1299" s="120"/>
    </row>
    <row r="1300">
      <c r="A1300" s="120"/>
      <c r="B1300" s="120"/>
      <c r="C1300" s="120"/>
      <c r="D1300" s="120"/>
      <c r="E1300" s="120"/>
      <c r="F1300" s="120"/>
      <c r="G1300" s="120"/>
      <c r="H1300" s="120"/>
      <c r="I1300" s="120"/>
      <c r="J1300" s="120"/>
      <c r="K1300" s="120"/>
    </row>
    <row r="1301">
      <c r="A1301" s="120"/>
      <c r="B1301" s="120"/>
      <c r="C1301" s="120"/>
      <c r="D1301" s="120"/>
      <c r="E1301" s="120"/>
      <c r="F1301" s="120"/>
      <c r="G1301" s="120"/>
      <c r="H1301" s="120"/>
      <c r="I1301" s="120"/>
      <c r="J1301" s="120"/>
      <c r="K1301" s="120"/>
    </row>
    <row r="1302">
      <c r="A1302" s="120"/>
      <c r="B1302" s="120"/>
      <c r="C1302" s="120"/>
      <c r="D1302" s="120"/>
      <c r="E1302" s="120"/>
      <c r="F1302" s="120"/>
      <c r="G1302" s="120"/>
      <c r="H1302" s="120"/>
      <c r="I1302" s="120"/>
      <c r="J1302" s="120"/>
      <c r="K1302" s="120"/>
    </row>
    <row r="1303">
      <c r="A1303" s="120"/>
      <c r="B1303" s="120"/>
      <c r="C1303" s="120"/>
      <c r="D1303" s="120"/>
      <c r="E1303" s="120"/>
      <c r="F1303" s="120"/>
      <c r="G1303" s="120"/>
      <c r="H1303" s="120"/>
      <c r="I1303" s="120"/>
      <c r="J1303" s="120"/>
      <c r="K1303" s="120"/>
    </row>
    <row r="1304">
      <c r="A1304" s="120"/>
      <c r="B1304" s="120"/>
      <c r="C1304" s="120"/>
      <c r="D1304" s="120"/>
      <c r="E1304" s="120"/>
      <c r="F1304" s="120"/>
      <c r="G1304" s="120"/>
      <c r="H1304" s="120"/>
      <c r="I1304" s="120"/>
      <c r="J1304" s="120"/>
      <c r="K1304" s="120"/>
    </row>
    <row r="1305">
      <c r="A1305" s="120"/>
      <c r="B1305" s="120"/>
      <c r="C1305" s="120"/>
      <c r="D1305" s="120"/>
      <c r="E1305" s="120"/>
      <c r="F1305" s="120"/>
      <c r="G1305" s="120"/>
      <c r="H1305" s="120"/>
      <c r="I1305" s="120"/>
      <c r="J1305" s="120"/>
      <c r="K1305" s="120"/>
    </row>
    <row r="1306">
      <c r="A1306" s="120"/>
      <c r="B1306" s="120"/>
      <c r="C1306" s="120"/>
      <c r="D1306" s="120"/>
      <c r="E1306" s="120"/>
      <c r="F1306" s="120"/>
      <c r="G1306" s="120"/>
      <c r="H1306" s="120"/>
      <c r="I1306" s="120"/>
      <c r="J1306" s="120"/>
      <c r="K1306" s="120"/>
    </row>
    <row r="1307">
      <c r="A1307" s="120"/>
      <c r="B1307" s="120"/>
      <c r="C1307" s="120"/>
      <c r="D1307" s="120"/>
      <c r="E1307" s="120"/>
      <c r="F1307" s="120"/>
      <c r="G1307" s="120"/>
      <c r="H1307" s="120"/>
      <c r="I1307" s="120"/>
      <c r="J1307" s="120"/>
      <c r="K1307" s="120"/>
    </row>
    <row r="1308">
      <c r="A1308" s="120"/>
      <c r="B1308" s="120"/>
      <c r="C1308" s="120"/>
      <c r="D1308" s="120"/>
      <c r="E1308" s="120"/>
      <c r="F1308" s="120"/>
      <c r="G1308" s="120"/>
      <c r="H1308" s="120"/>
      <c r="I1308" s="120"/>
      <c r="J1308" s="120"/>
      <c r="K1308" s="120"/>
    </row>
    <row r="1309">
      <c r="A1309" s="120"/>
      <c r="B1309" s="120"/>
      <c r="C1309" s="120"/>
      <c r="D1309" s="120"/>
      <c r="E1309" s="120"/>
      <c r="F1309" s="120"/>
      <c r="G1309" s="120"/>
      <c r="H1309" s="120"/>
      <c r="I1309" s="120"/>
      <c r="J1309" s="120"/>
      <c r="K1309" s="120"/>
    </row>
    <row r="1310">
      <c r="A1310" s="120"/>
      <c r="B1310" s="120"/>
      <c r="C1310" s="120"/>
      <c r="D1310" s="120"/>
      <c r="E1310" s="120"/>
      <c r="F1310" s="120"/>
      <c r="G1310" s="120"/>
      <c r="H1310" s="120"/>
      <c r="I1310" s="120"/>
      <c r="J1310" s="120"/>
      <c r="K1310" s="120"/>
    </row>
    <row r="1311">
      <c r="A1311" s="120"/>
      <c r="B1311" s="120"/>
      <c r="C1311" s="120"/>
      <c r="D1311" s="120"/>
      <c r="E1311" s="120"/>
      <c r="F1311" s="120"/>
      <c r="G1311" s="120"/>
      <c r="H1311" s="120"/>
      <c r="I1311" s="120"/>
      <c r="J1311" s="120"/>
      <c r="K1311" s="120"/>
    </row>
    <row r="1312">
      <c r="A1312" s="120"/>
      <c r="B1312" s="120"/>
      <c r="C1312" s="120"/>
      <c r="D1312" s="120"/>
      <c r="E1312" s="120"/>
      <c r="F1312" s="120"/>
      <c r="G1312" s="120"/>
      <c r="H1312" s="120"/>
      <c r="I1312" s="120"/>
      <c r="J1312" s="120"/>
      <c r="K1312" s="120"/>
    </row>
    <row r="1313">
      <c r="A1313" s="120"/>
      <c r="B1313" s="120"/>
      <c r="C1313" s="120"/>
      <c r="D1313" s="120"/>
      <c r="E1313" s="120"/>
      <c r="F1313" s="120"/>
      <c r="G1313" s="120"/>
      <c r="H1313" s="120"/>
      <c r="I1313" s="120"/>
      <c r="J1313" s="120"/>
      <c r="K1313" s="120"/>
    </row>
    <row r="1314">
      <c r="A1314" s="120"/>
      <c r="B1314" s="120"/>
      <c r="C1314" s="120"/>
      <c r="D1314" s="120"/>
      <c r="E1314" s="120"/>
      <c r="F1314" s="120"/>
      <c r="G1314" s="120"/>
      <c r="H1314" s="120"/>
      <c r="I1314" s="120"/>
      <c r="J1314" s="120"/>
      <c r="K1314" s="120"/>
    </row>
    <row r="1315">
      <c r="A1315" s="120"/>
      <c r="B1315" s="120"/>
      <c r="C1315" s="120"/>
      <c r="D1315" s="120"/>
      <c r="E1315" s="120"/>
      <c r="F1315" s="120"/>
      <c r="G1315" s="120"/>
      <c r="H1315" s="120"/>
      <c r="I1315" s="120"/>
      <c r="J1315" s="120"/>
      <c r="K1315" s="120"/>
    </row>
    <row r="1316">
      <c r="A1316" s="120"/>
      <c r="B1316" s="120"/>
      <c r="C1316" s="120"/>
      <c r="D1316" s="120"/>
      <c r="E1316" s="120"/>
      <c r="F1316" s="120"/>
      <c r="G1316" s="120"/>
      <c r="H1316" s="120"/>
      <c r="I1316" s="120"/>
      <c r="J1316" s="120"/>
      <c r="K1316" s="120"/>
    </row>
    <row r="1317">
      <c r="A1317" s="120"/>
      <c r="B1317" s="120"/>
      <c r="C1317" s="120"/>
      <c r="D1317" s="120"/>
      <c r="E1317" s="120"/>
      <c r="F1317" s="120"/>
      <c r="G1317" s="120"/>
      <c r="H1317" s="120"/>
      <c r="I1317" s="120"/>
      <c r="J1317" s="120"/>
      <c r="K1317" s="120"/>
    </row>
    <row r="1318">
      <c r="A1318" s="120"/>
      <c r="B1318" s="120"/>
      <c r="C1318" s="120"/>
      <c r="D1318" s="120"/>
      <c r="E1318" s="120"/>
      <c r="F1318" s="120"/>
      <c r="G1318" s="120"/>
      <c r="H1318" s="120"/>
      <c r="I1318" s="120"/>
      <c r="J1318" s="120"/>
      <c r="K1318" s="120"/>
    </row>
    <row r="1319">
      <c r="A1319" s="120"/>
      <c r="B1319" s="120"/>
      <c r="C1319" s="120"/>
      <c r="D1319" s="120"/>
      <c r="E1319" s="120"/>
      <c r="F1319" s="120"/>
      <c r="G1319" s="120"/>
      <c r="H1319" s="120"/>
      <c r="I1319" s="120"/>
      <c r="J1319" s="120"/>
      <c r="K1319" s="120"/>
    </row>
    <row r="1320">
      <c r="A1320" s="120"/>
      <c r="B1320" s="120"/>
      <c r="C1320" s="120"/>
      <c r="D1320" s="120"/>
      <c r="E1320" s="120"/>
      <c r="F1320" s="120"/>
      <c r="G1320" s="120"/>
      <c r="H1320" s="120"/>
      <c r="I1320" s="120"/>
      <c r="J1320" s="120"/>
      <c r="K1320" s="120"/>
    </row>
    <row r="1321">
      <c r="A1321" s="120"/>
      <c r="B1321" s="120"/>
      <c r="C1321" s="120"/>
      <c r="D1321" s="120"/>
      <c r="E1321" s="120"/>
      <c r="F1321" s="120"/>
      <c r="G1321" s="120"/>
      <c r="H1321" s="120"/>
      <c r="I1321" s="120"/>
      <c r="J1321" s="120"/>
      <c r="K1321" s="120"/>
    </row>
    <row r="1322">
      <c r="A1322" s="120"/>
      <c r="B1322" s="120"/>
      <c r="C1322" s="120"/>
      <c r="D1322" s="120"/>
      <c r="E1322" s="120"/>
      <c r="F1322" s="120"/>
      <c r="G1322" s="120"/>
      <c r="H1322" s="120"/>
      <c r="I1322" s="120"/>
      <c r="J1322" s="120"/>
      <c r="K1322" s="120"/>
    </row>
    <row r="1323">
      <c r="A1323" s="120"/>
      <c r="B1323" s="120"/>
      <c r="C1323" s="120"/>
      <c r="D1323" s="120"/>
      <c r="E1323" s="120"/>
      <c r="F1323" s="120"/>
      <c r="G1323" s="120"/>
      <c r="H1323" s="120"/>
      <c r="I1323" s="120"/>
      <c r="J1323" s="120"/>
      <c r="K1323" s="120"/>
    </row>
    <row r="1324">
      <c r="A1324" s="120"/>
      <c r="B1324" s="120"/>
      <c r="C1324" s="120"/>
      <c r="D1324" s="120"/>
      <c r="E1324" s="120"/>
      <c r="F1324" s="120"/>
      <c r="G1324" s="120"/>
      <c r="H1324" s="120"/>
      <c r="I1324" s="120"/>
      <c r="J1324" s="120"/>
      <c r="K1324" s="120"/>
    </row>
    <row r="1325">
      <c r="A1325" s="120"/>
      <c r="B1325" s="120"/>
      <c r="C1325" s="120"/>
      <c r="D1325" s="120"/>
      <c r="E1325" s="120"/>
      <c r="F1325" s="120"/>
      <c r="G1325" s="120"/>
      <c r="H1325" s="120"/>
      <c r="I1325" s="120"/>
      <c r="J1325" s="120"/>
      <c r="K1325" s="120"/>
    </row>
    <row r="1326">
      <c r="A1326" s="120"/>
      <c r="B1326" s="120"/>
      <c r="C1326" s="120"/>
      <c r="D1326" s="120"/>
      <c r="E1326" s="120"/>
      <c r="F1326" s="120"/>
      <c r="G1326" s="120"/>
      <c r="H1326" s="120"/>
      <c r="I1326" s="120"/>
      <c r="J1326" s="120"/>
      <c r="K1326" s="120"/>
    </row>
    <row r="1327">
      <c r="A1327" s="120"/>
      <c r="B1327" s="120"/>
      <c r="C1327" s="120"/>
      <c r="D1327" s="120"/>
      <c r="E1327" s="120"/>
      <c r="F1327" s="120"/>
      <c r="G1327" s="120"/>
      <c r="H1327" s="120"/>
      <c r="I1327" s="120"/>
      <c r="J1327" s="120"/>
      <c r="K1327" s="120"/>
    </row>
    <row r="1328">
      <c r="A1328" s="120"/>
      <c r="B1328" s="120"/>
      <c r="C1328" s="120"/>
      <c r="D1328" s="120"/>
      <c r="E1328" s="120"/>
      <c r="F1328" s="120"/>
      <c r="G1328" s="120"/>
      <c r="H1328" s="120"/>
      <c r="I1328" s="120"/>
      <c r="J1328" s="120"/>
      <c r="K1328" s="120"/>
    </row>
    <row r="1329">
      <c r="A1329" s="120"/>
      <c r="B1329" s="120"/>
      <c r="C1329" s="120"/>
      <c r="D1329" s="120"/>
      <c r="E1329" s="120"/>
      <c r="F1329" s="120"/>
      <c r="G1329" s="120"/>
      <c r="H1329" s="120"/>
      <c r="I1329" s="120"/>
      <c r="J1329" s="120"/>
      <c r="K1329" s="120"/>
    </row>
    <row r="1330">
      <c r="A1330" s="120"/>
      <c r="B1330" s="120"/>
      <c r="C1330" s="120"/>
      <c r="D1330" s="120"/>
      <c r="E1330" s="120"/>
      <c r="F1330" s="120"/>
      <c r="G1330" s="120"/>
      <c r="H1330" s="120"/>
      <c r="I1330" s="120"/>
      <c r="J1330" s="120"/>
      <c r="K1330" s="120"/>
    </row>
    <row r="1331">
      <c r="A1331" s="120"/>
      <c r="B1331" s="120"/>
      <c r="C1331" s="120"/>
      <c r="D1331" s="120"/>
      <c r="E1331" s="120"/>
      <c r="F1331" s="120"/>
      <c r="G1331" s="120"/>
      <c r="H1331" s="120"/>
      <c r="I1331" s="120"/>
      <c r="J1331" s="120"/>
      <c r="K1331" s="120"/>
    </row>
    <row r="1332">
      <c r="A1332" s="120"/>
      <c r="B1332" s="120"/>
      <c r="C1332" s="120"/>
      <c r="D1332" s="120"/>
      <c r="E1332" s="120"/>
      <c r="F1332" s="120"/>
      <c r="G1332" s="120"/>
      <c r="H1332" s="120"/>
      <c r="I1332" s="120"/>
      <c r="J1332" s="120"/>
      <c r="K1332" s="120"/>
    </row>
    <row r="1333">
      <c r="A1333" s="120"/>
      <c r="B1333" s="120"/>
      <c r="C1333" s="120"/>
      <c r="D1333" s="120"/>
      <c r="E1333" s="120"/>
      <c r="F1333" s="120"/>
      <c r="G1333" s="120"/>
      <c r="H1333" s="120"/>
      <c r="I1333" s="120"/>
      <c r="J1333" s="120"/>
      <c r="K1333" s="120"/>
    </row>
    <row r="1334">
      <c r="A1334" s="120"/>
      <c r="B1334" s="120"/>
      <c r="C1334" s="120"/>
      <c r="D1334" s="120"/>
      <c r="E1334" s="120"/>
      <c r="F1334" s="120"/>
      <c r="G1334" s="120"/>
      <c r="H1334" s="120"/>
      <c r="I1334" s="120"/>
      <c r="J1334" s="120"/>
      <c r="K1334" s="120"/>
    </row>
    <row r="1335">
      <c r="A1335" s="120"/>
      <c r="B1335" s="120"/>
      <c r="C1335" s="120"/>
      <c r="D1335" s="120"/>
      <c r="E1335" s="120"/>
      <c r="F1335" s="120"/>
      <c r="G1335" s="120"/>
      <c r="H1335" s="120"/>
      <c r="I1335" s="120"/>
      <c r="J1335" s="120"/>
      <c r="K1335" s="120"/>
    </row>
    <row r="1336">
      <c r="A1336" s="120"/>
      <c r="B1336" s="120"/>
      <c r="C1336" s="120"/>
      <c r="D1336" s="120"/>
      <c r="E1336" s="120"/>
      <c r="F1336" s="120"/>
      <c r="G1336" s="120"/>
      <c r="H1336" s="120"/>
      <c r="I1336" s="120"/>
      <c r="J1336" s="120"/>
      <c r="K1336" s="120"/>
    </row>
    <row r="1337">
      <c r="A1337" s="120"/>
      <c r="B1337" s="120"/>
      <c r="C1337" s="120"/>
      <c r="D1337" s="120"/>
      <c r="E1337" s="120"/>
      <c r="F1337" s="120"/>
      <c r="G1337" s="120"/>
      <c r="H1337" s="120"/>
      <c r="I1337" s="120"/>
      <c r="J1337" s="120"/>
      <c r="K1337" s="120"/>
    </row>
    <row r="1338">
      <c r="A1338" s="120"/>
      <c r="B1338" s="120"/>
      <c r="C1338" s="120"/>
      <c r="D1338" s="120"/>
      <c r="E1338" s="120"/>
      <c r="F1338" s="120"/>
      <c r="G1338" s="120"/>
      <c r="H1338" s="120"/>
      <c r="I1338" s="120"/>
      <c r="J1338" s="120"/>
      <c r="K1338" s="120"/>
    </row>
    <row r="1339">
      <c r="A1339" s="120"/>
      <c r="B1339" s="120"/>
      <c r="C1339" s="120"/>
      <c r="D1339" s="120"/>
      <c r="E1339" s="120"/>
      <c r="F1339" s="120"/>
      <c r="G1339" s="120"/>
      <c r="H1339" s="120"/>
      <c r="I1339" s="120"/>
      <c r="J1339" s="120"/>
      <c r="K1339" s="120"/>
    </row>
    <row r="1340">
      <c r="A1340" s="120"/>
      <c r="B1340" s="120"/>
      <c r="C1340" s="120"/>
      <c r="D1340" s="120"/>
      <c r="E1340" s="120"/>
      <c r="F1340" s="120"/>
      <c r="G1340" s="120"/>
      <c r="H1340" s="120"/>
      <c r="I1340" s="120"/>
      <c r="J1340" s="120"/>
      <c r="K1340" s="120"/>
    </row>
    <row r="1341">
      <c r="A1341" s="120"/>
      <c r="B1341" s="120"/>
      <c r="C1341" s="120"/>
      <c r="D1341" s="120"/>
      <c r="E1341" s="120"/>
      <c r="F1341" s="120"/>
      <c r="G1341" s="120"/>
      <c r="H1341" s="120"/>
      <c r="I1341" s="120"/>
      <c r="J1341" s="120"/>
      <c r="K1341" s="120"/>
    </row>
    <row r="1342">
      <c r="A1342" s="120"/>
      <c r="B1342" s="120"/>
      <c r="C1342" s="120"/>
      <c r="D1342" s="120"/>
      <c r="E1342" s="120"/>
      <c r="F1342" s="120"/>
      <c r="G1342" s="120"/>
      <c r="H1342" s="120"/>
      <c r="I1342" s="120"/>
      <c r="J1342" s="120"/>
      <c r="K1342" s="120"/>
    </row>
    <row r="1343">
      <c r="A1343" s="120"/>
      <c r="B1343" s="120"/>
      <c r="C1343" s="120"/>
      <c r="D1343" s="120"/>
      <c r="E1343" s="120"/>
      <c r="F1343" s="120"/>
      <c r="G1343" s="120"/>
      <c r="H1343" s="120"/>
      <c r="I1343" s="120"/>
      <c r="J1343" s="120"/>
      <c r="K1343" s="120"/>
    </row>
    <row r="1344">
      <c r="A1344" s="120"/>
      <c r="B1344" s="120"/>
      <c r="C1344" s="120"/>
      <c r="D1344" s="120"/>
      <c r="E1344" s="120"/>
      <c r="F1344" s="120"/>
      <c r="G1344" s="120"/>
      <c r="H1344" s="120"/>
      <c r="I1344" s="120"/>
      <c r="J1344" s="120"/>
      <c r="K1344" s="120"/>
    </row>
    <row r="1345">
      <c r="A1345" s="120"/>
      <c r="B1345" s="120"/>
      <c r="C1345" s="120"/>
      <c r="D1345" s="120"/>
      <c r="E1345" s="120"/>
      <c r="F1345" s="120"/>
      <c r="G1345" s="120"/>
      <c r="H1345" s="120"/>
      <c r="I1345" s="120"/>
      <c r="J1345" s="120"/>
      <c r="K1345" s="120"/>
    </row>
    <row r="1346">
      <c r="A1346" s="120"/>
      <c r="B1346" s="120"/>
      <c r="C1346" s="120"/>
      <c r="D1346" s="120"/>
      <c r="E1346" s="120"/>
      <c r="F1346" s="120"/>
      <c r="G1346" s="120"/>
      <c r="H1346" s="120"/>
      <c r="I1346" s="120"/>
      <c r="J1346" s="120"/>
      <c r="K1346" s="120"/>
    </row>
    <row r="1347">
      <c r="A1347" s="120"/>
      <c r="B1347" s="120"/>
      <c r="C1347" s="120"/>
      <c r="D1347" s="120"/>
      <c r="E1347" s="120"/>
      <c r="F1347" s="120"/>
      <c r="G1347" s="120"/>
      <c r="H1347" s="120"/>
      <c r="I1347" s="120"/>
      <c r="J1347" s="120"/>
      <c r="K1347" s="120"/>
    </row>
    <row r="1348">
      <c r="A1348" s="120"/>
      <c r="B1348" s="120"/>
      <c r="C1348" s="120"/>
      <c r="D1348" s="120"/>
      <c r="E1348" s="120"/>
      <c r="F1348" s="120"/>
      <c r="G1348" s="120"/>
      <c r="H1348" s="120"/>
      <c r="I1348" s="120"/>
      <c r="J1348" s="120"/>
      <c r="K1348" s="120"/>
    </row>
    <row r="1349">
      <c r="A1349" s="120"/>
      <c r="B1349" s="120"/>
      <c r="C1349" s="120"/>
      <c r="D1349" s="120"/>
      <c r="E1349" s="120"/>
      <c r="F1349" s="120"/>
      <c r="G1349" s="120"/>
      <c r="H1349" s="120"/>
      <c r="I1349" s="120"/>
      <c r="J1349" s="120"/>
      <c r="K1349" s="120"/>
    </row>
    <row r="1350">
      <c r="A1350" s="120"/>
      <c r="B1350" s="120"/>
      <c r="C1350" s="120"/>
      <c r="D1350" s="120"/>
      <c r="E1350" s="120"/>
      <c r="F1350" s="120"/>
      <c r="G1350" s="120"/>
      <c r="H1350" s="120"/>
      <c r="I1350" s="120"/>
      <c r="J1350" s="120"/>
      <c r="K1350" s="120"/>
    </row>
    <row r="1351">
      <c r="A1351" s="120"/>
      <c r="B1351" s="120"/>
      <c r="C1351" s="120"/>
      <c r="D1351" s="120"/>
      <c r="E1351" s="120"/>
      <c r="F1351" s="120"/>
      <c r="G1351" s="120"/>
      <c r="H1351" s="120"/>
      <c r="I1351" s="120"/>
      <c r="J1351" s="120"/>
      <c r="K1351" s="120"/>
    </row>
    <row r="1352">
      <c r="A1352" s="120"/>
      <c r="B1352" s="120"/>
      <c r="C1352" s="120"/>
      <c r="D1352" s="120"/>
      <c r="E1352" s="120"/>
      <c r="F1352" s="120"/>
      <c r="G1352" s="120"/>
      <c r="H1352" s="120"/>
      <c r="I1352" s="120"/>
      <c r="J1352" s="120"/>
      <c r="K1352" s="120"/>
    </row>
    <row r="1353">
      <c r="A1353" s="120"/>
      <c r="B1353" s="120"/>
      <c r="C1353" s="120"/>
      <c r="D1353" s="120"/>
      <c r="E1353" s="120"/>
      <c r="F1353" s="120"/>
      <c r="G1353" s="120"/>
      <c r="H1353" s="120"/>
      <c r="I1353" s="120"/>
      <c r="J1353" s="120"/>
      <c r="K1353" s="120"/>
    </row>
    <row r="1354">
      <c r="A1354" s="120"/>
      <c r="B1354" s="120"/>
      <c r="C1354" s="120"/>
      <c r="D1354" s="120"/>
      <c r="E1354" s="120"/>
      <c r="F1354" s="120"/>
      <c r="G1354" s="120"/>
      <c r="H1354" s="120"/>
      <c r="I1354" s="120"/>
      <c r="J1354" s="120"/>
      <c r="K1354" s="120"/>
    </row>
    <row r="1355">
      <c r="A1355" s="120"/>
      <c r="B1355" s="120"/>
      <c r="C1355" s="120"/>
      <c r="D1355" s="120"/>
      <c r="E1355" s="120"/>
      <c r="F1355" s="120"/>
      <c r="G1355" s="120"/>
      <c r="H1355" s="120"/>
      <c r="I1355" s="120"/>
      <c r="J1355" s="120"/>
      <c r="K1355" s="120"/>
    </row>
    <row r="1356">
      <c r="A1356" s="120"/>
      <c r="B1356" s="120"/>
      <c r="C1356" s="120"/>
      <c r="D1356" s="120"/>
      <c r="E1356" s="120"/>
      <c r="F1356" s="120"/>
      <c r="G1356" s="120"/>
      <c r="H1356" s="120"/>
      <c r="I1356" s="120"/>
      <c r="J1356" s="120"/>
      <c r="K1356" s="120"/>
    </row>
    <row r="1357">
      <c r="A1357" s="120"/>
      <c r="B1357" s="120"/>
      <c r="C1357" s="120"/>
      <c r="D1357" s="120"/>
      <c r="E1357" s="120"/>
      <c r="F1357" s="120"/>
      <c r="G1357" s="120"/>
      <c r="H1357" s="120"/>
      <c r="I1357" s="120"/>
      <c r="J1357" s="120"/>
      <c r="K1357" s="120"/>
    </row>
    <row r="1358">
      <c r="A1358" s="120"/>
      <c r="B1358" s="120"/>
      <c r="C1358" s="120"/>
      <c r="D1358" s="120"/>
      <c r="E1358" s="120"/>
      <c r="F1358" s="120"/>
      <c r="G1358" s="120"/>
      <c r="H1358" s="120"/>
      <c r="I1358" s="120"/>
      <c r="J1358" s="120"/>
      <c r="K1358" s="120"/>
    </row>
    <row r="1359">
      <c r="A1359" s="120"/>
      <c r="B1359" s="120"/>
      <c r="C1359" s="120"/>
      <c r="D1359" s="120"/>
      <c r="E1359" s="120"/>
      <c r="F1359" s="120"/>
      <c r="G1359" s="120"/>
      <c r="H1359" s="120"/>
      <c r="I1359" s="120"/>
      <c r="J1359" s="120"/>
      <c r="K1359" s="120"/>
    </row>
    <row r="1360">
      <c r="A1360" s="120"/>
      <c r="B1360" s="120"/>
      <c r="C1360" s="120"/>
      <c r="D1360" s="120"/>
      <c r="E1360" s="120"/>
      <c r="F1360" s="120"/>
      <c r="G1360" s="120"/>
      <c r="H1360" s="120"/>
      <c r="I1360" s="120"/>
      <c r="J1360" s="120"/>
      <c r="K1360" s="120"/>
    </row>
    <row r="1361">
      <c r="A1361" s="120"/>
      <c r="B1361" s="120"/>
      <c r="C1361" s="120"/>
      <c r="D1361" s="120"/>
      <c r="E1361" s="120"/>
      <c r="F1361" s="120"/>
      <c r="G1361" s="120"/>
      <c r="H1361" s="120"/>
      <c r="I1361" s="120"/>
      <c r="J1361" s="120"/>
      <c r="K1361" s="120"/>
    </row>
    <row r="1362">
      <c r="A1362" s="120"/>
      <c r="B1362" s="120"/>
      <c r="C1362" s="120"/>
      <c r="D1362" s="120"/>
      <c r="E1362" s="120"/>
      <c r="F1362" s="120"/>
      <c r="G1362" s="120"/>
      <c r="H1362" s="120"/>
      <c r="I1362" s="120"/>
      <c r="J1362" s="120"/>
      <c r="K1362" s="120"/>
    </row>
    <row r="1363">
      <c r="A1363" s="120"/>
      <c r="B1363" s="120"/>
      <c r="C1363" s="120"/>
      <c r="D1363" s="120"/>
      <c r="E1363" s="120"/>
      <c r="F1363" s="120"/>
      <c r="G1363" s="120"/>
      <c r="H1363" s="120"/>
      <c r="I1363" s="120"/>
      <c r="J1363" s="120"/>
      <c r="K1363" s="120"/>
    </row>
    <row r="1364">
      <c r="A1364" s="120"/>
      <c r="B1364" s="120"/>
      <c r="C1364" s="120"/>
      <c r="D1364" s="120"/>
      <c r="E1364" s="120"/>
      <c r="F1364" s="120"/>
      <c r="G1364" s="120"/>
      <c r="H1364" s="120"/>
      <c r="I1364" s="120"/>
      <c r="J1364" s="120"/>
      <c r="K1364" s="120"/>
    </row>
    <row r="1365">
      <c r="A1365" s="120"/>
      <c r="B1365" s="120"/>
      <c r="C1365" s="120"/>
      <c r="D1365" s="120"/>
      <c r="E1365" s="120"/>
      <c r="F1365" s="120"/>
      <c r="G1365" s="120"/>
      <c r="H1365" s="120"/>
      <c r="I1365" s="120"/>
      <c r="J1365" s="120"/>
      <c r="K1365" s="120"/>
    </row>
    <row r="1366">
      <c r="A1366" s="120"/>
      <c r="B1366" s="120"/>
      <c r="C1366" s="120"/>
      <c r="D1366" s="120"/>
      <c r="E1366" s="120"/>
      <c r="F1366" s="120"/>
      <c r="G1366" s="120"/>
      <c r="H1366" s="120"/>
      <c r="I1366" s="120"/>
      <c r="J1366" s="120"/>
      <c r="K1366" s="120"/>
    </row>
    <row r="1367">
      <c r="A1367" s="120"/>
      <c r="B1367" s="120"/>
      <c r="C1367" s="120"/>
      <c r="D1367" s="120"/>
      <c r="E1367" s="120"/>
      <c r="F1367" s="120"/>
      <c r="G1367" s="120"/>
      <c r="H1367" s="120"/>
      <c r="I1367" s="120"/>
      <c r="J1367" s="120"/>
      <c r="K1367" s="120"/>
    </row>
    <row r="1368">
      <c r="A1368" s="120"/>
      <c r="B1368" s="120"/>
      <c r="C1368" s="120"/>
      <c r="D1368" s="120"/>
      <c r="E1368" s="120"/>
      <c r="F1368" s="120"/>
      <c r="G1368" s="120"/>
      <c r="H1368" s="120"/>
      <c r="I1368" s="120"/>
      <c r="J1368" s="120"/>
      <c r="K1368" s="120"/>
    </row>
    <row r="1369">
      <c r="A1369" s="120"/>
      <c r="B1369" s="120"/>
      <c r="C1369" s="120"/>
      <c r="D1369" s="120"/>
      <c r="E1369" s="120"/>
      <c r="F1369" s="120"/>
      <c r="G1369" s="120"/>
      <c r="H1369" s="120"/>
      <c r="I1369" s="120"/>
      <c r="J1369" s="120"/>
      <c r="K1369" s="120"/>
    </row>
    <row r="1370">
      <c r="A1370" s="120"/>
      <c r="B1370" s="120"/>
      <c r="C1370" s="120"/>
      <c r="D1370" s="120"/>
      <c r="E1370" s="120"/>
      <c r="F1370" s="120"/>
      <c r="G1370" s="120"/>
      <c r="H1370" s="120"/>
      <c r="I1370" s="120"/>
      <c r="J1370" s="120"/>
      <c r="K1370" s="120"/>
    </row>
    <row r="1371">
      <c r="A1371" s="120"/>
      <c r="B1371" s="120"/>
      <c r="C1371" s="120"/>
      <c r="D1371" s="120"/>
      <c r="E1371" s="120"/>
      <c r="F1371" s="120"/>
      <c r="G1371" s="120"/>
      <c r="H1371" s="120"/>
      <c r="I1371" s="120"/>
      <c r="J1371" s="120"/>
      <c r="K1371" s="120"/>
    </row>
    <row r="1372">
      <c r="A1372" s="120"/>
      <c r="B1372" s="120"/>
      <c r="C1372" s="120"/>
      <c r="D1372" s="120"/>
      <c r="E1372" s="120"/>
      <c r="F1372" s="120"/>
      <c r="G1372" s="120"/>
      <c r="H1372" s="120"/>
      <c r="I1372" s="120"/>
      <c r="J1372" s="120"/>
      <c r="K1372" s="120"/>
    </row>
    <row r="1373">
      <c r="A1373" s="120"/>
      <c r="B1373" s="120"/>
      <c r="C1373" s="120"/>
      <c r="D1373" s="120"/>
      <c r="E1373" s="120"/>
      <c r="F1373" s="120"/>
      <c r="G1373" s="120"/>
      <c r="H1373" s="120"/>
      <c r="I1373" s="120"/>
      <c r="J1373" s="120"/>
      <c r="K1373" s="120"/>
    </row>
    <row r="1374">
      <c r="A1374" s="120"/>
      <c r="B1374" s="120"/>
      <c r="C1374" s="120"/>
      <c r="D1374" s="120"/>
      <c r="E1374" s="120"/>
      <c r="F1374" s="120"/>
      <c r="G1374" s="120"/>
      <c r="H1374" s="120"/>
      <c r="I1374" s="120"/>
      <c r="J1374" s="120"/>
      <c r="K1374" s="120"/>
    </row>
    <row r="1375">
      <c r="A1375" s="120"/>
      <c r="B1375" s="120"/>
      <c r="C1375" s="120"/>
      <c r="D1375" s="120"/>
      <c r="E1375" s="120"/>
      <c r="F1375" s="120"/>
      <c r="G1375" s="120"/>
      <c r="H1375" s="120"/>
      <c r="I1375" s="120"/>
      <c r="J1375" s="120"/>
      <c r="K1375" s="120"/>
    </row>
    <row r="1376">
      <c r="A1376" s="120"/>
      <c r="B1376" s="120"/>
      <c r="C1376" s="120"/>
      <c r="D1376" s="120"/>
      <c r="E1376" s="120"/>
      <c r="F1376" s="120"/>
      <c r="G1376" s="120"/>
      <c r="H1376" s="120"/>
      <c r="I1376" s="120"/>
      <c r="J1376" s="120"/>
      <c r="K1376" s="120"/>
    </row>
    <row r="1377">
      <c r="A1377" s="120"/>
      <c r="B1377" s="120"/>
      <c r="C1377" s="120"/>
      <c r="D1377" s="120"/>
      <c r="E1377" s="120"/>
      <c r="F1377" s="120"/>
      <c r="G1377" s="120"/>
      <c r="H1377" s="120"/>
      <c r="I1377" s="120"/>
      <c r="J1377" s="120"/>
      <c r="K1377" s="120"/>
    </row>
    <row r="1378">
      <c r="A1378" s="120"/>
      <c r="B1378" s="120"/>
      <c r="C1378" s="120"/>
      <c r="D1378" s="120"/>
      <c r="E1378" s="120"/>
      <c r="F1378" s="120"/>
      <c r="G1378" s="120"/>
      <c r="H1378" s="120"/>
      <c r="I1378" s="120"/>
      <c r="J1378" s="120"/>
      <c r="K1378" s="120"/>
    </row>
    <row r="1379">
      <c r="A1379" s="120"/>
      <c r="B1379" s="120"/>
      <c r="C1379" s="120"/>
      <c r="D1379" s="120"/>
      <c r="E1379" s="120"/>
      <c r="F1379" s="120"/>
      <c r="G1379" s="120"/>
      <c r="H1379" s="120"/>
      <c r="I1379" s="120"/>
      <c r="J1379" s="120"/>
      <c r="K1379" s="120"/>
    </row>
    <row r="1380">
      <c r="A1380" s="120"/>
      <c r="B1380" s="120"/>
      <c r="C1380" s="120"/>
      <c r="D1380" s="120"/>
      <c r="E1380" s="120"/>
      <c r="F1380" s="120"/>
      <c r="G1380" s="120"/>
      <c r="H1380" s="120"/>
      <c r="I1380" s="120"/>
      <c r="J1380" s="120"/>
      <c r="K1380" s="120"/>
    </row>
    <row r="1381">
      <c r="A1381" s="120"/>
      <c r="B1381" s="120"/>
      <c r="C1381" s="120"/>
      <c r="D1381" s="120"/>
      <c r="E1381" s="120"/>
      <c r="F1381" s="120"/>
      <c r="G1381" s="120"/>
      <c r="H1381" s="120"/>
      <c r="I1381" s="120"/>
      <c r="J1381" s="120"/>
      <c r="K1381" s="120"/>
    </row>
    <row r="1382">
      <c r="A1382" s="120"/>
      <c r="B1382" s="120"/>
      <c r="C1382" s="120"/>
      <c r="D1382" s="120"/>
      <c r="E1382" s="120"/>
      <c r="F1382" s="120"/>
      <c r="G1382" s="120"/>
      <c r="H1382" s="120"/>
      <c r="I1382" s="120"/>
      <c r="J1382" s="120"/>
      <c r="K1382" s="120"/>
    </row>
    <row r="1383">
      <c r="A1383" s="120"/>
      <c r="B1383" s="120"/>
      <c r="C1383" s="120"/>
      <c r="D1383" s="120"/>
      <c r="E1383" s="120"/>
      <c r="F1383" s="120"/>
      <c r="G1383" s="120"/>
      <c r="H1383" s="120"/>
      <c r="I1383" s="120"/>
      <c r="J1383" s="120"/>
      <c r="K1383" s="120"/>
    </row>
    <row r="1384">
      <c r="A1384" s="120"/>
      <c r="B1384" s="120"/>
      <c r="C1384" s="120"/>
      <c r="D1384" s="120"/>
      <c r="E1384" s="120"/>
      <c r="F1384" s="120"/>
      <c r="G1384" s="120"/>
      <c r="H1384" s="120"/>
      <c r="I1384" s="120"/>
      <c r="J1384" s="120"/>
      <c r="K1384" s="120"/>
    </row>
    <row r="1385">
      <c r="A1385" s="120"/>
      <c r="B1385" s="120"/>
      <c r="C1385" s="120"/>
      <c r="D1385" s="120"/>
      <c r="E1385" s="120"/>
      <c r="F1385" s="120"/>
      <c r="G1385" s="120"/>
      <c r="H1385" s="120"/>
      <c r="I1385" s="120"/>
      <c r="J1385" s="120"/>
      <c r="K1385" s="120"/>
    </row>
    <row r="1386">
      <c r="A1386" s="120"/>
      <c r="B1386" s="120"/>
      <c r="C1386" s="120"/>
      <c r="D1386" s="120"/>
      <c r="E1386" s="120"/>
      <c r="F1386" s="120"/>
      <c r="G1386" s="120"/>
      <c r="H1386" s="120"/>
      <c r="I1386" s="120"/>
      <c r="J1386" s="120"/>
      <c r="K1386" s="120"/>
    </row>
    <row r="1387">
      <c r="A1387" s="120"/>
      <c r="B1387" s="120"/>
      <c r="C1387" s="120"/>
      <c r="D1387" s="120"/>
      <c r="E1387" s="120"/>
      <c r="F1387" s="120"/>
      <c r="G1387" s="120"/>
      <c r="H1387" s="120"/>
      <c r="I1387" s="120"/>
      <c r="J1387" s="120"/>
      <c r="K1387" s="120"/>
    </row>
    <row r="1388">
      <c r="A1388" s="120"/>
      <c r="B1388" s="120"/>
      <c r="C1388" s="120"/>
      <c r="D1388" s="120"/>
      <c r="E1388" s="120"/>
      <c r="F1388" s="120"/>
      <c r="G1388" s="120"/>
      <c r="H1388" s="120"/>
      <c r="I1388" s="120"/>
      <c r="J1388" s="120"/>
      <c r="K1388" s="120"/>
    </row>
    <row r="1389">
      <c r="A1389" s="120"/>
      <c r="B1389" s="120"/>
      <c r="C1389" s="120"/>
      <c r="D1389" s="120"/>
      <c r="E1389" s="120"/>
      <c r="F1389" s="120"/>
      <c r="G1389" s="120"/>
      <c r="H1389" s="120"/>
      <c r="I1389" s="120"/>
      <c r="J1389" s="120"/>
      <c r="K1389" s="120"/>
    </row>
    <row r="1390">
      <c r="A1390" s="120"/>
      <c r="B1390" s="120"/>
      <c r="C1390" s="120"/>
      <c r="D1390" s="120"/>
      <c r="E1390" s="120"/>
      <c r="F1390" s="120"/>
      <c r="G1390" s="120"/>
      <c r="H1390" s="120"/>
      <c r="I1390" s="120"/>
      <c r="J1390" s="120"/>
      <c r="K1390" s="120"/>
    </row>
    <row r="1391">
      <c r="A1391" s="120"/>
      <c r="B1391" s="120"/>
      <c r="C1391" s="120"/>
      <c r="D1391" s="120"/>
      <c r="E1391" s="120"/>
      <c r="F1391" s="120"/>
      <c r="G1391" s="120"/>
      <c r="H1391" s="120"/>
      <c r="I1391" s="120"/>
      <c r="J1391" s="120"/>
      <c r="K1391" s="120"/>
    </row>
    <row r="1392">
      <c r="A1392" s="120"/>
      <c r="B1392" s="120"/>
      <c r="C1392" s="120"/>
      <c r="D1392" s="120"/>
      <c r="E1392" s="120"/>
      <c r="F1392" s="120"/>
      <c r="G1392" s="120"/>
      <c r="H1392" s="120"/>
      <c r="I1392" s="120"/>
      <c r="J1392" s="120"/>
      <c r="K1392" s="120"/>
    </row>
    <row r="1393">
      <c r="A1393" s="120"/>
      <c r="B1393" s="120"/>
      <c r="C1393" s="120"/>
      <c r="D1393" s="120"/>
      <c r="E1393" s="120"/>
      <c r="F1393" s="120"/>
      <c r="G1393" s="120"/>
      <c r="H1393" s="120"/>
      <c r="I1393" s="120"/>
      <c r="J1393" s="120"/>
      <c r="K1393" s="120"/>
    </row>
    <row r="1394">
      <c r="A1394" s="120"/>
      <c r="B1394" s="120"/>
      <c r="C1394" s="120"/>
      <c r="D1394" s="120"/>
      <c r="E1394" s="120"/>
      <c r="F1394" s="120"/>
      <c r="G1394" s="120"/>
      <c r="H1394" s="120"/>
      <c r="I1394" s="120"/>
      <c r="J1394" s="120"/>
      <c r="K1394" s="120"/>
    </row>
    <row r="1395">
      <c r="A1395" s="120"/>
      <c r="B1395" s="120"/>
      <c r="C1395" s="120"/>
      <c r="D1395" s="120"/>
      <c r="E1395" s="120"/>
      <c r="F1395" s="120"/>
      <c r="G1395" s="120"/>
      <c r="H1395" s="120"/>
      <c r="I1395" s="120"/>
      <c r="J1395" s="120"/>
      <c r="K1395" s="120"/>
    </row>
    <row r="1396">
      <c r="A1396" s="120"/>
      <c r="B1396" s="120"/>
      <c r="C1396" s="120"/>
      <c r="D1396" s="120"/>
      <c r="E1396" s="120"/>
      <c r="F1396" s="120"/>
      <c r="G1396" s="120"/>
      <c r="H1396" s="120"/>
      <c r="I1396" s="120"/>
      <c r="J1396" s="120"/>
      <c r="K1396" s="120"/>
    </row>
    <row r="1397">
      <c r="A1397" s="120"/>
      <c r="B1397" s="120"/>
      <c r="C1397" s="120"/>
      <c r="D1397" s="120"/>
      <c r="E1397" s="120"/>
      <c r="F1397" s="120"/>
      <c r="G1397" s="120"/>
      <c r="H1397" s="120"/>
      <c r="I1397" s="120"/>
      <c r="J1397" s="120"/>
      <c r="K1397" s="120"/>
    </row>
    <row r="1398">
      <c r="A1398" s="120"/>
      <c r="B1398" s="120"/>
      <c r="C1398" s="120"/>
      <c r="D1398" s="120"/>
      <c r="E1398" s="120"/>
      <c r="F1398" s="120"/>
      <c r="G1398" s="120"/>
      <c r="H1398" s="120"/>
      <c r="I1398" s="120"/>
      <c r="J1398" s="120"/>
      <c r="K1398" s="120"/>
    </row>
    <row r="1399">
      <c r="A1399" s="120"/>
      <c r="B1399" s="120"/>
      <c r="C1399" s="120"/>
      <c r="D1399" s="120"/>
      <c r="E1399" s="120"/>
      <c r="F1399" s="120"/>
      <c r="G1399" s="120"/>
      <c r="H1399" s="120"/>
      <c r="I1399" s="120"/>
      <c r="J1399" s="120"/>
      <c r="K1399" s="120"/>
    </row>
    <row r="1400">
      <c r="A1400" s="120"/>
      <c r="B1400" s="120"/>
      <c r="C1400" s="120"/>
      <c r="D1400" s="120"/>
      <c r="E1400" s="120"/>
      <c r="F1400" s="120"/>
      <c r="G1400" s="120"/>
      <c r="H1400" s="120"/>
      <c r="I1400" s="120"/>
      <c r="J1400" s="120"/>
      <c r="K1400" s="120"/>
    </row>
    <row r="1401">
      <c r="A1401" s="120"/>
      <c r="B1401" s="120"/>
      <c r="C1401" s="120"/>
      <c r="D1401" s="120"/>
      <c r="E1401" s="120"/>
      <c r="F1401" s="120"/>
      <c r="G1401" s="120"/>
      <c r="H1401" s="120"/>
      <c r="I1401" s="120"/>
      <c r="J1401" s="120"/>
      <c r="K1401" s="120"/>
    </row>
    <row r="1402">
      <c r="A1402" s="120"/>
      <c r="B1402" s="120"/>
      <c r="C1402" s="120"/>
      <c r="D1402" s="120"/>
      <c r="E1402" s="120"/>
      <c r="F1402" s="120"/>
      <c r="G1402" s="120"/>
      <c r="H1402" s="120"/>
      <c r="I1402" s="120"/>
      <c r="J1402" s="120"/>
      <c r="K1402" s="120"/>
    </row>
    <row r="1403">
      <c r="A1403" s="120"/>
      <c r="B1403" s="120"/>
      <c r="C1403" s="120"/>
      <c r="D1403" s="120"/>
      <c r="E1403" s="120"/>
      <c r="F1403" s="120"/>
      <c r="G1403" s="120"/>
      <c r="H1403" s="120"/>
      <c r="I1403" s="120"/>
      <c r="J1403" s="120"/>
      <c r="K1403" s="120"/>
    </row>
    <row r="1404">
      <c r="A1404" s="120"/>
      <c r="B1404" s="120"/>
      <c r="C1404" s="120"/>
      <c r="D1404" s="120"/>
      <c r="E1404" s="120"/>
      <c r="F1404" s="120"/>
      <c r="G1404" s="120"/>
      <c r="H1404" s="120"/>
      <c r="I1404" s="120"/>
      <c r="J1404" s="120"/>
      <c r="K1404" s="120"/>
    </row>
    <row r="1405">
      <c r="A1405" s="120"/>
      <c r="B1405" s="120"/>
      <c r="C1405" s="120"/>
      <c r="D1405" s="120"/>
      <c r="E1405" s="120"/>
      <c r="F1405" s="120"/>
      <c r="G1405" s="120"/>
      <c r="H1405" s="120"/>
      <c r="I1405" s="120"/>
      <c r="J1405" s="120"/>
      <c r="K1405" s="120"/>
    </row>
    <row r="1406">
      <c r="A1406" s="120"/>
      <c r="B1406" s="120"/>
      <c r="C1406" s="120"/>
      <c r="D1406" s="120"/>
      <c r="E1406" s="120"/>
      <c r="F1406" s="120"/>
      <c r="G1406" s="120"/>
      <c r="H1406" s="120"/>
      <c r="I1406" s="120"/>
      <c r="J1406" s="120"/>
      <c r="K1406" s="120"/>
    </row>
    <row r="1407">
      <c r="A1407" s="120"/>
      <c r="B1407" s="120"/>
      <c r="C1407" s="120"/>
      <c r="D1407" s="120"/>
      <c r="E1407" s="120"/>
      <c r="F1407" s="120"/>
      <c r="G1407" s="120"/>
      <c r="H1407" s="120"/>
      <c r="I1407" s="120"/>
      <c r="J1407" s="120"/>
      <c r="K1407" s="120"/>
    </row>
    <row r="1408">
      <c r="A1408" s="120"/>
      <c r="B1408" s="120"/>
      <c r="C1408" s="120"/>
      <c r="D1408" s="120"/>
      <c r="E1408" s="120"/>
      <c r="F1408" s="120"/>
      <c r="G1408" s="120"/>
      <c r="H1408" s="120"/>
      <c r="I1408" s="120"/>
      <c r="J1408" s="120"/>
      <c r="K1408" s="120"/>
    </row>
    <row r="1409">
      <c r="A1409" s="120"/>
      <c r="B1409" s="120"/>
      <c r="C1409" s="120"/>
      <c r="D1409" s="120"/>
      <c r="E1409" s="120"/>
      <c r="F1409" s="120"/>
      <c r="G1409" s="120"/>
      <c r="H1409" s="120"/>
      <c r="I1409" s="120"/>
      <c r="J1409" s="120"/>
      <c r="K1409" s="120"/>
    </row>
    <row r="1410">
      <c r="A1410" s="120"/>
      <c r="B1410" s="120"/>
      <c r="C1410" s="120"/>
      <c r="D1410" s="120"/>
      <c r="E1410" s="120"/>
      <c r="F1410" s="120"/>
      <c r="G1410" s="120"/>
      <c r="H1410" s="120"/>
      <c r="I1410" s="120"/>
      <c r="J1410" s="120"/>
      <c r="K1410" s="120"/>
    </row>
    <row r="1411">
      <c r="A1411" s="120"/>
      <c r="B1411" s="120"/>
      <c r="C1411" s="120"/>
      <c r="D1411" s="120"/>
      <c r="E1411" s="120"/>
      <c r="F1411" s="120"/>
      <c r="G1411" s="120"/>
      <c r="H1411" s="120"/>
      <c r="I1411" s="120"/>
      <c r="J1411" s="120"/>
      <c r="K1411" s="120"/>
    </row>
    <row r="1412">
      <c r="A1412" s="120"/>
      <c r="B1412" s="120"/>
      <c r="C1412" s="120"/>
      <c r="D1412" s="120"/>
      <c r="E1412" s="120"/>
      <c r="F1412" s="120"/>
      <c r="G1412" s="120"/>
      <c r="H1412" s="120"/>
      <c r="I1412" s="120"/>
      <c r="J1412" s="120"/>
      <c r="K1412" s="120"/>
    </row>
    <row r="1413">
      <c r="A1413" s="120"/>
      <c r="B1413" s="120"/>
      <c r="C1413" s="120"/>
      <c r="D1413" s="120"/>
      <c r="E1413" s="120"/>
      <c r="F1413" s="120"/>
      <c r="G1413" s="120"/>
      <c r="H1413" s="120"/>
      <c r="I1413" s="120"/>
      <c r="J1413" s="120"/>
      <c r="K1413" s="120"/>
    </row>
    <row r="1414">
      <c r="A1414" s="120"/>
      <c r="B1414" s="120"/>
      <c r="C1414" s="120"/>
      <c r="D1414" s="120"/>
      <c r="E1414" s="120"/>
      <c r="F1414" s="120"/>
      <c r="G1414" s="120"/>
      <c r="H1414" s="120"/>
      <c r="I1414" s="120"/>
      <c r="J1414" s="120"/>
      <c r="K1414" s="120"/>
    </row>
    <row r="1415">
      <c r="A1415" s="120"/>
      <c r="B1415" s="120"/>
      <c r="C1415" s="120"/>
      <c r="D1415" s="120"/>
      <c r="E1415" s="120"/>
      <c r="F1415" s="120"/>
      <c r="G1415" s="120"/>
      <c r="H1415" s="120"/>
      <c r="I1415" s="120"/>
      <c r="J1415" s="120"/>
      <c r="K1415" s="120"/>
    </row>
    <row r="1416">
      <c r="A1416" s="120"/>
      <c r="B1416" s="120"/>
      <c r="C1416" s="120"/>
      <c r="D1416" s="120"/>
      <c r="E1416" s="120"/>
      <c r="F1416" s="120"/>
      <c r="G1416" s="120"/>
      <c r="H1416" s="120"/>
      <c r="I1416" s="120"/>
      <c r="J1416" s="120"/>
      <c r="K1416" s="120"/>
    </row>
    <row r="1417">
      <c r="A1417" s="120"/>
      <c r="B1417" s="120"/>
      <c r="C1417" s="120"/>
      <c r="D1417" s="120"/>
      <c r="E1417" s="120"/>
      <c r="F1417" s="120"/>
      <c r="G1417" s="120"/>
      <c r="H1417" s="120"/>
      <c r="I1417" s="120"/>
      <c r="J1417" s="120"/>
      <c r="K1417" s="120"/>
    </row>
    <row r="1418">
      <c r="A1418" s="120"/>
      <c r="B1418" s="120"/>
      <c r="C1418" s="120"/>
      <c r="D1418" s="120"/>
      <c r="E1418" s="120"/>
      <c r="F1418" s="120"/>
      <c r="G1418" s="120"/>
      <c r="H1418" s="120"/>
      <c r="I1418" s="120"/>
      <c r="J1418" s="120"/>
      <c r="K1418" s="120"/>
    </row>
    <row r="1419">
      <c r="A1419" s="120"/>
      <c r="B1419" s="120"/>
      <c r="C1419" s="120"/>
      <c r="D1419" s="120"/>
      <c r="E1419" s="120"/>
      <c r="F1419" s="120"/>
      <c r="G1419" s="120"/>
      <c r="H1419" s="120"/>
      <c r="I1419" s="120"/>
      <c r="J1419" s="120"/>
      <c r="K1419" s="120"/>
    </row>
    <row r="1420">
      <c r="A1420" s="120"/>
      <c r="B1420" s="120"/>
      <c r="C1420" s="120"/>
      <c r="D1420" s="120"/>
      <c r="E1420" s="120"/>
      <c r="F1420" s="120"/>
      <c r="G1420" s="120"/>
      <c r="H1420" s="120"/>
      <c r="I1420" s="120"/>
      <c r="J1420" s="120"/>
      <c r="K1420" s="120"/>
    </row>
    <row r="1421">
      <c r="A1421" s="120"/>
      <c r="B1421" s="120"/>
      <c r="C1421" s="120"/>
      <c r="D1421" s="120"/>
      <c r="E1421" s="120"/>
      <c r="F1421" s="120"/>
      <c r="G1421" s="120"/>
      <c r="H1421" s="120"/>
      <c r="I1421" s="120"/>
      <c r="J1421" s="120"/>
      <c r="K1421" s="120"/>
    </row>
    <row r="1422">
      <c r="A1422" s="120"/>
      <c r="B1422" s="120"/>
      <c r="C1422" s="120"/>
      <c r="D1422" s="120"/>
      <c r="E1422" s="120"/>
      <c r="F1422" s="120"/>
      <c r="G1422" s="120"/>
      <c r="H1422" s="120"/>
      <c r="I1422" s="120"/>
      <c r="J1422" s="120"/>
      <c r="K1422" s="120"/>
    </row>
    <row r="1423">
      <c r="A1423" s="120"/>
      <c r="B1423" s="120"/>
      <c r="C1423" s="120"/>
      <c r="D1423" s="120"/>
      <c r="E1423" s="120"/>
      <c r="F1423" s="120"/>
      <c r="G1423" s="120"/>
      <c r="H1423" s="120"/>
      <c r="I1423" s="120"/>
      <c r="J1423" s="120"/>
      <c r="K1423" s="120"/>
    </row>
    <row r="1424">
      <c r="A1424" s="120"/>
      <c r="B1424" s="120"/>
      <c r="C1424" s="120"/>
      <c r="D1424" s="120"/>
      <c r="E1424" s="120"/>
      <c r="F1424" s="120"/>
      <c r="G1424" s="120"/>
      <c r="H1424" s="120"/>
      <c r="I1424" s="120"/>
      <c r="J1424" s="120"/>
      <c r="K1424" s="120"/>
    </row>
    <row r="1425">
      <c r="A1425" s="120"/>
      <c r="B1425" s="120"/>
      <c r="C1425" s="120"/>
      <c r="D1425" s="120"/>
      <c r="E1425" s="120"/>
      <c r="F1425" s="120"/>
      <c r="G1425" s="120"/>
      <c r="H1425" s="120"/>
      <c r="I1425" s="120"/>
      <c r="J1425" s="120"/>
      <c r="K1425" s="120"/>
    </row>
    <row r="1426">
      <c r="A1426" s="120"/>
      <c r="B1426" s="120"/>
      <c r="C1426" s="120"/>
      <c r="D1426" s="120"/>
      <c r="E1426" s="120"/>
      <c r="F1426" s="120"/>
      <c r="G1426" s="120"/>
      <c r="H1426" s="120"/>
      <c r="I1426" s="120"/>
      <c r="J1426" s="120"/>
      <c r="K1426" s="120"/>
    </row>
    <row r="1427">
      <c r="A1427" s="120"/>
      <c r="B1427" s="120"/>
      <c r="C1427" s="120"/>
      <c r="D1427" s="120"/>
      <c r="E1427" s="120"/>
      <c r="F1427" s="120"/>
      <c r="G1427" s="120"/>
      <c r="H1427" s="120"/>
      <c r="I1427" s="120"/>
      <c r="J1427" s="120"/>
      <c r="K1427" s="120"/>
    </row>
    <row r="1428">
      <c r="A1428" s="120"/>
      <c r="B1428" s="120"/>
      <c r="C1428" s="120"/>
      <c r="D1428" s="120"/>
      <c r="E1428" s="120"/>
      <c r="F1428" s="120"/>
      <c r="G1428" s="120"/>
      <c r="H1428" s="120"/>
      <c r="I1428" s="120"/>
      <c r="J1428" s="120"/>
      <c r="K1428" s="120"/>
    </row>
    <row r="1429">
      <c r="A1429" s="120"/>
      <c r="B1429" s="120"/>
      <c r="C1429" s="120"/>
      <c r="D1429" s="120"/>
      <c r="E1429" s="120"/>
      <c r="F1429" s="120"/>
      <c r="G1429" s="120"/>
      <c r="H1429" s="120"/>
      <c r="I1429" s="120"/>
      <c r="J1429" s="120"/>
      <c r="K1429" s="120"/>
    </row>
    <row r="1430">
      <c r="A1430" s="120"/>
      <c r="B1430" s="120"/>
      <c r="C1430" s="120"/>
      <c r="D1430" s="120"/>
      <c r="E1430" s="120"/>
      <c r="F1430" s="120"/>
      <c r="G1430" s="120"/>
      <c r="H1430" s="120"/>
      <c r="I1430" s="120"/>
      <c r="J1430" s="120"/>
      <c r="K1430" s="120"/>
    </row>
    <row r="1431">
      <c r="A1431" s="120"/>
      <c r="B1431" s="120"/>
      <c r="C1431" s="120"/>
      <c r="D1431" s="120"/>
      <c r="E1431" s="120"/>
      <c r="F1431" s="120"/>
      <c r="G1431" s="120"/>
      <c r="H1431" s="120"/>
      <c r="I1431" s="120"/>
      <c r="J1431" s="120"/>
      <c r="K1431" s="120"/>
    </row>
    <row r="1432">
      <c r="A1432" s="120"/>
      <c r="B1432" s="120"/>
      <c r="C1432" s="120"/>
      <c r="D1432" s="120"/>
      <c r="E1432" s="120"/>
      <c r="F1432" s="120"/>
      <c r="G1432" s="120"/>
      <c r="H1432" s="120"/>
      <c r="I1432" s="120"/>
      <c r="J1432" s="120"/>
      <c r="K1432" s="120"/>
    </row>
    <row r="1433">
      <c r="A1433" s="120"/>
      <c r="B1433" s="120"/>
      <c r="C1433" s="120"/>
      <c r="D1433" s="120"/>
      <c r="E1433" s="120"/>
      <c r="F1433" s="120"/>
      <c r="G1433" s="120"/>
      <c r="H1433" s="120"/>
      <c r="I1433" s="120"/>
      <c r="J1433" s="120"/>
      <c r="K1433" s="120"/>
    </row>
    <row r="1434">
      <c r="A1434" s="120"/>
      <c r="B1434" s="120"/>
      <c r="C1434" s="120"/>
      <c r="D1434" s="120"/>
      <c r="E1434" s="120"/>
      <c r="F1434" s="120"/>
      <c r="G1434" s="120"/>
      <c r="H1434" s="120"/>
      <c r="I1434" s="120"/>
      <c r="J1434" s="120"/>
      <c r="K1434" s="120"/>
    </row>
    <row r="1435">
      <c r="A1435" s="120"/>
      <c r="B1435" s="120"/>
      <c r="C1435" s="120"/>
      <c r="D1435" s="120"/>
      <c r="E1435" s="120"/>
      <c r="F1435" s="120"/>
      <c r="G1435" s="120"/>
      <c r="H1435" s="120"/>
      <c r="I1435" s="120"/>
      <c r="J1435" s="120"/>
      <c r="K1435" s="120"/>
    </row>
    <row r="1436">
      <c r="A1436" s="120"/>
      <c r="B1436" s="120"/>
      <c r="C1436" s="120"/>
      <c r="D1436" s="120"/>
      <c r="E1436" s="120"/>
      <c r="F1436" s="120"/>
      <c r="G1436" s="120"/>
      <c r="H1436" s="120"/>
      <c r="I1436" s="120"/>
      <c r="J1436" s="120"/>
      <c r="K1436" s="120"/>
    </row>
    <row r="1437">
      <c r="A1437" s="120"/>
      <c r="B1437" s="120"/>
      <c r="C1437" s="120"/>
      <c r="D1437" s="120"/>
      <c r="E1437" s="120"/>
      <c r="F1437" s="120"/>
      <c r="G1437" s="120"/>
      <c r="H1437" s="120"/>
      <c r="I1437" s="120"/>
      <c r="J1437" s="120"/>
      <c r="K1437" s="120"/>
    </row>
    <row r="1438">
      <c r="A1438" s="120"/>
      <c r="B1438" s="120"/>
      <c r="C1438" s="120"/>
      <c r="D1438" s="120"/>
      <c r="E1438" s="120"/>
      <c r="F1438" s="120"/>
      <c r="G1438" s="120"/>
      <c r="H1438" s="120"/>
      <c r="I1438" s="120"/>
      <c r="J1438" s="120"/>
      <c r="K1438" s="120"/>
    </row>
    <row r="1439">
      <c r="A1439" s="120"/>
      <c r="B1439" s="120"/>
      <c r="C1439" s="120"/>
      <c r="D1439" s="120"/>
      <c r="E1439" s="120"/>
      <c r="F1439" s="120"/>
      <c r="G1439" s="120"/>
      <c r="H1439" s="120"/>
      <c r="I1439" s="120"/>
      <c r="J1439" s="120"/>
      <c r="K1439" s="120"/>
    </row>
    <row r="1440">
      <c r="A1440" s="120"/>
      <c r="B1440" s="120"/>
      <c r="C1440" s="120"/>
      <c r="D1440" s="120"/>
      <c r="E1440" s="120"/>
      <c r="F1440" s="120"/>
      <c r="G1440" s="120"/>
      <c r="H1440" s="120"/>
      <c r="I1440" s="120"/>
      <c r="J1440" s="120"/>
      <c r="K1440" s="120"/>
    </row>
    <row r="1441">
      <c r="A1441" s="120"/>
      <c r="B1441" s="120"/>
      <c r="C1441" s="120"/>
      <c r="D1441" s="120"/>
      <c r="E1441" s="120"/>
      <c r="F1441" s="120"/>
      <c r="G1441" s="120"/>
      <c r="H1441" s="120"/>
      <c r="I1441" s="120"/>
      <c r="J1441" s="120"/>
      <c r="K1441" s="120"/>
    </row>
    <row r="1442">
      <c r="A1442" s="120"/>
      <c r="B1442" s="120"/>
      <c r="C1442" s="120"/>
      <c r="D1442" s="120"/>
      <c r="E1442" s="120"/>
      <c r="F1442" s="120"/>
      <c r="G1442" s="120"/>
      <c r="H1442" s="120"/>
      <c r="I1442" s="120"/>
      <c r="J1442" s="120"/>
      <c r="K1442" s="120"/>
    </row>
    <row r="1443">
      <c r="A1443" s="120"/>
      <c r="B1443" s="120"/>
      <c r="C1443" s="120"/>
      <c r="D1443" s="120"/>
      <c r="E1443" s="120"/>
      <c r="F1443" s="120"/>
      <c r="G1443" s="120"/>
      <c r="H1443" s="120"/>
      <c r="I1443" s="120"/>
      <c r="J1443" s="120"/>
      <c r="K1443" s="120"/>
    </row>
    <row r="1444">
      <c r="A1444" s="120"/>
      <c r="B1444" s="120"/>
      <c r="C1444" s="120"/>
      <c r="D1444" s="120"/>
      <c r="E1444" s="120"/>
      <c r="F1444" s="120"/>
      <c r="G1444" s="120"/>
      <c r="H1444" s="120"/>
      <c r="I1444" s="120"/>
      <c r="J1444" s="120"/>
      <c r="K1444" s="120"/>
    </row>
    <row r="1445">
      <c r="A1445" s="120"/>
      <c r="B1445" s="120"/>
      <c r="C1445" s="120"/>
      <c r="D1445" s="120"/>
      <c r="E1445" s="120"/>
      <c r="F1445" s="120"/>
      <c r="G1445" s="120"/>
      <c r="H1445" s="120"/>
      <c r="I1445" s="120"/>
      <c r="J1445" s="120"/>
      <c r="K1445" s="120"/>
    </row>
    <row r="1446">
      <c r="A1446" s="120"/>
      <c r="B1446" s="120"/>
      <c r="C1446" s="120"/>
      <c r="D1446" s="120"/>
      <c r="E1446" s="120"/>
      <c r="F1446" s="120"/>
      <c r="G1446" s="120"/>
      <c r="H1446" s="120"/>
      <c r="I1446" s="120"/>
      <c r="J1446" s="120"/>
      <c r="K1446" s="120"/>
    </row>
    <row r="1447">
      <c r="A1447" s="120"/>
      <c r="B1447" s="120"/>
      <c r="C1447" s="120"/>
      <c r="D1447" s="120"/>
      <c r="E1447" s="120"/>
      <c r="F1447" s="120"/>
      <c r="G1447" s="120"/>
      <c r="H1447" s="120"/>
      <c r="I1447" s="120"/>
      <c r="J1447" s="120"/>
      <c r="K1447" s="120"/>
    </row>
    <row r="1448">
      <c r="A1448" s="120"/>
      <c r="B1448" s="120"/>
      <c r="C1448" s="120"/>
      <c r="D1448" s="120"/>
      <c r="E1448" s="120"/>
      <c r="F1448" s="120"/>
      <c r="G1448" s="120"/>
      <c r="H1448" s="120"/>
      <c r="I1448" s="120"/>
      <c r="J1448" s="120"/>
      <c r="K1448" s="120"/>
    </row>
    <row r="1449">
      <c r="A1449" s="120"/>
      <c r="B1449" s="120"/>
      <c r="C1449" s="120"/>
      <c r="D1449" s="120"/>
      <c r="E1449" s="120"/>
      <c r="F1449" s="120"/>
      <c r="G1449" s="120"/>
      <c r="H1449" s="120"/>
      <c r="I1449" s="120"/>
      <c r="J1449" s="120"/>
      <c r="K1449" s="120"/>
    </row>
    <row r="1450">
      <c r="A1450" s="120"/>
      <c r="B1450" s="120"/>
      <c r="C1450" s="120"/>
      <c r="D1450" s="120"/>
      <c r="E1450" s="120"/>
      <c r="F1450" s="120"/>
      <c r="G1450" s="120"/>
      <c r="H1450" s="120"/>
      <c r="I1450" s="120"/>
      <c r="J1450" s="120"/>
      <c r="K1450" s="120"/>
    </row>
    <row r="1451">
      <c r="A1451" s="120"/>
      <c r="B1451" s="120"/>
      <c r="C1451" s="120"/>
      <c r="D1451" s="120"/>
      <c r="E1451" s="120"/>
      <c r="F1451" s="120"/>
      <c r="G1451" s="120"/>
      <c r="H1451" s="120"/>
      <c r="I1451" s="120"/>
      <c r="J1451" s="120"/>
      <c r="K1451" s="120"/>
    </row>
    <row r="1452">
      <c r="A1452" s="120"/>
      <c r="B1452" s="120"/>
      <c r="C1452" s="120"/>
      <c r="D1452" s="120"/>
      <c r="E1452" s="120"/>
      <c r="F1452" s="120"/>
      <c r="G1452" s="120"/>
      <c r="H1452" s="120"/>
      <c r="I1452" s="120"/>
      <c r="J1452" s="120"/>
      <c r="K1452" s="120"/>
    </row>
    <row r="1453">
      <c r="A1453" s="120"/>
      <c r="B1453" s="120"/>
      <c r="C1453" s="120"/>
      <c r="D1453" s="120"/>
      <c r="E1453" s="120"/>
      <c r="F1453" s="120"/>
      <c r="G1453" s="120"/>
      <c r="H1453" s="120"/>
      <c r="I1453" s="120"/>
      <c r="J1453" s="120"/>
      <c r="K1453" s="120"/>
    </row>
    <row r="1454">
      <c r="A1454" s="120"/>
      <c r="B1454" s="120"/>
      <c r="C1454" s="120"/>
      <c r="D1454" s="120"/>
      <c r="E1454" s="120"/>
      <c r="F1454" s="120"/>
      <c r="G1454" s="120"/>
      <c r="H1454" s="120"/>
      <c r="I1454" s="120"/>
      <c r="J1454" s="120"/>
      <c r="K1454" s="120"/>
    </row>
    <row r="1455">
      <c r="A1455" s="120"/>
      <c r="B1455" s="120"/>
      <c r="C1455" s="120"/>
      <c r="D1455" s="120"/>
      <c r="E1455" s="120"/>
      <c r="F1455" s="120"/>
      <c r="G1455" s="120"/>
      <c r="H1455" s="120"/>
      <c r="I1455" s="120"/>
      <c r="J1455" s="120"/>
      <c r="K1455" s="120"/>
    </row>
    <row r="1456">
      <c r="A1456" s="120"/>
      <c r="B1456" s="120"/>
      <c r="C1456" s="120"/>
      <c r="D1456" s="120"/>
      <c r="E1456" s="120"/>
      <c r="F1456" s="120"/>
      <c r="G1456" s="120"/>
      <c r="H1456" s="120"/>
      <c r="I1456" s="120"/>
      <c r="J1456" s="120"/>
      <c r="K1456" s="120"/>
    </row>
    <row r="1457">
      <c r="A1457" s="120"/>
      <c r="B1457" s="120"/>
      <c r="C1457" s="120"/>
      <c r="D1457" s="120"/>
      <c r="E1457" s="120"/>
      <c r="F1457" s="120"/>
      <c r="G1457" s="120"/>
      <c r="H1457" s="120"/>
      <c r="I1457" s="120"/>
      <c r="J1457" s="120"/>
      <c r="K1457" s="120"/>
    </row>
    <row r="1458">
      <c r="A1458" s="120"/>
      <c r="B1458" s="120"/>
      <c r="C1458" s="120"/>
      <c r="D1458" s="120"/>
      <c r="E1458" s="120"/>
      <c r="F1458" s="120"/>
      <c r="G1458" s="120"/>
      <c r="H1458" s="120"/>
      <c r="I1458" s="120"/>
      <c r="J1458" s="120"/>
      <c r="K1458" s="120"/>
    </row>
    <row r="1459">
      <c r="A1459" s="120"/>
      <c r="B1459" s="120"/>
      <c r="C1459" s="120"/>
      <c r="D1459" s="120"/>
      <c r="E1459" s="120"/>
      <c r="F1459" s="120"/>
      <c r="G1459" s="120"/>
      <c r="H1459" s="120"/>
      <c r="I1459" s="120"/>
      <c r="J1459" s="120"/>
      <c r="K1459" s="120"/>
    </row>
    <row r="1460">
      <c r="A1460" s="120"/>
      <c r="B1460" s="120"/>
      <c r="C1460" s="120"/>
      <c r="D1460" s="120"/>
      <c r="E1460" s="120"/>
      <c r="F1460" s="120"/>
      <c r="G1460" s="120"/>
      <c r="H1460" s="120"/>
      <c r="I1460" s="120"/>
      <c r="J1460" s="120"/>
      <c r="K1460" s="120"/>
    </row>
    <row r="1461">
      <c r="A1461" s="120"/>
      <c r="B1461" s="120"/>
      <c r="C1461" s="120"/>
      <c r="D1461" s="120"/>
      <c r="E1461" s="120"/>
      <c r="F1461" s="120"/>
      <c r="G1461" s="120"/>
      <c r="H1461" s="120"/>
      <c r="I1461" s="120"/>
      <c r="J1461" s="120"/>
      <c r="K1461" s="120"/>
    </row>
    <row r="1462">
      <c r="A1462" s="120"/>
      <c r="B1462" s="120"/>
      <c r="C1462" s="120"/>
      <c r="D1462" s="120"/>
      <c r="E1462" s="120"/>
      <c r="F1462" s="120"/>
      <c r="G1462" s="120"/>
      <c r="H1462" s="120"/>
      <c r="I1462" s="120"/>
      <c r="J1462" s="120"/>
      <c r="K1462" s="120"/>
    </row>
    <row r="1463">
      <c r="A1463" s="120"/>
      <c r="B1463" s="120"/>
      <c r="C1463" s="120"/>
      <c r="D1463" s="120"/>
      <c r="E1463" s="120"/>
      <c r="F1463" s="120"/>
      <c r="G1463" s="120"/>
      <c r="H1463" s="120"/>
      <c r="I1463" s="120"/>
      <c r="J1463" s="120"/>
      <c r="K1463" s="120"/>
    </row>
    <row r="1464">
      <c r="A1464" s="120"/>
      <c r="B1464" s="120"/>
      <c r="C1464" s="120"/>
      <c r="D1464" s="120"/>
      <c r="E1464" s="120"/>
      <c r="F1464" s="120"/>
      <c r="G1464" s="120"/>
      <c r="H1464" s="120"/>
      <c r="I1464" s="120"/>
      <c r="J1464" s="120"/>
      <c r="K1464" s="120"/>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4" width="108.13"/>
  </cols>
  <sheetData>
    <row r="1">
      <c r="A1" s="239" t="s">
        <v>3592</v>
      </c>
      <c r="B1" s="239" t="s">
        <v>1290</v>
      </c>
      <c r="C1" s="111" t="s">
        <v>207</v>
      </c>
      <c r="D1" s="111" t="s">
        <v>3593</v>
      </c>
      <c r="E1" s="112"/>
      <c r="F1" s="112"/>
      <c r="G1" s="112"/>
      <c r="H1" s="112"/>
      <c r="I1" s="112"/>
      <c r="J1" s="112"/>
      <c r="K1" s="112"/>
      <c r="L1" s="112"/>
      <c r="M1" s="112"/>
      <c r="N1" s="112"/>
      <c r="O1" s="112"/>
      <c r="P1" s="112"/>
      <c r="Q1" s="112"/>
      <c r="R1" s="112"/>
      <c r="S1" s="112"/>
      <c r="T1" s="112"/>
      <c r="U1" s="112"/>
      <c r="V1" s="112"/>
      <c r="W1" s="112"/>
      <c r="X1" s="112"/>
      <c r="Y1" s="112"/>
      <c r="Z1" s="112"/>
      <c r="AA1" s="112"/>
      <c r="AB1" s="112"/>
    </row>
    <row r="2">
      <c r="A2" s="233" t="s">
        <v>1000</v>
      </c>
      <c r="B2" s="233" t="s">
        <v>3335</v>
      </c>
      <c r="C2" s="115" t="s">
        <v>154</v>
      </c>
      <c r="D2" s="115" t="s">
        <v>3594</v>
      </c>
    </row>
    <row r="3">
      <c r="A3" s="233" t="s">
        <v>994</v>
      </c>
      <c r="B3" s="233" t="s">
        <v>3337</v>
      </c>
      <c r="C3" s="115" t="s">
        <v>3595</v>
      </c>
      <c r="D3" s="115" t="s">
        <v>3596</v>
      </c>
    </row>
    <row r="4">
      <c r="A4" s="240" t="s">
        <v>508</v>
      </c>
      <c r="B4" s="240" t="s">
        <v>3597</v>
      </c>
      <c r="C4" s="241"/>
      <c r="D4" s="241" t="s">
        <v>3598</v>
      </c>
      <c r="E4" s="242"/>
      <c r="F4" s="242"/>
      <c r="G4" s="242"/>
      <c r="H4" s="242"/>
      <c r="I4" s="242"/>
      <c r="J4" s="242"/>
      <c r="K4" s="242"/>
      <c r="L4" s="242"/>
      <c r="M4" s="242"/>
      <c r="N4" s="242"/>
      <c r="O4" s="242"/>
      <c r="P4" s="242"/>
      <c r="Q4" s="242"/>
      <c r="R4" s="242"/>
      <c r="S4" s="242"/>
      <c r="T4" s="242"/>
      <c r="U4" s="242"/>
      <c r="V4" s="242"/>
      <c r="W4" s="242"/>
      <c r="X4" s="242"/>
      <c r="Y4" s="242"/>
      <c r="Z4" s="242"/>
      <c r="AA4" s="242"/>
      <c r="AB4" s="242"/>
    </row>
    <row r="5">
      <c r="A5" s="233" t="s">
        <v>508</v>
      </c>
      <c r="B5" s="233" t="s">
        <v>3339</v>
      </c>
      <c r="C5" s="115" t="s">
        <v>191</v>
      </c>
      <c r="D5" s="115" t="s">
        <v>3599</v>
      </c>
    </row>
  </sheetData>
  <drawing r:id="rId1"/>
</worksheet>
</file>